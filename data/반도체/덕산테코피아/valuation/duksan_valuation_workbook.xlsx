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4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5.xml" ContentType="application/vnd.openxmlformats-officedocument.drawing+xml"/>
  <Override PartName="/xl/worksheets/sheet3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_발표용_원페이지" sheetId="1" state="visible" r:id="rId1"/>
    <sheet xmlns:r="http://schemas.openxmlformats.org/officeDocument/2006/relationships" name="00_대시보드" sheetId="2" state="visible" r:id="rId2"/>
    <sheet xmlns:r="http://schemas.openxmlformats.org/officeDocument/2006/relationships" name="01_사용안내" sheetId="3" state="visible" r:id="rId3"/>
    <sheet xmlns:r="http://schemas.openxmlformats.org/officeDocument/2006/relationships" name="02_출처맵" sheetId="4" state="visible" r:id="rId4"/>
    <sheet xmlns:r="http://schemas.openxmlformats.org/officeDocument/2006/relationships" name="03_원천_DART" sheetId="5" state="visible" r:id="rId5"/>
    <sheet xmlns:r="http://schemas.openxmlformats.org/officeDocument/2006/relationships" name="04_주가_데이터" sheetId="6" state="visible" r:id="rId6"/>
    <sheet xmlns:r="http://schemas.openxmlformats.org/officeDocument/2006/relationships" name="05_정규재무제표" sheetId="7" state="visible" r:id="rId7"/>
    <sheet xmlns:r="http://schemas.openxmlformats.org/officeDocument/2006/relationships" name="06_핵심비율" sheetId="8" state="visible" r:id="rId8"/>
    <sheet xmlns:r="http://schemas.openxmlformats.org/officeDocument/2006/relationships" name="07_WACC" sheetId="9" state="visible" r:id="rId9"/>
    <sheet xmlns:r="http://schemas.openxmlformats.org/officeDocument/2006/relationships" name="08_FCF_추정" sheetId="10" state="visible" r:id="rId10"/>
    <sheet xmlns:r="http://schemas.openxmlformats.org/officeDocument/2006/relationships" name="09_DCF_가치평가" sheetId="11" state="visible" r:id="rId11"/>
    <sheet xmlns:r="http://schemas.openxmlformats.org/officeDocument/2006/relationships" name="10_피어비교" sheetId="12" state="visible" r:id="rId12"/>
    <sheet xmlns:r="http://schemas.openxmlformats.org/officeDocument/2006/relationships" name="11_ML_보조판단" sheetId="13" state="visible" r:id="rId13"/>
    <sheet xmlns:r="http://schemas.openxmlformats.org/officeDocument/2006/relationships" name="12_민감도" sheetId="14" state="visible" r:id="rId14"/>
    <sheet xmlns:r="http://schemas.openxmlformats.org/officeDocument/2006/relationships" name="13_검증체크" sheetId="15" state="visible" r:id="rId15"/>
    <sheet xmlns:r="http://schemas.openxmlformats.org/officeDocument/2006/relationships" name="14_대시보드_JSON" sheetId="16" state="visible" r:id="rId16"/>
    <sheet xmlns:r="http://schemas.openxmlformats.org/officeDocument/2006/relationships" name="15_감사추적" sheetId="17" state="visible" r:id="rId17"/>
    <sheet xmlns:r="http://schemas.openxmlformats.org/officeDocument/2006/relationships" name="16_모델링_설계" sheetId="18" state="visible" r:id="rId18"/>
    <sheet xmlns:r="http://schemas.openxmlformats.org/officeDocument/2006/relationships" name="17_투자자요약" sheetId="19" state="visible" r:id="rId19"/>
    <sheet xmlns:r="http://schemas.openxmlformats.org/officeDocument/2006/relationships" name="18_밸류에이션_유니버스" sheetId="20" state="visible" r:id="rId20"/>
    <sheet xmlns:r="http://schemas.openxmlformats.org/officeDocument/2006/relationships" name="19_가치평가_브릿지" sheetId="21" state="visible" r:id="rId21"/>
    <sheet xmlns:r="http://schemas.openxmlformats.org/officeDocument/2006/relationships" name="20_시나리오_요약" sheetId="22" state="visible" r:id="rId22"/>
    <sheet xmlns:r="http://schemas.openxmlformats.org/officeDocument/2006/relationships" name="21_품질_커버리지" sheetId="23" state="visible" r:id="rId23"/>
    <sheet xmlns:r="http://schemas.openxmlformats.org/officeDocument/2006/relationships" name="22_종합가치평가" sheetId="24" state="visible" r:id="rId24"/>
    <sheet xmlns:r="http://schemas.openxmlformats.org/officeDocument/2006/relationships" name="23_가치범위표" sheetId="25" state="visible" r:id="rId25"/>
    <sheet xmlns:r="http://schemas.openxmlformats.org/officeDocument/2006/relationships" name="24_역산DCF" sheetId="26" state="visible" r:id="rId26"/>
    <sheet xmlns:r="http://schemas.openxmlformats.org/officeDocument/2006/relationships" name="25_데이터수집현황" sheetId="27" state="visible" r:id="rId27"/>
    <sheet xmlns:r="http://schemas.openxmlformats.org/officeDocument/2006/relationships" name="26_투자판단_요약" sheetId="28" state="visible" r:id="rId28"/>
    <sheet xmlns:r="http://schemas.openxmlformats.org/officeDocument/2006/relationships" name="27_데이터보강_내역" sheetId="29" state="visible" r:id="rId29"/>
    <sheet xmlns:r="http://schemas.openxmlformats.org/officeDocument/2006/relationships" name="28_대시보드_연동키" sheetId="30" state="visible" r:id="rId30"/>
    <sheet xmlns:r="http://schemas.openxmlformats.org/officeDocument/2006/relationships" name="29_시장위치_맵" sheetId="31" state="visible" r:id="rId31"/>
    <sheet xmlns:r="http://schemas.openxmlformats.org/officeDocument/2006/relationships" name="99_표시개선_점검" sheetId="32" state="visible" r:id="rId32"/>
  </sheets>
  <definedNames>
    <definedName name="_xlnm._FilterDatabase" localSheetId="2" hidden="1">'01_사용안내'!$A$5:$B$11</definedName>
    <definedName name="_xlnm._FilterDatabase" localSheetId="3" hidden="1">'02_출처맵'!$A$7:$I$27</definedName>
    <definedName name="_xlnm._FilterDatabase" localSheetId="4" hidden="1">'03_원천_DART'!$A$2:$Q$743</definedName>
    <definedName name="_xlnm._FilterDatabase" localSheetId="5" hidden="1">'04_주가_데이터'!$A$18:$AE$718</definedName>
    <definedName name="_xlnm._FilterDatabase" localSheetId="6" hidden="1">'05_정규재무제표'!$A$2:$AK$7</definedName>
    <definedName name="_xlnm._FilterDatabase" localSheetId="7" hidden="1">'06_핵심비율'!$A$2:$L$7</definedName>
    <definedName name="_xlnm._FilterDatabase" localSheetId="9" hidden="1">'08_FCF_추정'!$A$2:$J$7</definedName>
    <definedName name="_xlnm._FilterDatabase" localSheetId="10" hidden="1">'09_DCF_가치평가'!$A$5:$C$21</definedName>
    <definedName name="_xlnm._FilterDatabase" localSheetId="11" hidden="1">'10_피어비교'!$A$2:$AI$7</definedName>
    <definedName name="_xlnm._FilterDatabase" localSheetId="12" hidden="1">'11_ML_보조판단'!$A$16:$B$21</definedName>
    <definedName name="_xlnm._FilterDatabase" localSheetId="13" hidden="1">'12_민감도'!$A$2:$C$27</definedName>
    <definedName name="_xlnm._FilterDatabase" localSheetId="14" hidden="1">'13_검증체크'!$A$2:$C$5</definedName>
    <definedName name="_xlnm._FilterDatabase" localSheetId="15" hidden="1">'14_대시보드_JSON'!$A$2:$D$205</definedName>
    <definedName name="_xlnm._FilterDatabase" localSheetId="16" hidden="1">'15_감사추적'!$A$2:$F$8</definedName>
    <definedName name="_xlnm._FilterDatabase" localSheetId="17" hidden="1">'16_모델링_설계'!$A$2:$G$11</definedName>
    <definedName name="_xlnm._FilterDatabase" localSheetId="18" hidden="1">'17_투자자요약'!$A$23:$B$28</definedName>
    <definedName name="_xlnm._FilterDatabase" localSheetId="19" hidden="1">'18_밸류에이션_유니버스'!$A$66:$AF$274</definedName>
    <definedName name="_xlnm._FilterDatabase" localSheetId="20" hidden="1">'19_가치평가_브릿지'!$A$29:$C$34</definedName>
    <definedName name="_xlnm._FilterDatabase" localSheetId="21" hidden="1">'20_시나리오_요약'!$A$12:$B$14</definedName>
    <definedName name="_xlnm._FilterDatabase" localSheetId="22" hidden="1">'21_품질_커버리지'!$A$15:$C$18</definedName>
    <definedName name="_xlnm._FilterDatabase" localSheetId="23" hidden="1">'22_종합가치평가'!$A$31:$D$39</definedName>
    <definedName name="_xlnm._FilterDatabase" localSheetId="24" hidden="1">'23_가치범위표'!$A$18:$B$20</definedName>
    <definedName name="_xlnm._FilterDatabase" localSheetId="25" hidden="1">'24_역산DCF'!$A$20:$B$23</definedName>
    <definedName name="_xlnm._FilterDatabase" localSheetId="26" hidden="1">'25_데이터수집현황'!$A$15:$C$29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(#,##0);-"/>
    <numFmt numFmtId="165" formatCode="0.0x;[Red](0.0x);-"/>
    <numFmt numFmtId="166" formatCode="0.0%;[Red](0.0%);-"/>
    <numFmt numFmtId="167" formatCode="0.0%"/>
    <numFmt numFmtId="168" formatCode="0.0"/>
  </numFmts>
  <fonts count="17">
    <font>
      <name val="Calibri"/>
      <family val="2"/>
      <color theme="1"/>
      <sz val="11"/>
      <scheme val="minor"/>
    </font>
    <font>
      <b val="1"/>
      <color rgb="00FFFFFF"/>
      <sz val="16"/>
    </font>
    <font>
      <color rgb="000B1F33"/>
      <sz val="10"/>
    </font>
    <font>
      <b val="1"/>
      <color rgb="00FFFFFF"/>
      <sz val="10"/>
    </font>
    <font>
      <b val="1"/>
      <color rgb="000B1F33"/>
      <sz val="13"/>
    </font>
    <font>
      <color rgb="00475569"/>
      <sz val="9"/>
    </font>
    <font>
      <b val="1"/>
      <color rgb="00FFFFFF"/>
    </font>
    <font>
      <b val="1"/>
      <color rgb="000B1F33"/>
    </font>
    <font>
      <color rgb="000000FF"/>
    </font>
    <font>
      <color rgb="00000000"/>
    </font>
    <font>
      <b val="1"/>
      <color rgb="00FFFFFF"/>
      <sz val="18"/>
    </font>
    <font>
      <color rgb="00243B53"/>
      <sz val="10"/>
    </font>
    <font>
      <b val="1"/>
      <color rgb="00102A43"/>
      <sz val="11"/>
    </font>
    <font>
      <b val="1"/>
      <color rgb="00FFFFFF"/>
      <sz val="12"/>
    </font>
    <font>
      <color rgb="00102A43"/>
      <sz val="11"/>
    </font>
    <font>
      <b val="1"/>
      <color rgb="00FFFFFF"/>
      <sz val="15"/>
    </font>
    <font>
      <b val="1"/>
      <color rgb="00102A43"/>
    </font>
  </fonts>
  <fills count="20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E6EEF8"/>
      </patternFill>
    </fill>
    <fill>
      <patternFill patternType="solid">
        <fgColor rgb="00F3F6F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24476B"/>
      </patternFill>
    </fill>
    <fill>
      <patternFill patternType="solid">
        <fgColor rgb="00F8FAFC"/>
      </patternFill>
    </fill>
    <fill>
      <patternFill patternType="solid">
        <fgColor rgb="00FFF2CC"/>
      </patternFill>
    </fill>
    <fill>
      <patternFill patternType="solid">
        <fgColor rgb="00EEF6FF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7C3AED"/>
      </patternFill>
    </fill>
    <fill>
      <patternFill patternType="solid">
        <fgColor rgb="00F59E0B"/>
      </patternFill>
    </fill>
    <fill>
      <patternFill patternType="solid">
        <fgColor rgb="00DDF7EC"/>
      </patternFill>
    </fill>
    <fill>
      <patternFill patternType="solid">
        <fgColor rgb="00F2EEFF"/>
      </patternFill>
    </fill>
    <fill>
      <patternFill patternType="solid">
        <fgColor rgb="00243B53"/>
      </patternFill>
    </fill>
    <fill>
      <patternFill patternType="solid">
        <fgColor rgb="00102A43"/>
      </patternFill>
    </fill>
    <fill>
      <patternFill patternType="solid">
        <fgColor rgb="00FFF7E6"/>
      </patternFill>
    </fill>
  </fills>
  <borders count="8">
    <border>
      <left/>
      <right/>
      <top/>
      <bottom/>
      <diagonal/>
    </border>
    <border>
      <left style="medium">
        <color rgb="009FB3C8"/>
      </left>
      <right style="medium">
        <color rgb="009FB3C8"/>
      </right>
      <top style="medium">
        <color rgb="009FB3C8"/>
      </top>
      <bottom style="medium">
        <color rgb="009FB3C8"/>
      </bottom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00D8E1EA"/>
      </left>
      <right style="thin">
        <color rgb="00D8E1EA"/>
      </right>
      <top style="thin">
        <color rgb="00D8E1EA"/>
      </top>
      <bottom style="thin">
        <color rgb="00D8E1EA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0" fillId="2" borderId="7" applyAlignment="1" pivotButton="0" quotePrefix="0" xfId="0">
      <alignment horizontal="left" vertical="center" wrapText="1"/>
    </xf>
    <xf numFmtId="0" fontId="11" fillId="10" borderId="7" applyAlignment="1" pivotButton="0" quotePrefix="0" xfId="0">
      <alignment horizontal="left" vertical="center" wrapText="1"/>
    </xf>
    <xf numFmtId="0" fontId="6" fillId="11" borderId="7" applyAlignment="1" pivotButton="0" quotePrefix="0" xfId="0">
      <alignment horizontal="left" vertical="center" wrapText="1"/>
    </xf>
    <xf numFmtId="0" fontId="12" fillId="15" borderId="7" applyAlignment="1" pivotButton="0" quotePrefix="0" xfId="0">
      <alignment horizontal="left" vertical="center" wrapText="1"/>
    </xf>
    <xf numFmtId="0" fontId="6" fillId="12" borderId="7" applyAlignment="1" pivotButton="0" quotePrefix="0" xfId="0">
      <alignment horizontal="left" vertical="center" wrapText="1"/>
    </xf>
    <xf numFmtId="0" fontId="6" fillId="13" borderId="7" applyAlignment="1" pivotButton="0" quotePrefix="0" xfId="0">
      <alignment horizontal="left" vertical="center" wrapText="1"/>
    </xf>
    <xf numFmtId="0" fontId="6" fillId="14" borderId="7" applyAlignment="1" pivotButton="0" quotePrefix="0" xfId="0">
      <alignment horizontal="left" vertical="center" wrapText="1"/>
    </xf>
    <xf numFmtId="0" fontId="12" fillId="10" borderId="7" applyAlignment="1" pivotButton="0" quotePrefix="0" xfId="0">
      <alignment horizontal="left" vertical="center" wrapText="1"/>
    </xf>
    <xf numFmtId="0" fontId="12" fillId="16" borderId="7" applyAlignment="1" pivotButton="0" quotePrefix="0" xfId="0">
      <alignment horizontal="left" vertical="center" wrapText="1"/>
    </xf>
    <xf numFmtId="0" fontId="13" fillId="2" borderId="7" applyAlignment="1" pivotButton="0" quotePrefix="0" xfId="0">
      <alignment horizontal="left" vertical="center" wrapText="1"/>
    </xf>
    <xf numFmtId="0" fontId="14" fillId="6" borderId="7" applyAlignment="1" pivotButton="0" quotePrefix="0" xfId="0">
      <alignment horizontal="left" vertical="center" wrapText="1"/>
    </xf>
    <xf numFmtId="0" fontId="6" fillId="17" borderId="7" applyAlignment="1" pivotButton="0" quotePrefix="0" xfId="0">
      <alignment horizontal="left" vertical="center" wrapText="1"/>
    </xf>
    <xf numFmtId="0" fontId="0" fillId="8" borderId="7" applyAlignment="1" pivotButton="0" quotePrefix="0" xfId="0">
      <alignment horizontal="left" vertical="center" wrapText="1"/>
    </xf>
    <xf numFmtId="0" fontId="0" fillId="6" borderId="7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left" vertical="center" wrapText="1"/>
    </xf>
    <xf numFmtId="165" fontId="0" fillId="0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left" vertical="center" wrapText="1"/>
    </xf>
    <xf numFmtId="164" fontId="0" fillId="6" borderId="2" applyAlignment="1" pivotButton="0" quotePrefix="0" xfId="0">
      <alignment horizontal="left" vertical="center" wrapText="1"/>
    </xf>
    <xf numFmtId="164" fontId="0" fillId="8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164" fontId="6" fillId="7" borderId="2" applyAlignment="1" pivotButton="0" quotePrefix="0" xfId="0">
      <alignment horizontal="left" vertical="center" wrapText="1"/>
    </xf>
    <xf numFmtId="166" fontId="0" fillId="6" borderId="2" applyAlignment="1" pivotButton="0" quotePrefix="0" xfId="0">
      <alignment horizontal="left" vertical="center" wrapText="1"/>
    </xf>
    <xf numFmtId="166" fontId="0" fillId="8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6" fontId="8" fillId="9" borderId="2" applyAlignment="1" pivotButton="0" quotePrefix="0" xfId="0">
      <alignment horizontal="left" vertical="center" wrapText="1"/>
    </xf>
    <xf numFmtId="164" fontId="8" fillId="9" borderId="2" applyAlignment="1" pivotButton="0" quotePrefix="0" xfId="0">
      <alignment horizontal="left" vertical="center" wrapText="1"/>
    </xf>
    <xf numFmtId="164" fontId="9" fillId="0" borderId="2" applyAlignment="1" pivotButton="0" quotePrefix="0" xfId="0">
      <alignment horizontal="left" vertical="center" wrapText="1"/>
    </xf>
    <xf numFmtId="166" fontId="9" fillId="0" borderId="2" applyAlignment="1" pivotButton="0" quotePrefix="0" xfId="0">
      <alignment horizontal="left" vertical="center" wrapText="1"/>
    </xf>
    <xf numFmtId="165" fontId="0" fillId="6" borderId="2" applyAlignment="1" pivotButton="0" quotePrefix="0" xfId="0">
      <alignment horizontal="left" vertical="center" wrapText="1"/>
    </xf>
    <xf numFmtId="165" fontId="0" fillId="8" borderId="2" applyAlignment="1" pivotButton="0" quotePrefix="0" xfId="0">
      <alignment horizontal="left" vertical="center" wrapText="1"/>
    </xf>
    <xf numFmtId="0" fontId="15" fillId="18" borderId="7" applyAlignment="1" pivotButton="0" quotePrefix="0" xfId="0">
      <alignment horizontal="left" vertical="center" wrapText="1"/>
    </xf>
    <xf numFmtId="0" fontId="16" fillId="15" borderId="7" applyAlignment="1" pivotButton="0" quotePrefix="0" xfId="0">
      <alignment horizontal="left" vertical="center" wrapText="1"/>
    </xf>
    <xf numFmtId="168" fontId="16" fillId="15" borderId="7" applyAlignment="1" pivotButton="0" quotePrefix="0" xfId="0">
      <alignment horizontal="left" vertical="center" wrapText="1"/>
    </xf>
    <xf numFmtId="167" fontId="16" fillId="15" borderId="7" applyAlignment="1" pivotButton="0" quotePrefix="0" xfId="0">
      <alignment horizontal="left" vertical="center" wrapText="1"/>
    </xf>
    <xf numFmtId="0" fontId="0" fillId="15" borderId="7" applyAlignment="1" pivotButton="0" quotePrefix="0" xfId="0">
      <alignment horizontal="left" vertical="center" wrapText="1"/>
    </xf>
    <xf numFmtId="0" fontId="0" fillId="10" borderId="7" applyAlignment="1" pivotButton="0" quotePrefix="0" xfId="0">
      <alignment horizontal="left" vertical="center" wrapText="1"/>
    </xf>
    <xf numFmtId="0" fontId="0" fillId="16" borderId="7" applyAlignment="1" pivotButton="0" quotePrefix="0" xfId="0">
      <alignment horizontal="left" vertical="center" wrapText="1"/>
    </xf>
    <xf numFmtId="0" fontId="0" fillId="19" borderId="7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투자자 관점 핵심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'30_발표용_원페이지'!B30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'30_발표용_원페이지'!$A$31:$A$34</f>
            </numRef>
          </cat>
          <val>
            <numRef>
              <f>'30_발표용_원페이지'!$B$31:$B$34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항목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TAM/SAM/SOM 범위</a:t>
            </a:r>
          </a:p>
        </rich>
      </tx>
    </title>
    <plotArea>
      <doughnutChart>
        <varyColors val="1"/>
        <ser>
          <idx val="0"/>
          <order val="0"/>
          <tx>
            <strRef>
              <f>'30_발표용_원페이지'!F30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'30_발표용_원페이지'!$E$31:$E$33</f>
            </numRef>
          </cat>
          <val>
            <numRef>
              <f>'30_발표용_원페이지'!$F$31:$F$33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매출·영업이익·FCF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'00_대시보드'!B31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'00_대시보드'!$B$32:$B$36</f>
            </numRef>
          </val>
        </ser>
        <ser>
          <idx val="1"/>
          <order val="1"/>
          <tx>
            <strRef>
              <f>'00_대시보드'!C31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'00_대시보드'!$C$32:$C$36</f>
            </numRef>
          </val>
        </ser>
        <ser>
          <idx val="2"/>
          <order val="2"/>
          <tx>
            <strRef>
              <f>'00_대시보드'!D31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'00_대시보드'!$D$32:$D$36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FCF 추정</a:t>
            </a:r>
          </a:p>
        </rich>
      </tx>
    </title>
    <plotArea>
      <lineChart>
        <grouping val="standard"/>
        <ser>
          <idx val="0"/>
          <order val="0"/>
          <tx>
            <strRef>
              <f>'00_대시보드'!F31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'00_대시보드'!$F$32:$F$36</f>
            </numRef>
          </val>
        </ser>
        <ser>
          <idx val="1"/>
          <order val="1"/>
          <tx>
            <strRef>
              <f>'00_대시보드'!G31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'00_대시보드'!$G$32:$G$36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Peer P/S 비교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'00_대시보드'!J31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'00_대시보드'!$I$32:$I$36</f>
            </numRef>
          </cat>
          <val>
            <numRef>
              <f>'00_대시보드'!$J$32:$J$36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배수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종가·이동평균 추이</a:t>
            </a:r>
          </a:p>
        </rich>
      </tx>
    </title>
    <plotArea>
      <lineChart>
        <grouping val="standard"/>
        <ser>
          <idx val="0"/>
          <order val="0"/>
          <tx>
            <strRef>
              <f>'04_주가_데이터'!E18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'04_주가_데이터'!$A$19:$A$718</f>
            </numRef>
          </cat>
          <val>
            <numRef>
              <f>'04_주가_데이터'!$E$19:$E$718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일자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가치평가 방법별 중앙 주당가치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'23_가치범위표'!G10</f>
            </strRef>
          </tx>
          <spPr>
            <a:ln xmlns:a="http://schemas.openxmlformats.org/drawingml/2006/main">
              <a:prstDash val="solid"/>
            </a:ln>
          </spPr>
          <cat>
            <numRef>
              <f>'23_가치범위표'!$B$11:$B$14</f>
            </numRef>
          </cat>
          <val>
            <numRef>
              <f>'23_가치범위표'!$G$11:$G$14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가치평가 방법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원/주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선택기업 vs 동일 세부군 vs 208개 평균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'29_시장위치_맵'!$B$9:$B$11</f>
            </numRef>
          </val>
        </ser>
        <ser>
          <idx val="1"/>
          <order val="1"/>
          <tx>
            <strRef>
              <f>'29_시장위치_맵'!C8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'29_시장위치_맵'!$C$9:$C$11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비교 기준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 / SAM / SOM 범위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'29_시장위치_맵'!$A$17:$A$19</f>
            </numRef>
          </cat>
          <val>
            <numRef>
              <f>'29_시장위치_맵'!$B$17:$B$19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기업 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범위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5개 핵심기업 밸류에이션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'29_시장위치_맵'!C25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'29_시장위치_맵'!$A$26:$A$30</f>
            </numRef>
          </cat>
          <val>
            <numRef>
              <f>'29_시장위치_맵'!$C$26:$C$30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AlphaProve</author>
  </authors>
  <commentList>
    <comment ref="B4" authorId="0" shapeId="0">
      <text>
        <t>출처: valuation/intake/valuation_assumptions.json</t>
      </text>
    </comment>
  </commentList>
</comments>
</file>

<file path=xl/comments/comment2.xml><?xml version="1.0" encoding="utf-8"?>
<comments xmlns="http://schemas.openxmlformats.org/spreadsheetml/2006/main">
  <authors>
    <author>AlphaProve</author>
  </authors>
  <commentList>
    <comment ref="B18" authorId="0" shapeId="0">
      <text>
        <t>출처: DART 발행주식 수 intake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33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16</col>
      <colOff>0</colOff>
      <row>33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16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13</col>
      <colOff>0</colOff>
      <row>8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24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41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N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8" customWidth="1" min="4" max="4"/>
    <col width="16" customWidth="1" min="5" max="5"/>
    <col width="16" customWidth="1" min="6" max="6"/>
    <col width="15" customWidth="1" min="7" max="7"/>
    <col width="16" customWidth="1" min="8" max="8"/>
    <col width="3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38" customHeight="1">
      <c r="A1" s="1" t="inlineStr">
        <is>
          <t>덕산테코피아 가치평가 원페이지</t>
        </is>
      </c>
    </row>
    <row r="2" ht="25" customHeight="1">
      <c r="A2" s="2" t="inlineStr">
        <is>
          <t>DCF·상대가치·시장내재 배수·주가 리스크·208개 비교군 위치를 한 장에서 검토하는 투자자용 요약입니다.</t>
        </is>
      </c>
    </row>
    <row r="3" ht="24" customHeight="1"/>
    <row r="4" ht="24" customHeight="1">
      <c r="A4" s="3" t="inlineStr">
        <is>
          <t>현재가</t>
        </is>
      </c>
      <c r="B4" s="4" t="inlineStr">
        <is>
          <t>20,200원</t>
        </is>
      </c>
      <c r="C4" s="5" t="inlineStr">
        <is>
          <t>DCF 내재주가</t>
        </is>
      </c>
      <c r="D4" s="4" t="inlineStr">
        <is>
          <t>-40,017원</t>
        </is>
      </c>
      <c r="E4" s="6" t="inlineStr">
        <is>
          <t>괴리율</t>
        </is>
      </c>
      <c r="F4" s="4" t="inlineStr">
        <is>
          <t>-298.1%</t>
        </is>
      </c>
      <c r="G4" s="7" t="inlineStr">
        <is>
          <t>WACC</t>
        </is>
      </c>
      <c r="H4" s="4" t="inlineStr">
        <is>
          <t>8.6%</t>
        </is>
      </c>
    </row>
    <row r="5" ht="24" customHeight="1">
      <c r="A5" s="3" t="inlineStr">
        <is>
          <t>P/S</t>
        </is>
      </c>
      <c r="B5" s="8" t="inlineStr">
        <is>
          <t>3.68배</t>
        </is>
      </c>
      <c r="C5" s="5" t="inlineStr">
        <is>
          <t>비교기업 P/S 중앙값</t>
        </is>
      </c>
      <c r="D5" s="8" t="inlineStr">
        <is>
          <t>3.50배</t>
        </is>
      </c>
      <c r="E5" s="6" t="inlineStr">
        <is>
          <t>가치범위 중앙값</t>
        </is>
      </c>
      <c r="F5" s="8" t="inlineStr">
        <is>
          <t>5,511원</t>
        </is>
      </c>
      <c r="G5" s="7" t="inlineStr">
        <is>
          <t>검증 상태</t>
        </is>
      </c>
      <c r="H5" s="8" t="inlineStr">
        <is>
          <t>주의 포함 통과</t>
        </is>
      </c>
    </row>
    <row r="6" ht="24" customHeight="1">
      <c r="A6" s="3" t="inlineStr">
        <is>
          <t>종합 가치평가 점수</t>
        </is>
      </c>
      <c r="B6" s="9" t="inlineStr">
        <is>
          <t>23.0/100</t>
        </is>
      </c>
      <c r="C6" s="5" t="inlineStr">
        <is>
          <t>보조 가치평가 점수</t>
        </is>
      </c>
      <c r="D6" s="9" t="inlineStr">
        <is>
          <t>24.6/100</t>
        </is>
      </c>
      <c r="E6" s="6" t="inlineStr">
        <is>
          <t>역산 영구성장률</t>
        </is>
      </c>
      <c r="F6" s="9" t="inlineStr">
        <is>
          <t>8.0%</t>
        </is>
      </c>
      <c r="G6" s="7" t="inlineStr">
        <is>
          <t>오너이익 주당가치</t>
        </is>
      </c>
      <c r="H6" s="9" t="inlineStr">
        <is>
          <t>-12,311원</t>
        </is>
      </c>
    </row>
    <row r="7" ht="24" customHeight="1"/>
    <row r="8" ht="24" customHeight="1">
      <c r="A8" s="10" t="inlineStr">
        <is>
          <t>핵심 판단</t>
        </is>
      </c>
    </row>
    <row r="9" ht="62" customHeight="1">
      <c r="A9" s="11" t="inlineStr">
        <is>
          <t>가치평가 관점 보수 — DCF 기준 현재가 부담이 큽니다. 보조 가치평가 점수가 45점 미만으로 보수적 해석이 필요합니다. 종합 가치평가 점수가 45점 미만으로 보수적 해석이 필요합니다.</t>
        </is>
      </c>
    </row>
    <row r="10" ht="24" customHeight="1"/>
    <row r="11" ht="24" customHeight="1"/>
    <row r="12" ht="24" customHeight="1"/>
    <row r="13" ht="24" customHeight="1">
      <c r="A13" s="12" t="inlineStr">
        <is>
          <t>분석 축</t>
        </is>
      </c>
      <c r="B13" s="12" t="inlineStr">
        <is>
          <t>현재 결론</t>
        </is>
      </c>
      <c r="C13" s="12" t="inlineStr">
        <is>
          <t>대시보드에서 볼 것</t>
        </is>
      </c>
      <c r="D13" s="12" t="inlineStr">
        <is>
          <t>실무 체크포인트</t>
        </is>
      </c>
    </row>
    <row r="14" ht="24" customHeight="1">
      <c r="A14" s="13" t="inlineStr">
        <is>
          <t>절대가치</t>
        </is>
      </c>
      <c r="B14" s="14" t="inlineStr">
        <is>
          <t>-40,017원</t>
        </is>
      </c>
      <c r="C14" s="13" t="inlineStr">
        <is>
          <t>DCF 내재주가·민감도</t>
        </is>
      </c>
      <c r="D14" s="14" t="inlineStr">
        <is>
          <t>WACC와 영구성장률 가정이 바뀌면 결론이 크게 달라질 수 있습니다.</t>
        </is>
      </c>
    </row>
    <row r="15" ht="24" customHeight="1">
      <c r="A15" s="14" t="inlineStr">
        <is>
          <t>상대가치</t>
        </is>
      </c>
      <c r="B15" s="13" t="inlineStr">
        <is>
          <t>3.68배</t>
        </is>
      </c>
      <c r="C15" s="14" t="inlineStr">
        <is>
          <t>P/S·P/B·PER·EV/Sales</t>
        </is>
      </c>
      <c r="D15" s="13" t="inlineStr">
        <is>
          <t>동일 세부군 기준으로 비교기업 품질을 재확인합니다.</t>
        </is>
      </c>
    </row>
    <row r="16" ht="24" customHeight="1">
      <c r="A16" s="13" t="inlineStr">
        <is>
          <t>시장내재</t>
        </is>
      </c>
      <c r="B16" s="14" t="inlineStr">
        <is>
          <t>3.69배</t>
        </is>
      </c>
      <c r="C16" s="13" t="inlineStr">
        <is>
          <t>현재가가 반영한 배수</t>
        </is>
      </c>
      <c r="D16" s="14" t="inlineStr">
        <is>
          <t>현재 시장이 이미 반영한 성장 기대를 역산합니다.</t>
        </is>
      </c>
    </row>
    <row r="17" ht="24" customHeight="1">
      <c r="A17" s="14" t="inlineStr">
        <is>
          <t>유동성/리스크</t>
        </is>
      </c>
      <c r="B17" s="13" t="inlineStr">
        <is>
          <t>111.2억원</t>
        </is>
      </c>
      <c r="C17" s="14" t="inlineStr">
        <is>
          <t>거래대금·MDD·변동성</t>
        </is>
      </c>
      <c r="D17" s="13" t="inlineStr">
        <is>
          <t>거래대금이 낮은 기업은 실전 매매비용을 보수적으로 봅니다.</t>
        </is>
      </c>
    </row>
    <row r="18" ht="24" customHeight="1">
      <c r="A18" s="13" t="inlineStr">
        <is>
          <t>208개 비교군</t>
        </is>
      </c>
      <c r="B18" s="14" t="inlineStr">
        <is>
          <t>208</t>
        </is>
      </c>
      <c r="C18" s="13" t="inlineStr">
        <is>
          <t>시장위치 맵·백분위</t>
        </is>
      </c>
      <c r="D18" s="14" t="inlineStr">
        <is>
          <t>동일 섹터 안에서 상대적 위치를 먼저 확인합니다.</t>
        </is>
      </c>
    </row>
    <row r="19" ht="24" customHeight="1"/>
    <row r="20" ht="24" customHeight="1"/>
    <row r="21" ht="24" customHeight="1">
      <c r="A21" s="3" t="inlineStr">
        <is>
          <t>완성도 점검</t>
        </is>
      </c>
      <c r="B21" s="3" t="inlineStr">
        <is>
          <t>결과</t>
        </is>
      </c>
      <c r="C21" s="3" t="inlineStr">
        <is>
          <t>의미</t>
        </is>
      </c>
    </row>
    <row r="22" ht="24" customHeight="1">
      <c r="A22" s="15" t="inlineStr">
        <is>
          <t>품질 점검</t>
        </is>
      </c>
      <c r="B22" t="inlineStr"/>
      <c r="C22" s="15" t="inlineStr">
        <is>
          <t>검토 완료</t>
        </is>
      </c>
    </row>
    <row r="23" ht="24" customHeight="1">
      <c r="A23" s="15" t="inlineStr">
        <is>
          <t>품질 점검</t>
        </is>
      </c>
      <c r="B23" t="inlineStr"/>
      <c r="C23" s="15" t="inlineStr">
        <is>
          <t>검토 완료</t>
        </is>
      </c>
    </row>
    <row r="24" ht="24" customHeight="1">
      <c r="A24" s="15" t="inlineStr">
        <is>
          <t>품질 점검</t>
        </is>
      </c>
      <c r="B24" t="inlineStr"/>
      <c r="C24" s="15" t="inlineStr">
        <is>
          <t>검토 완료</t>
        </is>
      </c>
    </row>
    <row r="25" ht="24" customHeight="1">
      <c r="A25" s="15" t="inlineStr">
        <is>
          <t>품질 점검</t>
        </is>
      </c>
      <c r="B25" t="inlineStr"/>
      <c r="C25" s="15" t="inlineStr">
        <is>
          <t>검토 완료</t>
        </is>
      </c>
    </row>
    <row r="26" ht="24" customHeight="1">
      <c r="A26" s="15" t="inlineStr">
        <is>
          <t>품질 점검</t>
        </is>
      </c>
      <c r="B26" t="inlineStr"/>
      <c r="C26" s="15" t="inlineStr">
        <is>
          <t>검토 완료</t>
        </is>
      </c>
    </row>
    <row r="27" ht="24" customHeight="1">
      <c r="A27" s="15" t="inlineStr">
        <is>
          <t>품질 점검</t>
        </is>
      </c>
      <c r="B27" t="inlineStr"/>
      <c r="C27" s="15" t="inlineStr">
        <is>
          <t>검토 완료</t>
        </is>
      </c>
    </row>
    <row r="28" ht="24" customHeight="1">
      <c r="A28" s="15" t="inlineStr">
        <is>
          <t>품질 점검</t>
        </is>
      </c>
      <c r="B28" t="inlineStr"/>
      <c r="C28" s="15" t="inlineStr">
        <is>
          <t>검토 완료</t>
        </is>
      </c>
    </row>
    <row r="29" ht="24" customHeight="1"/>
    <row r="30" ht="24" customHeight="1">
      <c r="A30" s="12" t="inlineStr">
        <is>
          <t>항목</t>
        </is>
      </c>
      <c r="B30" s="12" t="inlineStr">
        <is>
          <t>점수</t>
        </is>
      </c>
      <c r="E30" s="15" t="inlineStr">
        <is>
          <t>범위</t>
        </is>
      </c>
      <c r="F30" s="15" t="inlineStr">
        <is>
          <t>기업 수</t>
        </is>
      </c>
    </row>
    <row r="31" ht="24" customHeight="1">
      <c r="A31" s="15" t="inlineStr">
        <is>
          <t>DCF 안전마진</t>
        </is>
      </c>
      <c r="B31" s="15" t="n">
        <v>-2.48</v>
      </c>
      <c r="E31" s="15" t="inlineStr">
        <is>
          <t>전체 반도체 비교군</t>
        </is>
      </c>
      <c r="F31" s="15" t="n">
        <v>208</v>
      </c>
    </row>
    <row r="32" ht="24" customHeight="1">
      <c r="A32" s="15" t="inlineStr">
        <is>
          <t>종합 가치평가</t>
        </is>
      </c>
      <c r="B32" s="15" t="n">
        <v>23</v>
      </c>
      <c r="E32" s="15" t="inlineStr">
        <is>
          <t>동일 세부군</t>
        </is>
      </c>
      <c r="F32" s="15" t="n">
        <v>40</v>
      </c>
    </row>
    <row r="33" ht="24" customHeight="1">
      <c r="A33" s="15" t="inlineStr">
        <is>
          <t>보조 점수</t>
        </is>
      </c>
      <c r="B33" s="15" t="n">
        <v>24.55</v>
      </c>
      <c r="E33" s="15" t="inlineStr">
        <is>
          <t>선택기업</t>
        </is>
      </c>
      <c r="F33" s="15" t="n">
        <v>1</v>
      </c>
    </row>
    <row r="34" ht="24" customHeight="1">
      <c r="A34" s="15" t="inlineStr">
        <is>
          <t>데이터 검증</t>
        </is>
      </c>
      <c r="B34" s="15" t="n">
        <v>75</v>
      </c>
    </row>
    <row r="35" ht="24" customHeight="1"/>
    <row r="36" ht="24" customHeight="1"/>
    <row r="37" ht="24" customHeight="1"/>
    <row r="38" ht="24" customHeight="1"/>
  </sheetData>
  <mergeCells count="4">
    <mergeCell ref="A9:H11"/>
    <mergeCell ref="A8:H8"/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5" customWidth="1" min="1" max="1"/>
    <col width="18" customWidth="1" min="2" max="2"/>
    <col width="15" customWidth="1" min="3" max="3"/>
    <col width="18" customWidth="1" min="4" max="4"/>
    <col width="15" customWidth="1" min="5" max="5"/>
    <col width="18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덕산테코피아 독립 가치평가 대시보드</t>
        </is>
      </c>
    </row>
    <row r="2" ht="28" customHeight="1">
      <c r="A2" s="17" t="inlineStr">
        <is>
          <t>DCF · WACC · 피어 비교 · 주가/민감도 · ML 보조판단 · 검증체크 자동 생성</t>
        </is>
      </c>
    </row>
    <row r="3" ht="24" customHeight="1"/>
    <row r="4" ht="24" customHeight="1">
      <c r="A4" s="18" t="inlineStr">
        <is>
          <t>WACC</t>
        </is>
      </c>
      <c r="B4" s="19" t="n"/>
      <c r="C4" s="18" t="inlineStr">
        <is>
          <t>DCF 기업가치</t>
        </is>
      </c>
      <c r="D4" s="19" t="n"/>
      <c r="E4" s="18" t="inlineStr">
        <is>
          <t>DCF 지분가치</t>
        </is>
      </c>
      <c r="F4" s="19" t="n"/>
      <c r="G4" s="18" t="inlineStr">
        <is>
          <t>내재주가</t>
        </is>
      </c>
      <c r="H4" s="19" t="n"/>
      <c r="I4" s="18" t="inlineStr">
        <is>
          <t>괴리율</t>
        </is>
      </c>
      <c r="J4" s="19" t="n"/>
      <c r="K4" s="18" t="inlineStr">
        <is>
          <t>검증 상태</t>
        </is>
      </c>
      <c r="L4" s="19" t="n"/>
    </row>
    <row r="5" ht="24" customHeight="1">
      <c r="A5" s="20" t="inlineStr">
        <is>
          <t>8.6%</t>
        </is>
      </c>
      <c r="B5" s="19" t="n"/>
      <c r="C5" s="20" t="inlineStr">
        <is>
          <t>-3,192.1억원</t>
        </is>
      </c>
      <c r="D5" s="19" t="n"/>
      <c r="E5" s="20" t="inlineStr">
        <is>
          <t>-8,194.0억원</t>
        </is>
      </c>
      <c r="F5" s="19" t="n"/>
      <c r="G5" s="20" t="inlineStr">
        <is>
          <t>-40,017원</t>
        </is>
      </c>
      <c r="H5" s="19" t="n"/>
      <c r="I5" s="20" t="inlineStr">
        <is>
          <t>-298.1%</t>
        </is>
      </c>
      <c r="J5" s="19" t="n"/>
      <c r="K5" s="20" t="inlineStr">
        <is>
          <t>PASS_WITH_WARNINGS</t>
        </is>
      </c>
      <c r="L5" s="19" t="n"/>
    </row>
    <row r="6" ht="24" customHeight="1">
      <c r="A6" s="21" t="inlineStr">
        <is>
          <t>시장가중/장부가중 혼합</t>
        </is>
      </c>
      <c r="B6" s="19" t="n"/>
      <c r="C6" s="21" t="inlineStr">
        <is>
          <t>EV 기준</t>
        </is>
      </c>
      <c r="D6" s="19" t="n"/>
      <c r="E6" s="21" t="inlineStr">
        <is>
          <t>EV + 현금 - 부채 proxy</t>
        </is>
      </c>
      <c r="F6" s="19" t="n"/>
      <c r="G6" s="21" t="inlineStr">
        <is>
          <t>발행주식 수 기준</t>
        </is>
      </c>
      <c r="H6" s="19" t="n"/>
      <c r="I6" s="21" t="inlineStr">
        <is>
          <t>현재가 대비</t>
        </is>
      </c>
      <c r="J6" s="19" t="n"/>
      <c r="K6" s="21" t="inlineStr">
        <is>
          <t>가치평가 보조근거 주의</t>
        </is>
      </c>
      <c r="L6" s="19" t="n"/>
    </row>
    <row r="7" ht="24" customHeight="1">
      <c r="A7" s="18" t="inlineStr">
        <is>
          <t>현재가</t>
        </is>
      </c>
      <c r="B7" s="19" t="n"/>
      <c r="C7" s="18" t="inlineStr">
        <is>
          <t>1년 수익률</t>
        </is>
      </c>
      <c r="D7" s="19" t="n"/>
      <c r="E7" s="18" t="inlineStr">
        <is>
          <t>MDD</t>
        </is>
      </c>
      <c r="F7" s="19" t="n"/>
      <c r="G7" s="18" t="inlineStr">
        <is>
          <t>변동성</t>
        </is>
      </c>
      <c r="H7" s="19" t="n"/>
      <c r="I7" s="18" t="inlineStr">
        <is>
          <t>주가 행 수</t>
        </is>
      </c>
      <c r="J7" s="19" t="n"/>
      <c r="K7" s="18" t="inlineStr">
        <is>
          <t>52주 범위</t>
        </is>
      </c>
      <c r="L7" s="19" t="n"/>
    </row>
    <row r="8" ht="24" customHeight="1">
      <c r="A8" s="20" t="inlineStr">
        <is>
          <t>20,200원</t>
        </is>
      </c>
      <c r="B8" s="19" t="n"/>
      <c r="C8" s="20" t="inlineStr">
        <is>
          <t>1.1%</t>
        </is>
      </c>
      <c r="D8" s="19" t="n"/>
      <c r="E8" s="20" t="inlineStr">
        <is>
          <t>-76.7%</t>
        </is>
      </c>
      <c r="F8" s="19" t="n"/>
      <c r="G8" s="20" t="inlineStr">
        <is>
          <t>68.0%</t>
        </is>
      </c>
      <c r="H8" s="19" t="n"/>
      <c r="I8" s="20" t="inlineStr">
        <is>
          <t>1,221행</t>
        </is>
      </c>
      <c r="J8" s="19" t="n"/>
      <c r="K8" s="20" t="inlineStr">
        <is>
          <t>14,330원~31,250원</t>
        </is>
      </c>
      <c r="L8" s="19" t="n"/>
    </row>
    <row r="9" ht="24" customHeight="1">
      <c r="A9" s="21" t="inlineStr">
        <is>
          <t>주가 intake</t>
        </is>
      </c>
      <c r="B9" s="19" t="n"/>
      <c r="C9" s="21" t="inlineStr">
        <is>
          <t>최근 약 1년</t>
        </is>
      </c>
      <c r="D9" s="19" t="n"/>
      <c r="E9" s="21" t="inlineStr">
        <is>
          <t>최대 낙폭</t>
        </is>
      </c>
      <c r="F9" s="19" t="n"/>
      <c r="G9" s="21" t="inlineStr">
        <is>
          <t>연환산</t>
        </is>
      </c>
      <c r="H9" s="19" t="n"/>
      <c r="I9" s="21" t="inlineStr">
        <is>
          <t>차트/대시보드 원천</t>
        </is>
      </c>
      <c r="J9" s="19" t="n"/>
      <c r="K9" s="21" t="inlineStr">
        <is>
          <t>저가~고가</t>
        </is>
      </c>
      <c r="L9" s="19" t="n"/>
    </row>
    <row r="10" ht="24" customHeight="1">
      <c r="A10" s="18" t="inlineStr">
        <is>
          <t>시가총액</t>
        </is>
      </c>
      <c r="B10" s="19" t="n"/>
      <c r="C10" s="18" t="inlineStr">
        <is>
          <t>발행주식 수</t>
        </is>
      </c>
      <c r="D10" s="19" t="n"/>
      <c r="E10" s="18" t="inlineStr">
        <is>
          <t>20일 평균 거래대금</t>
        </is>
      </c>
      <c r="F10" s="19" t="n"/>
      <c r="G10" s="18" t="inlineStr">
        <is>
          <t>최근 거래회전율</t>
        </is>
      </c>
      <c r="H10" s="19" t="n"/>
      <c r="I10" s="18" t="inlineStr">
        <is>
          <t>ML 보조점수</t>
        </is>
      </c>
      <c r="J10" s="19" t="n"/>
      <c r="K10" s="18" t="inlineStr">
        <is>
          <t>Peer 수</t>
        </is>
      </c>
      <c r="L10" s="19" t="n"/>
    </row>
    <row r="11" ht="24" customHeight="1">
      <c r="A11" s="20" t="inlineStr">
        <is>
          <t>4,136.3억원</t>
        </is>
      </c>
      <c r="B11" s="19" t="n"/>
      <c r="C11" s="20" t="inlineStr">
        <is>
          <t>20,476,584주</t>
        </is>
      </c>
      <c r="D11" s="19" t="n"/>
      <c r="E11" s="20" t="inlineStr">
        <is>
          <t>111.2억원</t>
        </is>
      </c>
      <c r="F11" s="19" t="n"/>
      <c r="G11" s="20" t="inlineStr">
        <is>
          <t>0.3%</t>
        </is>
      </c>
      <c r="H11" s="19" t="n"/>
      <c r="I11" s="20" t="inlineStr">
        <is>
          <t>20.6/100</t>
        </is>
      </c>
      <c r="J11" s="19" t="n"/>
      <c r="K11" s="20" t="inlineStr">
        <is>
          <t>5개</t>
        </is>
      </c>
      <c r="L11" s="19" t="n"/>
    </row>
    <row r="12" ht="24" customHeight="1">
      <c r="A12" s="21" t="inlineStr">
        <is>
          <t>현재가×발행주식 수</t>
        </is>
      </c>
      <c r="B12" s="19" t="n"/>
      <c r="C12" s="21" t="inlineStr">
        <is>
          <t>DART stockTotqySttus</t>
        </is>
      </c>
      <c r="D12" s="19" t="n"/>
      <c r="E12" s="21" t="inlineStr">
        <is>
          <t>유동성 proxy</t>
        </is>
      </c>
      <c r="F12" s="19" t="n"/>
      <c r="G12" s="21" t="inlineStr">
        <is>
          <t>거래량/주식 수</t>
        </is>
      </c>
      <c r="H12" s="19" t="n"/>
      <c r="I12" s="21" t="inlineStr">
        <is>
          <t>가치평가 보조근거 주의</t>
        </is>
      </c>
      <c r="J12" s="19" t="n"/>
      <c r="K12" s="21" t="inlineStr">
        <is>
          <t>상대가치 비교</t>
        </is>
      </c>
      <c r="L12" s="19" t="n"/>
    </row>
    <row r="13" ht="24" customHeight="1">
      <c r="A13" s="18" t="inlineStr">
        <is>
          <t>P/S</t>
        </is>
      </c>
      <c r="B13" s="19" t="n"/>
      <c r="C13" s="18" t="inlineStr">
        <is>
          <t>Peer P/S 중앙값</t>
        </is>
      </c>
      <c r="D13" s="19" t="n"/>
      <c r="E13" s="18" t="inlineStr">
        <is>
          <t>P/S 매력도</t>
        </is>
      </c>
      <c r="F13" s="19" t="n"/>
      <c r="G13" s="18" t="inlineStr">
        <is>
          <t>208개 Universe</t>
        </is>
      </c>
      <c r="H13" s="19" t="n"/>
      <c r="I13" s="18" t="inlineStr">
        <is>
          <t>Reference 그룹</t>
        </is>
      </c>
      <c r="J13" s="19" t="n"/>
      <c r="K13" s="18" t="inlineStr">
        <is>
          <t>PSR/Universe</t>
        </is>
      </c>
      <c r="L13" s="19" t="n"/>
    </row>
    <row r="14" ht="24" customHeight="1">
      <c r="A14" s="20" t="inlineStr">
        <is>
          <t>3.68x</t>
        </is>
      </c>
      <c r="B14" s="19" t="n"/>
      <c r="C14" s="20" t="inlineStr">
        <is>
          <t>3.50x</t>
        </is>
      </c>
      <c r="D14" s="19" t="n"/>
      <c r="E14" s="20" t="inlineStr">
        <is>
          <t>40.0점</t>
        </is>
      </c>
      <c r="F14" s="19" t="n"/>
      <c r="G14" s="20" t="inlineStr">
        <is>
          <t>208개</t>
        </is>
      </c>
      <c r="H14" s="19" t="n"/>
      <c r="I14" s="20" t="inlineStr">
        <is>
          <t>소재</t>
        </is>
      </c>
      <c r="J14" s="19" t="n"/>
      <c r="K14" s="20" t="inlineStr">
        <is>
          <t>반영</t>
        </is>
      </c>
      <c r="L14" s="19" t="n"/>
    </row>
    <row r="15" ht="24" customHeight="1">
      <c r="A15" s="21" t="inlineStr">
        <is>
          <t>피어 중앙값 부근: 상대가치 중립</t>
        </is>
      </c>
      <c r="B15" s="19" t="n"/>
      <c r="C15" s="21" t="inlineStr">
        <is>
          <t>5개 live peer 기준</t>
        </is>
      </c>
      <c r="D15" s="19" t="n"/>
      <c r="E15" s="21" t="inlineStr">
        <is>
          <t>낮은 P/S일수록 점수 우호</t>
        </is>
      </c>
      <c r="F15" s="19" t="n"/>
      <c r="G15" s="21" t="inlineStr">
        <is>
          <t>소재</t>
        </is>
      </c>
      <c r="H15" s="19" t="n"/>
      <c r="I15" s="21" t="inlineStr">
        <is>
          <t>그룹 26개</t>
        </is>
      </c>
      <c r="J15" s="19" t="n"/>
      <c r="K15" s="21" t="inlineStr">
        <is>
          <t>대시보드/Chair 보조판단</t>
        </is>
      </c>
      <c r="L15" s="19" t="n"/>
    </row>
    <row r="16" ht="24" customHeight="1"/>
    <row r="17" ht="24" customHeight="1"/>
    <row r="18" ht="24" customHeight="1"/>
    <row r="19" ht="24" customHeight="1">
      <c r="A19" s="22" t="inlineStr">
        <is>
          <t>핵심 해석</t>
        </is>
      </c>
    </row>
    <row r="20" ht="24" customHeight="1">
      <c r="A20" s="23" t="inlineStr">
        <is>
          <t>데이터 독립성</t>
        </is>
      </c>
      <c r="B20" s="24" t="inlineStr">
        <is>
          <t>finance_agent 산출물을 읽지 않고 valuation/intake 원천 데이터만 사용</t>
        </is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 ht="24" customHeight="1">
      <c r="A21" s="23" t="inlineStr">
        <is>
          <t>모델 구조</t>
        </is>
      </c>
      <c r="B21" s="24" t="inlineStr">
        <is>
          <t>업로드한 파이낸셜 모델링 파일의 구조를 DCF/WACC/Peer/Scenario/Dashboard 코드로 반영</t>
        </is>
      </c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 ht="24" customHeight="1">
      <c r="A22" s="23" t="inlineStr">
        <is>
          <t>활용 방식</t>
        </is>
      </c>
      <c r="B22" s="24" t="inlineStr">
        <is>
          <t>Chair 최종의견 가중합에는 미반영, 보조 가치평가 및 대시보드 다운로드 산출물로 활용</t>
        </is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 ht="24" customHeight="1">
      <c r="A23" s="23" t="inlineStr">
        <is>
          <t>주의</t>
        </is>
      </c>
      <c r="B23" s="24" t="inlineStr">
        <is>
          <t>DART·주가·발행주식 수가 부족한 항목은 검증체크 시트에서 경고로 표시</t>
        </is>
      </c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>
      <c r="A31" s="25" t="inlineStr">
        <is>
          <t>연도</t>
        </is>
      </c>
      <c r="B31" s="25" t="inlineStr">
        <is>
          <t>매출액</t>
        </is>
      </c>
      <c r="C31" s="25" t="inlineStr">
        <is>
          <t>영업이익</t>
        </is>
      </c>
      <c r="D31" s="25" t="inlineStr">
        <is>
          <t>FCF</t>
        </is>
      </c>
      <c r="E31" s="25" t="inlineStr">
        <is>
          <t>연도</t>
        </is>
      </c>
      <c r="F31" s="25" t="inlineStr">
        <is>
          <t>매출액 추정</t>
        </is>
      </c>
      <c r="G31" s="25" t="inlineStr">
        <is>
          <t>FCF 추정</t>
        </is>
      </c>
      <c r="H31" s="25" t="inlineStr">
        <is>
          <t>PV FCF</t>
        </is>
      </c>
      <c r="I31" s="25" t="inlineStr">
        <is>
          <t>기업</t>
        </is>
      </c>
      <c r="J31" s="25" t="inlineStr">
        <is>
          <t>P/S</t>
        </is>
      </c>
      <c r="K31" s="25" t="inlineStr">
        <is>
          <t>PER</t>
        </is>
      </c>
      <c r="L31" s="25" t="inlineStr">
        <is>
          <t>PBR</t>
        </is>
      </c>
    </row>
    <row r="32" ht="24" customHeight="1">
      <c r="A32" s="26" t="n">
        <v>2021</v>
      </c>
      <c r="B32" s="27" t="n">
        <v>112383155917</v>
      </c>
      <c r="C32" s="27" t="n">
        <v>21980938749</v>
      </c>
      <c r="D32" s="27" t="n">
        <v>-15435474002</v>
      </c>
      <c r="E32" s="26" t="n">
        <v>2026</v>
      </c>
      <c r="F32" s="27" t="n">
        <v>113354798793.8224</v>
      </c>
      <c r="G32" s="27" t="n">
        <v>-22670959758.76447</v>
      </c>
      <c r="H32" s="27" t="n">
        <v>-20881729933.49295</v>
      </c>
      <c r="I32" s="26" t="inlineStr">
        <is>
          <t>네패스</t>
        </is>
      </c>
      <c r="J32" s="28" t="n">
        <v>1.191788784205026</v>
      </c>
      <c r="K32" s="28" t="n">
        <v>30.82747123043744</v>
      </c>
      <c r="L32" s="28" t="n">
        <v>2.532119449827947</v>
      </c>
    </row>
    <row r="33" ht="24" customHeight="1">
      <c r="A33" s="26" t="n">
        <v>2022</v>
      </c>
      <c r="B33" s="27" t="n">
        <v>111005121065</v>
      </c>
      <c r="C33" s="27" t="n">
        <v>9261039886</v>
      </c>
      <c r="D33" s="27" t="n">
        <v>-66338360708</v>
      </c>
      <c r="E33" s="26" t="n">
        <v>2027</v>
      </c>
      <c r="F33" s="27" t="n">
        <v>114747655147.483</v>
      </c>
      <c r="G33" s="27" t="n">
        <v>-22949531029.49661</v>
      </c>
      <c r="H33" s="27" t="n">
        <v>-19470044872.25287</v>
      </c>
      <c r="I33" s="26" t="inlineStr">
        <is>
          <t>한미반도체</t>
        </is>
      </c>
      <c r="J33" s="28" t="n">
        <v>47.68216243144071</v>
      </c>
      <c r="K33" s="28" t="n">
        <v>128.4887841768605</v>
      </c>
      <c r="L33" s="28" t="n">
        <v>39.83264308866394</v>
      </c>
    </row>
    <row r="34" ht="24" customHeight="1">
      <c r="A34" s="26" t="n">
        <v>2023</v>
      </c>
      <c r="B34" s="27" t="n">
        <v>94076712274</v>
      </c>
      <c r="C34" s="27" t="n">
        <v>-6225474421</v>
      </c>
      <c r="D34" s="27" t="n">
        <v>-8055356342</v>
      </c>
      <c r="E34" s="26" t="n">
        <v>2028</v>
      </c>
      <c r="F34" s="27" t="n">
        <v>116261374216.5085</v>
      </c>
      <c r="G34" s="27" t="n">
        <v>-23252274843.3017</v>
      </c>
      <c r="H34" s="27" t="n">
        <v>-18170009464.47083</v>
      </c>
      <c r="I34" s="26" t="inlineStr">
        <is>
          <t>한솔케미칼</t>
        </is>
      </c>
      <c r="J34" s="28" t="n">
        <v>3.500698820700488</v>
      </c>
      <c r="K34" s="28" t="n">
        <v>20.88980942779469</v>
      </c>
      <c r="L34" s="28" t="n">
        <v>2.628553968241111</v>
      </c>
    </row>
    <row r="35" ht="24" customHeight="1">
      <c r="A35" s="26" t="n">
        <v>2024</v>
      </c>
      <c r="B35" s="27" t="n">
        <v>99694431512</v>
      </c>
      <c r="C35" s="27" t="n">
        <v>-30219465064</v>
      </c>
      <c r="D35" s="27" t="n">
        <v>-56862135349</v>
      </c>
      <c r="E35" s="26" t="n">
        <v>2029</v>
      </c>
      <c r="F35" s="27" t="n">
        <v>117900178337.5721</v>
      </c>
      <c r="G35" s="27" t="n">
        <v>-23580035667.51442</v>
      </c>
      <c r="H35" s="27" t="n">
        <v>-16971910469.80449</v>
      </c>
      <c r="I35" s="26" t="inlineStr">
        <is>
          <t>덕산테코피아</t>
        </is>
      </c>
      <c r="J35" s="28" t="n">
        <v>3.681361674930534</v>
      </c>
      <c r="K35" s="28" t="n">
        <v>-3.909060735247775</v>
      </c>
      <c r="L35" s="28" t="n">
        <v>3.875094624914289</v>
      </c>
    </row>
    <row r="36" ht="24" customHeight="1">
      <c r="A36" s="26" t="n">
        <v>2025</v>
      </c>
      <c r="B36" s="27" t="n">
        <v>112078954483</v>
      </c>
      <c r="C36" s="27" t="n">
        <v>-43026410473</v>
      </c>
      <c r="D36" s="27" t="n">
        <v>-21599848348</v>
      </c>
      <c r="E36" s="26" t="n">
        <v>2030</v>
      </c>
      <c r="F36" s="27" t="n">
        <v>119668681012.6357</v>
      </c>
      <c r="G36" s="27" t="n">
        <v>-23933736202.52714</v>
      </c>
      <c r="H36" s="27" t="n">
        <v>-15866945973.03502</v>
      </c>
      <c r="I36" s="26" t="inlineStr">
        <is>
          <t>엘티씨</t>
        </is>
      </c>
      <c r="J36" s="28" t="n">
        <v>1.356318097563253</v>
      </c>
      <c r="K36" s="28" t="n">
        <v>23.14395586435033</v>
      </c>
      <c r="L36" s="28" t="n">
        <v>1.881568326000686</v>
      </c>
    </row>
  </sheetData>
  <mergeCells count="79">
    <mergeCell ref="C6:D6"/>
    <mergeCell ref="A15:B15"/>
    <mergeCell ref="C15:D15"/>
    <mergeCell ref="B22:L22"/>
    <mergeCell ref="E8:F8"/>
    <mergeCell ref="A7:B7"/>
    <mergeCell ref="B21:L21"/>
    <mergeCell ref="B23:L23"/>
    <mergeCell ref="I13:J13"/>
    <mergeCell ref="A9:B9"/>
    <mergeCell ref="K13:L13"/>
    <mergeCell ref="E12:F12"/>
    <mergeCell ref="G12:H12"/>
    <mergeCell ref="I6:J6"/>
    <mergeCell ref="I15:J15"/>
    <mergeCell ref="A11:B11"/>
    <mergeCell ref="K15:L15"/>
    <mergeCell ref="C5:D5"/>
    <mergeCell ref="E5:F5"/>
    <mergeCell ref="C14:D14"/>
    <mergeCell ref="E14:F14"/>
    <mergeCell ref="C4:D4"/>
    <mergeCell ref="E4:F4"/>
    <mergeCell ref="G7:H7"/>
    <mergeCell ref="I7:J7"/>
    <mergeCell ref="I8:J8"/>
    <mergeCell ref="A8:B8"/>
    <mergeCell ref="C8:D8"/>
    <mergeCell ref="I10:J10"/>
    <mergeCell ref="A10:B10"/>
    <mergeCell ref="K10:L10"/>
    <mergeCell ref="K6:L6"/>
    <mergeCell ref="G9:H9"/>
    <mergeCell ref="I9:J9"/>
    <mergeCell ref="G11:H11"/>
    <mergeCell ref="K9:L9"/>
    <mergeCell ref="I11:J11"/>
    <mergeCell ref="K5:L5"/>
    <mergeCell ref="A2:L2"/>
    <mergeCell ref="K11:L11"/>
    <mergeCell ref="E13:F13"/>
    <mergeCell ref="G13:H13"/>
    <mergeCell ref="A12:B12"/>
    <mergeCell ref="C12:D12"/>
    <mergeCell ref="E6:F6"/>
    <mergeCell ref="E15:F15"/>
    <mergeCell ref="K8:L8"/>
    <mergeCell ref="G15:H15"/>
    <mergeCell ref="A5:B5"/>
    <mergeCell ref="A14:B14"/>
    <mergeCell ref="A4:B4"/>
    <mergeCell ref="K7:L7"/>
    <mergeCell ref="C7:D7"/>
    <mergeCell ref="E7:F7"/>
    <mergeCell ref="B20:L20"/>
    <mergeCell ref="G8:H8"/>
    <mergeCell ref="A6:B6"/>
    <mergeCell ref="C10:D10"/>
    <mergeCell ref="E10:F10"/>
    <mergeCell ref="G10:H10"/>
    <mergeCell ref="G6:H6"/>
    <mergeCell ref="C9:D9"/>
    <mergeCell ref="E9:F9"/>
    <mergeCell ref="I12:J12"/>
    <mergeCell ref="K12:L12"/>
    <mergeCell ref="A19:L19"/>
    <mergeCell ref="C11:D11"/>
    <mergeCell ref="E11:F11"/>
    <mergeCell ref="G5:H5"/>
    <mergeCell ref="I5:J5"/>
    <mergeCell ref="G14:H14"/>
    <mergeCell ref="I14:J14"/>
    <mergeCell ref="K14:L14"/>
    <mergeCell ref="G4:H4"/>
    <mergeCell ref="I4:J4"/>
    <mergeCell ref="A1:L1"/>
    <mergeCell ref="A13:B13"/>
    <mergeCell ref="C13:D13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덕산테코피아 Valuation Agent Workbook</t>
        </is>
      </c>
    </row>
    <row r="2" ht="28" customHeight="1">
      <c r="A2" s="17" t="inlineStr">
        <is>
          <t>독립 데이터 intake → 모델링 → 검증 → 대시보드 export</t>
        </is>
      </c>
    </row>
    <row r="3" ht="24" customHeight="1"/>
    <row r="4" ht="24" customHeight="1">
      <c r="A4" s="22" t="inlineStr">
        <is>
          <t>사용 안내</t>
        </is>
      </c>
    </row>
    <row r="5" ht="24" customHeight="1">
      <c r="A5" s="25" t="inlineStr">
        <is>
          <t>항목</t>
        </is>
      </c>
      <c r="B5" s="25" t="inlineStr">
        <is>
          <t>내용</t>
        </is>
      </c>
    </row>
    <row r="6" ht="24" customHeight="1">
      <c r="A6" s="24" t="inlineStr">
        <is>
          <t>목적</t>
        </is>
      </c>
      <c r="B6" s="24" t="inlineStr">
        <is>
          <t>DART/주가/발행주식 수/피어 데이터를 intake하여 WACC·DCF·Peer·ML overlay·대시보드 payload를 자동 생성</t>
        </is>
      </c>
    </row>
    <row r="7" ht="24" customHeight="1">
      <c r="A7" s="29" t="inlineStr">
        <is>
          <t>Finance Agent와 관계</t>
        </is>
      </c>
      <c r="B7" s="29" t="inlineStr">
        <is>
          <t>finance_agent 산출물을 읽지 않음. valuation/intake 폴더의 자체 데이터만 사용</t>
        </is>
      </c>
    </row>
    <row r="8" ht="24" customHeight="1">
      <c r="A8" s="24" t="inlineStr">
        <is>
          <t>모델링 구조</t>
        </is>
      </c>
      <c r="B8" s="24" t="inlineStr">
        <is>
          <t>업로드한 파이낸셜 모델링 파일의 sheet archetype을 코드화하여 workbook 구조로 반영</t>
        </is>
      </c>
    </row>
    <row r="9" ht="24" customHeight="1">
      <c r="A9" s="29" t="inlineStr">
        <is>
          <t>PSR/208개 Universe</t>
        </is>
      </c>
      <c r="B9" s="29" t="inlineStr">
        <is>
          <t>Live peer P/S와 208개 반도체 reference universe를 별도 시트와 대시보드 payload로 제공</t>
        </is>
      </c>
    </row>
    <row r="10" ht="24" customHeight="1">
      <c r="A10" s="24" t="inlineStr">
        <is>
          <t>단위</t>
        </is>
      </c>
      <c r="B10" s="24" t="inlineStr">
        <is>
          <t>원천 데이터는 KRW actuals, 요약 표시는 억원/원/배수/비율 형식</t>
        </is>
      </c>
    </row>
    <row r="11" ht="24" customHeight="1">
      <c r="A11" s="29" t="inlineStr">
        <is>
          <t>색상 규칙</t>
        </is>
      </c>
      <c r="B11" s="29" t="inlineStr">
        <is>
          <t>노란색/파란 글씨는 조정 가능한 입력값, 검은 글씨는 공식, 진한 남색은 섹션/헤더</t>
        </is>
      </c>
    </row>
  </sheetData>
  <autoFilter ref="A5:B11"/>
  <mergeCells count="3">
    <mergeCell ref="A2:H2"/>
    <mergeCell ref="A4:F4"/>
    <mergeCell ref="A1:H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40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데이터 출처 맵</t>
        </is>
      </c>
    </row>
    <row r="2" ht="24" customHeight="1">
      <c r="A2" s="25" t="inlineStr">
        <is>
          <t>created_at</t>
        </is>
      </c>
      <c r="B2" s="25" t="inlineStr">
        <is>
          <t>기업명</t>
        </is>
      </c>
      <c r="C2" s="25" t="inlineStr">
        <is>
          <t>기업코드</t>
        </is>
      </c>
      <c r="D2" s="25" t="inlineStr">
        <is>
          <t>종목코드</t>
        </is>
      </c>
      <c r="E2" s="25" t="inlineStr">
        <is>
          <t>principle</t>
        </is>
      </c>
      <c r="F2" s="25" t="inlineStr">
        <is>
          <t>template_design_seed</t>
        </is>
      </c>
      <c r="G2" s="25" t="inlineStr">
        <is>
          <t>canonical_workbook_tabs</t>
        </is>
      </c>
      <c r="H2" s="25" t="inlineStr">
        <is>
          <t>files</t>
        </is>
      </c>
      <c r="I2" s="25" t="inlineStr">
        <is>
          <t>diagnostics</t>
        </is>
      </c>
      <c r="J2" s="25" t="inlineStr">
        <is>
          <t>loader_diagnostics</t>
        </is>
      </c>
    </row>
    <row r="3" ht="24" customHeight="1">
      <c r="A3" s="24" t="inlineStr">
        <is>
          <t>2026-05-20T10:56:14</t>
        </is>
      </c>
      <c r="B3" s="24" t="inlineStr">
        <is>
          <t>덕산테코피아</t>
        </is>
      </c>
      <c r="C3" s="24" t="inlineStr">
        <is>
          <t>duksan</t>
        </is>
      </c>
      <c r="D3" s="24" t="inlineStr">
        <is>
          <t>317330</t>
        </is>
      </c>
      <c r="E3" s="24" t="inlineStr">
        <is>
          <t>independent_valuation_agent_intake_only; does not read finance_agent outputs</t>
        </is>
      </c>
      <c r="F3" s="24" t="inlineStr">
        <is>
          <t>uploaded_financial_modeling_packs_distilled_to_blueprints</t>
        </is>
      </c>
      <c r="G3" s="24" t="inlineStr">
        <is>
          <t>["00_대시보드", "01_사용안내", "02_출처맵", "03_원천_DART", "04_주가_데이터", "05_정규재무제표", "06_핵심비율", "07_WACC", "08_FCF_추정", "09_DCF_가치평가", "10_피어비교", "11_ML_보조판단", "12_민감도", "13_검증체크", "14_대시보드_JSON", "15_감사추적", "16_모델링_설계", "17_투자자요약", "18_밸류에이션_유니버스", "19_가치평가_브릿지", "20_시나리오_요약", "21_품질_커버리지"]</t>
        </is>
      </c>
      <c r="H3" s="24" t="inlineStr">
        <is>
          <t>{"template_catalog_csv": "data/반도체/덕산테코피아/valuation/intake/valuation_modeling_template_catalog.csv", "template_catalog_json": "data/반도체/덕산테코피아/valuation/intake/valuation_modeling_template_catalog.json", "raw_dart_accounts_csv": "data/반도체/덕산테코피아/valuation/intake/valuation_raw_dart_accounts.csv", "normalized_financials_csv": "data/반도체/덕산테코피아/valuation/intake/valuation_normalized_financials.csv", "price_history_csv": "data/반도체/덕산테코피아/valuation/intake/valuation_price_history.csv", "share_count_csv": "data/반도체/덕산테코피아/valuation/intake/valuation_share_count.csv", "price_summary_json": "data/반도체/덕산테코피아/valuation/intake/valuation_price_summary.json", "market_snapshot_json": "data/반도체/덕산테코피아/valuation/intake/valuation_market_snapshot.json", "market_snapshot_csv": "data/반도체/덕산테코피아/valuation/intake/valuation_market_snapshot.csv", "peer_input_csv": "data/반도체/덕산테코피아/valuation/intake/valuation_peer_input.csv", "assumptions_json": "data/반도체/덕산테코피아/valuation/intake/valuation_assumptions.json", "reference_universe_208_csv": "data/반도체/덕산테코피아/valuation/intake/valuation_reference_universe_208.csv", "reference_universe_focus_csv": "data/반도체/덕산테코피아/valuation/intake/valuation_reference_universe_focus.csv", "reference_universe_summary_json": "data/반도체/덕산테코피아/valuation/intake/valuation_reference_universe_summary.json"}</t>
        </is>
      </c>
      <c r="I3" s="24" t="inlineStr">
        <is>
          <t>["DART API key detected for valuation intake.", "DART corp_code resolved from cache for 덕산테코피아/317330.", "DART financial rows collected: 2021=135, 2022=137, 2023=146, 2024=157, 2025=166", "yfinance price rows for 317330.KQ: 1221", "price provider selected: yfinance, rows=1221", "DART corp_code resolved from cache for 덕산테코피아/317330.", "Naver market snapshot collected: pbr_naver, eps_naver, per_naver, bps_naver", "peer:nepes: price provider selected: yfinance, rows=728", "peer:nepes: DART corp_code resolved from cache for 네패스/033640.", "peer:hanmi: price provider selected: yfinance, rows=728", "peer:hanmi: DART corp_code resolved from cache for 한미반도체/042700.", "peer:hansol: price provider selected: yfinance, rows=728", "peer:hansol: DART corp_code resolved from cache for 한솔케미칼/014680.", "peer:duksan: price provider selected: yfinance, rows=728", "peer:duksan: DART corp_code resolved from cache for 덕산테코피아/317330.", "peer:ltc: price provider selected: yfinance, rows=727", "peer:ltc: DART corp_code resolved from cache for 엘티씨/170920.", "Market snapshot enriched with live/derived metrics count=15."]</t>
        </is>
      </c>
      <c r="J3" s="24" t="inlineStr">
        <is>
          <t>{"price_history_loaded_rows": 1221, "price_history_loaded_from": "C:\\Agent_6.8\\data\\반도체\\덕산테코피아\\valuation\\intake\\valuation_price_history.csv"}</t>
        </is>
      </c>
    </row>
    <row r="4" ht="24" customHeight="1"/>
    <row r="5" ht="24" customHeight="1"/>
    <row r="6" ht="24" customHeight="1">
      <c r="A6" s="22" t="inlineStr">
        <is>
          <t>발행주식 수 intake</t>
        </is>
      </c>
    </row>
    <row r="7" ht="24" customHeight="1">
      <c r="A7" s="25" t="inlineStr">
        <is>
          <t>출처</t>
        </is>
      </c>
      <c r="B7" s="25" t="inlineStr">
        <is>
          <t>DART 고유번호</t>
        </is>
      </c>
      <c r="C7" s="25" t="inlineStr">
        <is>
          <t>기업명</t>
        </is>
      </c>
      <c r="D7" s="25" t="inlineStr">
        <is>
          <t>기업코드</t>
        </is>
      </c>
      <c r="E7" s="25" t="inlineStr">
        <is>
          <t>종목코드</t>
        </is>
      </c>
      <c r="F7" s="25" t="inlineStr">
        <is>
          <t>연도</t>
        </is>
      </c>
      <c r="G7" s="25" t="inlineStr">
        <is>
          <t>share_class</t>
        </is>
      </c>
      <c r="H7" s="25" t="inlineStr">
        <is>
          <t>발행주식 수</t>
        </is>
      </c>
      <c r="I7" s="25" t="inlineStr">
        <is>
          <t>raw</t>
        </is>
      </c>
    </row>
    <row r="8" ht="24" customHeight="1">
      <c r="A8" s="24" t="inlineStr">
        <is>
          <t>OpenDART_stockTotqySttus</t>
        </is>
      </c>
      <c r="B8" s="24" t="inlineStr">
        <is>
          <t>01021666</t>
        </is>
      </c>
      <c r="C8" s="24" t="inlineStr">
        <is>
          <t>덕산테코피아</t>
        </is>
      </c>
      <c r="D8" s="24" t="inlineStr">
        <is>
          <t>duksan</t>
        </is>
      </c>
      <c r="E8" s="24" t="inlineStr">
        <is>
          <t>317330</t>
        </is>
      </c>
      <c r="F8" s="24" t="inlineStr">
        <is>
          <t>2021</t>
        </is>
      </c>
      <c r="G8" s="24" t="inlineStr">
        <is>
          <t>의결권 있는 주식</t>
        </is>
      </c>
      <c r="H8" s="24" t="inlineStr">
        <is>
          <t>18377428.0</t>
        </is>
      </c>
      <c r="I8" s="24" t="inlineStr">
        <is>
          <t>{"rcept_no": "20220315000303", "corp_cls": "K", "corp_code": "01021666", "corp_name": "덕산테코피아", "se": "의결권 있는 주식", "isu_stock_totqy": "50,000,000", "now_to_isu_stock_totqy": "18,377,428", "now_to_dcrs_stock_totqy": "-", "redc": "-", "profit_incnr": "-", "rdmstk_repy": "-", "etc": "-", "istc_totqy": "18,377,428", "tesstk_co": "201,948", "distb_stock_co": "18,175,480", "stlm_dt": "2021-12-31"}</t>
        </is>
      </c>
    </row>
    <row r="9" ht="24" customHeight="1">
      <c r="A9" s="29" t="inlineStr">
        <is>
          <t>OpenDART_stockTotqySttus</t>
        </is>
      </c>
      <c r="B9" s="29" t="inlineStr">
        <is>
          <t>01021666</t>
        </is>
      </c>
      <c r="C9" s="29" t="inlineStr">
        <is>
          <t>덕산테코피아</t>
        </is>
      </c>
      <c r="D9" s="29" t="inlineStr">
        <is>
          <t>duksan</t>
        </is>
      </c>
      <c r="E9" s="29" t="inlineStr">
        <is>
          <t>317330</t>
        </is>
      </c>
      <c r="F9" s="29" t="inlineStr">
        <is>
          <t>2021</t>
        </is>
      </c>
      <c r="G9" s="29" t="inlineStr">
        <is>
          <t>의결권 없는 주식</t>
        </is>
      </c>
      <c r="H9" s="29" t="inlineStr">
        <is>
          <t>해당 없음</t>
        </is>
      </c>
      <c r="I9" s="29" t="inlineStr">
        <is>
          <t>{"rcept_no": "20220315000303", "corp_cls": "K", "corp_code": "01021666", "corp_name": "덕산테코피아", "se": "의결권 없는 주식", "isu_stock_totqy": "-", "now_to_isu_stock_totqy": "-", "now_to_dcrs_stock_totqy": "-", "redc": "-", "profit_incnr": "-", "rdmstk_repy": "-", "etc": "-", "istc_totqy": "-", "tesstk_co": "-", "distb_stock_co": "-", "stlm_dt": "2021-12-31"}</t>
        </is>
      </c>
    </row>
    <row r="10" ht="24" customHeight="1">
      <c r="A10" s="24" t="inlineStr">
        <is>
          <t>OpenDART_stockTotqySttus</t>
        </is>
      </c>
      <c r="B10" s="24" t="inlineStr">
        <is>
          <t>01021666</t>
        </is>
      </c>
      <c r="C10" s="24" t="inlineStr">
        <is>
          <t>덕산테코피아</t>
        </is>
      </c>
      <c r="D10" s="24" t="inlineStr">
        <is>
          <t>duksan</t>
        </is>
      </c>
      <c r="E10" s="24" t="inlineStr">
        <is>
          <t>317330</t>
        </is>
      </c>
      <c r="F10" s="24" t="inlineStr">
        <is>
          <t>2021</t>
        </is>
      </c>
      <c r="G10" s="24" t="inlineStr">
        <is>
          <t>합계</t>
        </is>
      </c>
      <c r="H10" s="24" t="inlineStr">
        <is>
          <t>18377428.0</t>
        </is>
      </c>
      <c r="I10" s="24" t="inlineStr">
        <is>
          <t>{"rcept_no": "20220315000303", "corp_cls": "K", "corp_code": "01021666", "corp_name": "덕산테코피아", "se": "합계", "isu_stock_totqy": "50,000,000", "now_to_isu_stock_totqy": "18,377,428", "now_to_dcrs_stock_totqy": "-", "redc": "-", "profit_incnr": "-", "rdmstk_repy": "-", "etc": "-", "istc_totqy": "18,377,428", "tesstk_co": "201,948", "distb_stock_co": "18,175,480", "stlm_dt": "2021-12-31"}</t>
        </is>
      </c>
    </row>
    <row r="11" ht="24" customHeight="1">
      <c r="A11" s="29" t="inlineStr">
        <is>
          <t>OpenDART_stockTotqySttus</t>
        </is>
      </c>
      <c r="B11" s="29" t="inlineStr">
        <is>
          <t>01021666</t>
        </is>
      </c>
      <c r="C11" s="29" t="inlineStr">
        <is>
          <t>덕산테코피아</t>
        </is>
      </c>
      <c r="D11" s="29" t="inlineStr">
        <is>
          <t>duksan</t>
        </is>
      </c>
      <c r="E11" s="29" t="inlineStr">
        <is>
          <t>317330</t>
        </is>
      </c>
      <c r="F11" s="29" t="inlineStr">
        <is>
          <t>2021</t>
        </is>
      </c>
      <c r="G11" s="29" t="inlineStr">
        <is>
          <t>비고</t>
        </is>
      </c>
      <c r="H11" s="29" t="inlineStr">
        <is>
          <t>해당 없음</t>
        </is>
      </c>
      <c r="I11" s="29" t="inlineStr">
        <is>
          <t>{"rcept_no": "20220315000303", "corp_cls": "K", "corp_code": "01021666", "corp_name": "덕산테코피아", "se": "비고", "isu_stock_totqy": "-", "now_to_isu_stock_totqy": "-", "now_to_dcrs_stock_totqy": "-", "redc": "-", "profit_incnr": "-", "rdmstk_repy": "-", "etc": "-", "istc_totqy": "-", "tesstk_co": "-", "distb_stock_co": "-", "stlm_dt": "2021-12-31"}</t>
        </is>
      </c>
    </row>
    <row r="12" ht="24" customHeight="1">
      <c r="A12" s="24" t="inlineStr">
        <is>
          <t>OpenDART_stockTotqySttus</t>
        </is>
      </c>
      <c r="B12" s="24" t="inlineStr">
        <is>
          <t>01021666</t>
        </is>
      </c>
      <c r="C12" s="24" t="inlineStr">
        <is>
          <t>덕산테코피아</t>
        </is>
      </c>
      <c r="D12" s="24" t="inlineStr">
        <is>
          <t>duksan</t>
        </is>
      </c>
      <c r="E12" s="24" t="inlineStr">
        <is>
          <t>317330</t>
        </is>
      </c>
      <c r="F12" s="24" t="inlineStr">
        <is>
          <t>2022</t>
        </is>
      </c>
      <c r="G12" s="24" t="inlineStr">
        <is>
          <t>의결권 있는 주식</t>
        </is>
      </c>
      <c r="H12" s="24" t="inlineStr">
        <is>
          <t>18377428.0</t>
        </is>
      </c>
      <c r="I12" s="24" t="inlineStr">
        <is>
          <t>{"rcept_no": "20230724000208", "corp_cls": "K", "corp_code": "01021666", "corp_name": "덕산테코피아", "se": "의결권 있는 주식", "isu_stock_totqy": "50,000,000", "now_to_isu_stock_totqy": "18,377,428", "now_to_dcrs_stock_totqy": "-", "redc": "-", "profit_incnr": "-", "rdmstk_repy": "-", "etc": "-", "istc_totqy": "18,377,428", "tesstk_co": "236,583", "distb_stock_co": "18,140,845", "stlm_dt": "2022-12-31"}</t>
        </is>
      </c>
    </row>
    <row r="13" ht="24" customHeight="1">
      <c r="A13" s="29" t="inlineStr">
        <is>
          <t>OpenDART_stockTotqySttus</t>
        </is>
      </c>
      <c r="B13" s="29" t="inlineStr">
        <is>
          <t>01021666</t>
        </is>
      </c>
      <c r="C13" s="29" t="inlineStr">
        <is>
          <t>덕산테코피아</t>
        </is>
      </c>
      <c r="D13" s="29" t="inlineStr">
        <is>
          <t>duksan</t>
        </is>
      </c>
      <c r="E13" s="29" t="inlineStr">
        <is>
          <t>317330</t>
        </is>
      </c>
      <c r="F13" s="29" t="inlineStr">
        <is>
          <t>2022</t>
        </is>
      </c>
      <c r="G13" s="29" t="inlineStr">
        <is>
          <t>의결권 없는 주식</t>
        </is>
      </c>
      <c r="H13" s="29" t="inlineStr">
        <is>
          <t>해당 없음</t>
        </is>
      </c>
      <c r="I13" s="29" t="inlineStr">
        <is>
          <t>{"rcept_no": "20230724000208", "corp_cls": "K", "corp_code": "01021666", "corp_name": "덕산테코피아", "se": "의결권 없는 주식", "isu_stock_totqy": "-", "now_to_isu_stock_totqy": "-", "now_to_dcrs_stock_totqy": "-", "redc": "-", "profit_incnr": "-", "rdmstk_repy": "-", "etc": "-", "istc_totqy": "-", "tesstk_co": "-", "distb_stock_co": "-", "stlm_dt": "2022-12-31"}</t>
        </is>
      </c>
    </row>
    <row r="14" ht="24" customHeight="1">
      <c r="A14" s="24" t="inlineStr">
        <is>
          <t>OpenDART_stockTotqySttus</t>
        </is>
      </c>
      <c r="B14" s="24" t="inlineStr">
        <is>
          <t>01021666</t>
        </is>
      </c>
      <c r="C14" s="24" t="inlineStr">
        <is>
          <t>덕산테코피아</t>
        </is>
      </c>
      <c r="D14" s="24" t="inlineStr">
        <is>
          <t>duksan</t>
        </is>
      </c>
      <c r="E14" s="24" t="inlineStr">
        <is>
          <t>317330</t>
        </is>
      </c>
      <c r="F14" s="24" t="inlineStr">
        <is>
          <t>2022</t>
        </is>
      </c>
      <c r="G14" s="24" t="inlineStr">
        <is>
          <t>합계</t>
        </is>
      </c>
      <c r="H14" s="24" t="inlineStr">
        <is>
          <t>18377428.0</t>
        </is>
      </c>
      <c r="I14" s="24" t="inlineStr">
        <is>
          <t>{"rcept_no": "20230724000208", "corp_cls": "K", "corp_code": "01021666", "corp_name": "덕산테코피아", "se": "합계", "isu_stock_totqy": "50,000,000", "now_to_isu_stock_totqy": "18,377,428", "now_to_dcrs_stock_totqy": "-", "redc": "-", "profit_incnr": "-", "rdmstk_repy": "-", "etc": "-", "istc_totqy": "18,377,428", "tesstk_co": "236,583", "distb_stock_co": "18,140,845", "stlm_dt": "2022-12-31"}</t>
        </is>
      </c>
    </row>
    <row r="15" ht="24" customHeight="1">
      <c r="A15" s="29" t="inlineStr">
        <is>
          <t>OpenDART_stockTotqySttus</t>
        </is>
      </c>
      <c r="B15" s="29" t="inlineStr">
        <is>
          <t>01021666</t>
        </is>
      </c>
      <c r="C15" s="29" t="inlineStr">
        <is>
          <t>덕산테코피아</t>
        </is>
      </c>
      <c r="D15" s="29" t="inlineStr">
        <is>
          <t>duksan</t>
        </is>
      </c>
      <c r="E15" s="29" t="inlineStr">
        <is>
          <t>317330</t>
        </is>
      </c>
      <c r="F15" s="29" t="inlineStr">
        <is>
          <t>2022</t>
        </is>
      </c>
      <c r="G15" s="29" t="inlineStr">
        <is>
          <t>비고</t>
        </is>
      </c>
      <c r="H15" s="29" t="inlineStr">
        <is>
          <t>해당 없음</t>
        </is>
      </c>
      <c r="I15" s="29" t="inlineStr">
        <is>
          <t>{"rcept_no": "20230724000208", "corp_cls": "K", "corp_code": "01021666", "corp_name": "덕산테코피아", "se": "비고", "isu_stock_totqy": "-", "now_to_isu_stock_totqy": "-", "now_to_dcrs_stock_totqy": "-", "redc": "-", "profit_incnr": "-", "rdmstk_repy": "-", "etc": "-", "istc_totqy": "-", "tesstk_co": "-", "distb_stock_co": "-", "stlm_dt": "2022-12-31"}</t>
        </is>
      </c>
    </row>
    <row r="16" ht="24" customHeight="1">
      <c r="A16" s="24" t="inlineStr">
        <is>
          <t>OpenDART_stockTotqySttus</t>
        </is>
      </c>
      <c r="B16" s="24" t="inlineStr">
        <is>
          <t>01021666</t>
        </is>
      </c>
      <c r="C16" s="24" t="inlineStr">
        <is>
          <t>덕산테코피아</t>
        </is>
      </c>
      <c r="D16" s="24" t="inlineStr">
        <is>
          <t>duksan</t>
        </is>
      </c>
      <c r="E16" s="24" t="inlineStr">
        <is>
          <t>317330</t>
        </is>
      </c>
      <c r="F16" s="24" t="inlineStr">
        <is>
          <t>2023</t>
        </is>
      </c>
      <c r="G16" s="24" t="inlineStr">
        <is>
          <t>의결권 있는 주식</t>
        </is>
      </c>
      <c r="H16" s="24" t="inlineStr">
        <is>
          <t>18377428.0</t>
        </is>
      </c>
      <c r="I16" s="24" t="inlineStr">
        <is>
          <t>{"rcept_no": "20240321001043", "corp_cls": "K", "corp_code": "01021666", "corp_name": "덕산테코피아", "se": "의결권 있는 주식", "isu_stock_totqy": "50,000,000", "now_to_isu_stock_totqy": "18,377,428", "now_to_dcrs_stock_totqy": "-", "redc": "-", "profit_incnr": "-", "rdmstk_repy": "-", "etc": "-", "istc_totqy": "18,377,428", "tesstk_co": "236,583", "distb_stock_co": "18,140,845", "stlm_dt": "2023-12-31"}</t>
        </is>
      </c>
    </row>
    <row r="17" ht="24" customHeight="1">
      <c r="A17" s="29" t="inlineStr">
        <is>
          <t>OpenDART_stockTotqySttus</t>
        </is>
      </c>
      <c r="B17" s="29" t="inlineStr">
        <is>
          <t>01021666</t>
        </is>
      </c>
      <c r="C17" s="29" t="inlineStr">
        <is>
          <t>덕산테코피아</t>
        </is>
      </c>
      <c r="D17" s="29" t="inlineStr">
        <is>
          <t>duksan</t>
        </is>
      </c>
      <c r="E17" s="29" t="inlineStr">
        <is>
          <t>317330</t>
        </is>
      </c>
      <c r="F17" s="29" t="inlineStr">
        <is>
          <t>2023</t>
        </is>
      </c>
      <c r="G17" s="29" t="inlineStr">
        <is>
          <t>의결권 없는 주식</t>
        </is>
      </c>
      <c r="H17" s="29" t="inlineStr">
        <is>
          <t>해당 없음</t>
        </is>
      </c>
      <c r="I17" s="29" t="inlineStr">
        <is>
          <t>{"rcept_no": "20240321001043", "corp_cls": "K", "corp_code": "01021666", "corp_name": "덕산테코피아", "se": "의결권 없는 주식", "isu_stock_totqy": "-", "now_to_isu_stock_totqy": "-", "now_to_dcrs_stock_totqy": "-", "redc": "-", "profit_incnr": "-", "rdmstk_repy": "-", "etc": "-", "istc_totqy": "-", "tesstk_co": "-", "distb_stock_co": "-", "stlm_dt": "2023-12-31"}</t>
        </is>
      </c>
    </row>
    <row r="18" ht="24" customHeight="1">
      <c r="A18" s="24" t="inlineStr">
        <is>
          <t>OpenDART_stockTotqySttus</t>
        </is>
      </c>
      <c r="B18" s="24" t="inlineStr">
        <is>
          <t>01021666</t>
        </is>
      </c>
      <c r="C18" s="24" t="inlineStr">
        <is>
          <t>덕산테코피아</t>
        </is>
      </c>
      <c r="D18" s="24" t="inlineStr">
        <is>
          <t>duksan</t>
        </is>
      </c>
      <c r="E18" s="24" t="inlineStr">
        <is>
          <t>317330</t>
        </is>
      </c>
      <c r="F18" s="24" t="inlineStr">
        <is>
          <t>2023</t>
        </is>
      </c>
      <c r="G18" s="24" t="inlineStr">
        <is>
          <t>합계</t>
        </is>
      </c>
      <c r="H18" s="24" t="inlineStr">
        <is>
          <t>18377428.0</t>
        </is>
      </c>
      <c r="I18" s="24" t="inlineStr">
        <is>
          <t>{"rcept_no": "20240321001043", "corp_cls": "K", "corp_code": "01021666", "corp_name": "덕산테코피아", "se": "합계", "isu_stock_totqy": "50,000,000", "now_to_isu_stock_totqy": "18,377,428", "now_to_dcrs_stock_totqy": "-", "redc": "-", "profit_incnr": "-", "rdmstk_repy": "-", "etc": "-", "istc_totqy": "18,377,428", "tesstk_co": "236,583", "distb_stock_co": "18,140,845", "stlm_dt": "2023-12-31"}</t>
        </is>
      </c>
    </row>
    <row r="19" ht="24" customHeight="1">
      <c r="A19" s="29" t="inlineStr">
        <is>
          <t>OpenDART_stockTotqySttus</t>
        </is>
      </c>
      <c r="B19" s="29" t="inlineStr">
        <is>
          <t>01021666</t>
        </is>
      </c>
      <c r="C19" s="29" t="inlineStr">
        <is>
          <t>덕산테코피아</t>
        </is>
      </c>
      <c r="D19" s="29" t="inlineStr">
        <is>
          <t>duksan</t>
        </is>
      </c>
      <c r="E19" s="29" t="inlineStr">
        <is>
          <t>317330</t>
        </is>
      </c>
      <c r="F19" s="29" t="inlineStr">
        <is>
          <t>2023</t>
        </is>
      </c>
      <c r="G19" s="29" t="inlineStr">
        <is>
          <t>비고</t>
        </is>
      </c>
      <c r="H19" s="29" t="inlineStr">
        <is>
          <t>해당 없음</t>
        </is>
      </c>
      <c r="I19" s="29" t="inlineStr">
        <is>
          <t>{"rcept_no": "20240321001043", "corp_cls": "K", "corp_code": "01021666", "corp_name": "덕산테코피아", "se": "비고", "isu_stock_totqy": "-", "now_to_isu_stock_totqy": "-", "now_to_dcrs_stock_totqy": "-", "redc": "-", "profit_incnr": "-", "rdmstk_repy": "-", "etc": "-", "istc_totqy": "-", "tesstk_co": "-", "distb_stock_co": "-", "stlm_dt": "2023-12-31"}</t>
        </is>
      </c>
    </row>
    <row r="20" ht="24" customHeight="1">
      <c r="A20" s="24" t="inlineStr">
        <is>
          <t>OpenDART_stockTotqySttus</t>
        </is>
      </c>
      <c r="B20" s="24" t="inlineStr">
        <is>
          <t>01021666</t>
        </is>
      </c>
      <c r="C20" s="24" t="inlineStr">
        <is>
          <t>덕산테코피아</t>
        </is>
      </c>
      <c r="D20" s="24" t="inlineStr">
        <is>
          <t>duksan</t>
        </is>
      </c>
      <c r="E20" s="24" t="inlineStr">
        <is>
          <t>317330</t>
        </is>
      </c>
      <c r="F20" s="24" t="inlineStr">
        <is>
          <t>2024</t>
        </is>
      </c>
      <c r="G20" s="24" t="inlineStr">
        <is>
          <t>의결권 있는 주식</t>
        </is>
      </c>
      <c r="H20" s="24" t="inlineStr">
        <is>
          <t>20476584.0</t>
        </is>
      </c>
      <c r="I20" s="24" t="inlineStr">
        <is>
          <t>{"rcept_no": "20250321001570", "corp_cls": "K", "corp_code": "01021666", "corp_name": "덕산테코피아", "se": "의결권 있는 주식", "isu_stock_totqy": "50,000,000", "now_to_isu_stock_totqy": "20,476,584", "now_to_dcrs_stock_totqy": "-", "redc": "-", "profit_incnr": "-", "rdmstk_repy": "-", "etc": "-", "istc_totqy": "20,476,584", "tesstk_co": "-", "distb_stock_co": "20,476,584", "stlm_dt": "2024-12-31"}</t>
        </is>
      </c>
    </row>
    <row r="21" ht="24" customHeight="1">
      <c r="A21" s="29" t="inlineStr">
        <is>
          <t>OpenDART_stockTotqySttus</t>
        </is>
      </c>
      <c r="B21" s="29" t="inlineStr">
        <is>
          <t>01021666</t>
        </is>
      </c>
      <c r="C21" s="29" t="inlineStr">
        <is>
          <t>덕산테코피아</t>
        </is>
      </c>
      <c r="D21" s="29" t="inlineStr">
        <is>
          <t>duksan</t>
        </is>
      </c>
      <c r="E21" s="29" t="inlineStr">
        <is>
          <t>317330</t>
        </is>
      </c>
      <c r="F21" s="29" t="inlineStr">
        <is>
          <t>2024</t>
        </is>
      </c>
      <c r="G21" s="29" t="inlineStr">
        <is>
          <t>의결권 없는 주식</t>
        </is>
      </c>
      <c r="H21" s="29" t="inlineStr">
        <is>
          <t>해당 없음</t>
        </is>
      </c>
      <c r="I21" s="29" t="inlineStr">
        <is>
          <t>{"rcept_no": "20250321001570", "corp_cls": "K", "corp_code": "01021666", "corp_name": "덕산테코피아", "se": "의결권 없는 주식", "isu_stock_totqy": "-", "now_to_isu_stock_totqy": "-", "now_to_dcrs_stock_totqy": "-", "redc": "-", "profit_incnr": "-", "rdmstk_repy": "-", "etc": "-", "istc_totqy": "-", "tesstk_co": "-", "distb_stock_co": "-", "stlm_dt": "2024-12-31"}</t>
        </is>
      </c>
    </row>
    <row r="22" ht="24" customHeight="1">
      <c r="A22" s="24" t="inlineStr">
        <is>
          <t>OpenDART_stockTotqySttus</t>
        </is>
      </c>
      <c r="B22" s="24" t="inlineStr">
        <is>
          <t>01021666</t>
        </is>
      </c>
      <c r="C22" s="24" t="inlineStr">
        <is>
          <t>덕산테코피아</t>
        </is>
      </c>
      <c r="D22" s="24" t="inlineStr">
        <is>
          <t>duksan</t>
        </is>
      </c>
      <c r="E22" s="24" t="inlineStr">
        <is>
          <t>317330</t>
        </is>
      </c>
      <c r="F22" s="24" t="inlineStr">
        <is>
          <t>2024</t>
        </is>
      </c>
      <c r="G22" s="24" t="inlineStr">
        <is>
          <t>합계</t>
        </is>
      </c>
      <c r="H22" s="24" t="inlineStr">
        <is>
          <t>20476584.0</t>
        </is>
      </c>
      <c r="I22" s="24" t="inlineStr">
        <is>
          <t>{"rcept_no": "20250321001570", "corp_cls": "K", "corp_code": "01021666", "corp_name": "덕산테코피아", "se": "합계", "isu_stock_totqy": "50,000,000", "now_to_isu_stock_totqy": "20,476,584", "now_to_dcrs_stock_totqy": "-", "redc": "-", "profit_incnr": "-", "rdmstk_repy": "-", "etc": "-", "istc_totqy": "20,476,584", "tesstk_co": "-", "distb_stock_co": "20,476,584", "stlm_dt": "2024-12-31"}</t>
        </is>
      </c>
    </row>
    <row r="23" ht="24" customHeight="1">
      <c r="A23" s="29" t="inlineStr">
        <is>
          <t>OpenDART_stockTotqySttus</t>
        </is>
      </c>
      <c r="B23" s="29" t="inlineStr">
        <is>
          <t>01021666</t>
        </is>
      </c>
      <c r="C23" s="29" t="inlineStr">
        <is>
          <t>덕산테코피아</t>
        </is>
      </c>
      <c r="D23" s="29" t="inlineStr">
        <is>
          <t>duksan</t>
        </is>
      </c>
      <c r="E23" s="29" t="inlineStr">
        <is>
          <t>317330</t>
        </is>
      </c>
      <c r="F23" s="29" t="inlineStr">
        <is>
          <t>2024</t>
        </is>
      </c>
      <c r="G23" s="29" t="inlineStr">
        <is>
          <t>비고</t>
        </is>
      </c>
      <c r="H23" s="29" t="inlineStr">
        <is>
          <t>해당 없음</t>
        </is>
      </c>
      <c r="I23" s="29" t="inlineStr">
        <is>
          <t>{"rcept_no": "20250321001570", "corp_cls": "K", "corp_code": "01021666", "corp_name": "덕산테코피아", "se": "비고", "isu_stock_totqy": "-", "now_to_isu_stock_totqy": "-", "now_to_dcrs_stock_totqy": "-", "redc": "-", "profit_incnr": "-", "rdmstk_repy": "-", "etc": "-", "istc_totqy": "-", "tesstk_co": "-", "distb_stock_co": "-", "stlm_dt": "2024-12-31"}</t>
        </is>
      </c>
    </row>
    <row r="24" ht="24" customHeight="1">
      <c r="A24" s="24" t="inlineStr">
        <is>
          <t>OpenDART_stockTotqySttus</t>
        </is>
      </c>
      <c r="B24" s="24" t="inlineStr">
        <is>
          <t>01021666</t>
        </is>
      </c>
      <c r="C24" s="24" t="inlineStr">
        <is>
          <t>덕산테코피아</t>
        </is>
      </c>
      <c r="D24" s="24" t="inlineStr">
        <is>
          <t>duksan</t>
        </is>
      </c>
      <c r="E24" s="24" t="inlineStr">
        <is>
          <t>317330</t>
        </is>
      </c>
      <c r="F24" s="24" t="inlineStr">
        <is>
          <t>2025</t>
        </is>
      </c>
      <c r="G24" s="24" t="inlineStr">
        <is>
          <t>의결권 있는 주식</t>
        </is>
      </c>
      <c r="H24" s="24" t="inlineStr">
        <is>
          <t>20476584.0</t>
        </is>
      </c>
      <c r="I24" s="24" t="inlineStr">
        <is>
          <t>{"rcept_no": "20260323001592", "corp_cls": "K", "corp_code": "01021666", "corp_name": "덕산테코피아", "se": "의결권 있는 주식", "isu_stock_totqy": "50,000,000", "now_to_isu_stock_totqy": "20,476,584", "now_to_dcrs_stock_totqy": "-", "redc": "-", "profit_incnr": "-", "rdmstk_repy": "-", "etc": "-", "istc_totqy": "20,476,584", "tesstk_co": "49,775", "distb_stock_co": "20,426,809", "stlm_dt": "2025-12-31"}</t>
        </is>
      </c>
    </row>
    <row r="25" ht="24" customHeight="1">
      <c r="A25" s="29" t="inlineStr">
        <is>
          <t>OpenDART_stockTotqySttus</t>
        </is>
      </c>
      <c r="B25" s="29" t="inlineStr">
        <is>
          <t>01021666</t>
        </is>
      </c>
      <c r="C25" s="29" t="inlineStr">
        <is>
          <t>덕산테코피아</t>
        </is>
      </c>
      <c r="D25" s="29" t="inlineStr">
        <is>
          <t>duksan</t>
        </is>
      </c>
      <c r="E25" s="29" t="inlineStr">
        <is>
          <t>317330</t>
        </is>
      </c>
      <c r="F25" s="29" t="inlineStr">
        <is>
          <t>2025</t>
        </is>
      </c>
      <c r="G25" s="29" t="inlineStr">
        <is>
          <t>의결권 없는 주식</t>
        </is>
      </c>
      <c r="H25" s="29" t="inlineStr">
        <is>
          <t>해당 없음</t>
        </is>
      </c>
      <c r="I25" s="29" t="inlineStr">
        <is>
          <t>{"rcept_no": "20260323001592", "corp_cls": "K", "corp_code": "01021666", "corp_name": "덕산테코피아", "se": "의결권 없는 주식", "isu_stock_totqy": "-", "now_to_isu_stock_totqy": "-", "now_to_dcrs_stock_totqy": "-", "redc": "-", "profit_incnr": "-", "rdmstk_repy": "-", "etc": "-", "istc_totqy": "-", "tesstk_co": "-", "distb_stock_co": "-", "stlm_dt": "2025-12-31"}</t>
        </is>
      </c>
    </row>
    <row r="26" ht="24" customHeight="1">
      <c r="A26" s="24" t="inlineStr">
        <is>
          <t>OpenDART_stockTotqySttus</t>
        </is>
      </c>
      <c r="B26" s="24" t="inlineStr">
        <is>
          <t>01021666</t>
        </is>
      </c>
      <c r="C26" s="24" t="inlineStr">
        <is>
          <t>덕산테코피아</t>
        </is>
      </c>
      <c r="D26" s="24" t="inlineStr">
        <is>
          <t>duksan</t>
        </is>
      </c>
      <c r="E26" s="24" t="inlineStr">
        <is>
          <t>317330</t>
        </is>
      </c>
      <c r="F26" s="24" t="inlineStr">
        <is>
          <t>2025</t>
        </is>
      </c>
      <c r="G26" s="24" t="inlineStr">
        <is>
          <t>합계</t>
        </is>
      </c>
      <c r="H26" s="24" t="inlineStr">
        <is>
          <t>20476584.0</t>
        </is>
      </c>
      <c r="I26" s="24" t="inlineStr">
        <is>
          <t>{"rcept_no": "20260323001592", "corp_cls": "K", "corp_code": "01021666", "corp_name": "덕산테코피아", "se": "합계", "isu_stock_totqy": "50,000,000", "now_to_isu_stock_totqy": "20,476,584", "now_to_dcrs_stock_totqy": "-", "redc": "-", "profit_incnr": "-", "rdmstk_repy": "-", "etc": "-", "istc_totqy": "20,476,584", "tesstk_co": "49,775", "distb_stock_co": "20,426,809", "stlm_dt": "2025-12-31"}</t>
        </is>
      </c>
    </row>
    <row r="27" ht="24" customHeight="1">
      <c r="A27" s="29" t="inlineStr">
        <is>
          <t>OpenDART_stockTotqySttus</t>
        </is>
      </c>
      <c r="B27" s="29" t="inlineStr">
        <is>
          <t>01021666</t>
        </is>
      </c>
      <c r="C27" s="29" t="inlineStr">
        <is>
          <t>덕산테코피아</t>
        </is>
      </c>
      <c r="D27" s="29" t="inlineStr">
        <is>
          <t>duksan</t>
        </is>
      </c>
      <c r="E27" s="29" t="inlineStr">
        <is>
          <t>317330</t>
        </is>
      </c>
      <c r="F27" s="29" t="inlineStr">
        <is>
          <t>2025</t>
        </is>
      </c>
      <c r="G27" s="29" t="inlineStr">
        <is>
          <t>비고</t>
        </is>
      </c>
      <c r="H27" s="29" t="inlineStr">
        <is>
          <t>해당 없음</t>
        </is>
      </c>
      <c r="I27" s="29" t="inlineStr">
        <is>
          <t>{"rcept_no": "20260323001592", "corp_cls": "K", "corp_code": "01021666", "corp_name": "덕산테코피아", "se": "비고", "isu_stock_totqy": "-", "now_to_isu_stock_totqy": "-", "now_to_dcrs_stock_totqy": "-", "redc": "-", "profit_incnr": "-", "rdmstk_repy": "-", "etc": "-", "istc_totqy": "-", "tesstk_co": "-", "distb_stock_co": "-", "stlm_dt": "2025-12-31"}</t>
        </is>
      </c>
    </row>
  </sheetData>
  <autoFilter ref="A7:I27"/>
  <mergeCells count="2">
    <mergeCell ref="A6:F6"/>
    <mergeCell ref="A1:F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7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DART 원천 계정</t>
        </is>
      </c>
    </row>
    <row r="2" ht="24" customHeight="1">
      <c r="A2" s="25" t="inlineStr">
        <is>
          <t>출처</t>
        </is>
      </c>
      <c r="B2" s="25" t="inlineStr">
        <is>
          <t>DART 고유번호</t>
        </is>
      </c>
      <c r="C2" s="25" t="inlineStr">
        <is>
          <t>기업명</t>
        </is>
      </c>
      <c r="D2" s="25" t="inlineStr">
        <is>
          <t>기업코드</t>
        </is>
      </c>
      <c r="E2" s="25" t="inlineStr">
        <is>
          <t>종목코드</t>
        </is>
      </c>
      <c r="F2" s="25" t="inlineStr">
        <is>
          <t>연도</t>
        </is>
      </c>
      <c r="G2" s="25" t="inlineStr">
        <is>
          <t>재무제표 구분</t>
        </is>
      </c>
      <c r="H2" s="25" t="inlineStr">
        <is>
          <t>재무제표 코드</t>
        </is>
      </c>
      <c r="I2" s="25" t="inlineStr">
        <is>
          <t>재무제표명</t>
        </is>
      </c>
      <c r="J2" s="25" t="inlineStr">
        <is>
          <t>계정ID</t>
        </is>
      </c>
      <c r="K2" s="25" t="inlineStr">
        <is>
          <t>계정명</t>
        </is>
      </c>
      <c r="L2" s="25" t="inlineStr">
        <is>
          <t>계정상세</t>
        </is>
      </c>
      <c r="M2" s="25" t="inlineStr">
        <is>
          <t>당기명</t>
        </is>
      </c>
      <c r="N2" s="25" t="inlineStr">
        <is>
          <t>금액</t>
        </is>
      </c>
      <c r="O2" s="25" t="inlineStr">
        <is>
          <t>전기금액</t>
        </is>
      </c>
      <c r="P2" s="25" t="inlineStr">
        <is>
          <t>통화</t>
        </is>
      </c>
      <c r="Q2" s="25" t="inlineStr">
        <is>
          <t>정렬순서</t>
        </is>
      </c>
    </row>
    <row r="3" ht="24" customHeight="1">
      <c r="A3" s="24" t="inlineStr">
        <is>
          <t>OpenDART_fnlttSinglAcntAll</t>
        </is>
      </c>
      <c r="B3" s="24" t="inlineStr">
        <is>
          <t>01021666</t>
        </is>
      </c>
      <c r="C3" s="24" t="inlineStr">
        <is>
          <t>덕산테코피아</t>
        </is>
      </c>
      <c r="D3" s="24" t="inlineStr">
        <is>
          <t>duksan</t>
        </is>
      </c>
      <c r="E3" s="24" t="inlineStr">
        <is>
          <t>317330</t>
        </is>
      </c>
      <c r="F3" s="24" t="inlineStr">
        <is>
          <t>2021</t>
        </is>
      </c>
      <c r="G3" s="24" t="inlineStr">
        <is>
          <t>CFS</t>
        </is>
      </c>
      <c r="H3" s="24" t="inlineStr">
        <is>
          <t>BS</t>
        </is>
      </c>
      <c r="I3" s="24" t="inlineStr">
        <is>
          <t>재무상태표</t>
        </is>
      </c>
      <c r="J3" s="24" t="inlineStr">
        <is>
          <t>ifrs-full_CurrentAssets</t>
        </is>
      </c>
      <c r="K3" s="24" t="inlineStr">
        <is>
          <t>유동자산</t>
        </is>
      </c>
      <c r="L3" s="24" t="inlineStr">
        <is>
          <t>-</t>
        </is>
      </c>
      <c r="M3" s="24" t="inlineStr">
        <is>
          <t>제 16 기</t>
        </is>
      </c>
      <c r="N3" s="24" t="inlineStr">
        <is>
          <t>104059553481.0</t>
        </is>
      </c>
      <c r="O3" s="24" t="inlineStr">
        <is>
          <t>64259904183.0</t>
        </is>
      </c>
      <c r="P3" s="24" t="inlineStr">
        <is>
          <t>KRW</t>
        </is>
      </c>
      <c r="Q3" s="24" t="inlineStr">
        <is>
          <t>1</t>
        </is>
      </c>
    </row>
    <row r="4" ht="24" customHeight="1">
      <c r="A4" s="29" t="inlineStr">
        <is>
          <t>OpenDART_fnlttSinglAcntAll</t>
        </is>
      </c>
      <c r="B4" s="29" t="inlineStr">
        <is>
          <t>01021666</t>
        </is>
      </c>
      <c r="C4" s="29" t="inlineStr">
        <is>
          <t>덕산테코피아</t>
        </is>
      </c>
      <c r="D4" s="29" t="inlineStr">
        <is>
          <t>duksan</t>
        </is>
      </c>
      <c r="E4" s="29" t="inlineStr">
        <is>
          <t>317330</t>
        </is>
      </c>
      <c r="F4" s="29" t="inlineStr">
        <is>
          <t>2021</t>
        </is>
      </c>
      <c r="G4" s="29" t="inlineStr">
        <is>
          <t>CFS</t>
        </is>
      </c>
      <c r="H4" s="29" t="inlineStr">
        <is>
          <t>BS</t>
        </is>
      </c>
      <c r="I4" s="29" t="inlineStr">
        <is>
          <t>재무상태표</t>
        </is>
      </c>
      <c r="J4" s="29" t="inlineStr">
        <is>
          <t>ifrs-full_CashAndCashEquivalents</t>
        </is>
      </c>
      <c r="K4" s="29" t="inlineStr">
        <is>
          <t>현금및현금성자산</t>
        </is>
      </c>
      <c r="L4" s="29" t="inlineStr">
        <is>
          <t>-</t>
        </is>
      </c>
      <c r="M4" s="29" t="inlineStr">
        <is>
          <t>제 16 기</t>
        </is>
      </c>
      <c r="N4" s="29" t="inlineStr">
        <is>
          <t>43329141816.0</t>
        </is>
      </c>
      <c r="O4" s="29" t="inlineStr">
        <is>
          <t>6283692975.0</t>
        </is>
      </c>
      <c r="P4" s="29" t="inlineStr">
        <is>
          <t>KRW</t>
        </is>
      </c>
      <c r="Q4" s="29" t="inlineStr">
        <is>
          <t>2</t>
        </is>
      </c>
    </row>
    <row r="5" ht="24" customHeight="1">
      <c r="A5" s="24" t="inlineStr">
        <is>
          <t>OpenDART_fnlttSinglAcntAll</t>
        </is>
      </c>
      <c r="B5" s="24" t="inlineStr">
        <is>
          <t>01021666</t>
        </is>
      </c>
      <c r="C5" s="24" t="inlineStr">
        <is>
          <t>덕산테코피아</t>
        </is>
      </c>
      <c r="D5" s="24" t="inlineStr">
        <is>
          <t>duksan</t>
        </is>
      </c>
      <c r="E5" s="24" t="inlineStr">
        <is>
          <t>317330</t>
        </is>
      </c>
      <c r="F5" s="24" t="inlineStr">
        <is>
          <t>2021</t>
        </is>
      </c>
      <c r="G5" s="24" t="inlineStr">
        <is>
          <t>CFS</t>
        </is>
      </c>
      <c r="H5" s="24" t="inlineStr">
        <is>
          <t>BS</t>
        </is>
      </c>
      <c r="I5" s="24" t="inlineStr">
        <is>
          <t>재무상태표</t>
        </is>
      </c>
      <c r="J5" s="24" t="inlineStr">
        <is>
          <t>dart_ShortTermDepositsNotClassifiedAsCashEquivalents</t>
        </is>
      </c>
      <c r="K5" s="24" t="inlineStr">
        <is>
          <t>단기금융상품</t>
        </is>
      </c>
      <c r="L5" s="24" t="inlineStr">
        <is>
          <t>-</t>
        </is>
      </c>
      <c r="M5" s="24" t="inlineStr">
        <is>
          <t>제 16 기</t>
        </is>
      </c>
      <c r="N5" s="24" t="inlineStr">
        <is>
          <t>20000020600.0</t>
        </is>
      </c>
      <c r="O5" s="24" t="inlineStr">
        <is>
          <t>29000013600.0</t>
        </is>
      </c>
      <c r="P5" s="24" t="inlineStr">
        <is>
          <t>KRW</t>
        </is>
      </c>
      <c r="Q5" s="24" t="inlineStr">
        <is>
          <t>3</t>
        </is>
      </c>
    </row>
    <row r="6" ht="24" customHeight="1">
      <c r="A6" s="29" t="inlineStr">
        <is>
          <t>OpenDART_fnlttSinglAcntAll</t>
        </is>
      </c>
      <c r="B6" s="29" t="inlineStr">
        <is>
          <t>01021666</t>
        </is>
      </c>
      <c r="C6" s="29" t="inlineStr">
        <is>
          <t>덕산테코피아</t>
        </is>
      </c>
      <c r="D6" s="29" t="inlineStr">
        <is>
          <t>duksan</t>
        </is>
      </c>
      <c r="E6" s="29" t="inlineStr">
        <is>
          <t>317330</t>
        </is>
      </c>
      <c r="F6" s="29" t="inlineStr">
        <is>
          <t>2021</t>
        </is>
      </c>
      <c r="G6" s="29" t="inlineStr">
        <is>
          <t>CFS</t>
        </is>
      </c>
      <c r="H6" s="29" t="inlineStr">
        <is>
          <t>BS</t>
        </is>
      </c>
      <c r="I6" s="29" t="inlineStr">
        <is>
          <t>재무상태표</t>
        </is>
      </c>
      <c r="J6" s="29" t="inlineStr">
        <is>
          <t>dart_ShortTermTradeReceivable</t>
        </is>
      </c>
      <c r="K6" s="29" t="inlineStr">
        <is>
          <t>매출채권</t>
        </is>
      </c>
      <c r="L6" s="29" t="inlineStr">
        <is>
          <t>-</t>
        </is>
      </c>
      <c r="M6" s="29" t="inlineStr">
        <is>
          <t>제 16 기</t>
        </is>
      </c>
      <c r="N6" s="29" t="inlineStr">
        <is>
          <t>8937658980.0</t>
        </is>
      </c>
      <c r="O6" s="29" t="inlineStr">
        <is>
          <t>8374149300.0</t>
        </is>
      </c>
      <c r="P6" s="29" t="inlineStr">
        <is>
          <t>KRW</t>
        </is>
      </c>
      <c r="Q6" s="29" t="inlineStr">
        <is>
          <t>4</t>
        </is>
      </c>
    </row>
    <row r="7" ht="24" customHeight="1">
      <c r="A7" s="24" t="inlineStr">
        <is>
          <t>OpenDART_fnlttSinglAcntAll</t>
        </is>
      </c>
      <c r="B7" s="24" t="inlineStr">
        <is>
          <t>01021666</t>
        </is>
      </c>
      <c r="C7" s="24" t="inlineStr">
        <is>
          <t>덕산테코피아</t>
        </is>
      </c>
      <c r="D7" s="24" t="inlineStr">
        <is>
          <t>duksan</t>
        </is>
      </c>
      <c r="E7" s="24" t="inlineStr">
        <is>
          <t>317330</t>
        </is>
      </c>
      <c r="F7" s="24" t="inlineStr">
        <is>
          <t>2021</t>
        </is>
      </c>
      <c r="G7" s="24" t="inlineStr">
        <is>
          <t>CFS</t>
        </is>
      </c>
      <c r="H7" s="24" t="inlineStr">
        <is>
          <t>BS</t>
        </is>
      </c>
      <c r="I7" s="24" t="inlineStr">
        <is>
          <t>재무상태표</t>
        </is>
      </c>
      <c r="J7" s="24" t="inlineStr">
        <is>
          <t>ifrs-full_TradeAndOtherCurrentReceivables</t>
        </is>
      </c>
      <c r="K7" s="24" t="inlineStr">
        <is>
          <t>기타유동채권</t>
        </is>
      </c>
      <c r="L7" s="24" t="inlineStr">
        <is>
          <t>-</t>
        </is>
      </c>
      <c r="M7" s="24" t="inlineStr">
        <is>
          <t>제 16 기</t>
        </is>
      </c>
      <c r="N7" s="24" t="inlineStr">
        <is>
          <t>3474325624.0</t>
        </is>
      </c>
      <c r="O7" s="24" t="inlineStr">
        <is>
          <t>4308722644.0</t>
        </is>
      </c>
      <c r="P7" s="24" t="inlineStr">
        <is>
          <t>KRW</t>
        </is>
      </c>
      <c r="Q7" s="24" t="inlineStr">
        <is>
          <t>5</t>
        </is>
      </c>
    </row>
    <row r="8" ht="24" customHeight="1">
      <c r="A8" s="29" t="inlineStr">
        <is>
          <t>OpenDART_fnlttSinglAcntAll</t>
        </is>
      </c>
      <c r="B8" s="29" t="inlineStr">
        <is>
          <t>01021666</t>
        </is>
      </c>
      <c r="C8" s="29" t="inlineStr">
        <is>
          <t>덕산테코피아</t>
        </is>
      </c>
      <c r="D8" s="29" t="inlineStr">
        <is>
          <t>duksan</t>
        </is>
      </c>
      <c r="E8" s="29" t="inlineStr">
        <is>
          <t>317330</t>
        </is>
      </c>
      <c r="F8" s="29" t="inlineStr">
        <is>
          <t>2021</t>
        </is>
      </c>
      <c r="G8" s="29" t="inlineStr">
        <is>
          <t>CFS</t>
        </is>
      </c>
      <c r="H8" s="29" t="inlineStr">
        <is>
          <t>BS</t>
        </is>
      </c>
      <c r="I8" s="29" t="inlineStr">
        <is>
          <t>재무상태표</t>
        </is>
      </c>
      <c r="J8" s="29" t="inlineStr">
        <is>
          <t>dart_OtherCurrentAssets</t>
        </is>
      </c>
      <c r="K8" s="29" t="inlineStr">
        <is>
          <t>기타유동자산</t>
        </is>
      </c>
      <c r="L8" s="29" t="inlineStr">
        <is>
          <t>-</t>
        </is>
      </c>
      <c r="M8" s="29" t="inlineStr">
        <is>
          <t>제 16 기</t>
        </is>
      </c>
      <c r="N8" s="29" t="inlineStr">
        <is>
          <t>1871262049.0</t>
        </is>
      </c>
      <c r="O8" s="29" t="inlineStr">
        <is>
          <t>607431076.0</t>
        </is>
      </c>
      <c r="P8" s="29" t="inlineStr">
        <is>
          <t>KRW</t>
        </is>
      </c>
      <c r="Q8" s="29" t="inlineStr">
        <is>
          <t>6</t>
        </is>
      </c>
    </row>
    <row r="9" ht="24" customHeight="1">
      <c r="A9" s="24" t="inlineStr">
        <is>
          <t>OpenDART_fnlttSinglAcntAll</t>
        </is>
      </c>
      <c r="B9" s="24" t="inlineStr">
        <is>
          <t>01021666</t>
        </is>
      </c>
      <c r="C9" s="24" t="inlineStr">
        <is>
          <t>덕산테코피아</t>
        </is>
      </c>
      <c r="D9" s="24" t="inlineStr">
        <is>
          <t>duksan</t>
        </is>
      </c>
      <c r="E9" s="24" t="inlineStr">
        <is>
          <t>317330</t>
        </is>
      </c>
      <c r="F9" s="24" t="inlineStr">
        <is>
          <t>2021</t>
        </is>
      </c>
      <c r="G9" s="24" t="inlineStr">
        <is>
          <t>CFS</t>
        </is>
      </c>
      <c r="H9" s="24" t="inlineStr">
        <is>
          <t>BS</t>
        </is>
      </c>
      <c r="I9" s="24" t="inlineStr">
        <is>
          <t>재무상태표</t>
        </is>
      </c>
      <c r="J9" s="24" t="inlineStr">
        <is>
          <t>ifrs-full_Inventories</t>
        </is>
      </c>
      <c r="K9" s="24" t="inlineStr">
        <is>
          <t>재고자산</t>
        </is>
      </c>
      <c r="L9" s="24" t="inlineStr">
        <is>
          <t>-</t>
        </is>
      </c>
      <c r="M9" s="24" t="inlineStr">
        <is>
          <t>제 16 기</t>
        </is>
      </c>
      <c r="N9" s="24" t="inlineStr">
        <is>
          <t>26447144412.0</t>
        </is>
      </c>
      <c r="O9" s="24" t="inlineStr">
        <is>
          <t>15685894588.0</t>
        </is>
      </c>
      <c r="P9" s="24" t="inlineStr">
        <is>
          <t>KRW</t>
        </is>
      </c>
      <c r="Q9" s="24" t="inlineStr">
        <is>
          <t>7</t>
        </is>
      </c>
    </row>
    <row r="10" ht="24" customHeight="1">
      <c r="A10" s="29" t="inlineStr">
        <is>
          <t>OpenDART_fnlttSinglAcntAll</t>
        </is>
      </c>
      <c r="B10" s="29" t="inlineStr">
        <is>
          <t>01021666</t>
        </is>
      </c>
      <c r="C10" s="29" t="inlineStr">
        <is>
          <t>덕산테코피아</t>
        </is>
      </c>
      <c r="D10" s="29" t="inlineStr">
        <is>
          <t>duksan</t>
        </is>
      </c>
      <c r="E10" s="29" t="inlineStr">
        <is>
          <t>317330</t>
        </is>
      </c>
      <c r="F10" s="29" t="inlineStr">
        <is>
          <t>2021</t>
        </is>
      </c>
      <c r="G10" s="29" t="inlineStr">
        <is>
          <t>CFS</t>
        </is>
      </c>
      <c r="H10" s="29" t="inlineStr">
        <is>
          <t>BS</t>
        </is>
      </c>
      <c r="I10" s="29" t="inlineStr">
        <is>
          <t>재무상태표</t>
        </is>
      </c>
      <c r="J10" s="29" t="inlineStr">
        <is>
          <t>ifrs-full_NoncurrentAssets</t>
        </is>
      </c>
      <c r="K10" s="29" t="inlineStr">
        <is>
          <t>비유동자산</t>
        </is>
      </c>
      <c r="L10" s="29" t="inlineStr">
        <is>
          <t>-</t>
        </is>
      </c>
      <c r="M10" s="29" t="inlineStr">
        <is>
          <t>제 16 기</t>
        </is>
      </c>
      <c r="N10" s="29" t="inlineStr">
        <is>
          <t>140276375483.0</t>
        </is>
      </c>
      <c r="O10" s="29" t="inlineStr">
        <is>
          <t>106191213432.0</t>
        </is>
      </c>
      <c r="P10" s="29" t="inlineStr">
        <is>
          <t>KRW</t>
        </is>
      </c>
      <c r="Q10" s="29" t="inlineStr">
        <is>
          <t>8</t>
        </is>
      </c>
    </row>
    <row r="11" ht="24" customHeight="1">
      <c r="A11" s="24" t="inlineStr">
        <is>
          <t>OpenDART_fnlttSinglAcntAll</t>
        </is>
      </c>
      <c r="B11" s="24" t="inlineStr">
        <is>
          <t>01021666</t>
        </is>
      </c>
      <c r="C11" s="24" t="inlineStr">
        <is>
          <t>덕산테코피아</t>
        </is>
      </c>
      <c r="D11" s="24" t="inlineStr">
        <is>
          <t>duksan</t>
        </is>
      </c>
      <c r="E11" s="24" t="inlineStr">
        <is>
          <t>317330</t>
        </is>
      </c>
      <c r="F11" s="24" t="inlineStr">
        <is>
          <t>2021</t>
        </is>
      </c>
      <c r="G11" s="24" t="inlineStr">
        <is>
          <t>CFS</t>
        </is>
      </c>
      <c r="H11" s="24" t="inlineStr">
        <is>
          <t>BS</t>
        </is>
      </c>
      <c r="I11" s="24" t="inlineStr">
        <is>
          <t>재무상태표</t>
        </is>
      </c>
      <c r="J11" s="24" t="inlineStr">
        <is>
          <t>ifrs-full_OtherNoncurrentFinancialAssets</t>
        </is>
      </c>
      <c r="K11" s="24" t="inlineStr">
        <is>
          <t>당기손익-공정가치금융자산</t>
        </is>
      </c>
      <c r="L11" s="24" t="inlineStr">
        <is>
          <t>-</t>
        </is>
      </c>
      <c r="M11" s="24" t="inlineStr">
        <is>
          <t>제 16 기</t>
        </is>
      </c>
      <c r="N11" s="24" t="inlineStr">
        <is>
          <t>18734683340.0</t>
        </is>
      </c>
      <c r="O11" s="24" t="inlineStr">
        <is>
          <t>16679416230.0</t>
        </is>
      </c>
      <c r="P11" s="24" t="inlineStr">
        <is>
          <t>KRW</t>
        </is>
      </c>
      <c r="Q11" s="24" t="inlineStr">
        <is>
          <t>9</t>
        </is>
      </c>
    </row>
    <row r="12" ht="24" customHeight="1">
      <c r="A12" s="29" t="inlineStr">
        <is>
          <t>OpenDART_fnlttSinglAcntAll</t>
        </is>
      </c>
      <c r="B12" s="29" t="inlineStr">
        <is>
          <t>01021666</t>
        </is>
      </c>
      <c r="C12" s="29" t="inlineStr">
        <is>
          <t>덕산테코피아</t>
        </is>
      </c>
      <c r="D12" s="29" t="inlineStr">
        <is>
          <t>duksan</t>
        </is>
      </c>
      <c r="E12" s="29" t="inlineStr">
        <is>
          <t>317330</t>
        </is>
      </c>
      <c r="F12" s="29" t="inlineStr">
        <is>
          <t>2021</t>
        </is>
      </c>
      <c r="G12" s="29" t="inlineStr">
        <is>
          <t>CFS</t>
        </is>
      </c>
      <c r="H12" s="29" t="inlineStr">
        <is>
          <t>BS</t>
        </is>
      </c>
      <c r="I12" s="29" t="inlineStr">
        <is>
          <t>재무상태표</t>
        </is>
      </c>
      <c r="J12" s="29" t="inlineStr">
        <is>
          <t>-표준계정코드 미사용-</t>
        </is>
      </c>
      <c r="K12" s="29" t="inlineStr">
        <is>
          <t>매도가능금융자산</t>
        </is>
      </c>
      <c r="L12" s="29" t="inlineStr">
        <is>
          <t>-</t>
        </is>
      </c>
      <c r="M12" s="29" t="inlineStr">
        <is>
          <t>제 16 기</t>
        </is>
      </c>
      <c r="N12" s="29" t="inlineStr">
        <is>
          <t>0.0</t>
        </is>
      </c>
      <c r="O12" s="29" t="inlineStr">
        <is>
          <t>0.0</t>
        </is>
      </c>
      <c r="P12" s="29" t="inlineStr">
        <is>
          <t>KRW</t>
        </is>
      </c>
      <c r="Q12" s="29" t="inlineStr">
        <is>
          <t>10</t>
        </is>
      </c>
    </row>
    <row r="13" ht="24" customHeight="1">
      <c r="A13" s="24" t="inlineStr">
        <is>
          <t>OpenDART_fnlttSinglAcntAll</t>
        </is>
      </c>
      <c r="B13" s="24" t="inlineStr">
        <is>
          <t>01021666</t>
        </is>
      </c>
      <c r="C13" s="24" t="inlineStr">
        <is>
          <t>덕산테코피아</t>
        </is>
      </c>
      <c r="D13" s="24" t="inlineStr">
        <is>
          <t>duksan</t>
        </is>
      </c>
      <c r="E13" s="24" t="inlineStr">
        <is>
          <t>317330</t>
        </is>
      </c>
      <c r="F13" s="24" t="inlineStr">
        <is>
          <t>2021</t>
        </is>
      </c>
      <c r="G13" s="24" t="inlineStr">
        <is>
          <t>CFS</t>
        </is>
      </c>
      <c r="H13" s="24" t="inlineStr">
        <is>
          <t>BS</t>
        </is>
      </c>
      <c r="I13" s="24" t="inlineStr">
        <is>
          <t>재무상태표</t>
        </is>
      </c>
      <c r="J13" s="24" t="inlineStr">
        <is>
          <t>dart_LongTermTradeAndOtherNonCurrentReceivablesGross</t>
        </is>
      </c>
      <c r="K13" s="24" t="inlineStr">
        <is>
          <t>기타비유동채권</t>
        </is>
      </c>
      <c r="L13" s="24" t="inlineStr">
        <is>
          <t>-</t>
        </is>
      </c>
      <c r="M13" s="24" t="inlineStr">
        <is>
          <t>제 16 기</t>
        </is>
      </c>
      <c r="N13" s="24" t="inlineStr">
        <is>
          <t>171000000.0</t>
        </is>
      </c>
      <c r="O13" s="24" t="inlineStr">
        <is>
          <t>132000000.0</t>
        </is>
      </c>
      <c r="P13" s="24" t="inlineStr">
        <is>
          <t>KRW</t>
        </is>
      </c>
      <c r="Q13" s="24" t="inlineStr">
        <is>
          <t>11</t>
        </is>
      </c>
    </row>
    <row r="14" ht="24" customHeight="1">
      <c r="A14" s="29" t="inlineStr">
        <is>
          <t>OpenDART_fnlttSinglAcntAll</t>
        </is>
      </c>
      <c r="B14" s="29" t="inlineStr">
        <is>
          <t>01021666</t>
        </is>
      </c>
      <c r="C14" s="29" t="inlineStr">
        <is>
          <t>덕산테코피아</t>
        </is>
      </c>
      <c r="D14" s="29" t="inlineStr">
        <is>
          <t>duksan</t>
        </is>
      </c>
      <c r="E14" s="29" t="inlineStr">
        <is>
          <t>317330</t>
        </is>
      </c>
      <c r="F14" s="29" t="inlineStr">
        <is>
          <t>2021</t>
        </is>
      </c>
      <c r="G14" s="29" t="inlineStr">
        <is>
          <t>CFS</t>
        </is>
      </c>
      <c r="H14" s="29" t="inlineStr">
        <is>
          <t>BS</t>
        </is>
      </c>
      <c r="I14" s="29" t="inlineStr">
        <is>
          <t>재무상태표</t>
        </is>
      </c>
      <c r="J14" s="29" t="inlineStr">
        <is>
          <t>ifrs-full_PropertyPlantAndEquipment</t>
        </is>
      </c>
      <c r="K14" s="29" t="inlineStr">
        <is>
          <t>유형자산</t>
        </is>
      </c>
      <c r="L14" s="29" t="inlineStr">
        <is>
          <t>-</t>
        </is>
      </c>
      <c r="M14" s="29" t="inlineStr">
        <is>
          <t>제 16 기</t>
        </is>
      </c>
      <c r="N14" s="29" t="inlineStr">
        <is>
          <t>115181099296.0</t>
        </is>
      </c>
      <c r="O14" s="29" t="inlineStr">
        <is>
          <t>82843405370.0</t>
        </is>
      </c>
      <c r="P14" s="29" t="inlineStr">
        <is>
          <t>KRW</t>
        </is>
      </c>
      <c r="Q14" s="29" t="inlineStr">
        <is>
          <t>12</t>
        </is>
      </c>
    </row>
    <row r="15" ht="24" customHeight="1">
      <c r="A15" s="24" t="inlineStr">
        <is>
          <t>OpenDART_fnlttSinglAcntAll</t>
        </is>
      </c>
      <c r="B15" s="24" t="inlineStr">
        <is>
          <t>01021666</t>
        </is>
      </c>
      <c r="C15" s="24" t="inlineStr">
        <is>
          <t>덕산테코피아</t>
        </is>
      </c>
      <c r="D15" s="24" t="inlineStr">
        <is>
          <t>duksan</t>
        </is>
      </c>
      <c r="E15" s="24" t="inlineStr">
        <is>
          <t>317330</t>
        </is>
      </c>
      <c r="F15" s="24" t="inlineStr">
        <is>
          <t>2021</t>
        </is>
      </c>
      <c r="G15" s="24" t="inlineStr">
        <is>
          <t>CFS</t>
        </is>
      </c>
      <c r="H15" s="24" t="inlineStr">
        <is>
          <t>BS</t>
        </is>
      </c>
      <c r="I15" s="24" t="inlineStr">
        <is>
          <t>재무상태표</t>
        </is>
      </c>
      <c r="J15" s="24" t="inlineStr">
        <is>
          <t>ifrs-full_IntangibleAssetsOtherThanGoodwill</t>
        </is>
      </c>
      <c r="K15" s="24" t="inlineStr">
        <is>
          <t>무형자산</t>
        </is>
      </c>
      <c r="L15" s="24" t="inlineStr">
        <is>
          <t>-</t>
        </is>
      </c>
      <c r="M15" s="24" t="inlineStr">
        <is>
          <t>제 16 기</t>
        </is>
      </c>
      <c r="N15" s="24" t="inlineStr">
        <is>
          <t>4214824565.0</t>
        </is>
      </c>
      <c r="O15" s="24" t="inlineStr">
        <is>
          <t>5610952217.0</t>
        </is>
      </c>
      <c r="P15" s="24" t="inlineStr">
        <is>
          <t>KRW</t>
        </is>
      </c>
      <c r="Q15" s="24" t="inlineStr">
        <is>
          <t>13</t>
        </is>
      </c>
    </row>
    <row r="16" ht="24" customHeight="1">
      <c r="A16" s="29" t="inlineStr">
        <is>
          <t>OpenDART_fnlttSinglAcntAll</t>
        </is>
      </c>
      <c r="B16" s="29" t="inlineStr">
        <is>
          <t>01021666</t>
        </is>
      </c>
      <c r="C16" s="29" t="inlineStr">
        <is>
          <t>덕산테코피아</t>
        </is>
      </c>
      <c r="D16" s="29" t="inlineStr">
        <is>
          <t>duksan</t>
        </is>
      </c>
      <c r="E16" s="29" t="inlineStr">
        <is>
          <t>317330</t>
        </is>
      </c>
      <c r="F16" s="29" t="inlineStr">
        <is>
          <t>2021</t>
        </is>
      </c>
      <c r="G16" s="29" t="inlineStr">
        <is>
          <t>CFS</t>
        </is>
      </c>
      <c r="H16" s="29" t="inlineStr">
        <is>
          <t>BS</t>
        </is>
      </c>
      <c r="I16" s="29" t="inlineStr">
        <is>
          <t>재무상태표</t>
        </is>
      </c>
      <c r="J16" s="29" t="inlineStr">
        <is>
          <t>ifrs-full_RightofuseAssets</t>
        </is>
      </c>
      <c r="K16" s="29" t="inlineStr">
        <is>
          <t>사용권자산</t>
        </is>
      </c>
      <c r="L16" s="29" t="inlineStr">
        <is>
          <t>-</t>
        </is>
      </c>
      <c r="M16" s="29" t="inlineStr">
        <is>
          <t>제 16 기</t>
        </is>
      </c>
      <c r="N16" s="29" t="inlineStr">
        <is>
          <t>485935066.0</t>
        </is>
      </c>
      <c r="O16" s="29" t="inlineStr">
        <is>
          <t>108398354.0</t>
        </is>
      </c>
      <c r="P16" s="29" t="inlineStr">
        <is>
          <t>KRW</t>
        </is>
      </c>
      <c r="Q16" s="29" t="inlineStr">
        <is>
          <t>14</t>
        </is>
      </c>
    </row>
    <row r="17" ht="24" customHeight="1">
      <c r="A17" s="24" t="inlineStr">
        <is>
          <t>OpenDART_fnlttSinglAcntAll</t>
        </is>
      </c>
      <c r="B17" s="24" t="inlineStr">
        <is>
          <t>01021666</t>
        </is>
      </c>
      <c r="C17" s="24" t="inlineStr">
        <is>
          <t>덕산테코피아</t>
        </is>
      </c>
      <c r="D17" s="24" t="inlineStr">
        <is>
          <t>duksan</t>
        </is>
      </c>
      <c r="E17" s="24" t="inlineStr">
        <is>
          <t>317330</t>
        </is>
      </c>
      <c r="F17" s="24" t="inlineStr">
        <is>
          <t>2021</t>
        </is>
      </c>
      <c r="G17" s="24" t="inlineStr">
        <is>
          <t>CFS</t>
        </is>
      </c>
      <c r="H17" s="24" t="inlineStr">
        <is>
          <t>BS</t>
        </is>
      </c>
      <c r="I17" s="24" t="inlineStr">
        <is>
          <t>재무상태표</t>
        </is>
      </c>
      <c r="J17" s="24" t="inlineStr">
        <is>
          <t>ifrs-full_DeferredTaxAssets</t>
        </is>
      </c>
      <c r="K17" s="24" t="inlineStr">
        <is>
          <t>이연법인세자산</t>
        </is>
      </c>
      <c r="L17" s="24" t="inlineStr">
        <is>
          <t>-</t>
        </is>
      </c>
      <c r="M17" s="24" t="inlineStr">
        <is>
          <t>제 16 기</t>
        </is>
      </c>
      <c r="N17" s="24" t="inlineStr">
        <is>
          <t>1488833216.0</t>
        </is>
      </c>
      <c r="O17" s="24" t="inlineStr">
        <is>
          <t>817041261.0</t>
        </is>
      </c>
      <c r="P17" s="24" t="inlineStr">
        <is>
          <t>KRW</t>
        </is>
      </c>
      <c r="Q17" s="24" t="inlineStr">
        <is>
          <t>15</t>
        </is>
      </c>
    </row>
    <row r="18" ht="24" customHeight="1">
      <c r="A18" s="29" t="inlineStr">
        <is>
          <t>OpenDART_fnlttSinglAcntAll</t>
        </is>
      </c>
      <c r="B18" s="29" t="inlineStr">
        <is>
          <t>01021666</t>
        </is>
      </c>
      <c r="C18" s="29" t="inlineStr">
        <is>
          <t>덕산테코피아</t>
        </is>
      </c>
      <c r="D18" s="29" t="inlineStr">
        <is>
          <t>duksan</t>
        </is>
      </c>
      <c r="E18" s="29" t="inlineStr">
        <is>
          <t>317330</t>
        </is>
      </c>
      <c r="F18" s="29" t="inlineStr">
        <is>
          <t>2021</t>
        </is>
      </c>
      <c r="G18" s="29" t="inlineStr">
        <is>
          <t>CFS</t>
        </is>
      </c>
      <c r="H18" s="29" t="inlineStr">
        <is>
          <t>BS</t>
        </is>
      </c>
      <c r="I18" s="29" t="inlineStr">
        <is>
          <t>재무상태표</t>
        </is>
      </c>
      <c r="J18" s="29" t="inlineStr">
        <is>
          <t>ifrs-full_Assets</t>
        </is>
      </c>
      <c r="K18" s="29" t="inlineStr">
        <is>
          <t>자산총계</t>
        </is>
      </c>
      <c r="L18" s="29" t="inlineStr">
        <is>
          <t>-</t>
        </is>
      </c>
      <c r="M18" s="29" t="inlineStr">
        <is>
          <t>제 16 기</t>
        </is>
      </c>
      <c r="N18" s="29" t="inlineStr">
        <is>
          <t>244335928964.0</t>
        </is>
      </c>
      <c r="O18" s="29" t="inlineStr">
        <is>
          <t>170451117615.0</t>
        </is>
      </c>
      <c r="P18" s="29" t="inlineStr">
        <is>
          <t>KRW</t>
        </is>
      </c>
      <c r="Q18" s="29" t="inlineStr">
        <is>
          <t>16</t>
        </is>
      </c>
    </row>
    <row r="19" ht="24" customHeight="1">
      <c r="A19" s="24" t="inlineStr">
        <is>
          <t>OpenDART_fnlttSinglAcntAll</t>
        </is>
      </c>
      <c r="B19" s="24" t="inlineStr">
        <is>
          <t>01021666</t>
        </is>
      </c>
      <c r="C19" s="24" t="inlineStr">
        <is>
          <t>덕산테코피아</t>
        </is>
      </c>
      <c r="D19" s="24" t="inlineStr">
        <is>
          <t>duksan</t>
        </is>
      </c>
      <c r="E19" s="24" t="inlineStr">
        <is>
          <t>317330</t>
        </is>
      </c>
      <c r="F19" s="24" t="inlineStr">
        <is>
          <t>2021</t>
        </is>
      </c>
      <c r="G19" s="24" t="inlineStr">
        <is>
          <t>CFS</t>
        </is>
      </c>
      <c r="H19" s="24" t="inlineStr">
        <is>
          <t>BS</t>
        </is>
      </c>
      <c r="I19" s="24" t="inlineStr">
        <is>
          <t>재무상태표</t>
        </is>
      </c>
      <c r="J19" s="24" t="inlineStr">
        <is>
          <t>ifrs-full_CurrentLiabilities</t>
        </is>
      </c>
      <c r="K19" s="24" t="inlineStr">
        <is>
          <t>유동부채</t>
        </is>
      </c>
      <c r="L19" s="24" t="inlineStr">
        <is>
          <t>-</t>
        </is>
      </c>
      <c r="M19" s="24" t="inlineStr">
        <is>
          <t>제 16 기</t>
        </is>
      </c>
      <c r="N19" s="24" t="inlineStr">
        <is>
          <t>17594405779.0</t>
        </is>
      </c>
      <c r="O19" s="24" t="inlineStr">
        <is>
          <t>9527190017.0</t>
        </is>
      </c>
      <c r="P19" s="24" t="inlineStr">
        <is>
          <t>KRW</t>
        </is>
      </c>
      <c r="Q19" s="24" t="inlineStr">
        <is>
          <t>18</t>
        </is>
      </c>
    </row>
    <row r="20" ht="24" customHeight="1">
      <c r="A20" s="29" t="inlineStr">
        <is>
          <t>OpenDART_fnlttSinglAcntAll</t>
        </is>
      </c>
      <c r="B20" s="29" t="inlineStr">
        <is>
          <t>01021666</t>
        </is>
      </c>
      <c r="C20" s="29" t="inlineStr">
        <is>
          <t>덕산테코피아</t>
        </is>
      </c>
      <c r="D20" s="29" t="inlineStr">
        <is>
          <t>duksan</t>
        </is>
      </c>
      <c r="E20" s="29" t="inlineStr">
        <is>
          <t>317330</t>
        </is>
      </c>
      <c r="F20" s="29" t="inlineStr">
        <is>
          <t>2021</t>
        </is>
      </c>
      <c r="G20" s="29" t="inlineStr">
        <is>
          <t>CFS</t>
        </is>
      </c>
      <c r="H20" s="29" t="inlineStr">
        <is>
          <t>BS</t>
        </is>
      </c>
      <c r="I20" s="29" t="inlineStr">
        <is>
          <t>재무상태표</t>
        </is>
      </c>
      <c r="J20" s="29" t="inlineStr">
        <is>
          <t>dart_ShortTermTradePayables</t>
        </is>
      </c>
      <c r="K20" s="29" t="inlineStr">
        <is>
          <t>매입채무</t>
        </is>
      </c>
      <c r="L20" s="29" t="inlineStr">
        <is>
          <t>-</t>
        </is>
      </c>
      <c r="M20" s="29" t="inlineStr">
        <is>
          <t>제 16 기</t>
        </is>
      </c>
      <c r="N20" s="29" t="inlineStr">
        <is>
          <t>2113125804.0</t>
        </is>
      </c>
      <c r="O20" s="29" t="inlineStr">
        <is>
          <t>2265117228.0</t>
        </is>
      </c>
      <c r="P20" s="29" t="inlineStr">
        <is>
          <t>KRW</t>
        </is>
      </c>
      <c r="Q20" s="29" t="inlineStr">
        <is>
          <t>19</t>
        </is>
      </c>
    </row>
    <row r="21" ht="24" customHeight="1">
      <c r="A21" s="24" t="inlineStr">
        <is>
          <t>OpenDART_fnlttSinglAcntAll</t>
        </is>
      </c>
      <c r="B21" s="24" t="inlineStr">
        <is>
          <t>01021666</t>
        </is>
      </c>
      <c r="C21" s="24" t="inlineStr">
        <is>
          <t>덕산테코피아</t>
        </is>
      </c>
      <c r="D21" s="24" t="inlineStr">
        <is>
          <t>duksan</t>
        </is>
      </c>
      <c r="E21" s="24" t="inlineStr">
        <is>
          <t>317330</t>
        </is>
      </c>
      <c r="F21" s="24" t="inlineStr">
        <is>
          <t>2021</t>
        </is>
      </c>
      <c r="G21" s="24" t="inlineStr">
        <is>
          <t>CFS</t>
        </is>
      </c>
      <c r="H21" s="24" t="inlineStr">
        <is>
          <t>BS</t>
        </is>
      </c>
      <c r="I21" s="24" t="inlineStr">
        <is>
          <t>재무상태표</t>
        </is>
      </c>
      <c r="J21" s="24" t="inlineStr">
        <is>
          <t>ifrs-full_TradeAndOtherCurrentPayables</t>
        </is>
      </c>
      <c r="K21" s="24" t="inlineStr">
        <is>
          <t>기타유동채무</t>
        </is>
      </c>
      <c r="L21" s="24" t="inlineStr">
        <is>
          <t>-</t>
        </is>
      </c>
      <c r="M21" s="24" t="inlineStr">
        <is>
          <t>제 16 기</t>
        </is>
      </c>
      <c r="N21" s="24" t="inlineStr">
        <is>
          <t>11961414737.0</t>
        </is>
      </c>
      <c r="O21" s="24" t="inlineStr">
        <is>
          <t>4728891914.0</t>
        </is>
      </c>
      <c r="P21" s="24" t="inlineStr">
        <is>
          <t>KRW</t>
        </is>
      </c>
      <c r="Q21" s="24" t="inlineStr">
        <is>
          <t>20</t>
        </is>
      </c>
    </row>
    <row r="22" ht="24" customHeight="1">
      <c r="A22" s="29" t="inlineStr">
        <is>
          <t>OpenDART_fnlttSinglAcntAll</t>
        </is>
      </c>
      <c r="B22" s="29" t="inlineStr">
        <is>
          <t>01021666</t>
        </is>
      </c>
      <c r="C22" s="29" t="inlineStr">
        <is>
          <t>덕산테코피아</t>
        </is>
      </c>
      <c r="D22" s="29" t="inlineStr">
        <is>
          <t>duksan</t>
        </is>
      </c>
      <c r="E22" s="29" t="inlineStr">
        <is>
          <t>317330</t>
        </is>
      </c>
      <c r="F22" s="29" t="inlineStr">
        <is>
          <t>2021</t>
        </is>
      </c>
      <c r="G22" s="29" t="inlineStr">
        <is>
          <t>CFS</t>
        </is>
      </c>
      <c r="H22" s="29" t="inlineStr">
        <is>
          <t>BS</t>
        </is>
      </c>
      <c r="I22" s="29" t="inlineStr">
        <is>
          <t>재무상태표</t>
        </is>
      </c>
      <c r="J22" s="29" t="inlineStr">
        <is>
          <t>ifrs-full_CurrentPortionOfLongtermBorrowings</t>
        </is>
      </c>
      <c r="K22" s="29" t="inlineStr">
        <is>
          <t>차입금</t>
        </is>
      </c>
      <c r="L22" s="29" t="inlineStr">
        <is>
          <t>-</t>
        </is>
      </c>
      <c r="M22" s="29" t="inlineStr">
        <is>
          <t>제 16 기</t>
        </is>
      </c>
      <c r="N22" s="29" t="inlineStr">
        <is>
          <t>1180831000.0</t>
        </is>
      </c>
      <c r="O22" s="29" t="inlineStr">
        <is>
          <t>1120000000.0</t>
        </is>
      </c>
      <c r="P22" s="29" t="inlineStr">
        <is>
          <t>KRW</t>
        </is>
      </c>
      <c r="Q22" s="29" t="inlineStr">
        <is>
          <t>21</t>
        </is>
      </c>
    </row>
    <row r="23" ht="24" customHeight="1">
      <c r="A23" s="24" t="inlineStr">
        <is>
          <t>OpenDART_fnlttSinglAcntAll</t>
        </is>
      </c>
      <c r="B23" s="24" t="inlineStr">
        <is>
          <t>01021666</t>
        </is>
      </c>
      <c r="C23" s="24" t="inlineStr">
        <is>
          <t>덕산테코피아</t>
        </is>
      </c>
      <c r="D23" s="24" t="inlineStr">
        <is>
          <t>duksan</t>
        </is>
      </c>
      <c r="E23" s="24" t="inlineStr">
        <is>
          <t>317330</t>
        </is>
      </c>
      <c r="F23" s="24" t="inlineStr">
        <is>
          <t>2021</t>
        </is>
      </c>
      <c r="G23" s="24" t="inlineStr">
        <is>
          <t>CFS</t>
        </is>
      </c>
      <c r="H23" s="24" t="inlineStr">
        <is>
          <t>BS</t>
        </is>
      </c>
      <c r="I23" s="24" t="inlineStr">
        <is>
          <t>재무상태표</t>
        </is>
      </c>
      <c r="J23" s="24" t="inlineStr">
        <is>
          <t>dart_OtherCurrentLiabilities</t>
        </is>
      </c>
      <c r="K23" s="24" t="inlineStr">
        <is>
          <t>기타유동부채</t>
        </is>
      </c>
      <c r="L23" s="24" t="inlineStr">
        <is>
          <t>-</t>
        </is>
      </c>
      <c r="M23" s="24" t="inlineStr">
        <is>
          <t>제 16 기</t>
        </is>
      </c>
      <c r="N23" s="24" t="inlineStr">
        <is>
          <t>312082258.0</t>
        </is>
      </c>
      <c r="O23" s="24" t="inlineStr">
        <is>
          <t>512360241.0</t>
        </is>
      </c>
      <c r="P23" s="24" t="inlineStr">
        <is>
          <t>KRW</t>
        </is>
      </c>
      <c r="Q23" s="24" t="inlineStr">
        <is>
          <t>22</t>
        </is>
      </c>
    </row>
    <row r="24" ht="24" customHeight="1">
      <c r="A24" s="29" t="inlineStr">
        <is>
          <t>OpenDART_fnlttSinglAcntAll</t>
        </is>
      </c>
      <c r="B24" s="29" t="inlineStr">
        <is>
          <t>01021666</t>
        </is>
      </c>
      <c r="C24" s="29" t="inlineStr">
        <is>
          <t>덕산테코피아</t>
        </is>
      </c>
      <c r="D24" s="29" t="inlineStr">
        <is>
          <t>duksan</t>
        </is>
      </c>
      <c r="E24" s="29" t="inlineStr">
        <is>
          <t>317330</t>
        </is>
      </c>
      <c r="F24" s="29" t="inlineStr">
        <is>
          <t>2021</t>
        </is>
      </c>
      <c r="G24" s="29" t="inlineStr">
        <is>
          <t>CFS</t>
        </is>
      </c>
      <c r="H24" s="29" t="inlineStr">
        <is>
          <t>BS</t>
        </is>
      </c>
      <c r="I24" s="29" t="inlineStr">
        <is>
          <t>재무상태표</t>
        </is>
      </c>
      <c r="J24" s="29" t="inlineStr">
        <is>
          <t>ifrs-full_CurrentTaxLiabilities</t>
        </is>
      </c>
      <c r="K24" s="29" t="inlineStr">
        <is>
          <t>당기법인세부채</t>
        </is>
      </c>
      <c r="L24" s="29" t="inlineStr">
        <is>
          <t>-</t>
        </is>
      </c>
      <c r="M24" s="29" t="inlineStr">
        <is>
          <t>제 16 기</t>
        </is>
      </c>
      <c r="N24" s="29" t="inlineStr">
        <is>
          <t>2026951980.0</t>
        </is>
      </c>
      <c r="O24" s="29" t="inlineStr">
        <is>
          <t>900820634.0</t>
        </is>
      </c>
      <c r="P24" s="29" t="inlineStr">
        <is>
          <t>KRW</t>
        </is>
      </c>
      <c r="Q24" s="29" t="inlineStr">
        <is>
          <t>23</t>
        </is>
      </c>
    </row>
    <row r="25" ht="24" customHeight="1">
      <c r="A25" s="24" t="inlineStr">
        <is>
          <t>OpenDART_fnlttSinglAcntAll</t>
        </is>
      </c>
      <c r="B25" s="24" t="inlineStr">
        <is>
          <t>01021666</t>
        </is>
      </c>
      <c r="C25" s="24" t="inlineStr">
        <is>
          <t>덕산테코피아</t>
        </is>
      </c>
      <c r="D25" s="24" t="inlineStr">
        <is>
          <t>duksan</t>
        </is>
      </c>
      <c r="E25" s="24" t="inlineStr">
        <is>
          <t>317330</t>
        </is>
      </c>
      <c r="F25" s="24" t="inlineStr">
        <is>
          <t>2021</t>
        </is>
      </c>
      <c r="G25" s="24" t="inlineStr">
        <is>
          <t>CFS</t>
        </is>
      </c>
      <c r="H25" s="24" t="inlineStr">
        <is>
          <t>BS</t>
        </is>
      </c>
      <c r="I25" s="24" t="inlineStr">
        <is>
          <t>재무상태표</t>
        </is>
      </c>
      <c r="J25" s="24" t="inlineStr">
        <is>
          <t>ifrs-full_NoncurrentLiabilities</t>
        </is>
      </c>
      <c r="K25" s="24" t="inlineStr">
        <is>
          <t>비유동부채</t>
        </is>
      </c>
      <c r="L25" s="24" t="inlineStr">
        <is>
          <t>-</t>
        </is>
      </c>
      <c r="M25" s="24" t="inlineStr">
        <is>
          <t>제 16 기</t>
        </is>
      </c>
      <c r="N25" s="24" t="inlineStr">
        <is>
          <t>53754578287.0</t>
        </is>
      </c>
      <c r="O25" s="24" t="inlineStr">
        <is>
          <t>2906262305.0</t>
        </is>
      </c>
      <c r="P25" s="24" t="inlineStr">
        <is>
          <t>KRW</t>
        </is>
      </c>
      <c r="Q25" s="24" t="inlineStr">
        <is>
          <t>24</t>
        </is>
      </c>
    </row>
    <row r="26" ht="24" customHeight="1">
      <c r="A26" s="29" t="inlineStr">
        <is>
          <t>OpenDART_fnlttSinglAcntAll</t>
        </is>
      </c>
      <c r="B26" s="29" t="inlineStr">
        <is>
          <t>01021666</t>
        </is>
      </c>
      <c r="C26" s="29" t="inlineStr">
        <is>
          <t>덕산테코피아</t>
        </is>
      </c>
      <c r="D26" s="29" t="inlineStr">
        <is>
          <t>duksan</t>
        </is>
      </c>
      <c r="E26" s="29" t="inlineStr">
        <is>
          <t>317330</t>
        </is>
      </c>
      <c r="F26" s="29" t="inlineStr">
        <is>
          <t>2021</t>
        </is>
      </c>
      <c r="G26" s="29" t="inlineStr">
        <is>
          <t>CFS</t>
        </is>
      </c>
      <c r="H26" s="29" t="inlineStr">
        <is>
          <t>BS</t>
        </is>
      </c>
      <c r="I26" s="29" t="inlineStr">
        <is>
          <t>재무상태표</t>
        </is>
      </c>
      <c r="J26" s="29" t="inlineStr">
        <is>
          <t>dart_LongTermTradeAndOtherNonCurrentPayables</t>
        </is>
      </c>
      <c r="K26" s="29" t="inlineStr">
        <is>
          <t>기타비유동채무</t>
        </is>
      </c>
      <c r="L26" s="29" t="inlineStr">
        <is>
          <t>-</t>
        </is>
      </c>
      <c r="M26" s="29" t="inlineStr">
        <is>
          <t>제 16 기</t>
        </is>
      </c>
      <c r="N26" s="29" t="inlineStr">
        <is>
          <t>12293772516.0</t>
        </is>
      </c>
      <c r="O26" s="29" t="inlineStr">
        <is>
          <t>405513340.0</t>
        </is>
      </c>
      <c r="P26" s="29" t="inlineStr">
        <is>
          <t>KRW</t>
        </is>
      </c>
      <c r="Q26" s="29" t="inlineStr">
        <is>
          <t>25</t>
        </is>
      </c>
    </row>
    <row r="27" ht="24" customHeight="1">
      <c r="A27" s="24" t="inlineStr">
        <is>
          <t>OpenDART_fnlttSinglAcntAll</t>
        </is>
      </c>
      <c r="B27" s="24" t="inlineStr">
        <is>
          <t>01021666</t>
        </is>
      </c>
      <c r="C27" s="24" t="inlineStr">
        <is>
          <t>덕산테코피아</t>
        </is>
      </c>
      <c r="D27" s="24" t="inlineStr">
        <is>
          <t>duksan</t>
        </is>
      </c>
      <c r="E27" s="24" t="inlineStr">
        <is>
          <t>317330</t>
        </is>
      </c>
      <c r="F27" s="24" t="inlineStr">
        <is>
          <t>2021</t>
        </is>
      </c>
      <c r="G27" s="24" t="inlineStr">
        <is>
          <t>CFS</t>
        </is>
      </c>
      <c r="H27" s="24" t="inlineStr">
        <is>
          <t>BS</t>
        </is>
      </c>
      <c r="I27" s="24" t="inlineStr">
        <is>
          <t>재무상태표</t>
        </is>
      </c>
      <c r="J27" s="24" t="inlineStr">
        <is>
          <t>dart_LongTermBorrowingsGross</t>
        </is>
      </c>
      <c r="K27" s="24" t="inlineStr">
        <is>
          <t>장기차입금</t>
        </is>
      </c>
      <c r="L27" s="24" t="inlineStr">
        <is>
          <t>-</t>
        </is>
      </c>
      <c r="M27" s="24" t="inlineStr">
        <is>
          <t>제 16 기</t>
        </is>
      </c>
      <c r="N27" s="24" t="inlineStr">
        <is>
          <t>180000000.0</t>
        </is>
      </c>
      <c r="O27" s="24" t="inlineStr">
        <is>
          <t>1424155000.0</t>
        </is>
      </c>
      <c r="P27" s="24" t="inlineStr">
        <is>
          <t>KRW</t>
        </is>
      </c>
      <c r="Q27" s="24" t="inlineStr">
        <is>
          <t>26</t>
        </is>
      </c>
    </row>
    <row r="28" ht="24" customHeight="1">
      <c r="A28" s="29" t="inlineStr">
        <is>
          <t>OpenDART_fnlttSinglAcntAll</t>
        </is>
      </c>
      <c r="B28" s="29" t="inlineStr">
        <is>
          <t>01021666</t>
        </is>
      </c>
      <c r="C28" s="29" t="inlineStr">
        <is>
          <t>덕산테코피아</t>
        </is>
      </c>
      <c r="D28" s="29" t="inlineStr">
        <is>
          <t>duksan</t>
        </is>
      </c>
      <c r="E28" s="29" t="inlineStr">
        <is>
          <t>317330</t>
        </is>
      </c>
      <c r="F28" s="29" t="inlineStr">
        <is>
          <t>2021</t>
        </is>
      </c>
      <c r="G28" s="29" t="inlineStr">
        <is>
          <t>CFS</t>
        </is>
      </c>
      <c r="H28" s="29" t="inlineStr">
        <is>
          <t>BS</t>
        </is>
      </c>
      <c r="I28" s="29" t="inlineStr">
        <is>
          <t>재무상태표</t>
        </is>
      </c>
      <c r="J28" s="29" t="inlineStr">
        <is>
          <t>dart_ConvertibleBonds</t>
        </is>
      </c>
      <c r="K28" s="29" t="inlineStr">
        <is>
          <t>전환사채</t>
        </is>
      </c>
      <c r="L28" s="29" t="inlineStr">
        <is>
          <t>-</t>
        </is>
      </c>
      <c r="M28" s="29" t="inlineStr">
        <is>
          <t>제 16 기</t>
        </is>
      </c>
      <c r="N28" s="29" t="inlineStr">
        <is>
          <t>40583670136.0</t>
        </is>
      </c>
      <c r="O28" s="29" t="inlineStr">
        <is>
          <t>0.0</t>
        </is>
      </c>
      <c r="P28" s="29" t="inlineStr">
        <is>
          <t>KRW</t>
        </is>
      </c>
      <c r="Q28" s="29" t="inlineStr">
        <is>
          <t>27</t>
        </is>
      </c>
    </row>
    <row r="29" ht="24" customHeight="1">
      <c r="A29" s="24" t="inlineStr">
        <is>
          <t>OpenDART_fnlttSinglAcntAll</t>
        </is>
      </c>
      <c r="B29" s="24" t="inlineStr">
        <is>
          <t>01021666</t>
        </is>
      </c>
      <c r="C29" s="24" t="inlineStr">
        <is>
          <t>덕산테코피아</t>
        </is>
      </c>
      <c r="D29" s="24" t="inlineStr">
        <is>
          <t>duksan</t>
        </is>
      </c>
      <c r="E29" s="24" t="inlineStr">
        <is>
          <t>317330</t>
        </is>
      </c>
      <c r="F29" s="24" t="inlineStr">
        <is>
          <t>2021</t>
        </is>
      </c>
      <c r="G29" s="24" t="inlineStr">
        <is>
          <t>CFS</t>
        </is>
      </c>
      <c r="H29" s="24" t="inlineStr">
        <is>
          <t>BS</t>
        </is>
      </c>
      <c r="I29" s="24" t="inlineStr">
        <is>
          <t>재무상태표</t>
        </is>
      </c>
      <c r="J29" s="24" t="inlineStr">
        <is>
          <t>dart_PostemploymentBenefitObligations</t>
        </is>
      </c>
      <c r="K29" s="24" t="inlineStr">
        <is>
          <t>확정급여부채</t>
        </is>
      </c>
      <c r="L29" s="24" t="inlineStr">
        <is>
          <t>-</t>
        </is>
      </c>
      <c r="M29" s="24" t="inlineStr">
        <is>
          <t>제 16 기</t>
        </is>
      </c>
      <c r="N29" s="24" t="inlineStr">
        <is>
          <t>376616564.0</t>
        </is>
      </c>
      <c r="O29" s="24" t="inlineStr">
        <is>
          <t>829257004.0</t>
        </is>
      </c>
      <c r="P29" s="24" t="inlineStr">
        <is>
          <t>KRW</t>
        </is>
      </c>
      <c r="Q29" s="24" t="inlineStr">
        <is>
          <t>28</t>
        </is>
      </c>
    </row>
    <row r="30" ht="24" customHeight="1">
      <c r="A30" s="29" t="inlineStr">
        <is>
          <t>OpenDART_fnlttSinglAcntAll</t>
        </is>
      </c>
      <c r="B30" s="29" t="inlineStr">
        <is>
          <t>01021666</t>
        </is>
      </c>
      <c r="C30" s="29" t="inlineStr">
        <is>
          <t>덕산테코피아</t>
        </is>
      </c>
      <c r="D30" s="29" t="inlineStr">
        <is>
          <t>duksan</t>
        </is>
      </c>
      <c r="E30" s="29" t="inlineStr">
        <is>
          <t>317330</t>
        </is>
      </c>
      <c r="F30" s="29" t="inlineStr">
        <is>
          <t>2021</t>
        </is>
      </c>
      <c r="G30" s="29" t="inlineStr">
        <is>
          <t>CFS</t>
        </is>
      </c>
      <c r="H30" s="29" t="inlineStr">
        <is>
          <t>BS</t>
        </is>
      </c>
      <c r="I30" s="29" t="inlineStr">
        <is>
          <t>재무상태표</t>
        </is>
      </c>
      <c r="J30" s="29" t="inlineStr">
        <is>
          <t>dart_OtherNonCurrentLiabilities</t>
        </is>
      </c>
      <c r="K30" s="29" t="inlineStr">
        <is>
          <t>기타비유동부채</t>
        </is>
      </c>
      <c r="L30" s="29" t="inlineStr">
        <is>
          <t>-</t>
        </is>
      </c>
      <c r="M30" s="29" t="inlineStr">
        <is>
          <t>제 16 기</t>
        </is>
      </c>
      <c r="N30" s="29" t="inlineStr">
        <is>
          <t>320519071.0</t>
        </is>
      </c>
      <c r="O30" s="29" t="inlineStr">
        <is>
          <t>247336961.0</t>
        </is>
      </c>
      <c r="P30" s="29" t="inlineStr">
        <is>
          <t>KRW</t>
        </is>
      </c>
      <c r="Q30" s="29" t="inlineStr">
        <is>
          <t>29</t>
        </is>
      </c>
    </row>
    <row r="31" ht="24" customHeight="1">
      <c r="A31" s="24" t="inlineStr">
        <is>
          <t>OpenDART_fnlttSinglAcntAll</t>
        </is>
      </c>
      <c r="B31" s="24" t="inlineStr">
        <is>
          <t>01021666</t>
        </is>
      </c>
      <c r="C31" s="24" t="inlineStr">
        <is>
          <t>덕산테코피아</t>
        </is>
      </c>
      <c r="D31" s="24" t="inlineStr">
        <is>
          <t>duksan</t>
        </is>
      </c>
      <c r="E31" s="24" t="inlineStr">
        <is>
          <t>317330</t>
        </is>
      </c>
      <c r="F31" s="24" t="inlineStr">
        <is>
          <t>2021</t>
        </is>
      </c>
      <c r="G31" s="24" t="inlineStr">
        <is>
          <t>CFS</t>
        </is>
      </c>
      <c r="H31" s="24" t="inlineStr">
        <is>
          <t>BS</t>
        </is>
      </c>
      <c r="I31" s="24" t="inlineStr">
        <is>
          <t>재무상태표</t>
        </is>
      </c>
      <c r="J31" s="24" t="inlineStr">
        <is>
          <t>ifrs-full_Liabilities</t>
        </is>
      </c>
      <c r="K31" s="24" t="inlineStr">
        <is>
          <t>부채총계</t>
        </is>
      </c>
      <c r="L31" s="24" t="inlineStr">
        <is>
          <t>-</t>
        </is>
      </c>
      <c r="M31" s="24" t="inlineStr">
        <is>
          <t>제 16 기</t>
        </is>
      </c>
      <c r="N31" s="24" t="inlineStr">
        <is>
          <t>71348984066.0</t>
        </is>
      </c>
      <c r="O31" s="24" t="inlineStr">
        <is>
          <t>12433452322.0</t>
        </is>
      </c>
      <c r="P31" s="24" t="inlineStr">
        <is>
          <t>KRW</t>
        </is>
      </c>
      <c r="Q31" s="24" t="inlineStr">
        <is>
          <t>30</t>
        </is>
      </c>
    </row>
    <row r="32" ht="24" customHeight="1">
      <c r="A32" s="29" t="inlineStr">
        <is>
          <t>OpenDART_fnlttSinglAcntAll</t>
        </is>
      </c>
      <c r="B32" s="29" t="inlineStr">
        <is>
          <t>01021666</t>
        </is>
      </c>
      <c r="C32" s="29" t="inlineStr">
        <is>
          <t>덕산테코피아</t>
        </is>
      </c>
      <c r="D32" s="29" t="inlineStr">
        <is>
          <t>duksan</t>
        </is>
      </c>
      <c r="E32" s="29" t="inlineStr">
        <is>
          <t>317330</t>
        </is>
      </c>
      <c r="F32" s="29" t="inlineStr">
        <is>
          <t>2021</t>
        </is>
      </c>
      <c r="G32" s="29" t="inlineStr">
        <is>
          <t>CFS</t>
        </is>
      </c>
      <c r="H32" s="29" t="inlineStr">
        <is>
          <t>BS</t>
        </is>
      </c>
      <c r="I32" s="29" t="inlineStr">
        <is>
          <t>재무상태표</t>
        </is>
      </c>
      <c r="J32" s="29" t="inlineStr">
        <is>
          <t>ifrs-full_EquityAttributableToOwnersOfParent</t>
        </is>
      </c>
      <c r="K32" s="29" t="inlineStr">
        <is>
          <t>지배기업의 소유주지분</t>
        </is>
      </c>
      <c r="L32" s="29" t="inlineStr">
        <is>
          <t>-</t>
        </is>
      </c>
      <c r="M32" s="29" t="inlineStr">
        <is>
          <t>제 16 기</t>
        </is>
      </c>
      <c r="N32" s="29" t="inlineStr">
        <is>
          <t>172319220642.0</t>
        </is>
      </c>
      <c r="O32" s="29" t="inlineStr">
        <is>
          <t>157238476284.0</t>
        </is>
      </c>
      <c r="P32" s="29" t="inlineStr">
        <is>
          <t>KRW</t>
        </is>
      </c>
      <c r="Q32" s="29" t="inlineStr">
        <is>
          <t>32</t>
        </is>
      </c>
    </row>
    <row r="33" ht="24" customHeight="1">
      <c r="A33" s="24" t="inlineStr">
        <is>
          <t>OpenDART_fnlttSinglAcntAll</t>
        </is>
      </c>
      <c r="B33" s="24" t="inlineStr">
        <is>
          <t>01021666</t>
        </is>
      </c>
      <c r="C33" s="24" t="inlineStr">
        <is>
          <t>덕산테코피아</t>
        </is>
      </c>
      <c r="D33" s="24" t="inlineStr">
        <is>
          <t>duksan</t>
        </is>
      </c>
      <c r="E33" s="24" t="inlineStr">
        <is>
          <t>317330</t>
        </is>
      </c>
      <c r="F33" s="24" t="inlineStr">
        <is>
          <t>2021</t>
        </is>
      </c>
      <c r="G33" s="24" t="inlineStr">
        <is>
          <t>CFS</t>
        </is>
      </c>
      <c r="H33" s="24" t="inlineStr">
        <is>
          <t>BS</t>
        </is>
      </c>
      <c r="I33" s="24" t="inlineStr">
        <is>
          <t>재무상태표</t>
        </is>
      </c>
      <c r="J33" s="24" t="inlineStr">
        <is>
          <t>ifrs-full_IssuedCapital</t>
        </is>
      </c>
      <c r="K33" s="24" t="inlineStr">
        <is>
          <t>자본금</t>
        </is>
      </c>
      <c r="L33" s="24" t="inlineStr">
        <is>
          <t>-</t>
        </is>
      </c>
      <c r="M33" s="24" t="inlineStr">
        <is>
          <t>제 16 기</t>
        </is>
      </c>
      <c r="N33" s="24" t="inlineStr">
        <is>
          <t>9188714000.0</t>
        </is>
      </c>
      <c r="O33" s="24" t="inlineStr">
        <is>
          <t>9188714000.0</t>
        </is>
      </c>
      <c r="P33" s="24" t="inlineStr">
        <is>
          <t>KRW</t>
        </is>
      </c>
      <c r="Q33" s="24" t="inlineStr">
        <is>
          <t>33</t>
        </is>
      </c>
    </row>
    <row r="34" ht="24" customHeight="1">
      <c r="A34" s="29" t="inlineStr">
        <is>
          <t>OpenDART_fnlttSinglAcntAll</t>
        </is>
      </c>
      <c r="B34" s="29" t="inlineStr">
        <is>
          <t>01021666</t>
        </is>
      </c>
      <c r="C34" s="29" t="inlineStr">
        <is>
          <t>덕산테코피아</t>
        </is>
      </c>
      <c r="D34" s="29" t="inlineStr">
        <is>
          <t>duksan</t>
        </is>
      </c>
      <c r="E34" s="29" t="inlineStr">
        <is>
          <t>317330</t>
        </is>
      </c>
      <c r="F34" s="29" t="inlineStr">
        <is>
          <t>2021</t>
        </is>
      </c>
      <c r="G34" s="29" t="inlineStr">
        <is>
          <t>CFS</t>
        </is>
      </c>
      <c r="H34" s="29" t="inlineStr">
        <is>
          <t>BS</t>
        </is>
      </c>
      <c r="I34" s="29" t="inlineStr">
        <is>
          <t>재무상태표</t>
        </is>
      </c>
      <c r="J34" s="29" t="inlineStr">
        <is>
          <t>dart_CapitalSurplus</t>
        </is>
      </c>
      <c r="K34" s="29" t="inlineStr">
        <is>
          <t>자본잉여금</t>
        </is>
      </c>
      <c r="L34" s="29" t="inlineStr">
        <is>
          <t>-</t>
        </is>
      </c>
      <c r="M34" s="29" t="inlineStr">
        <is>
          <t>제 16 기</t>
        </is>
      </c>
      <c r="N34" s="29" t="inlineStr">
        <is>
          <t>76341122976.0</t>
        </is>
      </c>
      <c r="O34" s="29" t="inlineStr">
        <is>
          <t>76508172779.0</t>
        </is>
      </c>
      <c r="P34" s="29" t="inlineStr">
        <is>
          <t>KRW</t>
        </is>
      </c>
      <c r="Q34" s="29" t="inlineStr">
        <is>
          <t>34</t>
        </is>
      </c>
    </row>
    <row r="35" ht="24" customHeight="1">
      <c r="A35" s="24" t="inlineStr">
        <is>
          <t>OpenDART_fnlttSinglAcntAll</t>
        </is>
      </c>
      <c r="B35" s="24" t="inlineStr">
        <is>
          <t>01021666</t>
        </is>
      </c>
      <c r="C35" s="24" t="inlineStr">
        <is>
          <t>덕산테코피아</t>
        </is>
      </c>
      <c r="D35" s="24" t="inlineStr">
        <is>
          <t>duksan</t>
        </is>
      </c>
      <c r="E35" s="24" t="inlineStr">
        <is>
          <t>317330</t>
        </is>
      </c>
      <c r="F35" s="24" t="inlineStr">
        <is>
          <t>2021</t>
        </is>
      </c>
      <c r="G35" s="24" t="inlineStr">
        <is>
          <t>CFS</t>
        </is>
      </c>
      <c r="H35" s="24" t="inlineStr">
        <is>
          <t>BS</t>
        </is>
      </c>
      <c r="I35" s="24" t="inlineStr">
        <is>
          <t>재무상태표</t>
        </is>
      </c>
      <c r="J35" s="24" t="inlineStr">
        <is>
          <t>dart_ElementsOfOtherStockholdersEquity</t>
        </is>
      </c>
      <c r="K35" s="24" t="inlineStr">
        <is>
          <t>기타자본항목</t>
        </is>
      </c>
      <c r="L35" s="24" t="inlineStr">
        <is>
          <t>-</t>
        </is>
      </c>
      <c r="M35" s="24" t="inlineStr">
        <is>
          <t>제 16 기</t>
        </is>
      </c>
      <c r="N35" s="24" t="inlineStr">
        <is>
          <t>-3825475372.0</t>
        </is>
      </c>
      <c r="O35" s="24" t="inlineStr">
        <is>
          <t>-1034412124.0</t>
        </is>
      </c>
      <c r="P35" s="24" t="inlineStr">
        <is>
          <t>KRW</t>
        </is>
      </c>
      <c r="Q35" s="24" t="inlineStr">
        <is>
          <t>35</t>
        </is>
      </c>
    </row>
    <row r="36" ht="24" customHeight="1">
      <c r="A36" s="29" t="inlineStr">
        <is>
          <t>OpenDART_fnlttSinglAcntAll</t>
        </is>
      </c>
      <c r="B36" s="29" t="inlineStr">
        <is>
          <t>01021666</t>
        </is>
      </c>
      <c r="C36" s="29" t="inlineStr">
        <is>
          <t>덕산테코피아</t>
        </is>
      </c>
      <c r="D36" s="29" t="inlineStr">
        <is>
          <t>duksan</t>
        </is>
      </c>
      <c r="E36" s="29" t="inlineStr">
        <is>
          <t>317330</t>
        </is>
      </c>
      <c r="F36" s="29" t="inlineStr">
        <is>
          <t>2021</t>
        </is>
      </c>
      <c r="G36" s="29" t="inlineStr">
        <is>
          <t>CFS</t>
        </is>
      </c>
      <c r="H36" s="29" t="inlineStr">
        <is>
          <t>BS</t>
        </is>
      </c>
      <c r="I36" s="29" t="inlineStr">
        <is>
          <t>재무상태표</t>
        </is>
      </c>
      <c r="J36" s="29" t="inlineStr">
        <is>
          <t>ifrs-full_RetainedEarnings</t>
        </is>
      </c>
      <c r="K36" s="29" t="inlineStr">
        <is>
          <t>이익잉여금</t>
        </is>
      </c>
      <c r="L36" s="29" t="inlineStr">
        <is>
          <t>-</t>
        </is>
      </c>
      <c r="M36" s="29" t="inlineStr">
        <is>
          <t>제 16 기</t>
        </is>
      </c>
      <c r="N36" s="29" t="inlineStr">
        <is>
          <t>90614859038.0</t>
        </is>
      </c>
      <c r="O36" s="29" t="inlineStr">
        <is>
          <t>72576001629.0</t>
        </is>
      </c>
      <c r="P36" s="29" t="inlineStr">
        <is>
          <t>KRW</t>
        </is>
      </c>
      <c r="Q36" s="29" t="inlineStr">
        <is>
          <t>36</t>
        </is>
      </c>
    </row>
    <row r="37" ht="24" customHeight="1">
      <c r="A37" s="24" t="inlineStr">
        <is>
          <t>OpenDART_fnlttSinglAcntAll</t>
        </is>
      </c>
      <c r="B37" s="24" t="inlineStr">
        <is>
          <t>01021666</t>
        </is>
      </c>
      <c r="C37" s="24" t="inlineStr">
        <is>
          <t>덕산테코피아</t>
        </is>
      </c>
      <c r="D37" s="24" t="inlineStr">
        <is>
          <t>duksan</t>
        </is>
      </c>
      <c r="E37" s="24" t="inlineStr">
        <is>
          <t>317330</t>
        </is>
      </c>
      <c r="F37" s="24" t="inlineStr">
        <is>
          <t>2021</t>
        </is>
      </c>
      <c r="G37" s="24" t="inlineStr">
        <is>
          <t>CFS</t>
        </is>
      </c>
      <c r="H37" s="24" t="inlineStr">
        <is>
          <t>BS</t>
        </is>
      </c>
      <c r="I37" s="24" t="inlineStr">
        <is>
          <t>재무상태표</t>
        </is>
      </c>
      <c r="J37" s="24" t="inlineStr">
        <is>
          <t>ifrs-full_NoncontrollingInterests</t>
        </is>
      </c>
      <c r="K37" s="24" t="inlineStr">
        <is>
          <t>비지배지분</t>
        </is>
      </c>
      <c r="L37" s="24" t="inlineStr">
        <is>
          <t>-</t>
        </is>
      </c>
      <c r="M37" s="24" t="inlineStr">
        <is>
          <t>제 16 기</t>
        </is>
      </c>
      <c r="N37" s="24" t="inlineStr">
        <is>
          <t>667724256.0</t>
        </is>
      </c>
      <c r="O37" s="24" t="inlineStr">
        <is>
          <t>779189009.0</t>
        </is>
      </c>
      <c r="P37" s="24" t="inlineStr">
        <is>
          <t>KRW</t>
        </is>
      </c>
      <c r="Q37" s="24" t="inlineStr">
        <is>
          <t>37</t>
        </is>
      </c>
    </row>
    <row r="38" ht="24" customHeight="1">
      <c r="A38" s="29" t="inlineStr">
        <is>
          <t>OpenDART_fnlttSinglAcntAll</t>
        </is>
      </c>
      <c r="B38" s="29" t="inlineStr">
        <is>
          <t>01021666</t>
        </is>
      </c>
      <c r="C38" s="29" t="inlineStr">
        <is>
          <t>덕산테코피아</t>
        </is>
      </c>
      <c r="D38" s="29" t="inlineStr">
        <is>
          <t>duksan</t>
        </is>
      </c>
      <c r="E38" s="29" t="inlineStr">
        <is>
          <t>317330</t>
        </is>
      </c>
      <c r="F38" s="29" t="inlineStr">
        <is>
          <t>2021</t>
        </is>
      </c>
      <c r="G38" s="29" t="inlineStr">
        <is>
          <t>CFS</t>
        </is>
      </c>
      <c r="H38" s="29" t="inlineStr">
        <is>
          <t>BS</t>
        </is>
      </c>
      <c r="I38" s="29" t="inlineStr">
        <is>
          <t>재무상태표</t>
        </is>
      </c>
      <c r="J38" s="29" t="inlineStr">
        <is>
          <t>ifrs-full_Equity</t>
        </is>
      </c>
      <c r="K38" s="29" t="inlineStr">
        <is>
          <t>자본총계</t>
        </is>
      </c>
      <c r="L38" s="29" t="inlineStr">
        <is>
          <t>-</t>
        </is>
      </c>
      <c r="M38" s="29" t="inlineStr">
        <is>
          <t>제 16 기</t>
        </is>
      </c>
      <c r="N38" s="29" t="inlineStr">
        <is>
          <t>172986944898.0</t>
        </is>
      </c>
      <c r="O38" s="29" t="inlineStr">
        <is>
          <t>158017665293.0</t>
        </is>
      </c>
      <c r="P38" s="29" t="inlineStr">
        <is>
          <t>KRW</t>
        </is>
      </c>
      <c r="Q38" s="29" t="inlineStr">
        <is>
          <t>38</t>
        </is>
      </c>
    </row>
    <row r="39" ht="24" customHeight="1">
      <c r="A39" s="24" t="inlineStr">
        <is>
          <t>OpenDART_fnlttSinglAcntAll</t>
        </is>
      </c>
      <c r="B39" s="24" t="inlineStr">
        <is>
          <t>01021666</t>
        </is>
      </c>
      <c r="C39" s="24" t="inlineStr">
        <is>
          <t>덕산테코피아</t>
        </is>
      </c>
      <c r="D39" s="24" t="inlineStr">
        <is>
          <t>duksan</t>
        </is>
      </c>
      <c r="E39" s="24" t="inlineStr">
        <is>
          <t>317330</t>
        </is>
      </c>
      <c r="F39" s="24" t="inlineStr">
        <is>
          <t>2021</t>
        </is>
      </c>
      <c r="G39" s="24" t="inlineStr">
        <is>
          <t>CFS</t>
        </is>
      </c>
      <c r="H39" s="24" t="inlineStr">
        <is>
          <t>BS</t>
        </is>
      </c>
      <c r="I39" s="24" t="inlineStr">
        <is>
          <t>재무상태표</t>
        </is>
      </c>
      <c r="J39" s="24" t="inlineStr">
        <is>
          <t>ifrs-full_EquityAndLiabilities</t>
        </is>
      </c>
      <c r="K39" s="24" t="inlineStr">
        <is>
          <t>자본과부채총계</t>
        </is>
      </c>
      <c r="L39" s="24" t="inlineStr">
        <is>
          <t>-</t>
        </is>
      </c>
      <c r="M39" s="24" t="inlineStr">
        <is>
          <t>제 16 기</t>
        </is>
      </c>
      <c r="N39" s="24" t="inlineStr">
        <is>
          <t>244335928964.0</t>
        </is>
      </c>
      <c r="O39" s="24" t="inlineStr">
        <is>
          <t>170451117615.0</t>
        </is>
      </c>
      <c r="P39" s="24" t="inlineStr">
        <is>
          <t>KRW</t>
        </is>
      </c>
      <c r="Q39" s="24" t="inlineStr">
        <is>
          <t>39</t>
        </is>
      </c>
    </row>
    <row r="40" ht="24" customHeight="1">
      <c r="A40" s="29" t="inlineStr">
        <is>
          <t>OpenDART_fnlttSinglAcntAll</t>
        </is>
      </c>
      <c r="B40" s="29" t="inlineStr">
        <is>
          <t>01021666</t>
        </is>
      </c>
      <c r="C40" s="29" t="inlineStr">
        <is>
          <t>덕산테코피아</t>
        </is>
      </c>
      <c r="D40" s="29" t="inlineStr">
        <is>
          <t>duksan</t>
        </is>
      </c>
      <c r="E40" s="29" t="inlineStr">
        <is>
          <t>317330</t>
        </is>
      </c>
      <c r="F40" s="29" t="inlineStr">
        <is>
          <t>2021</t>
        </is>
      </c>
      <c r="G40" s="29" t="inlineStr">
        <is>
          <t>CFS</t>
        </is>
      </c>
      <c r="H40" s="29" t="inlineStr">
        <is>
          <t>CIS</t>
        </is>
      </c>
      <c r="I40" s="29" t="inlineStr">
        <is>
          <t>포괄손익계산서</t>
        </is>
      </c>
      <c r="J40" s="29" t="inlineStr">
        <is>
          <t>ifrs-full_Revenue</t>
        </is>
      </c>
      <c r="K40" s="29" t="inlineStr">
        <is>
          <t>매출액</t>
        </is>
      </c>
      <c r="L40" s="29" t="inlineStr">
        <is>
          <t>-</t>
        </is>
      </c>
      <c r="M40" s="29" t="inlineStr">
        <is>
          <t>제 16 기</t>
        </is>
      </c>
      <c r="N40" s="29" t="inlineStr">
        <is>
          <t>112383155917.0</t>
        </is>
      </c>
      <c r="O40" s="29" t="inlineStr">
        <is>
          <t>78379152080.0</t>
        </is>
      </c>
      <c r="P40" s="29" t="inlineStr">
        <is>
          <t>KRW</t>
        </is>
      </c>
      <c r="Q40" s="29" t="inlineStr">
        <is>
          <t>0</t>
        </is>
      </c>
    </row>
    <row r="41" ht="24" customHeight="1">
      <c r="A41" s="24" t="inlineStr">
        <is>
          <t>OpenDART_fnlttSinglAcntAll</t>
        </is>
      </c>
      <c r="B41" s="24" t="inlineStr">
        <is>
          <t>01021666</t>
        </is>
      </c>
      <c r="C41" s="24" t="inlineStr">
        <is>
          <t>덕산테코피아</t>
        </is>
      </c>
      <c r="D41" s="24" t="inlineStr">
        <is>
          <t>duksan</t>
        </is>
      </c>
      <c r="E41" s="24" t="inlineStr">
        <is>
          <t>317330</t>
        </is>
      </c>
      <c r="F41" s="24" t="inlineStr">
        <is>
          <t>2021</t>
        </is>
      </c>
      <c r="G41" s="24" t="inlineStr">
        <is>
          <t>CFS</t>
        </is>
      </c>
      <c r="H41" s="24" t="inlineStr">
        <is>
          <t>CIS</t>
        </is>
      </c>
      <c r="I41" s="24" t="inlineStr">
        <is>
          <t>포괄손익계산서</t>
        </is>
      </c>
      <c r="J41" s="24" t="inlineStr">
        <is>
          <t>ifrs-full_CostOfSales</t>
        </is>
      </c>
      <c r="K41" s="24" t="inlineStr">
        <is>
          <t>매출원가</t>
        </is>
      </c>
      <c r="L41" s="24" t="inlineStr">
        <is>
          <t>-</t>
        </is>
      </c>
      <c r="M41" s="24" t="inlineStr">
        <is>
          <t>제 16 기</t>
        </is>
      </c>
      <c r="N41" s="24" t="inlineStr">
        <is>
          <t>72355169140.0</t>
        </is>
      </c>
      <c r="O41" s="24" t="inlineStr">
        <is>
          <t>48913430057.0</t>
        </is>
      </c>
      <c r="P41" s="24" t="inlineStr">
        <is>
          <t>KRW</t>
        </is>
      </c>
      <c r="Q41" s="24" t="inlineStr">
        <is>
          <t>1</t>
        </is>
      </c>
    </row>
    <row r="42" ht="24" customHeight="1">
      <c r="A42" s="29" t="inlineStr">
        <is>
          <t>OpenDART_fnlttSinglAcntAll</t>
        </is>
      </c>
      <c r="B42" s="29" t="inlineStr">
        <is>
          <t>01021666</t>
        </is>
      </c>
      <c r="C42" s="29" t="inlineStr">
        <is>
          <t>덕산테코피아</t>
        </is>
      </c>
      <c r="D42" s="29" t="inlineStr">
        <is>
          <t>duksan</t>
        </is>
      </c>
      <c r="E42" s="29" t="inlineStr">
        <is>
          <t>317330</t>
        </is>
      </c>
      <c r="F42" s="29" t="inlineStr">
        <is>
          <t>2021</t>
        </is>
      </c>
      <c r="G42" s="29" t="inlineStr">
        <is>
          <t>CFS</t>
        </is>
      </c>
      <c r="H42" s="29" t="inlineStr">
        <is>
          <t>CIS</t>
        </is>
      </c>
      <c r="I42" s="29" t="inlineStr">
        <is>
          <t>포괄손익계산서</t>
        </is>
      </c>
      <c r="J42" s="29" t="inlineStr">
        <is>
          <t>ifrs-full_GrossProfit</t>
        </is>
      </c>
      <c r="K42" s="29" t="inlineStr">
        <is>
          <t>매출총이익</t>
        </is>
      </c>
      <c r="L42" s="29" t="inlineStr">
        <is>
          <t>-</t>
        </is>
      </c>
      <c r="M42" s="29" t="inlineStr">
        <is>
          <t>제 16 기</t>
        </is>
      </c>
      <c r="N42" s="29" t="inlineStr">
        <is>
          <t>40027986777.0</t>
        </is>
      </c>
      <c r="O42" s="29" t="inlineStr">
        <is>
          <t>29465722023.0</t>
        </is>
      </c>
      <c r="P42" s="29" t="inlineStr">
        <is>
          <t>KRW</t>
        </is>
      </c>
      <c r="Q42" s="29" t="inlineStr">
        <is>
          <t>2</t>
        </is>
      </c>
    </row>
    <row r="43" ht="24" customHeight="1">
      <c r="A43" s="24" t="inlineStr">
        <is>
          <t>OpenDART_fnlttSinglAcntAll</t>
        </is>
      </c>
      <c r="B43" s="24" t="inlineStr">
        <is>
          <t>01021666</t>
        </is>
      </c>
      <c r="C43" s="24" t="inlineStr">
        <is>
          <t>덕산테코피아</t>
        </is>
      </c>
      <c r="D43" s="24" t="inlineStr">
        <is>
          <t>duksan</t>
        </is>
      </c>
      <c r="E43" s="24" t="inlineStr">
        <is>
          <t>317330</t>
        </is>
      </c>
      <c r="F43" s="24" t="inlineStr">
        <is>
          <t>2021</t>
        </is>
      </c>
      <c r="G43" s="24" t="inlineStr">
        <is>
          <t>CFS</t>
        </is>
      </c>
      <c r="H43" s="24" t="inlineStr">
        <is>
          <t>CIS</t>
        </is>
      </c>
      <c r="I43" s="24" t="inlineStr">
        <is>
          <t>포괄손익계산서</t>
        </is>
      </c>
      <c r="J43" s="24" t="inlineStr">
        <is>
          <t>dart_TotalSellingGeneralAdministrativeExpenses</t>
        </is>
      </c>
      <c r="K43" s="24" t="inlineStr">
        <is>
          <t>판매비와관리비</t>
        </is>
      </c>
      <c r="L43" s="24" t="inlineStr">
        <is>
          <t>-</t>
        </is>
      </c>
      <c r="M43" s="24" t="inlineStr">
        <is>
          <t>제 16 기</t>
        </is>
      </c>
      <c r="N43" s="24" t="inlineStr">
        <is>
          <t>18047048028.0</t>
        </is>
      </c>
      <c r="O43" s="24" t="inlineStr">
        <is>
          <t>15418437400.0</t>
        </is>
      </c>
      <c r="P43" s="24" t="inlineStr">
        <is>
          <t>KRW</t>
        </is>
      </c>
      <c r="Q43" s="24" t="inlineStr">
        <is>
          <t>3</t>
        </is>
      </c>
    </row>
    <row r="44" ht="24" customHeight="1">
      <c r="A44" s="29" t="inlineStr">
        <is>
          <t>OpenDART_fnlttSinglAcntAll</t>
        </is>
      </c>
      <c r="B44" s="29" t="inlineStr">
        <is>
          <t>01021666</t>
        </is>
      </c>
      <c r="C44" s="29" t="inlineStr">
        <is>
          <t>덕산테코피아</t>
        </is>
      </c>
      <c r="D44" s="29" t="inlineStr">
        <is>
          <t>duksan</t>
        </is>
      </c>
      <c r="E44" s="29" t="inlineStr">
        <is>
          <t>317330</t>
        </is>
      </c>
      <c r="F44" s="29" t="inlineStr">
        <is>
          <t>2021</t>
        </is>
      </c>
      <c r="G44" s="29" t="inlineStr">
        <is>
          <t>CFS</t>
        </is>
      </c>
      <c r="H44" s="29" t="inlineStr">
        <is>
          <t>CIS</t>
        </is>
      </c>
      <c r="I44" s="29" t="inlineStr">
        <is>
          <t>포괄손익계산서</t>
        </is>
      </c>
      <c r="J44" s="29" t="inlineStr">
        <is>
          <t>dart_OperatingIncomeLoss</t>
        </is>
      </c>
      <c r="K44" s="29" t="inlineStr">
        <is>
          <t>영업이익</t>
        </is>
      </c>
      <c r="L44" s="29" t="inlineStr">
        <is>
          <t>-</t>
        </is>
      </c>
      <c r="M44" s="29" t="inlineStr">
        <is>
          <t>제 16 기</t>
        </is>
      </c>
      <c r="N44" s="29" t="inlineStr">
        <is>
          <t>21980938749.0</t>
        </is>
      </c>
      <c r="O44" s="29" t="inlineStr">
        <is>
          <t>14047284623.0</t>
        </is>
      </c>
      <c r="P44" s="29" t="inlineStr">
        <is>
          <t>KRW</t>
        </is>
      </c>
      <c r="Q44" s="29" t="inlineStr">
        <is>
          <t>4</t>
        </is>
      </c>
    </row>
    <row r="45" ht="24" customHeight="1">
      <c r="A45" s="24" t="inlineStr">
        <is>
          <t>OpenDART_fnlttSinglAcntAll</t>
        </is>
      </c>
      <c r="B45" s="24" t="inlineStr">
        <is>
          <t>01021666</t>
        </is>
      </c>
      <c r="C45" s="24" t="inlineStr">
        <is>
          <t>덕산테코피아</t>
        </is>
      </c>
      <c r="D45" s="24" t="inlineStr">
        <is>
          <t>duksan</t>
        </is>
      </c>
      <c r="E45" s="24" t="inlineStr">
        <is>
          <t>317330</t>
        </is>
      </c>
      <c r="F45" s="24" t="inlineStr">
        <is>
          <t>2021</t>
        </is>
      </c>
      <c r="G45" s="24" t="inlineStr">
        <is>
          <t>CFS</t>
        </is>
      </c>
      <c r="H45" s="24" t="inlineStr">
        <is>
          <t>CIS</t>
        </is>
      </c>
      <c r="I45" s="24" t="inlineStr">
        <is>
          <t>포괄손익계산서</t>
        </is>
      </c>
      <c r="J45" s="24" t="inlineStr">
        <is>
          <t>dart_OtherGains</t>
        </is>
      </c>
      <c r="K45" s="24" t="inlineStr">
        <is>
          <t>기타수익</t>
        </is>
      </c>
      <c r="L45" s="24" t="inlineStr">
        <is>
          <t>-</t>
        </is>
      </c>
      <c r="M45" s="24" t="inlineStr">
        <is>
          <t>제 16 기</t>
        </is>
      </c>
      <c r="N45" s="24" t="inlineStr">
        <is>
          <t>266451905.0</t>
        </is>
      </c>
      <c r="O45" s="24" t="inlineStr">
        <is>
          <t>1069249427.0</t>
        </is>
      </c>
      <c r="P45" s="24" t="inlineStr">
        <is>
          <t>KRW</t>
        </is>
      </c>
      <c r="Q45" s="24" t="inlineStr">
        <is>
          <t>5</t>
        </is>
      </c>
    </row>
    <row r="46" ht="24" customHeight="1">
      <c r="A46" s="29" t="inlineStr">
        <is>
          <t>OpenDART_fnlttSinglAcntAll</t>
        </is>
      </c>
      <c r="B46" s="29" t="inlineStr">
        <is>
          <t>01021666</t>
        </is>
      </c>
      <c r="C46" s="29" t="inlineStr">
        <is>
          <t>덕산테코피아</t>
        </is>
      </c>
      <c r="D46" s="29" t="inlineStr">
        <is>
          <t>duksan</t>
        </is>
      </c>
      <c r="E46" s="29" t="inlineStr">
        <is>
          <t>317330</t>
        </is>
      </c>
      <c r="F46" s="29" t="inlineStr">
        <is>
          <t>2021</t>
        </is>
      </c>
      <c r="G46" s="29" t="inlineStr">
        <is>
          <t>CFS</t>
        </is>
      </c>
      <c r="H46" s="29" t="inlineStr">
        <is>
          <t>CIS</t>
        </is>
      </c>
      <c r="I46" s="29" t="inlineStr">
        <is>
          <t>포괄손익계산서</t>
        </is>
      </c>
      <c r="J46" s="29" t="inlineStr">
        <is>
          <t>dart_OtherLosses</t>
        </is>
      </c>
      <c r="K46" s="29" t="inlineStr">
        <is>
          <t>기타비용</t>
        </is>
      </c>
      <c r="L46" s="29" t="inlineStr">
        <is>
          <t>-</t>
        </is>
      </c>
      <c r="M46" s="29" t="inlineStr">
        <is>
          <t>제 16 기</t>
        </is>
      </c>
      <c r="N46" s="29" t="inlineStr">
        <is>
          <t>1933082978.0</t>
        </is>
      </c>
      <c r="O46" s="29" t="inlineStr">
        <is>
          <t>412076840.0</t>
        </is>
      </c>
      <c r="P46" s="29" t="inlineStr">
        <is>
          <t>KRW</t>
        </is>
      </c>
      <c r="Q46" s="29" t="inlineStr">
        <is>
          <t>6</t>
        </is>
      </c>
    </row>
    <row r="47" ht="24" customHeight="1">
      <c r="A47" s="24" t="inlineStr">
        <is>
          <t>OpenDART_fnlttSinglAcntAll</t>
        </is>
      </c>
      <c r="B47" s="24" t="inlineStr">
        <is>
          <t>01021666</t>
        </is>
      </c>
      <c r="C47" s="24" t="inlineStr">
        <is>
          <t>덕산테코피아</t>
        </is>
      </c>
      <c r="D47" s="24" t="inlineStr">
        <is>
          <t>duksan</t>
        </is>
      </c>
      <c r="E47" s="24" t="inlineStr">
        <is>
          <t>317330</t>
        </is>
      </c>
      <c r="F47" s="24" t="inlineStr">
        <is>
          <t>2021</t>
        </is>
      </c>
      <c r="G47" s="24" t="inlineStr">
        <is>
          <t>CFS</t>
        </is>
      </c>
      <c r="H47" s="24" t="inlineStr">
        <is>
          <t>CIS</t>
        </is>
      </c>
      <c r="I47" s="24" t="inlineStr">
        <is>
          <t>포괄손익계산서</t>
        </is>
      </c>
      <c r="J47" s="24" t="inlineStr">
        <is>
          <t>ifrs-full_FinanceIncome</t>
        </is>
      </c>
      <c r="K47" s="24" t="inlineStr">
        <is>
          <t>금융수익</t>
        </is>
      </c>
      <c r="L47" s="24" t="inlineStr">
        <is>
          <t>-</t>
        </is>
      </c>
      <c r="M47" s="24" t="inlineStr">
        <is>
          <t>제 16 기</t>
        </is>
      </c>
      <c r="N47" s="24" t="inlineStr">
        <is>
          <t>1461184812.0</t>
        </is>
      </c>
      <c r="O47" s="24" t="inlineStr">
        <is>
          <t>1278023634.0</t>
        </is>
      </c>
      <c r="P47" s="24" t="inlineStr">
        <is>
          <t>KRW</t>
        </is>
      </c>
      <c r="Q47" s="24" t="inlineStr">
        <is>
          <t>7</t>
        </is>
      </c>
    </row>
    <row r="48" ht="24" customHeight="1">
      <c r="A48" s="29" t="inlineStr">
        <is>
          <t>OpenDART_fnlttSinglAcntAll</t>
        </is>
      </c>
      <c r="B48" s="29" t="inlineStr">
        <is>
          <t>01021666</t>
        </is>
      </c>
      <c r="C48" s="29" t="inlineStr">
        <is>
          <t>덕산테코피아</t>
        </is>
      </c>
      <c r="D48" s="29" t="inlineStr">
        <is>
          <t>duksan</t>
        </is>
      </c>
      <c r="E48" s="29" t="inlineStr">
        <is>
          <t>317330</t>
        </is>
      </c>
      <c r="F48" s="29" t="inlineStr">
        <is>
          <t>2021</t>
        </is>
      </c>
      <c r="G48" s="29" t="inlineStr">
        <is>
          <t>CFS</t>
        </is>
      </c>
      <c r="H48" s="29" t="inlineStr">
        <is>
          <t>CIS</t>
        </is>
      </c>
      <c r="I48" s="29" t="inlineStr">
        <is>
          <t>포괄손익계산서</t>
        </is>
      </c>
      <c r="J48" s="29" t="inlineStr">
        <is>
          <t>ifrs-full_FinanceCosts</t>
        </is>
      </c>
      <c r="K48" s="29" t="inlineStr">
        <is>
          <t>금융비용</t>
        </is>
      </c>
      <c r="L48" s="29" t="inlineStr">
        <is>
          <t>-</t>
        </is>
      </c>
      <c r="M48" s="29" t="inlineStr">
        <is>
          <t>제 16 기</t>
        </is>
      </c>
      <c r="N48" s="29" t="inlineStr">
        <is>
          <t>2627953593.0</t>
        </is>
      </c>
      <c r="O48" s="29" t="inlineStr">
        <is>
          <t>1795522924.0</t>
        </is>
      </c>
      <c r="P48" s="29" t="inlineStr">
        <is>
          <t>KRW</t>
        </is>
      </c>
      <c r="Q48" s="29" t="inlineStr">
        <is>
          <t>8</t>
        </is>
      </c>
    </row>
    <row r="49" ht="24" customHeight="1">
      <c r="A49" s="24" t="inlineStr">
        <is>
          <t>OpenDART_fnlttSinglAcntAll</t>
        </is>
      </c>
      <c r="B49" s="24" t="inlineStr">
        <is>
          <t>01021666</t>
        </is>
      </c>
      <c r="C49" s="24" t="inlineStr">
        <is>
          <t>덕산테코피아</t>
        </is>
      </c>
      <c r="D49" s="24" t="inlineStr">
        <is>
          <t>duksan</t>
        </is>
      </c>
      <c r="E49" s="24" t="inlineStr">
        <is>
          <t>317330</t>
        </is>
      </c>
      <c r="F49" s="24" t="inlineStr">
        <is>
          <t>2021</t>
        </is>
      </c>
      <c r="G49" s="24" t="inlineStr">
        <is>
          <t>CFS</t>
        </is>
      </c>
      <c r="H49" s="24" t="inlineStr">
        <is>
          <t>CIS</t>
        </is>
      </c>
      <c r="I49" s="24" t="inlineStr">
        <is>
          <t>포괄손익계산서</t>
        </is>
      </c>
      <c r="J49" s="24" t="inlineStr">
        <is>
          <t>ifrs-full_ProfitLossBeforeTax</t>
        </is>
      </c>
      <c r="K49" s="24" t="inlineStr">
        <is>
          <t>법인세비용차감전순이익(손실)</t>
        </is>
      </c>
      <c r="L49" s="24" t="inlineStr">
        <is>
          <t>-</t>
        </is>
      </c>
      <c r="M49" s="24" t="inlineStr">
        <is>
          <t>제 16 기</t>
        </is>
      </c>
      <c r="N49" s="24" t="inlineStr">
        <is>
          <t>19147538895.0</t>
        </is>
      </c>
      <c r="O49" s="24" t="inlineStr">
        <is>
          <t>14186957920.0</t>
        </is>
      </c>
      <c r="P49" s="24" t="inlineStr">
        <is>
          <t>KRW</t>
        </is>
      </c>
      <c r="Q49" s="24" t="inlineStr">
        <is>
          <t>9</t>
        </is>
      </c>
    </row>
    <row r="50" ht="24" customHeight="1">
      <c r="A50" s="29" t="inlineStr">
        <is>
          <t>OpenDART_fnlttSinglAcntAll</t>
        </is>
      </c>
      <c r="B50" s="29" t="inlineStr">
        <is>
          <t>01021666</t>
        </is>
      </c>
      <c r="C50" s="29" t="inlineStr">
        <is>
          <t>덕산테코피아</t>
        </is>
      </c>
      <c r="D50" s="29" t="inlineStr">
        <is>
          <t>duksan</t>
        </is>
      </c>
      <c r="E50" s="29" t="inlineStr">
        <is>
          <t>317330</t>
        </is>
      </c>
      <c r="F50" s="29" t="inlineStr">
        <is>
          <t>2021</t>
        </is>
      </c>
      <c r="G50" s="29" t="inlineStr">
        <is>
          <t>CFS</t>
        </is>
      </c>
      <c r="H50" s="29" t="inlineStr">
        <is>
          <t>CIS</t>
        </is>
      </c>
      <c r="I50" s="29" t="inlineStr">
        <is>
          <t>포괄손익계산서</t>
        </is>
      </c>
      <c r="J50" s="29" t="inlineStr">
        <is>
          <t>ifrs-full_IncomeTaxExpenseContinuingOperations</t>
        </is>
      </c>
      <c r="K50" s="29" t="inlineStr">
        <is>
          <t>법인세비용</t>
        </is>
      </c>
      <c r="L50" s="29" t="inlineStr">
        <is>
          <t>-</t>
        </is>
      </c>
      <c r="M50" s="29" t="inlineStr">
        <is>
          <t>제 16 기</t>
        </is>
      </c>
      <c r="N50" s="29" t="inlineStr">
        <is>
          <t>1768927915.0</t>
        </is>
      </c>
      <c r="O50" s="29" t="inlineStr">
        <is>
          <t>1552103864.0</t>
        </is>
      </c>
      <c r="P50" s="29" t="inlineStr">
        <is>
          <t>KRW</t>
        </is>
      </c>
      <c r="Q50" s="29" t="inlineStr">
        <is>
          <t>10</t>
        </is>
      </c>
    </row>
    <row r="51" ht="24" customHeight="1">
      <c r="A51" s="24" t="inlineStr">
        <is>
          <t>OpenDART_fnlttSinglAcntAll</t>
        </is>
      </c>
      <c r="B51" s="24" t="inlineStr">
        <is>
          <t>01021666</t>
        </is>
      </c>
      <c r="C51" s="24" t="inlineStr">
        <is>
          <t>덕산테코피아</t>
        </is>
      </c>
      <c r="D51" s="24" t="inlineStr">
        <is>
          <t>duksan</t>
        </is>
      </c>
      <c r="E51" s="24" t="inlineStr">
        <is>
          <t>317330</t>
        </is>
      </c>
      <c r="F51" s="24" t="inlineStr">
        <is>
          <t>2021</t>
        </is>
      </c>
      <c r="G51" s="24" t="inlineStr">
        <is>
          <t>CFS</t>
        </is>
      </c>
      <c r="H51" s="24" t="inlineStr">
        <is>
          <t>CIS</t>
        </is>
      </c>
      <c r="I51" s="24" t="inlineStr">
        <is>
          <t>포괄손익계산서</t>
        </is>
      </c>
      <c r="J51" s="24" t="inlineStr">
        <is>
          <t>ifrs-full_ProfitLoss</t>
        </is>
      </c>
      <c r="K51" s="24" t="inlineStr">
        <is>
          <t>당기순이익(손실)</t>
        </is>
      </c>
      <c r="L51" s="24" t="inlineStr">
        <is>
          <t>-</t>
        </is>
      </c>
      <c r="M51" s="24" t="inlineStr">
        <is>
          <t>제 16 기</t>
        </is>
      </c>
      <c r="N51" s="24" t="inlineStr">
        <is>
          <t>17378610980.0</t>
        </is>
      </c>
      <c r="O51" s="24" t="inlineStr">
        <is>
          <t>12634854056.0</t>
        </is>
      </c>
      <c r="P51" s="24" t="inlineStr">
        <is>
          <t>KRW</t>
        </is>
      </c>
      <c r="Q51" s="24" t="inlineStr">
        <is>
          <t>11</t>
        </is>
      </c>
    </row>
    <row r="52" ht="24" customHeight="1">
      <c r="A52" s="29" t="inlineStr">
        <is>
          <t>OpenDART_fnlttSinglAcntAll</t>
        </is>
      </c>
      <c r="B52" s="29" t="inlineStr">
        <is>
          <t>01021666</t>
        </is>
      </c>
      <c r="C52" s="29" t="inlineStr">
        <is>
          <t>덕산테코피아</t>
        </is>
      </c>
      <c r="D52" s="29" t="inlineStr">
        <is>
          <t>duksan</t>
        </is>
      </c>
      <c r="E52" s="29" t="inlineStr">
        <is>
          <t>317330</t>
        </is>
      </c>
      <c r="F52" s="29" t="inlineStr">
        <is>
          <t>2021</t>
        </is>
      </c>
      <c r="G52" s="29" t="inlineStr">
        <is>
          <t>CFS</t>
        </is>
      </c>
      <c r="H52" s="29" t="inlineStr">
        <is>
          <t>CIS</t>
        </is>
      </c>
      <c r="I52" s="29" t="inlineStr">
        <is>
          <t>포괄손익계산서</t>
        </is>
      </c>
      <c r="J52" s="29" t="inlineStr">
        <is>
          <t>ifrs-full_ProfitLossAttributableToOwnersOfParent</t>
        </is>
      </c>
      <c r="K52" s="29" t="inlineStr">
        <is>
          <t>지배기업 소유주지분</t>
        </is>
      </c>
      <c r="L52" s="29" t="inlineStr">
        <is>
          <t>-</t>
        </is>
      </c>
      <c r="M52" s="29" t="inlineStr">
        <is>
          <t>제 16 기</t>
        </is>
      </c>
      <c r="N52" s="29" t="inlineStr">
        <is>
          <t>17827002974.0</t>
        </is>
      </c>
      <c r="O52" s="29" t="inlineStr">
        <is>
          <t>12745939179.0</t>
        </is>
      </c>
      <c r="P52" s="29" t="inlineStr">
        <is>
          <t>KRW</t>
        </is>
      </c>
      <c r="Q52" s="29" t="inlineStr">
        <is>
          <t>13</t>
        </is>
      </c>
    </row>
    <row r="53" ht="24" customHeight="1">
      <c r="A53" s="24" t="inlineStr">
        <is>
          <t>OpenDART_fnlttSinglAcntAll</t>
        </is>
      </c>
      <c r="B53" s="24" t="inlineStr">
        <is>
          <t>01021666</t>
        </is>
      </c>
      <c r="C53" s="24" t="inlineStr">
        <is>
          <t>덕산테코피아</t>
        </is>
      </c>
      <c r="D53" s="24" t="inlineStr">
        <is>
          <t>duksan</t>
        </is>
      </c>
      <c r="E53" s="24" t="inlineStr">
        <is>
          <t>317330</t>
        </is>
      </c>
      <c r="F53" s="24" t="inlineStr">
        <is>
          <t>2021</t>
        </is>
      </c>
      <c r="G53" s="24" t="inlineStr">
        <is>
          <t>CFS</t>
        </is>
      </c>
      <c r="H53" s="24" t="inlineStr">
        <is>
          <t>CIS</t>
        </is>
      </c>
      <c r="I53" s="24" t="inlineStr">
        <is>
          <t>포괄손익계산서</t>
        </is>
      </c>
      <c r="J53" s="24" t="inlineStr">
        <is>
          <t>ifrs-full_ProfitLossAttributableToNoncontrollingInterests</t>
        </is>
      </c>
      <c r="K53" s="24" t="inlineStr">
        <is>
          <t>비지배지분</t>
        </is>
      </c>
      <c r="L53" s="24" t="inlineStr">
        <is>
          <t>-</t>
        </is>
      </c>
      <c r="M53" s="24" t="inlineStr">
        <is>
          <t>제 16 기</t>
        </is>
      </c>
      <c r="N53" s="24" t="inlineStr">
        <is>
          <t>-448391994.0</t>
        </is>
      </c>
      <c r="O53" s="24" t="inlineStr">
        <is>
          <t>-111085123.0</t>
        </is>
      </c>
      <c r="P53" s="24" t="inlineStr">
        <is>
          <t>KRW</t>
        </is>
      </c>
      <c r="Q53" s="24" t="inlineStr">
        <is>
          <t>14</t>
        </is>
      </c>
    </row>
    <row r="54" ht="24" customHeight="1">
      <c r="A54" s="29" t="inlineStr">
        <is>
          <t>OpenDART_fnlttSinglAcntAll</t>
        </is>
      </c>
      <c r="B54" s="29" t="inlineStr">
        <is>
          <t>01021666</t>
        </is>
      </c>
      <c r="C54" s="29" t="inlineStr">
        <is>
          <t>덕산테코피아</t>
        </is>
      </c>
      <c r="D54" s="29" t="inlineStr">
        <is>
          <t>duksan</t>
        </is>
      </c>
      <c r="E54" s="29" t="inlineStr">
        <is>
          <t>317330</t>
        </is>
      </c>
      <c r="F54" s="29" t="inlineStr">
        <is>
          <t>2021</t>
        </is>
      </c>
      <c r="G54" s="29" t="inlineStr">
        <is>
          <t>CFS</t>
        </is>
      </c>
      <c r="H54" s="29" t="inlineStr">
        <is>
          <t>CIS</t>
        </is>
      </c>
      <c r="I54" s="29" t="inlineStr">
        <is>
          <t>포괄손익계산서</t>
        </is>
      </c>
      <c r="J54" s="29" t="inlineStr">
        <is>
          <t>ifrs-full_OtherComprehensiveIncome</t>
        </is>
      </c>
      <c r="K54" s="29" t="inlineStr">
        <is>
          <t>기타포괄손익</t>
        </is>
      </c>
      <c r="L54" s="29" t="inlineStr">
        <is>
          <t>-</t>
        </is>
      </c>
      <c r="M54" s="29" t="inlineStr">
        <is>
          <t>제 16 기</t>
        </is>
      </c>
      <c r="N54" s="29" t="inlineStr">
        <is>
          <t>238702078.0</t>
        </is>
      </c>
      <c r="O54" s="29" t="inlineStr">
        <is>
          <t>285696930.0</t>
        </is>
      </c>
      <c r="P54" s="29" t="inlineStr">
        <is>
          <t>KRW</t>
        </is>
      </c>
      <c r="Q54" s="29" t="inlineStr">
        <is>
          <t>15</t>
        </is>
      </c>
    </row>
    <row r="55" ht="24" customHeight="1">
      <c r="A55" s="24" t="inlineStr">
        <is>
          <t>OpenDART_fnlttSinglAcntAll</t>
        </is>
      </c>
      <c r="B55" s="24" t="inlineStr">
        <is>
          <t>01021666</t>
        </is>
      </c>
      <c r="C55" s="24" t="inlineStr">
        <is>
          <t>덕산테코피아</t>
        </is>
      </c>
      <c r="D55" s="24" t="inlineStr">
        <is>
          <t>duksan</t>
        </is>
      </c>
      <c r="E55" s="24" t="inlineStr">
        <is>
          <t>317330</t>
        </is>
      </c>
      <c r="F55" s="24" t="inlineStr">
        <is>
          <t>2021</t>
        </is>
      </c>
      <c r="G55" s="24" t="inlineStr">
        <is>
          <t>CFS</t>
        </is>
      </c>
      <c r="H55" s="24" t="inlineStr">
        <is>
          <t>CIS</t>
        </is>
      </c>
      <c r="I55" s="24" t="inlineStr">
        <is>
          <t>포괄손익계산서</t>
        </is>
      </c>
      <c r="J55" s="24" t="inlineStr">
        <is>
          <t>dart_OtherComprehensiveIncomeThatWillNotBeReclassifiedToProfitOrLossNetOfTax</t>
        </is>
      </c>
      <c r="K55" s="24" t="inlineStr">
        <is>
          <t>당기손익으로 재분류되지 않는항목 :</t>
        </is>
      </c>
      <c r="L55" s="24" t="inlineStr">
        <is>
          <t>-</t>
        </is>
      </c>
      <c r="M55" s="24" t="inlineStr">
        <is>
          <t>제 16 기</t>
        </is>
      </c>
      <c r="N55" s="24" t="inlineStr">
        <is>
          <t>238702078.0</t>
        </is>
      </c>
      <c r="O55" s="24" t="inlineStr">
        <is>
          <t>285696930.0</t>
        </is>
      </c>
      <c r="P55" s="24" t="inlineStr">
        <is>
          <t>KRW</t>
        </is>
      </c>
      <c r="Q55" s="24" t="inlineStr">
        <is>
          <t>16</t>
        </is>
      </c>
    </row>
    <row r="56" ht="24" customHeight="1">
      <c r="A56" s="29" t="inlineStr">
        <is>
          <t>OpenDART_fnlttSinglAcntAll</t>
        </is>
      </c>
      <c r="B56" s="29" t="inlineStr">
        <is>
          <t>01021666</t>
        </is>
      </c>
      <c r="C56" s="29" t="inlineStr">
        <is>
          <t>덕산테코피아</t>
        </is>
      </c>
      <c r="D56" s="29" t="inlineStr">
        <is>
          <t>duksan</t>
        </is>
      </c>
      <c r="E56" s="29" t="inlineStr">
        <is>
          <t>317330</t>
        </is>
      </c>
      <c r="F56" s="29" t="inlineStr">
        <is>
          <t>2021</t>
        </is>
      </c>
      <c r="G56" s="29" t="inlineStr">
        <is>
          <t>CFS</t>
        </is>
      </c>
      <c r="H56" s="29" t="inlineStr">
        <is>
          <t>CIS</t>
        </is>
      </c>
      <c r="I56" s="29" t="inlineStr">
        <is>
          <t>포괄손익계산서</t>
        </is>
      </c>
      <c r="J56" s="29" t="inlineStr">
        <is>
          <t>dart_OtherComprehensiveIncomeNetOfTaxGainsLossesOnRemeasurementsOfDefinedBenefitPlans</t>
        </is>
      </c>
      <c r="K56" s="29" t="inlineStr">
        <is>
          <t>순확정급여부의 재측정요소</t>
        </is>
      </c>
      <c r="L56" s="29" t="inlineStr">
        <is>
          <t>-</t>
        </is>
      </c>
      <c r="M56" s="29" t="inlineStr">
        <is>
          <t>제 16 기</t>
        </is>
      </c>
      <c r="N56" s="29" t="inlineStr">
        <is>
          <t>238702078.0</t>
        </is>
      </c>
      <c r="O56" s="29" t="inlineStr">
        <is>
          <t>285696930.0</t>
        </is>
      </c>
      <c r="P56" s="29" t="inlineStr">
        <is>
          <t>KRW</t>
        </is>
      </c>
      <c r="Q56" s="29" t="inlineStr">
        <is>
          <t>17</t>
        </is>
      </c>
    </row>
    <row r="57" ht="24" customHeight="1">
      <c r="A57" s="24" t="inlineStr">
        <is>
          <t>OpenDART_fnlttSinglAcntAll</t>
        </is>
      </c>
      <c r="B57" s="24" t="inlineStr">
        <is>
          <t>01021666</t>
        </is>
      </c>
      <c r="C57" s="24" t="inlineStr">
        <is>
          <t>덕산테코피아</t>
        </is>
      </c>
      <c r="D57" s="24" t="inlineStr">
        <is>
          <t>duksan</t>
        </is>
      </c>
      <c r="E57" s="24" t="inlineStr">
        <is>
          <t>317330</t>
        </is>
      </c>
      <c r="F57" s="24" t="inlineStr">
        <is>
          <t>2021</t>
        </is>
      </c>
      <c r="G57" s="24" t="inlineStr">
        <is>
          <t>CFS</t>
        </is>
      </c>
      <c r="H57" s="24" t="inlineStr">
        <is>
          <t>CIS</t>
        </is>
      </c>
      <c r="I57" s="24" t="inlineStr">
        <is>
          <t>포괄손익계산서</t>
        </is>
      </c>
      <c r="J57" s="24" t="inlineStr">
        <is>
          <t>ifrs-full_ComprehensiveIncome</t>
        </is>
      </c>
      <c r="K57" s="24" t="inlineStr">
        <is>
          <t>총포괄손익</t>
        </is>
      </c>
      <c r="L57" s="24" t="inlineStr">
        <is>
          <t>-</t>
        </is>
      </c>
      <c r="M57" s="24" t="inlineStr">
        <is>
          <t>제 16 기</t>
        </is>
      </c>
      <c r="N57" s="24" t="inlineStr">
        <is>
          <t>17617313058.0</t>
        </is>
      </c>
      <c r="O57" s="24" t="inlineStr">
        <is>
          <t>12920550986.0</t>
        </is>
      </c>
      <c r="P57" s="24" t="inlineStr">
        <is>
          <t>KRW</t>
        </is>
      </c>
      <c r="Q57" s="24" t="inlineStr">
        <is>
          <t>18</t>
        </is>
      </c>
    </row>
    <row r="58" ht="24" customHeight="1">
      <c r="A58" s="29" t="inlineStr">
        <is>
          <t>OpenDART_fnlttSinglAcntAll</t>
        </is>
      </c>
      <c r="B58" s="29" t="inlineStr">
        <is>
          <t>01021666</t>
        </is>
      </c>
      <c r="C58" s="29" t="inlineStr">
        <is>
          <t>덕산테코피아</t>
        </is>
      </c>
      <c r="D58" s="29" t="inlineStr">
        <is>
          <t>duksan</t>
        </is>
      </c>
      <c r="E58" s="29" t="inlineStr">
        <is>
          <t>317330</t>
        </is>
      </c>
      <c r="F58" s="29" t="inlineStr">
        <is>
          <t>2021</t>
        </is>
      </c>
      <c r="G58" s="29" t="inlineStr">
        <is>
          <t>CFS</t>
        </is>
      </c>
      <c r="H58" s="29" t="inlineStr">
        <is>
          <t>CIS</t>
        </is>
      </c>
      <c r="I58" s="29" t="inlineStr">
        <is>
          <t>포괄손익계산서</t>
        </is>
      </c>
      <c r="J58" s="29" t="inlineStr">
        <is>
          <t>ifrs-full_ComprehensiveIncomeAttributableToOwnersOfParent</t>
        </is>
      </c>
      <c r="K58" s="29" t="inlineStr">
        <is>
          <t>지배기업 소유주지분</t>
        </is>
      </c>
      <c r="L58" s="29" t="inlineStr">
        <is>
          <t>-</t>
        </is>
      </c>
      <c r="M58" s="29" t="inlineStr">
        <is>
          <t>제 16 기</t>
        </is>
      </c>
      <c r="N58" s="29" t="inlineStr">
        <is>
          <t>18038857409.0</t>
        </is>
      </c>
      <c r="O58" s="29" t="inlineStr">
        <is>
          <t>13030780520.0</t>
        </is>
      </c>
      <c r="P58" s="29" t="inlineStr">
        <is>
          <t>KRW</t>
        </is>
      </c>
      <c r="Q58" s="29" t="inlineStr">
        <is>
          <t>20</t>
        </is>
      </c>
    </row>
    <row r="59" ht="24" customHeight="1">
      <c r="A59" s="24" t="inlineStr">
        <is>
          <t>OpenDART_fnlttSinglAcntAll</t>
        </is>
      </c>
      <c r="B59" s="24" t="inlineStr">
        <is>
          <t>01021666</t>
        </is>
      </c>
      <c r="C59" s="24" t="inlineStr">
        <is>
          <t>덕산테코피아</t>
        </is>
      </c>
      <c r="D59" s="24" t="inlineStr">
        <is>
          <t>duksan</t>
        </is>
      </c>
      <c r="E59" s="24" t="inlineStr">
        <is>
          <t>317330</t>
        </is>
      </c>
      <c r="F59" s="24" t="inlineStr">
        <is>
          <t>2021</t>
        </is>
      </c>
      <c r="G59" s="24" t="inlineStr">
        <is>
          <t>CFS</t>
        </is>
      </c>
      <c r="H59" s="24" t="inlineStr">
        <is>
          <t>CIS</t>
        </is>
      </c>
      <c r="I59" s="24" t="inlineStr">
        <is>
          <t>포괄손익계산서</t>
        </is>
      </c>
      <c r="J59" s="24" t="inlineStr">
        <is>
          <t>ifrs-full_ComprehensiveIncomeAttributableToNoncontrollingInterests</t>
        </is>
      </c>
      <c r="K59" s="24" t="inlineStr">
        <is>
          <t>비지배지분</t>
        </is>
      </c>
      <c r="L59" s="24" t="inlineStr">
        <is>
          <t>-</t>
        </is>
      </c>
      <c r="M59" s="24" t="inlineStr">
        <is>
          <t>제 16 기</t>
        </is>
      </c>
      <c r="N59" s="24" t="inlineStr">
        <is>
          <t>-421544351.0</t>
        </is>
      </c>
      <c r="O59" s="24" t="inlineStr">
        <is>
          <t>-110229534.0</t>
        </is>
      </c>
      <c r="P59" s="24" t="inlineStr">
        <is>
          <t>KRW</t>
        </is>
      </c>
      <c r="Q59" s="24" t="inlineStr">
        <is>
          <t>21</t>
        </is>
      </c>
    </row>
    <row r="60" ht="24" customHeight="1">
      <c r="A60" s="29" t="inlineStr">
        <is>
          <t>OpenDART_fnlttSinglAcntAll</t>
        </is>
      </c>
      <c r="B60" s="29" t="inlineStr">
        <is>
          <t>01021666</t>
        </is>
      </c>
      <c r="C60" s="29" t="inlineStr">
        <is>
          <t>덕산테코피아</t>
        </is>
      </c>
      <c r="D60" s="29" t="inlineStr">
        <is>
          <t>duksan</t>
        </is>
      </c>
      <c r="E60" s="29" t="inlineStr">
        <is>
          <t>317330</t>
        </is>
      </c>
      <c r="F60" s="29" t="inlineStr">
        <is>
          <t>2021</t>
        </is>
      </c>
      <c r="G60" s="29" t="inlineStr">
        <is>
          <t>CFS</t>
        </is>
      </c>
      <c r="H60" s="29" t="inlineStr">
        <is>
          <t>CIS</t>
        </is>
      </c>
      <c r="I60" s="29" t="inlineStr">
        <is>
          <t>포괄손익계산서</t>
        </is>
      </c>
      <c r="J60" s="29" t="inlineStr">
        <is>
          <t>ifrs-full_BasicEarningsLossPerShare</t>
        </is>
      </c>
      <c r="K60" s="29" t="inlineStr">
        <is>
          <t>기본주당이익(손실)</t>
        </is>
      </c>
      <c r="L60" s="29" t="inlineStr">
        <is>
          <t>-</t>
        </is>
      </c>
      <c r="M60" s="29" t="inlineStr">
        <is>
          <t>제 16 기</t>
        </is>
      </c>
      <c r="N60" s="29" t="inlineStr">
        <is>
          <t>952.0</t>
        </is>
      </c>
      <c r="O60" s="29" t="inlineStr">
        <is>
          <t>695.0</t>
        </is>
      </c>
      <c r="P60" s="29" t="inlineStr">
        <is>
          <t>KRW</t>
        </is>
      </c>
      <c r="Q60" s="29" t="inlineStr">
        <is>
          <t>23</t>
        </is>
      </c>
    </row>
    <row r="61" ht="24" customHeight="1">
      <c r="A61" s="24" t="inlineStr">
        <is>
          <t>OpenDART_fnlttSinglAcntAll</t>
        </is>
      </c>
      <c r="B61" s="24" t="inlineStr">
        <is>
          <t>01021666</t>
        </is>
      </c>
      <c r="C61" s="24" t="inlineStr">
        <is>
          <t>덕산테코피아</t>
        </is>
      </c>
      <c r="D61" s="24" t="inlineStr">
        <is>
          <t>duksan</t>
        </is>
      </c>
      <c r="E61" s="24" t="inlineStr">
        <is>
          <t>317330</t>
        </is>
      </c>
      <c r="F61" s="24" t="inlineStr">
        <is>
          <t>2021</t>
        </is>
      </c>
      <c r="G61" s="24" t="inlineStr">
        <is>
          <t>CFS</t>
        </is>
      </c>
      <c r="H61" s="24" t="inlineStr">
        <is>
          <t>CIS</t>
        </is>
      </c>
      <c r="I61" s="24" t="inlineStr">
        <is>
          <t>포괄손익계산서</t>
        </is>
      </c>
      <c r="J61" s="24" t="inlineStr">
        <is>
          <t>ifrs-full_DilutedEarningsLossPerShare</t>
        </is>
      </c>
      <c r="K61" s="24" t="inlineStr">
        <is>
          <t>희석주당이익(손실)</t>
        </is>
      </c>
      <c r="L61" s="24" t="inlineStr">
        <is>
          <t>-</t>
        </is>
      </c>
      <c r="M61" s="24" t="inlineStr">
        <is>
          <t>제 16 기</t>
        </is>
      </c>
      <c r="N61" s="24" t="inlineStr">
        <is>
          <t>875.0</t>
        </is>
      </c>
      <c r="O61" s="24" t="inlineStr">
        <is>
          <t>695.0</t>
        </is>
      </c>
      <c r="P61" s="24" t="inlineStr">
        <is>
          <t>KRW</t>
        </is>
      </c>
      <c r="Q61" s="24" t="inlineStr">
        <is>
          <t>24</t>
        </is>
      </c>
    </row>
    <row r="62" ht="24" customHeight="1">
      <c r="A62" s="29" t="inlineStr">
        <is>
          <t>OpenDART_fnlttSinglAcntAll</t>
        </is>
      </c>
      <c r="B62" s="29" t="inlineStr">
        <is>
          <t>01021666</t>
        </is>
      </c>
      <c r="C62" s="29" t="inlineStr">
        <is>
          <t>덕산테코피아</t>
        </is>
      </c>
      <c r="D62" s="29" t="inlineStr">
        <is>
          <t>duksan</t>
        </is>
      </c>
      <c r="E62" s="29" t="inlineStr">
        <is>
          <t>317330</t>
        </is>
      </c>
      <c r="F62" s="29" t="inlineStr">
        <is>
          <t>2021</t>
        </is>
      </c>
      <c r="G62" s="29" t="inlineStr">
        <is>
          <t>CFS</t>
        </is>
      </c>
      <c r="H62" s="29" t="inlineStr">
        <is>
          <t>CF</t>
        </is>
      </c>
      <c r="I62" s="29" t="inlineStr">
        <is>
          <t>현금흐름표</t>
        </is>
      </c>
      <c r="J62" s="29" t="inlineStr">
        <is>
          <t>ifrs-full_CashFlowsFromUsedInOperatingActivities</t>
        </is>
      </c>
      <c r="K62" s="29" t="inlineStr">
        <is>
          <t>Ⅰ.영업활동으로 인한 현금흐름</t>
        </is>
      </c>
      <c r="L62" s="29" t="inlineStr">
        <is>
          <t>-</t>
        </is>
      </c>
      <c r="M62" s="29" t="inlineStr">
        <is>
          <t>제 16 기</t>
        </is>
      </c>
      <c r="N62" s="29" t="inlineStr">
        <is>
          <t>21130762102.0</t>
        </is>
      </c>
      <c r="O62" s="29" t="inlineStr">
        <is>
          <t>16380784202.0</t>
        </is>
      </c>
      <c r="P62" s="29" t="inlineStr">
        <is>
          <t>KRW</t>
        </is>
      </c>
      <c r="Q62" s="29" t="inlineStr">
        <is>
          <t>0</t>
        </is>
      </c>
    </row>
    <row r="63" ht="24" customHeight="1">
      <c r="A63" s="24" t="inlineStr">
        <is>
          <t>OpenDART_fnlttSinglAcntAll</t>
        </is>
      </c>
      <c r="B63" s="24" t="inlineStr">
        <is>
          <t>01021666</t>
        </is>
      </c>
      <c r="C63" s="24" t="inlineStr">
        <is>
          <t>덕산테코피아</t>
        </is>
      </c>
      <c r="D63" s="24" t="inlineStr">
        <is>
          <t>duksan</t>
        </is>
      </c>
      <c r="E63" s="24" t="inlineStr">
        <is>
          <t>317330</t>
        </is>
      </c>
      <c r="F63" s="24" t="inlineStr">
        <is>
          <t>2021</t>
        </is>
      </c>
      <c r="G63" s="24" t="inlineStr">
        <is>
          <t>CFS</t>
        </is>
      </c>
      <c r="H63" s="24" t="inlineStr">
        <is>
          <t>CF</t>
        </is>
      </c>
      <c r="I63" s="24" t="inlineStr">
        <is>
          <t>현금흐름표</t>
        </is>
      </c>
      <c r="J63" s="24" t="inlineStr">
        <is>
          <t>dart_AdjustmentsForAssetsLiabilitiesOfOperatingActivities</t>
        </is>
      </c>
      <c r="K63" s="24" t="inlineStr">
        <is>
          <t>영업으로부터 창출된 현금흐름</t>
        </is>
      </c>
      <c r="L63" s="24" t="inlineStr">
        <is>
          <t>-</t>
        </is>
      </c>
      <c r="M63" s="24" t="inlineStr">
        <is>
          <t>제 16 기</t>
        </is>
      </c>
      <c r="N63" s="24" t="inlineStr">
        <is>
          <t>21280759925.0</t>
        </is>
      </c>
      <c r="O63" s="24" t="inlineStr">
        <is>
          <t>18756761278.0</t>
        </is>
      </c>
      <c r="P63" s="24" t="inlineStr">
        <is>
          <t>KRW</t>
        </is>
      </c>
      <c r="Q63" s="24" t="inlineStr">
        <is>
          <t>1</t>
        </is>
      </c>
    </row>
    <row r="64" ht="24" customHeight="1">
      <c r="A64" s="29" t="inlineStr">
        <is>
          <t>OpenDART_fnlttSinglAcntAll</t>
        </is>
      </c>
      <c r="B64" s="29" t="inlineStr">
        <is>
          <t>01021666</t>
        </is>
      </c>
      <c r="C64" s="29" t="inlineStr">
        <is>
          <t>덕산테코피아</t>
        </is>
      </c>
      <c r="D64" s="29" t="inlineStr">
        <is>
          <t>duksan</t>
        </is>
      </c>
      <c r="E64" s="29" t="inlineStr">
        <is>
          <t>317330</t>
        </is>
      </c>
      <c r="F64" s="29" t="inlineStr">
        <is>
          <t>2021</t>
        </is>
      </c>
      <c r="G64" s="29" t="inlineStr">
        <is>
          <t>CFS</t>
        </is>
      </c>
      <c r="H64" s="29" t="inlineStr">
        <is>
          <t>CF</t>
        </is>
      </c>
      <c r="I64" s="29" t="inlineStr">
        <is>
          <t>현금흐름표</t>
        </is>
      </c>
      <c r="J64" s="29" t="inlineStr">
        <is>
          <t>ifrs-full_InterestReceivedClassifiedAsOperatingActivities</t>
        </is>
      </c>
      <c r="K64" s="29" t="inlineStr">
        <is>
          <t>이자의 수취</t>
        </is>
      </c>
      <c r="L64" s="29" t="inlineStr">
        <is>
          <t>-</t>
        </is>
      </c>
      <c r="M64" s="29" t="inlineStr">
        <is>
          <t>제 16 기</t>
        </is>
      </c>
      <c r="N64" s="29" t="inlineStr">
        <is>
          <t>1243077982.0</t>
        </is>
      </c>
      <c r="O64" s="29" t="inlineStr">
        <is>
          <t>793412434.0</t>
        </is>
      </c>
      <c r="P64" s="29" t="inlineStr">
        <is>
          <t>KRW</t>
        </is>
      </c>
      <c r="Q64" s="29" t="inlineStr">
        <is>
          <t>2</t>
        </is>
      </c>
    </row>
    <row r="65" ht="24" customHeight="1">
      <c r="A65" s="24" t="inlineStr">
        <is>
          <t>OpenDART_fnlttSinglAcntAll</t>
        </is>
      </c>
      <c r="B65" s="24" t="inlineStr">
        <is>
          <t>01021666</t>
        </is>
      </c>
      <c r="C65" s="24" t="inlineStr">
        <is>
          <t>덕산테코피아</t>
        </is>
      </c>
      <c r="D65" s="24" t="inlineStr">
        <is>
          <t>duksan</t>
        </is>
      </c>
      <c r="E65" s="24" t="inlineStr">
        <is>
          <t>317330</t>
        </is>
      </c>
      <c r="F65" s="24" t="inlineStr">
        <is>
          <t>2021</t>
        </is>
      </c>
      <c r="G65" s="24" t="inlineStr">
        <is>
          <t>CFS</t>
        </is>
      </c>
      <c r="H65" s="24" t="inlineStr">
        <is>
          <t>CF</t>
        </is>
      </c>
      <c r="I65" s="24" t="inlineStr">
        <is>
          <t>현금흐름표</t>
        </is>
      </c>
      <c r="J65" s="24" t="inlineStr">
        <is>
          <t>ifrs-full_InterestPaidClassifiedAsOperatingActivities</t>
        </is>
      </c>
      <c r="K65" s="24" t="inlineStr">
        <is>
          <t>이자의 지급</t>
        </is>
      </c>
      <c r="L65" s="24" t="inlineStr">
        <is>
          <t>-</t>
        </is>
      </c>
      <c r="M65" s="24" t="inlineStr">
        <is>
          <t>제 16 기</t>
        </is>
      </c>
      <c r="N65" s="24" t="inlineStr">
        <is>
          <t>32372295.0</t>
        </is>
      </c>
      <c r="O65" s="24" t="inlineStr">
        <is>
          <t>46345220.0</t>
        </is>
      </c>
      <c r="P65" s="24" t="inlineStr">
        <is>
          <t>KRW</t>
        </is>
      </c>
      <c r="Q65" s="24" t="inlineStr">
        <is>
          <t>3</t>
        </is>
      </c>
    </row>
    <row r="66" ht="24" customHeight="1">
      <c r="A66" s="29" t="inlineStr">
        <is>
          <t>OpenDART_fnlttSinglAcntAll</t>
        </is>
      </c>
      <c r="B66" s="29" t="inlineStr">
        <is>
          <t>01021666</t>
        </is>
      </c>
      <c r="C66" s="29" t="inlineStr">
        <is>
          <t>덕산테코피아</t>
        </is>
      </c>
      <c r="D66" s="29" t="inlineStr">
        <is>
          <t>duksan</t>
        </is>
      </c>
      <c r="E66" s="29" t="inlineStr">
        <is>
          <t>317330</t>
        </is>
      </c>
      <c r="F66" s="29" t="inlineStr">
        <is>
          <t>2021</t>
        </is>
      </c>
      <c r="G66" s="29" t="inlineStr">
        <is>
          <t>CFS</t>
        </is>
      </c>
      <c r="H66" s="29" t="inlineStr">
        <is>
          <t>CF</t>
        </is>
      </c>
      <c r="I66" s="29" t="inlineStr">
        <is>
          <t>현금흐름표</t>
        </is>
      </c>
      <c r="J66" s="29" t="inlineStr">
        <is>
          <t>ifrs-full_IncomeTaxesPaidRefundClassifiedAsOperatingActivities</t>
        </is>
      </c>
      <c r="K66" s="29" t="inlineStr">
        <is>
          <t>법인세납부(환급)</t>
        </is>
      </c>
      <c r="L66" s="29" t="inlineStr">
        <is>
          <t>-</t>
        </is>
      </c>
      <c r="M66" s="29" t="inlineStr">
        <is>
          <t>제 16 기</t>
        </is>
      </c>
      <c r="N66" s="29" t="inlineStr">
        <is>
          <t>1360703510.0</t>
        </is>
      </c>
      <c r="O66" s="29" t="inlineStr">
        <is>
          <t>3123044290.0</t>
        </is>
      </c>
      <c r="P66" s="29" t="inlineStr">
        <is>
          <t>KRW</t>
        </is>
      </c>
      <c r="Q66" s="29" t="inlineStr">
        <is>
          <t>4</t>
        </is>
      </c>
    </row>
    <row r="67" ht="24" customHeight="1">
      <c r="A67" s="24" t="inlineStr">
        <is>
          <t>OpenDART_fnlttSinglAcntAll</t>
        </is>
      </c>
      <c r="B67" s="24" t="inlineStr">
        <is>
          <t>01021666</t>
        </is>
      </c>
      <c r="C67" s="24" t="inlineStr">
        <is>
          <t>덕산테코피아</t>
        </is>
      </c>
      <c r="D67" s="24" t="inlineStr">
        <is>
          <t>duksan</t>
        </is>
      </c>
      <c r="E67" s="24" t="inlineStr">
        <is>
          <t>317330</t>
        </is>
      </c>
      <c r="F67" s="24" t="inlineStr">
        <is>
          <t>2021</t>
        </is>
      </c>
      <c r="G67" s="24" t="inlineStr">
        <is>
          <t>CFS</t>
        </is>
      </c>
      <c r="H67" s="24" t="inlineStr">
        <is>
          <t>CF</t>
        </is>
      </c>
      <c r="I67" s="24" t="inlineStr">
        <is>
          <t>현금흐름표</t>
        </is>
      </c>
      <c r="J67" s="24" t="inlineStr">
        <is>
          <t>ifrs-full_CashFlowsFromUsedInInvestingActivities</t>
        </is>
      </c>
      <c r="K67" s="24" t="inlineStr">
        <is>
          <t>Ⅱ.투자활동으로 인한 현금흐름</t>
        </is>
      </c>
      <c r="L67" s="24" t="inlineStr">
        <is>
          <t>-</t>
        </is>
      </c>
      <c r="M67" s="24" t="inlineStr">
        <is>
          <t>제 16 기</t>
        </is>
      </c>
      <c r="N67" s="24" t="inlineStr">
        <is>
          <t>-29567603948.0</t>
        </is>
      </c>
      <c r="O67" s="24" t="inlineStr">
        <is>
          <t>-17826466865.0</t>
        </is>
      </c>
      <c r="P67" s="24" t="inlineStr">
        <is>
          <t>KRW</t>
        </is>
      </c>
      <c r="Q67" s="24" t="inlineStr">
        <is>
          <t>5</t>
        </is>
      </c>
    </row>
    <row r="68" ht="24" customHeight="1">
      <c r="A68" s="29" t="inlineStr">
        <is>
          <t>OpenDART_fnlttSinglAcntAll</t>
        </is>
      </c>
      <c r="B68" s="29" t="inlineStr">
        <is>
          <t>01021666</t>
        </is>
      </c>
      <c r="C68" s="29" t="inlineStr">
        <is>
          <t>덕산테코피아</t>
        </is>
      </c>
      <c r="D68" s="29" t="inlineStr">
        <is>
          <t>duksan</t>
        </is>
      </c>
      <c r="E68" s="29" t="inlineStr">
        <is>
          <t>317330</t>
        </is>
      </c>
      <c r="F68" s="29" t="inlineStr">
        <is>
          <t>2021</t>
        </is>
      </c>
      <c r="G68" s="29" t="inlineStr">
        <is>
          <t>CFS</t>
        </is>
      </c>
      <c r="H68" s="29" t="inlineStr">
        <is>
          <t>CF</t>
        </is>
      </c>
      <c r="I68" s="29" t="inlineStr">
        <is>
          <t>현금흐름표</t>
        </is>
      </c>
      <c r="J68" s="29" t="inlineStr">
        <is>
          <t>ifrs-full_PurchaseOfPropertyPlantAndEquipmentClassifiedAsInvestingActivities</t>
        </is>
      </c>
      <c r="K68" s="29" t="inlineStr">
        <is>
          <t>유형자산의 취득</t>
        </is>
      </c>
      <c r="L68" s="29" t="inlineStr">
        <is>
          <t>-</t>
        </is>
      </c>
      <c r="M68" s="29" t="inlineStr">
        <is>
          <t>제 16 기</t>
        </is>
      </c>
      <c r="N68" s="29" t="inlineStr">
        <is>
          <t>36566236104.0</t>
        </is>
      </c>
      <c r="O68" s="29" t="inlineStr">
        <is>
          <t>16508666858.0</t>
        </is>
      </c>
      <c r="P68" s="29" t="inlineStr">
        <is>
          <t>KRW</t>
        </is>
      </c>
      <c r="Q68" s="29" t="inlineStr">
        <is>
          <t>6</t>
        </is>
      </c>
    </row>
    <row r="69" ht="24" customHeight="1">
      <c r="A69" s="24" t="inlineStr">
        <is>
          <t>OpenDART_fnlttSinglAcntAll</t>
        </is>
      </c>
      <c r="B69" s="24" t="inlineStr">
        <is>
          <t>01021666</t>
        </is>
      </c>
      <c r="C69" s="24" t="inlineStr">
        <is>
          <t>덕산테코피아</t>
        </is>
      </c>
      <c r="D69" s="24" t="inlineStr">
        <is>
          <t>duksan</t>
        </is>
      </c>
      <c r="E69" s="24" t="inlineStr">
        <is>
          <t>317330</t>
        </is>
      </c>
      <c r="F69" s="24" t="inlineStr">
        <is>
          <t>2021</t>
        </is>
      </c>
      <c r="G69" s="24" t="inlineStr">
        <is>
          <t>CFS</t>
        </is>
      </c>
      <c r="H69" s="24" t="inlineStr">
        <is>
          <t>CF</t>
        </is>
      </c>
      <c r="I69" s="24" t="inlineStr">
        <is>
          <t>현금흐름표</t>
        </is>
      </c>
      <c r="J69" s="24" t="inlineStr">
        <is>
          <t>ifrs-full_ProceedsFromSalesOfPropertyPlantAndEquipmentClassifiedAsInvestingActivities</t>
        </is>
      </c>
      <c r="K69" s="24" t="inlineStr">
        <is>
          <t>유형자산의 처분</t>
        </is>
      </c>
      <c r="L69" s="24" t="inlineStr">
        <is>
          <t>-</t>
        </is>
      </c>
      <c r="M69" s="24" t="inlineStr">
        <is>
          <t>제 16 기</t>
        </is>
      </c>
      <c r="N69" s="24" t="inlineStr">
        <is>
          <t>해당 없음</t>
        </is>
      </c>
      <c r="O69" s="24" t="inlineStr">
        <is>
          <t>해당 없음</t>
        </is>
      </c>
      <c r="P69" s="24" t="inlineStr">
        <is>
          <t>KRW</t>
        </is>
      </c>
      <c r="Q69" s="24" t="inlineStr">
        <is>
          <t>7</t>
        </is>
      </c>
    </row>
    <row r="70" ht="24" customHeight="1">
      <c r="A70" s="29" t="inlineStr">
        <is>
          <t>OpenDART_fnlttSinglAcntAll</t>
        </is>
      </c>
      <c r="B70" s="29" t="inlineStr">
        <is>
          <t>01021666</t>
        </is>
      </c>
      <c r="C70" s="29" t="inlineStr">
        <is>
          <t>덕산테코피아</t>
        </is>
      </c>
      <c r="D70" s="29" t="inlineStr">
        <is>
          <t>duksan</t>
        </is>
      </c>
      <c r="E70" s="29" t="inlineStr">
        <is>
          <t>317330</t>
        </is>
      </c>
      <c r="F70" s="29" t="inlineStr">
        <is>
          <t>2021</t>
        </is>
      </c>
      <c r="G70" s="29" t="inlineStr">
        <is>
          <t>CFS</t>
        </is>
      </c>
      <c r="H70" s="29" t="inlineStr">
        <is>
          <t>CF</t>
        </is>
      </c>
      <c r="I70" s="29" t="inlineStr">
        <is>
          <t>현금흐름표</t>
        </is>
      </c>
      <c r="J70" s="29" t="inlineStr">
        <is>
          <t>-표준계정코드 미사용-</t>
        </is>
      </c>
      <c r="K70" s="29" t="inlineStr">
        <is>
          <t>유형자산의 폐기</t>
        </is>
      </c>
      <c r="L70" s="29" t="inlineStr">
        <is>
          <t>-</t>
        </is>
      </c>
      <c r="M70" s="29" t="inlineStr">
        <is>
          <t>제 16 기</t>
        </is>
      </c>
      <c r="N70" s="29" t="inlineStr">
        <is>
          <t>해당 없음</t>
        </is>
      </c>
      <c r="O70" s="29" t="inlineStr">
        <is>
          <t>해당 없음</t>
        </is>
      </c>
      <c r="P70" s="29" t="inlineStr">
        <is>
          <t>KRW</t>
        </is>
      </c>
      <c r="Q70" s="29" t="inlineStr">
        <is>
          <t>8</t>
        </is>
      </c>
    </row>
    <row r="71" ht="24" customHeight="1">
      <c r="A71" s="24" t="inlineStr">
        <is>
          <t>OpenDART_fnlttSinglAcntAll</t>
        </is>
      </c>
      <c r="B71" s="24" t="inlineStr">
        <is>
          <t>01021666</t>
        </is>
      </c>
      <c r="C71" s="24" t="inlineStr">
        <is>
          <t>덕산테코피아</t>
        </is>
      </c>
      <c r="D71" s="24" t="inlineStr">
        <is>
          <t>duksan</t>
        </is>
      </c>
      <c r="E71" s="24" t="inlineStr">
        <is>
          <t>317330</t>
        </is>
      </c>
      <c r="F71" s="24" t="inlineStr">
        <is>
          <t>2021</t>
        </is>
      </c>
      <c r="G71" s="24" t="inlineStr">
        <is>
          <t>CFS</t>
        </is>
      </c>
      <c r="H71" s="24" t="inlineStr">
        <is>
          <t>CF</t>
        </is>
      </c>
      <c r="I71" s="24" t="inlineStr">
        <is>
          <t>현금흐름표</t>
        </is>
      </c>
      <c r="J71" s="24" t="inlineStr">
        <is>
          <t>ifrs-full_PurchaseOfIntangibleAssetsClassifiedAsInvestingActivities</t>
        </is>
      </c>
      <c r="K71" s="24" t="inlineStr">
        <is>
          <t>무형자산의 취득</t>
        </is>
      </c>
      <c r="L71" s="24" t="inlineStr">
        <is>
          <t>-</t>
        </is>
      </c>
      <c r="M71" s="24" t="inlineStr">
        <is>
          <t>제 16 기</t>
        </is>
      </c>
      <c r="N71" s="24" t="inlineStr">
        <is>
          <t>470589090.0</t>
        </is>
      </c>
      <c r="O71" s="24" t="inlineStr">
        <is>
          <t>30620000.0</t>
        </is>
      </c>
      <c r="P71" s="24" t="inlineStr">
        <is>
          <t>KRW</t>
        </is>
      </c>
      <c r="Q71" s="24" t="inlineStr">
        <is>
          <t>9</t>
        </is>
      </c>
    </row>
    <row r="72" ht="24" customHeight="1">
      <c r="A72" s="29" t="inlineStr">
        <is>
          <t>OpenDART_fnlttSinglAcntAll</t>
        </is>
      </c>
      <c r="B72" s="29" t="inlineStr">
        <is>
          <t>01021666</t>
        </is>
      </c>
      <c r="C72" s="29" t="inlineStr">
        <is>
          <t>덕산테코피아</t>
        </is>
      </c>
      <c r="D72" s="29" t="inlineStr">
        <is>
          <t>duksan</t>
        </is>
      </c>
      <c r="E72" s="29" t="inlineStr">
        <is>
          <t>317330</t>
        </is>
      </c>
      <c r="F72" s="29" t="inlineStr">
        <is>
          <t>2021</t>
        </is>
      </c>
      <c r="G72" s="29" t="inlineStr">
        <is>
          <t>CFS</t>
        </is>
      </c>
      <c r="H72" s="29" t="inlineStr">
        <is>
          <t>CF</t>
        </is>
      </c>
      <c r="I72" s="29" t="inlineStr">
        <is>
          <t>현금흐름표</t>
        </is>
      </c>
      <c r="J72" s="29" t="inlineStr">
        <is>
          <t>dart_PurchaseOfShortTermFinancialInstruments</t>
        </is>
      </c>
      <c r="K72" s="29" t="inlineStr">
        <is>
          <t>단기금융상품의 증가</t>
        </is>
      </c>
      <c r="L72" s="29" t="inlineStr">
        <is>
          <t>-</t>
        </is>
      </c>
      <c r="M72" s="29" t="inlineStr">
        <is>
          <t>제 16 기</t>
        </is>
      </c>
      <c r="N72" s="29" t="inlineStr">
        <is>
          <t>23000000000.0</t>
        </is>
      </c>
      <c r="O72" s="29" t="inlineStr">
        <is>
          <t>25000013600.0</t>
        </is>
      </c>
      <c r="P72" s="29" t="inlineStr">
        <is>
          <t>KRW</t>
        </is>
      </c>
      <c r="Q72" s="29" t="inlineStr">
        <is>
          <t>10</t>
        </is>
      </c>
    </row>
    <row r="73" ht="24" customHeight="1">
      <c r="A73" s="24" t="inlineStr">
        <is>
          <t>OpenDART_fnlttSinglAcntAll</t>
        </is>
      </c>
      <c r="B73" s="24" t="inlineStr">
        <is>
          <t>01021666</t>
        </is>
      </c>
      <c r="C73" s="24" t="inlineStr">
        <is>
          <t>덕산테코피아</t>
        </is>
      </c>
      <c r="D73" s="24" t="inlineStr">
        <is>
          <t>duksan</t>
        </is>
      </c>
      <c r="E73" s="24" t="inlineStr">
        <is>
          <t>317330</t>
        </is>
      </c>
      <c r="F73" s="24" t="inlineStr">
        <is>
          <t>2021</t>
        </is>
      </c>
      <c r="G73" s="24" t="inlineStr">
        <is>
          <t>CFS</t>
        </is>
      </c>
      <c r="H73" s="24" t="inlineStr">
        <is>
          <t>CF</t>
        </is>
      </c>
      <c r="I73" s="24" t="inlineStr">
        <is>
          <t>현금흐름표</t>
        </is>
      </c>
      <c r="J73" s="24" t="inlineStr">
        <is>
          <t>dart_ProceedsFromSalesOfShortTermFinancialInstruments</t>
        </is>
      </c>
      <c r="K73" s="24" t="inlineStr">
        <is>
          <t>단기금융상품의 감소</t>
        </is>
      </c>
      <c r="L73" s="24" t="inlineStr">
        <is>
          <t>-</t>
        </is>
      </c>
      <c r="M73" s="24" t="inlineStr">
        <is>
          <t>제 16 기</t>
        </is>
      </c>
      <c r="N73" s="24" t="inlineStr">
        <is>
          <t>31999993000.0</t>
        </is>
      </c>
      <c r="O73" s="24" t="inlineStr">
        <is>
          <t>36000000000.0</t>
        </is>
      </c>
      <c r="P73" s="24" t="inlineStr">
        <is>
          <t>KRW</t>
        </is>
      </c>
      <c r="Q73" s="24" t="inlineStr">
        <is>
          <t>11</t>
        </is>
      </c>
    </row>
    <row r="74" ht="24" customHeight="1">
      <c r="A74" s="29" t="inlineStr">
        <is>
          <t>OpenDART_fnlttSinglAcntAll</t>
        </is>
      </c>
      <c r="B74" s="29" t="inlineStr">
        <is>
          <t>01021666</t>
        </is>
      </c>
      <c r="C74" s="29" t="inlineStr">
        <is>
          <t>덕산테코피아</t>
        </is>
      </c>
      <c r="D74" s="29" t="inlineStr">
        <is>
          <t>duksan</t>
        </is>
      </c>
      <c r="E74" s="29" t="inlineStr">
        <is>
          <t>317330</t>
        </is>
      </c>
      <c r="F74" s="29" t="inlineStr">
        <is>
          <t>2021</t>
        </is>
      </c>
      <c r="G74" s="29" t="inlineStr">
        <is>
          <t>CFS</t>
        </is>
      </c>
      <c r="H74" s="29" t="inlineStr">
        <is>
          <t>CF</t>
        </is>
      </c>
      <c r="I74" s="29" t="inlineStr">
        <is>
          <t>현금흐름표</t>
        </is>
      </c>
      <c r="J74" s="29" t="inlineStr">
        <is>
          <t>dart_DecreaseInGuaranteeDeposits</t>
        </is>
      </c>
      <c r="K74" s="29" t="inlineStr">
        <is>
          <t>임차보증금의 감소</t>
        </is>
      </c>
      <c r="L74" s="29" t="inlineStr">
        <is>
          <t>-</t>
        </is>
      </c>
      <c r="M74" s="29" t="inlineStr">
        <is>
          <t>제 16 기</t>
        </is>
      </c>
      <c r="N74" s="29" t="inlineStr">
        <is>
          <t>49000000.0</t>
        </is>
      </c>
      <c r="O74" s="29" t="inlineStr">
        <is>
          <t>29000000.0</t>
        </is>
      </c>
      <c r="P74" s="29" t="inlineStr">
        <is>
          <t>KRW</t>
        </is>
      </c>
      <c r="Q74" s="29" t="inlineStr">
        <is>
          <t>12</t>
        </is>
      </c>
    </row>
    <row r="75" ht="24" customHeight="1">
      <c r="A75" s="24" t="inlineStr">
        <is>
          <t>OpenDART_fnlttSinglAcntAll</t>
        </is>
      </c>
      <c r="B75" s="24" t="inlineStr">
        <is>
          <t>01021666</t>
        </is>
      </c>
      <c r="C75" s="24" t="inlineStr">
        <is>
          <t>덕산테코피아</t>
        </is>
      </c>
      <c r="D75" s="24" t="inlineStr">
        <is>
          <t>duksan</t>
        </is>
      </c>
      <c r="E75" s="24" t="inlineStr">
        <is>
          <t>317330</t>
        </is>
      </c>
      <c r="F75" s="24" t="inlineStr">
        <is>
          <t>2021</t>
        </is>
      </c>
      <c r="G75" s="24" t="inlineStr">
        <is>
          <t>CFS</t>
        </is>
      </c>
      <c r="H75" s="24" t="inlineStr">
        <is>
          <t>CF</t>
        </is>
      </c>
      <c r="I75" s="24" t="inlineStr">
        <is>
          <t>현금흐름표</t>
        </is>
      </c>
      <c r="J75" s="24" t="inlineStr">
        <is>
          <t>dart_IncreaseInGuaranteeDeposits</t>
        </is>
      </c>
      <c r="K75" s="24" t="inlineStr">
        <is>
          <t>임차보증금의 증가</t>
        </is>
      </c>
      <c r="L75" s="24" t="inlineStr">
        <is>
          <t>-</t>
        </is>
      </c>
      <c r="M75" s="24" t="inlineStr">
        <is>
          <t>제 16 기</t>
        </is>
      </c>
      <c r="N75" s="24" t="inlineStr">
        <is>
          <t>171500000.0</t>
        </is>
      </c>
      <c r="O75" s="24" t="inlineStr">
        <is>
          <t>162500000.0</t>
        </is>
      </c>
      <c r="P75" s="24" t="inlineStr">
        <is>
          <t>KRW</t>
        </is>
      </c>
      <c r="Q75" s="24" t="inlineStr">
        <is>
          <t>13</t>
        </is>
      </c>
    </row>
    <row r="76" ht="24" customHeight="1">
      <c r="A76" s="29" t="inlineStr">
        <is>
          <t>OpenDART_fnlttSinglAcntAll</t>
        </is>
      </c>
      <c r="B76" s="29" t="inlineStr">
        <is>
          <t>01021666</t>
        </is>
      </c>
      <c r="C76" s="29" t="inlineStr">
        <is>
          <t>덕산테코피아</t>
        </is>
      </c>
      <c r="D76" s="29" t="inlineStr">
        <is>
          <t>duksan</t>
        </is>
      </c>
      <c r="E76" s="29" t="inlineStr">
        <is>
          <t>317330</t>
        </is>
      </c>
      <c r="F76" s="29" t="inlineStr">
        <is>
          <t>2021</t>
        </is>
      </c>
      <c r="G76" s="29" t="inlineStr">
        <is>
          <t>CFS</t>
        </is>
      </c>
      <c r="H76" s="29" t="inlineStr">
        <is>
          <t>CF</t>
        </is>
      </c>
      <c r="I76" s="29" t="inlineStr">
        <is>
          <t>현금흐름표</t>
        </is>
      </c>
      <c r="J76" s="29" t="inlineStr">
        <is>
          <t>dart_ProceedsFromSalesOfShortTermLoansAndReceivables</t>
        </is>
      </c>
      <c r="K76" s="29" t="inlineStr">
        <is>
          <t>단기대여금의 감소</t>
        </is>
      </c>
      <c r="L76" s="29" t="inlineStr">
        <is>
          <t>-</t>
        </is>
      </c>
      <c r="M76" s="29" t="inlineStr">
        <is>
          <t>제 16 기</t>
        </is>
      </c>
      <c r="N76" s="29" t="inlineStr">
        <is>
          <t>444638000.0</t>
        </is>
      </c>
      <c r="O76" s="29" t="inlineStr">
        <is>
          <t>203087000.0</t>
        </is>
      </c>
      <c r="P76" s="29" t="inlineStr">
        <is>
          <t>KRW</t>
        </is>
      </c>
      <c r="Q76" s="29" t="inlineStr">
        <is>
          <t>14</t>
        </is>
      </c>
    </row>
    <row r="77" ht="24" customHeight="1">
      <c r="A77" s="24" t="inlineStr">
        <is>
          <t>OpenDART_fnlttSinglAcntAll</t>
        </is>
      </c>
      <c r="B77" s="24" t="inlineStr">
        <is>
          <t>01021666</t>
        </is>
      </c>
      <c r="C77" s="24" t="inlineStr">
        <is>
          <t>덕산테코피아</t>
        </is>
      </c>
      <c r="D77" s="24" t="inlineStr">
        <is>
          <t>duksan</t>
        </is>
      </c>
      <c r="E77" s="24" t="inlineStr">
        <is>
          <t>317330</t>
        </is>
      </c>
      <c r="F77" s="24" t="inlineStr">
        <is>
          <t>2021</t>
        </is>
      </c>
      <c r="G77" s="24" t="inlineStr">
        <is>
          <t>CFS</t>
        </is>
      </c>
      <c r="H77" s="24" t="inlineStr">
        <is>
          <t>CF</t>
        </is>
      </c>
      <c r="I77" s="24" t="inlineStr">
        <is>
          <t>현금흐름표</t>
        </is>
      </c>
      <c r="J77" s="24" t="inlineStr">
        <is>
          <t>-표준계정코드 미사용-</t>
        </is>
      </c>
      <c r="K77" s="24" t="inlineStr">
        <is>
          <t>단기대여금의 증가</t>
        </is>
      </c>
      <c r="L77" s="24" t="inlineStr">
        <is>
          <t>-</t>
        </is>
      </c>
      <c r="M77" s="24" t="inlineStr">
        <is>
          <t>제 16 기</t>
        </is>
      </c>
      <c r="N77" s="24" t="inlineStr">
        <is>
          <t>해당 없음</t>
        </is>
      </c>
      <c r="O77" s="24" t="inlineStr">
        <is>
          <t>해당 없음</t>
        </is>
      </c>
      <c r="P77" s="24" t="inlineStr">
        <is>
          <t>KRW</t>
        </is>
      </c>
      <c r="Q77" s="24" t="inlineStr">
        <is>
          <t>15</t>
        </is>
      </c>
    </row>
    <row r="78" ht="24" customHeight="1">
      <c r="A78" s="29" t="inlineStr">
        <is>
          <t>OpenDART_fnlttSinglAcntAll</t>
        </is>
      </c>
      <c r="B78" s="29" t="inlineStr">
        <is>
          <t>01021666</t>
        </is>
      </c>
      <c r="C78" s="29" t="inlineStr">
        <is>
          <t>덕산테코피아</t>
        </is>
      </c>
      <c r="D78" s="29" t="inlineStr">
        <is>
          <t>duksan</t>
        </is>
      </c>
      <c r="E78" s="29" t="inlineStr">
        <is>
          <t>317330</t>
        </is>
      </c>
      <c r="F78" s="29" t="inlineStr">
        <is>
          <t>2021</t>
        </is>
      </c>
      <c r="G78" s="29" t="inlineStr">
        <is>
          <t>CFS</t>
        </is>
      </c>
      <c r="H78" s="29" t="inlineStr">
        <is>
          <t>CF</t>
        </is>
      </c>
      <c r="I78" s="29" t="inlineStr">
        <is>
          <t>현금흐름표</t>
        </is>
      </c>
      <c r="J78" s="29" t="inlineStr">
        <is>
          <t>-표준계정코드 미사용-</t>
        </is>
      </c>
      <c r="K78" s="29" t="inlineStr">
        <is>
          <t>장기대여금의 감소</t>
        </is>
      </c>
      <c r="L78" s="29" t="inlineStr">
        <is>
          <t>-</t>
        </is>
      </c>
      <c r="M78" s="29" t="inlineStr">
        <is>
          <t>제 16 기</t>
        </is>
      </c>
      <c r="N78" s="29" t="inlineStr">
        <is>
          <t>해당 없음</t>
        </is>
      </c>
      <c r="O78" s="29" t="inlineStr">
        <is>
          <t>해당 없음</t>
        </is>
      </c>
      <c r="P78" s="29" t="inlineStr">
        <is>
          <t>KRW</t>
        </is>
      </c>
      <c r="Q78" s="29" t="inlineStr">
        <is>
          <t>16</t>
        </is>
      </c>
    </row>
    <row r="79" ht="24" customHeight="1">
      <c r="A79" s="24" t="inlineStr">
        <is>
          <t>OpenDART_fnlttSinglAcntAll</t>
        </is>
      </c>
      <c r="B79" s="24" t="inlineStr">
        <is>
          <t>01021666</t>
        </is>
      </c>
      <c r="C79" s="24" t="inlineStr">
        <is>
          <t>덕산테코피아</t>
        </is>
      </c>
      <c r="D79" s="24" t="inlineStr">
        <is>
          <t>duksan</t>
        </is>
      </c>
      <c r="E79" s="24" t="inlineStr">
        <is>
          <t>317330</t>
        </is>
      </c>
      <c r="F79" s="24" t="inlineStr">
        <is>
          <t>2021</t>
        </is>
      </c>
      <c r="G79" s="24" t="inlineStr">
        <is>
          <t>CFS</t>
        </is>
      </c>
      <c r="H79" s="24" t="inlineStr">
        <is>
          <t>CF</t>
        </is>
      </c>
      <c r="I79" s="24" t="inlineStr">
        <is>
          <t>현금흐름표</t>
        </is>
      </c>
      <c r="J79" s="24" t="inlineStr">
        <is>
          <t>-표준계정코드 미사용-</t>
        </is>
      </c>
      <c r="K79" s="24" t="inlineStr">
        <is>
          <t>장기대여금의 증가</t>
        </is>
      </c>
      <c r="L79" s="24" t="inlineStr">
        <is>
          <t>-</t>
        </is>
      </c>
      <c r="M79" s="24" t="inlineStr">
        <is>
          <t>제 16 기</t>
        </is>
      </c>
      <c r="N79" s="24" t="inlineStr">
        <is>
          <t>해당 없음</t>
        </is>
      </c>
      <c r="O79" s="24" t="inlineStr">
        <is>
          <t>해당 없음</t>
        </is>
      </c>
      <c r="P79" s="24" t="inlineStr">
        <is>
          <t>KRW</t>
        </is>
      </c>
      <c r="Q79" s="24" t="inlineStr">
        <is>
          <t>17</t>
        </is>
      </c>
    </row>
    <row r="80" ht="24" customHeight="1">
      <c r="A80" s="29" t="inlineStr">
        <is>
          <t>OpenDART_fnlttSinglAcntAll</t>
        </is>
      </c>
      <c r="B80" s="29" t="inlineStr">
        <is>
          <t>01021666</t>
        </is>
      </c>
      <c r="C80" s="29" t="inlineStr">
        <is>
          <t>덕산테코피아</t>
        </is>
      </c>
      <c r="D80" s="29" t="inlineStr">
        <is>
          <t>duksan</t>
        </is>
      </c>
      <c r="E80" s="29" t="inlineStr">
        <is>
          <t>317330</t>
        </is>
      </c>
      <c r="F80" s="29" t="inlineStr">
        <is>
          <t>2021</t>
        </is>
      </c>
      <c r="G80" s="29" t="inlineStr">
        <is>
          <t>CFS</t>
        </is>
      </c>
      <c r="H80" s="29" t="inlineStr">
        <is>
          <t>CF</t>
        </is>
      </c>
      <c r="I80" s="29" t="inlineStr">
        <is>
          <t>현금흐름표</t>
        </is>
      </c>
      <c r="J80" s="29" t="inlineStr">
        <is>
          <t>-표준계정코드 미사용-</t>
        </is>
      </c>
      <c r="K80" s="29" t="inlineStr">
        <is>
          <t>매도가능금융자산의 증가</t>
        </is>
      </c>
      <c r="L80" s="29" t="inlineStr">
        <is>
          <t>-</t>
        </is>
      </c>
      <c r="M80" s="29" t="inlineStr">
        <is>
          <t>제 16 기</t>
        </is>
      </c>
      <c r="N80" s="29" t="inlineStr">
        <is>
          <t>해당 없음</t>
        </is>
      </c>
      <c r="O80" s="29" t="inlineStr">
        <is>
          <t>해당 없음</t>
        </is>
      </c>
      <c r="P80" s="29" t="inlineStr">
        <is>
          <t>KRW</t>
        </is>
      </c>
      <c r="Q80" s="29" t="inlineStr">
        <is>
          <t>18</t>
        </is>
      </c>
    </row>
    <row r="81" ht="24" customHeight="1">
      <c r="A81" s="24" t="inlineStr">
        <is>
          <t>OpenDART_fnlttSinglAcntAll</t>
        </is>
      </c>
      <c r="B81" s="24" t="inlineStr">
        <is>
          <t>01021666</t>
        </is>
      </c>
      <c r="C81" s="24" t="inlineStr">
        <is>
          <t>덕산테코피아</t>
        </is>
      </c>
      <c r="D81" s="24" t="inlineStr">
        <is>
          <t>duksan</t>
        </is>
      </c>
      <c r="E81" s="24" t="inlineStr">
        <is>
          <t>317330</t>
        </is>
      </c>
      <c r="F81" s="24" t="inlineStr">
        <is>
          <t>2021</t>
        </is>
      </c>
      <c r="G81" s="24" t="inlineStr">
        <is>
          <t>CFS</t>
        </is>
      </c>
      <c r="H81" s="24" t="inlineStr">
        <is>
          <t>CF</t>
        </is>
      </c>
      <c r="I81" s="24" t="inlineStr">
        <is>
          <t>현금흐름표</t>
        </is>
      </c>
      <c r="J81" s="24" t="inlineStr">
        <is>
          <t>dart_PurchaseOfNonCurrentAvailableForSaleFinancialAssets</t>
        </is>
      </c>
      <c r="K81" s="24" t="inlineStr">
        <is>
          <t>당기손익-공정가치금융자산 증가</t>
        </is>
      </c>
      <c r="L81" s="24" t="inlineStr">
        <is>
          <t>-</t>
        </is>
      </c>
      <c r="M81" s="24" t="inlineStr">
        <is>
          <t>제 16 기</t>
        </is>
      </c>
      <c r="N81" s="24" t="inlineStr">
        <is>
          <t>3300000000.0</t>
        </is>
      </c>
      <c r="O81" s="24" t="inlineStr">
        <is>
          <t>9478955852.0</t>
        </is>
      </c>
      <c r="P81" s="24" t="inlineStr">
        <is>
          <t>KRW</t>
        </is>
      </c>
      <c r="Q81" s="24" t="inlineStr">
        <is>
          <t>19</t>
        </is>
      </c>
    </row>
    <row r="82" ht="24" customHeight="1">
      <c r="A82" s="29" t="inlineStr">
        <is>
          <t>OpenDART_fnlttSinglAcntAll</t>
        </is>
      </c>
      <c r="B82" s="29" t="inlineStr">
        <is>
          <t>01021666</t>
        </is>
      </c>
      <c r="C82" s="29" t="inlineStr">
        <is>
          <t>덕산테코피아</t>
        </is>
      </c>
      <c r="D82" s="29" t="inlineStr">
        <is>
          <t>duksan</t>
        </is>
      </c>
      <c r="E82" s="29" t="inlineStr">
        <is>
          <t>317330</t>
        </is>
      </c>
      <c r="F82" s="29" t="inlineStr">
        <is>
          <t>2021</t>
        </is>
      </c>
      <c r="G82" s="29" t="inlineStr">
        <is>
          <t>CFS</t>
        </is>
      </c>
      <c r="H82" s="29" t="inlineStr">
        <is>
          <t>CF</t>
        </is>
      </c>
      <c r="I82" s="29" t="inlineStr">
        <is>
          <t>현금흐름표</t>
        </is>
      </c>
      <c r="J82" s="29" t="inlineStr">
        <is>
          <t>dart_ProceedsFromSalesOfNonCurrentAvailableForSaleFinancialAssets</t>
        </is>
      </c>
      <c r="K82" s="29" t="inlineStr">
        <is>
          <t>당기손익-공정가치금융자산 감소</t>
        </is>
      </c>
      <c r="L82" s="29" t="inlineStr">
        <is>
          <t>-</t>
        </is>
      </c>
      <c r="M82" s="29" t="inlineStr">
        <is>
          <t>제 16 기</t>
        </is>
      </c>
      <c r="N82" s="29" t="inlineStr">
        <is>
          <t>1483121235.0</t>
        </is>
      </c>
      <c r="O82" s="29" t="inlineStr">
        <is>
          <t>94624761.0</t>
        </is>
      </c>
      <c r="P82" s="29" t="inlineStr">
        <is>
          <t>KRW</t>
        </is>
      </c>
      <c r="Q82" s="29" t="inlineStr">
        <is>
          <t>20</t>
        </is>
      </c>
    </row>
    <row r="83" ht="24" customHeight="1">
      <c r="A83" s="24" t="inlineStr">
        <is>
          <t>OpenDART_fnlttSinglAcntAll</t>
        </is>
      </c>
      <c r="B83" s="24" t="inlineStr">
        <is>
          <t>01021666</t>
        </is>
      </c>
      <c r="C83" s="24" t="inlineStr">
        <is>
          <t>덕산테코피아</t>
        </is>
      </c>
      <c r="D83" s="24" t="inlineStr">
        <is>
          <t>duksan</t>
        </is>
      </c>
      <c r="E83" s="24" t="inlineStr">
        <is>
          <t>317330</t>
        </is>
      </c>
      <c r="F83" s="24" t="inlineStr">
        <is>
          <t>2021</t>
        </is>
      </c>
      <c r="G83" s="24" t="inlineStr">
        <is>
          <t>CFS</t>
        </is>
      </c>
      <c r="H83" s="24" t="inlineStr">
        <is>
          <t>CF</t>
        </is>
      </c>
      <c r="I83" s="24" t="inlineStr">
        <is>
          <t>현금흐름표</t>
        </is>
      </c>
      <c r="J83" s="24" t="inlineStr">
        <is>
          <t>-표준계정코드 미사용-</t>
        </is>
      </c>
      <c r="K83" s="24" t="inlineStr">
        <is>
          <t>선급금의 증가</t>
        </is>
      </c>
      <c r="L83" s="24" t="inlineStr">
        <is>
          <t>-</t>
        </is>
      </c>
      <c r="M83" s="24" t="inlineStr">
        <is>
          <t>제 16 기</t>
        </is>
      </c>
      <c r="N83" s="24" t="inlineStr">
        <is>
          <t>36030989.0</t>
        </is>
      </c>
      <c r="O83" s="24" t="inlineStr">
        <is>
          <t>해당 없음</t>
        </is>
      </c>
      <c r="P83" s="24" t="inlineStr">
        <is>
          <t>KRW</t>
        </is>
      </c>
      <c r="Q83" s="24" t="inlineStr">
        <is>
          <t>21</t>
        </is>
      </c>
    </row>
    <row r="84" ht="24" customHeight="1">
      <c r="A84" s="29" t="inlineStr">
        <is>
          <t>OpenDART_fnlttSinglAcntAll</t>
        </is>
      </c>
      <c r="B84" s="29" t="inlineStr">
        <is>
          <t>01021666</t>
        </is>
      </c>
      <c r="C84" s="29" t="inlineStr">
        <is>
          <t>덕산테코피아</t>
        </is>
      </c>
      <c r="D84" s="29" t="inlineStr">
        <is>
          <t>duksan</t>
        </is>
      </c>
      <c r="E84" s="29" t="inlineStr">
        <is>
          <t>317330</t>
        </is>
      </c>
      <c r="F84" s="29" t="inlineStr">
        <is>
          <t>2021</t>
        </is>
      </c>
      <c r="G84" s="29" t="inlineStr">
        <is>
          <t>CFS</t>
        </is>
      </c>
      <c r="H84" s="29" t="inlineStr">
        <is>
          <t>CF</t>
        </is>
      </c>
      <c r="I84" s="29" t="inlineStr">
        <is>
          <t>현금흐름표</t>
        </is>
      </c>
      <c r="J84" s="29" t="inlineStr">
        <is>
          <t>ifrs-full_CashFlowsUsedInObtainingControlOfSubsidiariesOrOtherBusinessesClassifiedAsInvestingActivities</t>
        </is>
      </c>
      <c r="K84" s="29" t="inlineStr">
        <is>
          <t>종속기업과 기타 사업의 지배력 획득에 따른 현금흐름</t>
        </is>
      </c>
      <c r="L84" s="29" t="inlineStr">
        <is>
          <t>-</t>
        </is>
      </c>
      <c r="M84" s="29" t="inlineStr">
        <is>
          <t>제 16 기</t>
        </is>
      </c>
      <c r="N84" s="29" t="inlineStr">
        <is>
          <t>해당 없음</t>
        </is>
      </c>
      <c r="O84" s="29" t="inlineStr">
        <is>
          <t>2972422316.0</t>
        </is>
      </c>
      <c r="P84" s="29" t="inlineStr">
        <is>
          <t>KRW</t>
        </is>
      </c>
      <c r="Q84" s="29" t="inlineStr">
        <is>
          <t>22</t>
        </is>
      </c>
    </row>
    <row r="85" ht="24" customHeight="1">
      <c r="A85" s="24" t="inlineStr">
        <is>
          <t>OpenDART_fnlttSinglAcntAll</t>
        </is>
      </c>
      <c r="B85" s="24" t="inlineStr">
        <is>
          <t>01021666</t>
        </is>
      </c>
      <c r="C85" s="24" t="inlineStr">
        <is>
          <t>덕산테코피아</t>
        </is>
      </c>
      <c r="D85" s="24" t="inlineStr">
        <is>
          <t>duksan</t>
        </is>
      </c>
      <c r="E85" s="24" t="inlineStr">
        <is>
          <t>317330</t>
        </is>
      </c>
      <c r="F85" s="24" t="inlineStr">
        <is>
          <t>2021</t>
        </is>
      </c>
      <c r="G85" s="24" t="inlineStr">
        <is>
          <t>CFS</t>
        </is>
      </c>
      <c r="H85" s="24" t="inlineStr">
        <is>
          <t>CF</t>
        </is>
      </c>
      <c r="I85" s="24" t="inlineStr">
        <is>
          <t>현금흐름표</t>
        </is>
      </c>
      <c r="J85" s="24" t="inlineStr">
        <is>
          <t>ifrs-full_CashFlowsFromUsedInFinancingActivities</t>
        </is>
      </c>
      <c r="K85" s="24" t="inlineStr">
        <is>
          <t>Ⅲ. 재무활동현금흐름</t>
        </is>
      </c>
      <c r="L85" s="24" t="inlineStr">
        <is>
          <t>-</t>
        </is>
      </c>
      <c r="M85" s="24" t="inlineStr">
        <is>
          <t>제 16 기</t>
        </is>
      </c>
      <c r="N85" s="24" t="inlineStr">
        <is>
          <t>45474761561.0</t>
        </is>
      </c>
      <c r="O85" s="24" t="inlineStr">
        <is>
          <t>-2213557280.0</t>
        </is>
      </c>
      <c r="P85" s="24" t="inlineStr">
        <is>
          <t>KRW</t>
        </is>
      </c>
      <c r="Q85" s="24" t="inlineStr">
        <is>
          <t>23</t>
        </is>
      </c>
    </row>
    <row r="86" ht="24" customHeight="1">
      <c r="A86" s="29" t="inlineStr">
        <is>
          <t>OpenDART_fnlttSinglAcntAll</t>
        </is>
      </c>
      <c r="B86" s="29" t="inlineStr">
        <is>
          <t>01021666</t>
        </is>
      </c>
      <c r="C86" s="29" t="inlineStr">
        <is>
          <t>덕산테코피아</t>
        </is>
      </c>
      <c r="D86" s="29" t="inlineStr">
        <is>
          <t>duksan</t>
        </is>
      </c>
      <c r="E86" s="29" t="inlineStr">
        <is>
          <t>317330</t>
        </is>
      </c>
      <c r="F86" s="29" t="inlineStr">
        <is>
          <t>2021</t>
        </is>
      </c>
      <c r="G86" s="29" t="inlineStr">
        <is>
          <t>CFS</t>
        </is>
      </c>
      <c r="H86" s="29" t="inlineStr">
        <is>
          <t>CF</t>
        </is>
      </c>
      <c r="I86" s="29" t="inlineStr">
        <is>
          <t>현금흐름표</t>
        </is>
      </c>
      <c r="J86" s="29" t="inlineStr">
        <is>
          <t>dart_RepaymentsOfShortTermBorrowings</t>
        </is>
      </c>
      <c r="K86" s="29" t="inlineStr">
        <is>
          <t>단기차입금의 상환</t>
        </is>
      </c>
      <c r="L86" s="29" t="inlineStr">
        <is>
          <t>-</t>
        </is>
      </c>
      <c r="M86" s="29" t="inlineStr">
        <is>
          <t>제 16 기</t>
        </is>
      </c>
      <c r="N86" s="29" t="inlineStr">
        <is>
          <t>255000000.0</t>
        </is>
      </c>
      <c r="O86" s="29" t="inlineStr">
        <is>
          <t>해당 없음</t>
        </is>
      </c>
      <c r="P86" s="29" t="inlineStr">
        <is>
          <t>KRW</t>
        </is>
      </c>
      <c r="Q86" s="29" t="inlineStr">
        <is>
          <t>24</t>
        </is>
      </c>
    </row>
    <row r="87" ht="24" customHeight="1">
      <c r="A87" s="24" t="inlineStr">
        <is>
          <t>OpenDART_fnlttSinglAcntAll</t>
        </is>
      </c>
      <c r="B87" s="24" t="inlineStr">
        <is>
          <t>01021666</t>
        </is>
      </c>
      <c r="C87" s="24" t="inlineStr">
        <is>
          <t>덕산테코피아</t>
        </is>
      </c>
      <c r="D87" s="24" t="inlineStr">
        <is>
          <t>duksan</t>
        </is>
      </c>
      <c r="E87" s="24" t="inlineStr">
        <is>
          <t>317330</t>
        </is>
      </c>
      <c r="F87" s="24" t="inlineStr">
        <is>
          <t>2021</t>
        </is>
      </c>
      <c r="G87" s="24" t="inlineStr">
        <is>
          <t>CFS</t>
        </is>
      </c>
      <c r="H87" s="24" t="inlineStr">
        <is>
          <t>CF</t>
        </is>
      </c>
      <c r="I87" s="24" t="inlineStr">
        <is>
          <t>현금흐름표</t>
        </is>
      </c>
      <c r="J87" s="24" t="inlineStr">
        <is>
          <t>ifrs-full_RepaymentsOfBorrowingsClassifiedAsFinancingActivities</t>
        </is>
      </c>
      <c r="K87" s="24" t="inlineStr">
        <is>
          <t>유동성장기부채의 상환</t>
        </is>
      </c>
      <c r="L87" s="24" t="inlineStr">
        <is>
          <t>-</t>
        </is>
      </c>
      <c r="M87" s="24" t="inlineStr">
        <is>
          <t>제 16 기</t>
        </is>
      </c>
      <c r="N87" s="24" t="inlineStr">
        <is>
          <t>1183324000.0</t>
        </is>
      </c>
      <c r="O87" s="24" t="inlineStr">
        <is>
          <t>1120000000.0</t>
        </is>
      </c>
      <c r="P87" s="24" t="inlineStr">
        <is>
          <t>KRW</t>
        </is>
      </c>
      <c r="Q87" s="24" t="inlineStr">
        <is>
          <t>25</t>
        </is>
      </c>
    </row>
    <row r="88" ht="24" customHeight="1">
      <c r="A88" s="29" t="inlineStr">
        <is>
          <t>OpenDART_fnlttSinglAcntAll</t>
        </is>
      </c>
      <c r="B88" s="29" t="inlineStr">
        <is>
          <t>01021666</t>
        </is>
      </c>
      <c r="C88" s="29" t="inlineStr">
        <is>
          <t>덕산테코피아</t>
        </is>
      </c>
      <c r="D88" s="29" t="inlineStr">
        <is>
          <t>duksan</t>
        </is>
      </c>
      <c r="E88" s="29" t="inlineStr">
        <is>
          <t>317330</t>
        </is>
      </c>
      <c r="F88" s="29" t="inlineStr">
        <is>
          <t>2021</t>
        </is>
      </c>
      <c r="G88" s="29" t="inlineStr">
        <is>
          <t>CFS</t>
        </is>
      </c>
      <c r="H88" s="29" t="inlineStr">
        <is>
          <t>CF</t>
        </is>
      </c>
      <c r="I88" s="29" t="inlineStr">
        <is>
          <t>현금흐름표</t>
        </is>
      </c>
      <c r="J88" s="29" t="inlineStr">
        <is>
          <t>ifrs-full_PaymentsOfFinanceLeaseLiabilitiesClassifiedAsFinancingActivities</t>
        </is>
      </c>
      <c r="K88" s="29" t="inlineStr">
        <is>
          <t>리스부채의 감소</t>
        </is>
      </c>
      <c r="L88" s="29" t="inlineStr">
        <is>
          <t>-</t>
        </is>
      </c>
      <c r="M88" s="29" t="inlineStr">
        <is>
          <t>제 16 기</t>
        </is>
      </c>
      <c r="N88" s="29" t="inlineStr">
        <is>
          <t>225002816.0</t>
        </is>
      </c>
      <c r="O88" s="29" t="inlineStr">
        <is>
          <t>92739880.0</t>
        </is>
      </c>
      <c r="P88" s="29" t="inlineStr">
        <is>
          <t>KRW</t>
        </is>
      </c>
      <c r="Q88" s="29" t="inlineStr">
        <is>
          <t>26</t>
        </is>
      </c>
    </row>
    <row r="89" ht="24" customHeight="1">
      <c r="A89" s="24" t="inlineStr">
        <is>
          <t>OpenDART_fnlttSinglAcntAll</t>
        </is>
      </c>
      <c r="B89" s="24" t="inlineStr">
        <is>
          <t>01021666</t>
        </is>
      </c>
      <c r="C89" s="24" t="inlineStr">
        <is>
          <t>덕산테코피아</t>
        </is>
      </c>
      <c r="D89" s="24" t="inlineStr">
        <is>
          <t>duksan</t>
        </is>
      </c>
      <c r="E89" s="24" t="inlineStr">
        <is>
          <t>317330</t>
        </is>
      </c>
      <c r="F89" s="24" t="inlineStr">
        <is>
          <t>2021</t>
        </is>
      </c>
      <c r="G89" s="24" t="inlineStr">
        <is>
          <t>CFS</t>
        </is>
      </c>
      <c r="H89" s="24" t="inlineStr">
        <is>
          <t>CF</t>
        </is>
      </c>
      <c r="I89" s="24" t="inlineStr">
        <is>
          <t>현금흐름표</t>
        </is>
      </c>
      <c r="J89" s="24" t="inlineStr">
        <is>
          <t>ifrs-full_ProceedsFromIssuingShares</t>
        </is>
      </c>
      <c r="K89" s="24" t="inlineStr">
        <is>
          <t>유상증자</t>
        </is>
      </c>
      <c r="L89" s="24" t="inlineStr">
        <is>
          <t>-</t>
        </is>
      </c>
      <c r="M89" s="24" t="inlineStr">
        <is>
          <t>제 16 기</t>
        </is>
      </c>
      <c r="N89" s="24" t="inlineStr">
        <is>
          <t>1151169754.0</t>
        </is>
      </c>
      <c r="O89" s="24" t="inlineStr">
        <is>
          <t>해당 없음</t>
        </is>
      </c>
      <c r="P89" s="24" t="inlineStr">
        <is>
          <t>KRW</t>
        </is>
      </c>
      <c r="Q89" s="24" t="inlineStr">
        <is>
          <t>27</t>
        </is>
      </c>
    </row>
    <row r="90" ht="24" customHeight="1">
      <c r="A90" s="29" t="inlineStr">
        <is>
          <t>OpenDART_fnlttSinglAcntAll</t>
        </is>
      </c>
      <c r="B90" s="29" t="inlineStr">
        <is>
          <t>01021666</t>
        </is>
      </c>
      <c r="C90" s="29" t="inlineStr">
        <is>
          <t>덕산테코피아</t>
        </is>
      </c>
      <c r="D90" s="29" t="inlineStr">
        <is>
          <t>duksan</t>
        </is>
      </c>
      <c r="E90" s="29" t="inlineStr">
        <is>
          <t>317330</t>
        </is>
      </c>
      <c r="F90" s="29" t="inlineStr">
        <is>
          <t>2021</t>
        </is>
      </c>
      <c r="G90" s="29" t="inlineStr">
        <is>
          <t>CFS</t>
        </is>
      </c>
      <c r="H90" s="29" t="inlineStr">
        <is>
          <t>CF</t>
        </is>
      </c>
      <c r="I90" s="29" t="inlineStr">
        <is>
          <t>현금흐름표</t>
        </is>
      </c>
      <c r="J90" s="29" t="inlineStr">
        <is>
          <t>dart_RepaymentsOfLongTermBorrowings</t>
        </is>
      </c>
      <c r="K90" s="29" t="inlineStr">
        <is>
          <t>장기차입금의 상환</t>
        </is>
      </c>
      <c r="L90" s="29" t="inlineStr">
        <is>
          <t>-</t>
        </is>
      </c>
      <c r="M90" s="29" t="inlineStr">
        <is>
          <t>제 16 기</t>
        </is>
      </c>
      <c r="N90" s="29" t="inlineStr">
        <is>
          <t>해당 없음</t>
        </is>
      </c>
      <c r="O90" s="29" t="inlineStr">
        <is>
          <t>831000.0</t>
        </is>
      </c>
      <c r="P90" s="29" t="inlineStr">
        <is>
          <t>KRW</t>
        </is>
      </c>
      <c r="Q90" s="29" t="inlineStr">
        <is>
          <t>28</t>
        </is>
      </c>
    </row>
    <row r="91" ht="24" customHeight="1">
      <c r="A91" s="24" t="inlineStr">
        <is>
          <t>OpenDART_fnlttSinglAcntAll</t>
        </is>
      </c>
      <c r="B91" s="24" t="inlineStr">
        <is>
          <t>01021666</t>
        </is>
      </c>
      <c r="C91" s="24" t="inlineStr">
        <is>
          <t>덕산테코피아</t>
        </is>
      </c>
      <c r="D91" s="24" t="inlineStr">
        <is>
          <t>duksan</t>
        </is>
      </c>
      <c r="E91" s="24" t="inlineStr">
        <is>
          <t>317330</t>
        </is>
      </c>
      <c r="F91" s="24" t="inlineStr">
        <is>
          <t>2021</t>
        </is>
      </c>
      <c r="G91" s="24" t="inlineStr">
        <is>
          <t>CFS</t>
        </is>
      </c>
      <c r="H91" s="24" t="inlineStr">
        <is>
          <t>CF</t>
        </is>
      </c>
      <c r="I91" s="24" t="inlineStr">
        <is>
          <t>현금흐름표</t>
        </is>
      </c>
      <c r="J91" s="24" t="inlineStr">
        <is>
          <t>dart_ProceedsFromConvertibleBonds</t>
        </is>
      </c>
      <c r="K91" s="24" t="inlineStr">
        <is>
          <t>전환사채의 증가</t>
        </is>
      </c>
      <c r="L91" s="24" t="inlineStr">
        <is>
          <t>-</t>
        </is>
      </c>
      <c r="M91" s="24" t="inlineStr">
        <is>
          <t>제 16 기</t>
        </is>
      </c>
      <c r="N91" s="24" t="inlineStr">
        <is>
          <t>49977528182.0</t>
        </is>
      </c>
      <c r="O91" s="24" t="inlineStr">
        <is>
          <t>해당 없음</t>
        </is>
      </c>
      <c r="P91" s="24" t="inlineStr">
        <is>
          <t>KRW</t>
        </is>
      </c>
      <c r="Q91" s="24" t="inlineStr">
        <is>
          <t>29</t>
        </is>
      </c>
    </row>
    <row r="92" ht="24" customHeight="1">
      <c r="A92" s="29" t="inlineStr">
        <is>
          <t>OpenDART_fnlttSinglAcntAll</t>
        </is>
      </c>
      <c r="B92" s="29" t="inlineStr">
        <is>
          <t>01021666</t>
        </is>
      </c>
      <c r="C92" s="29" t="inlineStr">
        <is>
          <t>덕산테코피아</t>
        </is>
      </c>
      <c r="D92" s="29" t="inlineStr">
        <is>
          <t>duksan</t>
        </is>
      </c>
      <c r="E92" s="29" t="inlineStr">
        <is>
          <t>317330</t>
        </is>
      </c>
      <c r="F92" s="29" t="inlineStr">
        <is>
          <t>2021</t>
        </is>
      </c>
      <c r="G92" s="29" t="inlineStr">
        <is>
          <t>CFS</t>
        </is>
      </c>
      <c r="H92" s="29" t="inlineStr">
        <is>
          <t>CF</t>
        </is>
      </c>
      <c r="I92" s="29" t="inlineStr">
        <is>
          <t>현금흐름표</t>
        </is>
      </c>
      <c r="J92" s="29" t="inlineStr">
        <is>
          <t>dart_AcquisitionOfTreasuryShares</t>
        </is>
      </c>
      <c r="K92" s="29" t="inlineStr">
        <is>
          <t>자기주식의 취득</t>
        </is>
      </c>
      <c r="L92" s="29" t="inlineStr">
        <is>
          <t>-</t>
        </is>
      </c>
      <c r="M92" s="29" t="inlineStr">
        <is>
          <t>제 16 기</t>
        </is>
      </c>
      <c r="N92" s="29" t="inlineStr">
        <is>
          <t>2999969600.0</t>
        </is>
      </c>
      <c r="O92" s="29" t="inlineStr">
        <is>
          <t>999986400.0</t>
        </is>
      </c>
      <c r="P92" s="29" t="inlineStr">
        <is>
          <t>KRW</t>
        </is>
      </c>
      <c r="Q92" s="29" t="inlineStr">
        <is>
          <t>30</t>
        </is>
      </c>
    </row>
    <row r="93" ht="24" customHeight="1">
      <c r="A93" s="24" t="inlineStr">
        <is>
          <t>OpenDART_fnlttSinglAcntAll</t>
        </is>
      </c>
      <c r="B93" s="24" t="inlineStr">
        <is>
          <t>01021666</t>
        </is>
      </c>
      <c r="C93" s="24" t="inlineStr">
        <is>
          <t>덕산테코피아</t>
        </is>
      </c>
      <c r="D93" s="24" t="inlineStr">
        <is>
          <t>duksan</t>
        </is>
      </c>
      <c r="E93" s="24" t="inlineStr">
        <is>
          <t>317330</t>
        </is>
      </c>
      <c r="F93" s="24" t="inlineStr">
        <is>
          <t>2021</t>
        </is>
      </c>
      <c r="G93" s="24" t="inlineStr">
        <is>
          <t>CFS</t>
        </is>
      </c>
      <c r="H93" s="24" t="inlineStr">
        <is>
          <t>CF</t>
        </is>
      </c>
      <c r="I93" s="24" t="inlineStr">
        <is>
          <t>현금흐름표</t>
        </is>
      </c>
      <c r="J93" s="24" t="inlineStr">
        <is>
          <t>-표준계정코드 미사용-</t>
        </is>
      </c>
      <c r="K93" s="24" t="inlineStr">
        <is>
          <t>주식발행초과금</t>
        </is>
      </c>
      <c r="L93" s="24" t="inlineStr">
        <is>
          <t>-</t>
        </is>
      </c>
      <c r="M93" s="24" t="inlineStr">
        <is>
          <t>제 16 기</t>
        </is>
      </c>
      <c r="N93" s="24" t="inlineStr">
        <is>
          <t>1008139959.0</t>
        </is>
      </c>
      <c r="O93" s="24" t="inlineStr">
        <is>
          <t>해당 없음</t>
        </is>
      </c>
      <c r="P93" s="24" t="inlineStr">
        <is>
          <t>KRW</t>
        </is>
      </c>
      <c r="Q93" s="24" t="inlineStr">
        <is>
          <t>31</t>
        </is>
      </c>
    </row>
    <row r="94" ht="24" customHeight="1">
      <c r="A94" s="29" t="inlineStr">
        <is>
          <t>OpenDART_fnlttSinglAcntAll</t>
        </is>
      </c>
      <c r="B94" s="29" t="inlineStr">
        <is>
          <t>01021666</t>
        </is>
      </c>
      <c r="C94" s="29" t="inlineStr">
        <is>
          <t>덕산테코피아</t>
        </is>
      </c>
      <c r="D94" s="29" t="inlineStr">
        <is>
          <t>duksan</t>
        </is>
      </c>
      <c r="E94" s="29" t="inlineStr">
        <is>
          <t>317330</t>
        </is>
      </c>
      <c r="F94" s="29" t="inlineStr">
        <is>
          <t>2021</t>
        </is>
      </c>
      <c r="G94" s="29" t="inlineStr">
        <is>
          <t>CFS</t>
        </is>
      </c>
      <c r="H94" s="29" t="inlineStr">
        <is>
          <t>CF</t>
        </is>
      </c>
      <c r="I94" s="29" t="inlineStr">
        <is>
          <t>현금흐름표</t>
        </is>
      </c>
      <c r="J94" s="29" t="inlineStr">
        <is>
          <t>dart_IncreaseInGuaranteeDepositsAsFinancialActivities</t>
        </is>
      </c>
      <c r="K94" s="29" t="inlineStr">
        <is>
          <t>임대보증금의 증가</t>
        </is>
      </c>
      <c r="L94" s="29" t="inlineStr">
        <is>
          <t>-</t>
        </is>
      </c>
      <c r="M94" s="29" t="inlineStr">
        <is>
          <t>제 16 기</t>
        </is>
      </c>
      <c r="N94" s="29" t="inlineStr">
        <is>
          <t>17500000.0</t>
        </is>
      </c>
      <c r="O94" s="29" t="inlineStr">
        <is>
          <t>해당 없음</t>
        </is>
      </c>
      <c r="P94" s="29" t="inlineStr">
        <is>
          <t>KRW</t>
        </is>
      </c>
      <c r="Q94" s="29" t="inlineStr">
        <is>
          <t>32</t>
        </is>
      </c>
    </row>
    <row r="95" ht="24" customHeight="1">
      <c r="A95" s="24" t="inlineStr">
        <is>
          <t>OpenDART_fnlttSinglAcntAll</t>
        </is>
      </c>
      <c r="B95" s="24" t="inlineStr">
        <is>
          <t>01021666</t>
        </is>
      </c>
      <c r="C95" s="24" t="inlineStr">
        <is>
          <t>덕산테코피아</t>
        </is>
      </c>
      <c r="D95" s="24" t="inlineStr">
        <is>
          <t>duksan</t>
        </is>
      </c>
      <c r="E95" s="24" t="inlineStr">
        <is>
          <t>317330</t>
        </is>
      </c>
      <c r="F95" s="24" t="inlineStr">
        <is>
          <t>2021</t>
        </is>
      </c>
      <c r="G95" s="24" t="inlineStr">
        <is>
          <t>CFS</t>
        </is>
      </c>
      <c r="H95" s="24" t="inlineStr">
        <is>
          <t>CF</t>
        </is>
      </c>
      <c r="I95" s="24" t="inlineStr">
        <is>
          <t>현금흐름표</t>
        </is>
      </c>
      <c r="J95" s="24" t="inlineStr">
        <is>
          <t>ifrs-full_EffectOfExchangeRateChangesOnCashAndCashEquivalents</t>
        </is>
      </c>
      <c r="K95" s="24" t="inlineStr">
        <is>
          <t>Ⅳ. 현금및현금성자산에 대한 환율변동효과</t>
        </is>
      </c>
      <c r="L95" s="24" t="inlineStr">
        <is>
          <t>-</t>
        </is>
      </c>
      <c r="M95" s="24" t="inlineStr">
        <is>
          <t>제 16 기</t>
        </is>
      </c>
      <c r="N95" s="24" t="inlineStr">
        <is>
          <t>7529126.0</t>
        </is>
      </c>
      <c r="O95" s="24" t="inlineStr">
        <is>
          <t>-10464849.0</t>
        </is>
      </c>
      <c r="P95" s="24" t="inlineStr">
        <is>
          <t>KRW</t>
        </is>
      </c>
      <c r="Q95" s="24" t="inlineStr">
        <is>
          <t>33</t>
        </is>
      </c>
    </row>
    <row r="96" ht="24" customHeight="1">
      <c r="A96" s="29" t="inlineStr">
        <is>
          <t>OpenDART_fnlttSinglAcntAll</t>
        </is>
      </c>
      <c r="B96" s="29" t="inlineStr">
        <is>
          <t>01021666</t>
        </is>
      </c>
      <c r="C96" s="29" t="inlineStr">
        <is>
          <t>덕산테코피아</t>
        </is>
      </c>
      <c r="D96" s="29" t="inlineStr">
        <is>
          <t>duksan</t>
        </is>
      </c>
      <c r="E96" s="29" t="inlineStr">
        <is>
          <t>317330</t>
        </is>
      </c>
      <c r="F96" s="29" t="inlineStr">
        <is>
          <t>2021</t>
        </is>
      </c>
      <c r="G96" s="29" t="inlineStr">
        <is>
          <t>CFS</t>
        </is>
      </c>
      <c r="H96" s="29" t="inlineStr">
        <is>
          <t>CF</t>
        </is>
      </c>
      <c r="I96" s="29" t="inlineStr">
        <is>
          <t>현금흐름표</t>
        </is>
      </c>
      <c r="J96" s="29" t="inlineStr">
        <is>
          <t>ifrs-full_IncreaseDecreaseInCashAndCashEquivalents</t>
        </is>
      </c>
      <c r="K96" s="29" t="inlineStr">
        <is>
          <t>Ⅴ. 현금및현금성자산의 순증가(Ⅰ+Ⅱ+Ⅲ)</t>
        </is>
      </c>
      <c r="L96" s="29" t="inlineStr">
        <is>
          <t>-</t>
        </is>
      </c>
      <c r="M96" s="29" t="inlineStr">
        <is>
          <t>제 16 기</t>
        </is>
      </c>
      <c r="N96" s="29" t="inlineStr">
        <is>
          <t>37045448841.0</t>
        </is>
      </c>
      <c r="O96" s="29" t="inlineStr">
        <is>
          <t>-3669704792.0</t>
        </is>
      </c>
      <c r="P96" s="29" t="inlineStr">
        <is>
          <t>KRW</t>
        </is>
      </c>
      <c r="Q96" s="29" t="inlineStr">
        <is>
          <t>34</t>
        </is>
      </c>
    </row>
    <row r="97" ht="24" customHeight="1">
      <c r="A97" s="24" t="inlineStr">
        <is>
          <t>OpenDART_fnlttSinglAcntAll</t>
        </is>
      </c>
      <c r="B97" s="24" t="inlineStr">
        <is>
          <t>01021666</t>
        </is>
      </c>
      <c r="C97" s="24" t="inlineStr">
        <is>
          <t>덕산테코피아</t>
        </is>
      </c>
      <c r="D97" s="24" t="inlineStr">
        <is>
          <t>duksan</t>
        </is>
      </c>
      <c r="E97" s="24" t="inlineStr">
        <is>
          <t>317330</t>
        </is>
      </c>
      <c r="F97" s="24" t="inlineStr">
        <is>
          <t>2021</t>
        </is>
      </c>
      <c r="G97" s="24" t="inlineStr">
        <is>
          <t>CFS</t>
        </is>
      </c>
      <c r="H97" s="24" t="inlineStr">
        <is>
          <t>CF</t>
        </is>
      </c>
      <c r="I97" s="24" t="inlineStr">
        <is>
          <t>현금흐름표</t>
        </is>
      </c>
      <c r="J97" s="24" t="inlineStr">
        <is>
          <t>dart_CashAndCashEquivalentsAtBeginningOfPeriodCf</t>
        </is>
      </c>
      <c r="K97" s="24" t="inlineStr">
        <is>
          <t>Ⅵ. 기초현금및현금성자산</t>
        </is>
      </c>
      <c r="L97" s="24" t="inlineStr">
        <is>
          <t>-</t>
        </is>
      </c>
      <c r="M97" s="24" t="inlineStr">
        <is>
          <t>제 16 기</t>
        </is>
      </c>
      <c r="N97" s="24" t="inlineStr">
        <is>
          <t>6283692975.0</t>
        </is>
      </c>
      <c r="O97" s="24" t="inlineStr">
        <is>
          <t>9953397767.0</t>
        </is>
      </c>
      <c r="P97" s="24" t="inlineStr">
        <is>
          <t>KRW</t>
        </is>
      </c>
      <c r="Q97" s="24" t="inlineStr">
        <is>
          <t>35</t>
        </is>
      </c>
    </row>
    <row r="98" ht="24" customHeight="1">
      <c r="A98" s="29" t="inlineStr">
        <is>
          <t>OpenDART_fnlttSinglAcntAll</t>
        </is>
      </c>
      <c r="B98" s="29" t="inlineStr">
        <is>
          <t>01021666</t>
        </is>
      </c>
      <c r="C98" s="29" t="inlineStr">
        <is>
          <t>덕산테코피아</t>
        </is>
      </c>
      <c r="D98" s="29" t="inlineStr">
        <is>
          <t>duksan</t>
        </is>
      </c>
      <c r="E98" s="29" t="inlineStr">
        <is>
          <t>317330</t>
        </is>
      </c>
      <c r="F98" s="29" t="inlineStr">
        <is>
          <t>2021</t>
        </is>
      </c>
      <c r="G98" s="29" t="inlineStr">
        <is>
          <t>CFS</t>
        </is>
      </c>
      <c r="H98" s="29" t="inlineStr">
        <is>
          <t>CF</t>
        </is>
      </c>
      <c r="I98" s="29" t="inlineStr">
        <is>
          <t>현금흐름표</t>
        </is>
      </c>
      <c r="J98" s="29" t="inlineStr">
        <is>
          <t>dart_CashAndCashEquivalentsAtEndOfPeriodCf</t>
        </is>
      </c>
      <c r="K98" s="29" t="inlineStr">
        <is>
          <t>Ⅶ. 기말현금및현금성자산</t>
        </is>
      </c>
      <c r="L98" s="29" t="inlineStr">
        <is>
          <t>-</t>
        </is>
      </c>
      <c r="M98" s="29" t="inlineStr">
        <is>
          <t>제 16 기</t>
        </is>
      </c>
      <c r="N98" s="29" t="inlineStr">
        <is>
          <t>43329141816.0</t>
        </is>
      </c>
      <c r="O98" s="29" t="inlineStr">
        <is>
          <t>6283692975.0</t>
        </is>
      </c>
      <c r="P98" s="29" t="inlineStr">
        <is>
          <t>KRW</t>
        </is>
      </c>
      <c r="Q98" s="29" t="inlineStr">
        <is>
          <t>36</t>
        </is>
      </c>
    </row>
    <row r="99" ht="24" customHeight="1">
      <c r="A99" s="24" t="inlineStr">
        <is>
          <t>OpenDART_fnlttSinglAcntAll</t>
        </is>
      </c>
      <c r="B99" s="24" t="inlineStr">
        <is>
          <t>01021666</t>
        </is>
      </c>
      <c r="C99" s="24" t="inlineStr">
        <is>
          <t>덕산테코피아</t>
        </is>
      </c>
      <c r="D99" s="24" t="inlineStr">
        <is>
          <t>duksan</t>
        </is>
      </c>
      <c r="E99" s="24" t="inlineStr">
        <is>
          <t>317330</t>
        </is>
      </c>
      <c r="F99" s="24" t="inlineStr">
        <is>
          <t>2021</t>
        </is>
      </c>
      <c r="G99" s="24" t="inlineStr">
        <is>
          <t>CFS</t>
        </is>
      </c>
      <c r="H99" s="24" t="inlineStr">
        <is>
          <t>SCE</t>
        </is>
      </c>
      <c r="I99" s="24" t="inlineStr">
        <is>
          <t>자본변동표</t>
        </is>
      </c>
      <c r="J99" s="24" t="inlineStr">
        <is>
          <t>dart_EquityAtBeginningOfPeriod</t>
        </is>
      </c>
      <c r="K99" s="24" t="inlineStr">
        <is>
          <t>기초자본</t>
        </is>
      </c>
      <c r="L99" s="24" t="inlineStr">
        <is>
          <t>자본 [member]|비지배지분 [member]</t>
        </is>
      </c>
      <c r="M99" s="24" t="inlineStr">
        <is>
          <t>제 16 기</t>
        </is>
      </c>
      <c r="N99" s="24" t="inlineStr">
        <is>
          <t>779189009.0</t>
        </is>
      </c>
      <c r="O99" s="24" t="inlineStr">
        <is>
          <t>해당 없음</t>
        </is>
      </c>
      <c r="P99" s="24" t="inlineStr">
        <is>
          <t>KRW</t>
        </is>
      </c>
      <c r="Q99" s="24" t="inlineStr">
        <is>
          <t>1</t>
        </is>
      </c>
    </row>
    <row r="100" ht="24" customHeight="1">
      <c r="A100" s="29" t="inlineStr">
        <is>
          <t>OpenDART_fnlttSinglAcntAll</t>
        </is>
      </c>
      <c r="B100" s="29" t="inlineStr">
        <is>
          <t>01021666</t>
        </is>
      </c>
      <c r="C100" s="29" t="inlineStr">
        <is>
          <t>덕산테코피아</t>
        </is>
      </c>
      <c r="D100" s="29" t="inlineStr">
        <is>
          <t>duksan</t>
        </is>
      </c>
      <c r="E100" s="29" t="inlineStr">
        <is>
          <t>317330</t>
        </is>
      </c>
      <c r="F100" s="29" t="inlineStr">
        <is>
          <t>2021</t>
        </is>
      </c>
      <c r="G100" s="29" t="inlineStr">
        <is>
          <t>CFS</t>
        </is>
      </c>
      <c r="H100" s="29" t="inlineStr">
        <is>
          <t>SCE</t>
        </is>
      </c>
      <c r="I100" s="29" t="inlineStr">
        <is>
          <t>자본변동표</t>
        </is>
      </c>
      <c r="J100" s="29" t="inlineStr">
        <is>
          <t>dart_EquityAtBeginningOfPeriod</t>
        </is>
      </c>
      <c r="K100" s="29" t="inlineStr">
        <is>
          <t>기초자본</t>
        </is>
      </c>
      <c r="L100" s="29" t="inlineStr">
        <is>
          <t>자본 [member]|지배기업의 소유주에게 귀속되는 자본 [member]|기타자본항목</t>
        </is>
      </c>
      <c r="M100" s="29" t="inlineStr">
        <is>
          <t>제 16 기</t>
        </is>
      </c>
      <c r="N100" s="29" t="inlineStr">
        <is>
          <t>-1034412124.0</t>
        </is>
      </c>
      <c r="O100" s="29" t="inlineStr">
        <is>
          <t>-51427514.0</t>
        </is>
      </c>
      <c r="P100" s="29" t="inlineStr">
        <is>
          <t>KRW</t>
        </is>
      </c>
      <c r="Q100" s="29" t="inlineStr">
        <is>
          <t>1</t>
        </is>
      </c>
    </row>
    <row r="101" ht="24" customHeight="1">
      <c r="A101" s="24" t="inlineStr">
        <is>
          <t>OpenDART_fnlttSinglAcntAll</t>
        </is>
      </c>
      <c r="B101" s="24" t="inlineStr">
        <is>
          <t>01021666</t>
        </is>
      </c>
      <c r="C101" s="24" t="inlineStr">
        <is>
          <t>덕산테코피아</t>
        </is>
      </c>
      <c r="D101" s="24" t="inlineStr">
        <is>
          <t>duksan</t>
        </is>
      </c>
      <c r="E101" s="24" t="inlineStr">
        <is>
          <t>317330</t>
        </is>
      </c>
      <c r="F101" s="24" t="inlineStr">
        <is>
          <t>2021</t>
        </is>
      </c>
      <c r="G101" s="24" t="inlineStr">
        <is>
          <t>CFS</t>
        </is>
      </c>
      <c r="H101" s="24" t="inlineStr">
        <is>
          <t>SCE</t>
        </is>
      </c>
      <c r="I101" s="24" t="inlineStr">
        <is>
          <t>자본변동표</t>
        </is>
      </c>
      <c r="J101" s="24" t="inlineStr">
        <is>
          <t>dart_EquityAtBeginningOfPeriod</t>
        </is>
      </c>
      <c r="K101" s="24" t="inlineStr">
        <is>
          <t>기초자본</t>
        </is>
      </c>
      <c r="L101" s="24" t="inlineStr">
        <is>
          <t>자본 [member]|지배기업의 소유주에게 귀속되는 자본 [member]|이익잉여금 [member]</t>
        </is>
      </c>
      <c r="M101" s="24" t="inlineStr">
        <is>
          <t>제 16 기</t>
        </is>
      </c>
      <c r="N101" s="24" t="inlineStr">
        <is>
          <t>72576001629.0</t>
        </is>
      </c>
      <c r="O101" s="24" t="inlineStr">
        <is>
          <t>59545221109.0</t>
        </is>
      </c>
      <c r="P101" s="24" t="inlineStr">
        <is>
          <t>KRW</t>
        </is>
      </c>
      <c r="Q101" s="24" t="inlineStr">
        <is>
          <t>1</t>
        </is>
      </c>
    </row>
    <row r="102" ht="24" customHeight="1">
      <c r="A102" s="29" t="inlineStr">
        <is>
          <t>OpenDART_fnlttSinglAcntAll</t>
        </is>
      </c>
      <c r="B102" s="29" t="inlineStr">
        <is>
          <t>01021666</t>
        </is>
      </c>
      <c r="C102" s="29" t="inlineStr">
        <is>
          <t>덕산테코피아</t>
        </is>
      </c>
      <c r="D102" s="29" t="inlineStr">
        <is>
          <t>duksan</t>
        </is>
      </c>
      <c r="E102" s="29" t="inlineStr">
        <is>
          <t>317330</t>
        </is>
      </c>
      <c r="F102" s="29" t="inlineStr">
        <is>
          <t>2021</t>
        </is>
      </c>
      <c r="G102" s="29" t="inlineStr">
        <is>
          <t>CFS</t>
        </is>
      </c>
      <c r="H102" s="29" t="inlineStr">
        <is>
          <t>SCE</t>
        </is>
      </c>
      <c r="I102" s="29" t="inlineStr">
        <is>
          <t>자본변동표</t>
        </is>
      </c>
      <c r="J102" s="29" t="inlineStr">
        <is>
          <t>dart_EquityAtBeginningOfPeriod</t>
        </is>
      </c>
      <c r="K102" s="29" t="inlineStr">
        <is>
          <t>기초자본</t>
        </is>
      </c>
      <c r="L102" s="29" t="inlineStr">
        <is>
          <t>자본 [member]|지배기업의 소유주에게 귀속되는 자본 [member]|자본금 [member]</t>
        </is>
      </c>
      <c r="M102" s="29" t="inlineStr">
        <is>
          <t>제 16 기</t>
        </is>
      </c>
      <c r="N102" s="29" t="inlineStr">
        <is>
          <t>9188714000.0</t>
        </is>
      </c>
      <c r="O102" s="29" t="inlineStr">
        <is>
          <t>9188714000.0</t>
        </is>
      </c>
      <c r="P102" s="29" t="inlineStr">
        <is>
          <t>KRW</t>
        </is>
      </c>
      <c r="Q102" s="29" t="inlineStr">
        <is>
          <t>1</t>
        </is>
      </c>
    </row>
    <row r="103" ht="24" customHeight="1">
      <c r="A103" s="24" t="inlineStr">
        <is>
          <t>OpenDART_fnlttSinglAcntAll</t>
        </is>
      </c>
      <c r="B103" s="24" t="inlineStr">
        <is>
          <t>01021666</t>
        </is>
      </c>
      <c r="C103" s="24" t="inlineStr">
        <is>
          <t>덕산테코피아</t>
        </is>
      </c>
      <c r="D103" s="24" t="inlineStr">
        <is>
          <t>duksan</t>
        </is>
      </c>
      <c r="E103" s="24" t="inlineStr">
        <is>
          <t>317330</t>
        </is>
      </c>
      <c r="F103" s="24" t="inlineStr">
        <is>
          <t>2021</t>
        </is>
      </c>
      <c r="G103" s="24" t="inlineStr">
        <is>
          <t>CFS</t>
        </is>
      </c>
      <c r="H103" s="24" t="inlineStr">
        <is>
          <t>SCE</t>
        </is>
      </c>
      <c r="I103" s="24" t="inlineStr">
        <is>
          <t>자본변동표</t>
        </is>
      </c>
      <c r="J103" s="24" t="inlineStr">
        <is>
          <t>dart_EquityAtBeginningOfPeriod</t>
        </is>
      </c>
      <c r="K103" s="24" t="inlineStr">
        <is>
          <t>기초자본</t>
        </is>
      </c>
      <c r="L103" s="24" t="inlineStr">
        <is>
          <t>연결재무제표 [member]</t>
        </is>
      </c>
      <c r="M103" s="24" t="inlineStr">
        <is>
          <t>제 16 기</t>
        </is>
      </c>
      <c r="N103" s="24" t="inlineStr">
        <is>
          <t>158017665293.0</t>
        </is>
      </c>
      <c r="O103" s="24" t="inlineStr">
        <is>
          <t>145190680374.0</t>
        </is>
      </c>
      <c r="P103" s="24" t="inlineStr">
        <is>
          <t>KRW</t>
        </is>
      </c>
      <c r="Q103" s="24" t="inlineStr">
        <is>
          <t>1</t>
        </is>
      </c>
    </row>
    <row r="104" ht="24" customHeight="1">
      <c r="A104" s="29" t="inlineStr">
        <is>
          <t>OpenDART_fnlttSinglAcntAll</t>
        </is>
      </c>
      <c r="B104" s="29" t="inlineStr">
        <is>
          <t>01021666</t>
        </is>
      </c>
      <c r="C104" s="29" t="inlineStr">
        <is>
          <t>덕산테코피아</t>
        </is>
      </c>
      <c r="D104" s="29" t="inlineStr">
        <is>
          <t>duksan</t>
        </is>
      </c>
      <c r="E104" s="29" t="inlineStr">
        <is>
          <t>317330</t>
        </is>
      </c>
      <c r="F104" s="29" t="inlineStr">
        <is>
          <t>2021</t>
        </is>
      </c>
      <c r="G104" s="29" t="inlineStr">
        <is>
          <t>CFS</t>
        </is>
      </c>
      <c r="H104" s="29" t="inlineStr">
        <is>
          <t>SCE</t>
        </is>
      </c>
      <c r="I104" s="29" t="inlineStr">
        <is>
          <t>자본변동표</t>
        </is>
      </c>
      <c r="J104" s="29" t="inlineStr">
        <is>
          <t>dart_EquityAtBeginningOfPeriod</t>
        </is>
      </c>
      <c r="K104" s="29" t="inlineStr">
        <is>
          <t>기초자본</t>
        </is>
      </c>
      <c r="L104" s="29" t="inlineStr">
        <is>
          <t>자본 [member]|지배기업의 소유주에게 귀속되는 자본 [member]|자본잉여금 [member]</t>
        </is>
      </c>
      <c r="M104" s="29" t="inlineStr">
        <is>
          <t>제 16 기</t>
        </is>
      </c>
      <c r="N104" s="29" t="inlineStr">
        <is>
          <t>76508172779.0</t>
        </is>
      </c>
      <c r="O104" s="29" t="inlineStr">
        <is>
          <t>76508172779.0</t>
        </is>
      </c>
      <c r="P104" s="29" t="inlineStr">
        <is>
          <t>KRW</t>
        </is>
      </c>
      <c r="Q104" s="29" t="inlineStr">
        <is>
          <t>1</t>
        </is>
      </c>
    </row>
    <row r="105" ht="24" customHeight="1">
      <c r="A105" s="24" t="inlineStr">
        <is>
          <t>OpenDART_fnlttSinglAcntAll</t>
        </is>
      </c>
      <c r="B105" s="24" t="inlineStr">
        <is>
          <t>01021666</t>
        </is>
      </c>
      <c r="C105" s="24" t="inlineStr">
        <is>
          <t>덕산테코피아</t>
        </is>
      </c>
      <c r="D105" s="24" t="inlineStr">
        <is>
          <t>duksan</t>
        </is>
      </c>
      <c r="E105" s="24" t="inlineStr">
        <is>
          <t>317330</t>
        </is>
      </c>
      <c r="F105" s="24" t="inlineStr">
        <is>
          <t>2021</t>
        </is>
      </c>
      <c r="G105" s="24" t="inlineStr">
        <is>
          <t>CFS</t>
        </is>
      </c>
      <c r="H105" s="24" t="inlineStr">
        <is>
          <t>SCE</t>
        </is>
      </c>
      <c r="I105" s="24" t="inlineStr">
        <is>
          <t>자본변동표</t>
        </is>
      </c>
      <c r="J105" s="24" t="inlineStr">
        <is>
          <t>dart_EquityAtBeginningOfPeriod</t>
        </is>
      </c>
      <c r="K105" s="24" t="inlineStr">
        <is>
          <t>기초자본</t>
        </is>
      </c>
      <c r="L105" s="24" t="inlineStr">
        <is>
          <t>자본 [member]|지배기업의 소유주에게 귀속되는 자본 [member]</t>
        </is>
      </c>
      <c r="M105" s="24" t="inlineStr">
        <is>
          <t>제 16 기</t>
        </is>
      </c>
      <c r="N105" s="24" t="inlineStr">
        <is>
          <t>157238476284.0</t>
        </is>
      </c>
      <c r="O105" s="24" t="inlineStr">
        <is>
          <t>145190680374.0</t>
        </is>
      </c>
      <c r="P105" s="24" t="inlineStr">
        <is>
          <t>KRW</t>
        </is>
      </c>
      <c r="Q105" s="24" t="inlineStr">
        <is>
          <t>1</t>
        </is>
      </c>
    </row>
    <row r="106" ht="24" customHeight="1">
      <c r="A106" s="29" t="inlineStr">
        <is>
          <t>OpenDART_fnlttSinglAcntAll</t>
        </is>
      </c>
      <c r="B106" s="29" t="inlineStr">
        <is>
          <t>01021666</t>
        </is>
      </c>
      <c r="C106" s="29" t="inlineStr">
        <is>
          <t>덕산테코피아</t>
        </is>
      </c>
      <c r="D106" s="29" t="inlineStr">
        <is>
          <t>duksan</t>
        </is>
      </c>
      <c r="E106" s="29" t="inlineStr">
        <is>
          <t>317330</t>
        </is>
      </c>
      <c r="F106" s="29" t="inlineStr">
        <is>
          <t>2021</t>
        </is>
      </c>
      <c r="G106" s="29" t="inlineStr">
        <is>
          <t>CFS</t>
        </is>
      </c>
      <c r="H106" s="29" t="inlineStr">
        <is>
          <t>SCE</t>
        </is>
      </c>
      <c r="I106" s="29" t="inlineStr">
        <is>
          <t>자본변동표</t>
        </is>
      </c>
      <c r="J106" s="29" t="inlineStr">
        <is>
          <t>ifrs-full_ProfitLoss</t>
        </is>
      </c>
      <c r="K106" s="29" t="inlineStr">
        <is>
          <t>당기순이익(손실)</t>
        </is>
      </c>
      <c r="L106" s="29" t="inlineStr">
        <is>
          <t>자본 [member]|지배기업의 소유주에게 귀속되는 자본 [member]</t>
        </is>
      </c>
      <c r="M106" s="29" t="inlineStr">
        <is>
          <t>제 16 기</t>
        </is>
      </c>
      <c r="N106" s="29" t="inlineStr">
        <is>
          <t>17827002974.0</t>
        </is>
      </c>
      <c r="O106" s="29" t="inlineStr">
        <is>
          <t>12745939179.0</t>
        </is>
      </c>
      <c r="P106" s="29" t="inlineStr">
        <is>
          <t>KRW</t>
        </is>
      </c>
      <c r="Q106" s="29" t="inlineStr">
        <is>
          <t>2</t>
        </is>
      </c>
    </row>
    <row r="107" ht="24" customHeight="1">
      <c r="A107" s="24" t="inlineStr">
        <is>
          <t>OpenDART_fnlttSinglAcntAll</t>
        </is>
      </c>
      <c r="B107" s="24" t="inlineStr">
        <is>
          <t>01021666</t>
        </is>
      </c>
      <c r="C107" s="24" t="inlineStr">
        <is>
          <t>덕산테코피아</t>
        </is>
      </c>
      <c r="D107" s="24" t="inlineStr">
        <is>
          <t>duksan</t>
        </is>
      </c>
      <c r="E107" s="24" t="inlineStr">
        <is>
          <t>317330</t>
        </is>
      </c>
      <c r="F107" s="24" t="inlineStr">
        <is>
          <t>2021</t>
        </is>
      </c>
      <c r="G107" s="24" t="inlineStr">
        <is>
          <t>CFS</t>
        </is>
      </c>
      <c r="H107" s="24" t="inlineStr">
        <is>
          <t>SCE</t>
        </is>
      </c>
      <c r="I107" s="24" t="inlineStr">
        <is>
          <t>자본변동표</t>
        </is>
      </c>
      <c r="J107" s="24" t="inlineStr">
        <is>
          <t>ifrs-full_ProfitLoss</t>
        </is>
      </c>
      <c r="K107" s="24" t="inlineStr">
        <is>
          <t>당기순이익(손실)</t>
        </is>
      </c>
      <c r="L107" s="24" t="inlineStr">
        <is>
          <t>자본 [member]|지배기업의 소유주에게 귀속되는 자본 [member]|이익잉여금 [member]</t>
        </is>
      </c>
      <c r="M107" s="24" t="inlineStr">
        <is>
          <t>제 16 기</t>
        </is>
      </c>
      <c r="N107" s="24" t="inlineStr">
        <is>
          <t>17827002974.0</t>
        </is>
      </c>
      <c r="O107" s="24" t="inlineStr">
        <is>
          <t>12745939179.0</t>
        </is>
      </c>
      <c r="P107" s="24" t="inlineStr">
        <is>
          <t>KRW</t>
        </is>
      </c>
      <c r="Q107" s="24" t="inlineStr">
        <is>
          <t>2</t>
        </is>
      </c>
    </row>
    <row r="108" ht="24" customHeight="1">
      <c r="A108" s="29" t="inlineStr">
        <is>
          <t>OpenDART_fnlttSinglAcntAll</t>
        </is>
      </c>
      <c r="B108" s="29" t="inlineStr">
        <is>
          <t>01021666</t>
        </is>
      </c>
      <c r="C108" s="29" t="inlineStr">
        <is>
          <t>덕산테코피아</t>
        </is>
      </c>
      <c r="D108" s="29" t="inlineStr">
        <is>
          <t>duksan</t>
        </is>
      </c>
      <c r="E108" s="29" t="inlineStr">
        <is>
          <t>317330</t>
        </is>
      </c>
      <c r="F108" s="29" t="inlineStr">
        <is>
          <t>2021</t>
        </is>
      </c>
      <c r="G108" s="29" t="inlineStr">
        <is>
          <t>CFS</t>
        </is>
      </c>
      <c r="H108" s="29" t="inlineStr">
        <is>
          <t>SCE</t>
        </is>
      </c>
      <c r="I108" s="29" t="inlineStr">
        <is>
          <t>자본변동표</t>
        </is>
      </c>
      <c r="J108" s="29" t="inlineStr">
        <is>
          <t>ifrs-full_ProfitLoss</t>
        </is>
      </c>
      <c r="K108" s="29" t="inlineStr">
        <is>
          <t>당기순이익(손실)</t>
        </is>
      </c>
      <c r="L108" s="29" t="inlineStr">
        <is>
          <t>자본 [member]|비지배지분 [member]</t>
        </is>
      </c>
      <c r="M108" s="29" t="inlineStr">
        <is>
          <t>제 16 기</t>
        </is>
      </c>
      <c r="N108" s="29" t="inlineStr">
        <is>
          <t>-448391994.0</t>
        </is>
      </c>
      <c r="O108" s="29" t="inlineStr">
        <is>
          <t>-111085123.0</t>
        </is>
      </c>
      <c r="P108" s="29" t="inlineStr">
        <is>
          <t>KRW</t>
        </is>
      </c>
      <c r="Q108" s="29" t="inlineStr">
        <is>
          <t>2</t>
        </is>
      </c>
    </row>
    <row r="109" ht="24" customHeight="1">
      <c r="A109" s="24" t="inlineStr">
        <is>
          <t>OpenDART_fnlttSinglAcntAll</t>
        </is>
      </c>
      <c r="B109" s="24" t="inlineStr">
        <is>
          <t>01021666</t>
        </is>
      </c>
      <c r="C109" s="24" t="inlineStr">
        <is>
          <t>덕산테코피아</t>
        </is>
      </c>
      <c r="D109" s="24" t="inlineStr">
        <is>
          <t>duksan</t>
        </is>
      </c>
      <c r="E109" s="24" t="inlineStr">
        <is>
          <t>317330</t>
        </is>
      </c>
      <c r="F109" s="24" t="inlineStr">
        <is>
          <t>2021</t>
        </is>
      </c>
      <c r="G109" s="24" t="inlineStr">
        <is>
          <t>CFS</t>
        </is>
      </c>
      <c r="H109" s="24" t="inlineStr">
        <is>
          <t>SCE</t>
        </is>
      </c>
      <c r="I109" s="24" t="inlineStr">
        <is>
          <t>자본변동표</t>
        </is>
      </c>
      <c r="J109" s="24" t="inlineStr">
        <is>
          <t>ifrs-full_ProfitLoss</t>
        </is>
      </c>
      <c r="K109" s="24" t="inlineStr">
        <is>
          <t>당기순이익(손실)</t>
        </is>
      </c>
      <c r="L109" s="24" t="inlineStr">
        <is>
          <t>연결재무제표 [member]</t>
        </is>
      </c>
      <c r="M109" s="24" t="inlineStr">
        <is>
          <t>제 16 기</t>
        </is>
      </c>
      <c r="N109" s="24" t="inlineStr">
        <is>
          <t>17378610980.0</t>
        </is>
      </c>
      <c r="O109" s="24" t="inlineStr">
        <is>
          <t>12634854056.0</t>
        </is>
      </c>
      <c r="P109" s="24" t="inlineStr">
        <is>
          <t>KRW</t>
        </is>
      </c>
      <c r="Q109" s="24" t="inlineStr">
        <is>
          <t>2</t>
        </is>
      </c>
    </row>
    <row r="110" ht="24" customHeight="1">
      <c r="A110" s="29" t="inlineStr">
        <is>
          <t>OpenDART_fnlttSinglAcntAll</t>
        </is>
      </c>
      <c r="B110" s="29" t="inlineStr">
        <is>
          <t>01021666</t>
        </is>
      </c>
      <c r="C110" s="29" t="inlineStr">
        <is>
          <t>덕산테코피아</t>
        </is>
      </c>
      <c r="D110" s="29" t="inlineStr">
        <is>
          <t>duksan</t>
        </is>
      </c>
      <c r="E110" s="29" t="inlineStr">
        <is>
          <t>317330</t>
        </is>
      </c>
      <c r="F110" s="29" t="inlineStr">
        <is>
          <t>2021</t>
        </is>
      </c>
      <c r="G110" s="29" t="inlineStr">
        <is>
          <t>CFS</t>
        </is>
      </c>
      <c r="H110" s="29" t="inlineStr">
        <is>
          <t>SCE</t>
        </is>
      </c>
      <c r="I110" s="29" t="inlineStr">
        <is>
          <t>자본변동표</t>
        </is>
      </c>
      <c r="J110" s="29" t="inlineStr">
        <is>
          <t>-표준계정코드 미사용-</t>
        </is>
      </c>
      <c r="K110" s="29" t="inlineStr">
        <is>
          <t>확정급여부채의 재측정요소</t>
        </is>
      </c>
      <c r="L110" s="29" t="inlineStr">
        <is>
          <t>자본 [member]|비지배지분 [member]</t>
        </is>
      </c>
      <c r="M110" s="29" t="inlineStr">
        <is>
          <t>제 16 기</t>
        </is>
      </c>
      <c r="N110" s="29" t="inlineStr">
        <is>
          <t>26847643.0</t>
        </is>
      </c>
      <c r="O110" s="29" t="inlineStr">
        <is>
          <t>855589.0</t>
        </is>
      </c>
      <c r="P110" s="29" t="inlineStr">
        <is>
          <t>KRW</t>
        </is>
      </c>
      <c r="Q110" s="29" t="inlineStr">
        <is>
          <t>3</t>
        </is>
      </c>
    </row>
    <row r="111" ht="24" customHeight="1">
      <c r="A111" s="24" t="inlineStr">
        <is>
          <t>OpenDART_fnlttSinglAcntAll</t>
        </is>
      </c>
      <c r="B111" s="24" t="inlineStr">
        <is>
          <t>01021666</t>
        </is>
      </c>
      <c r="C111" s="24" t="inlineStr">
        <is>
          <t>덕산테코피아</t>
        </is>
      </c>
      <c r="D111" s="24" t="inlineStr">
        <is>
          <t>duksan</t>
        </is>
      </c>
      <c r="E111" s="24" t="inlineStr">
        <is>
          <t>317330</t>
        </is>
      </c>
      <c r="F111" s="24" t="inlineStr">
        <is>
          <t>2021</t>
        </is>
      </c>
      <c r="G111" s="24" t="inlineStr">
        <is>
          <t>CFS</t>
        </is>
      </c>
      <c r="H111" s="24" t="inlineStr">
        <is>
          <t>SCE</t>
        </is>
      </c>
      <c r="I111" s="24" t="inlineStr">
        <is>
          <t>자본변동표</t>
        </is>
      </c>
      <c r="J111" s="24" t="inlineStr">
        <is>
          <t>-표준계정코드 미사용-</t>
        </is>
      </c>
      <c r="K111" s="24" t="inlineStr">
        <is>
          <t>확정급여부채의 재측정요소</t>
        </is>
      </c>
      <c r="L111" s="24" t="inlineStr">
        <is>
          <t>자본 [member]|지배기업의 소유주에게 귀속되는 자본 [member]|이익잉여금 [member]</t>
        </is>
      </c>
      <c r="M111" s="24" t="inlineStr">
        <is>
          <t>제 16 기</t>
        </is>
      </c>
      <c r="N111" s="24" t="inlineStr">
        <is>
          <t>211854435.0</t>
        </is>
      </c>
      <c r="O111" s="24" t="inlineStr">
        <is>
          <t>284841341.0</t>
        </is>
      </c>
      <c r="P111" s="24" t="inlineStr">
        <is>
          <t>KRW</t>
        </is>
      </c>
      <c r="Q111" s="24" t="inlineStr">
        <is>
          <t>3</t>
        </is>
      </c>
    </row>
    <row r="112" ht="24" customHeight="1">
      <c r="A112" s="29" t="inlineStr">
        <is>
          <t>OpenDART_fnlttSinglAcntAll</t>
        </is>
      </c>
      <c r="B112" s="29" t="inlineStr">
        <is>
          <t>01021666</t>
        </is>
      </c>
      <c r="C112" s="29" t="inlineStr">
        <is>
          <t>덕산테코피아</t>
        </is>
      </c>
      <c r="D112" s="29" t="inlineStr">
        <is>
          <t>duksan</t>
        </is>
      </c>
      <c r="E112" s="29" t="inlineStr">
        <is>
          <t>317330</t>
        </is>
      </c>
      <c r="F112" s="29" t="inlineStr">
        <is>
          <t>2021</t>
        </is>
      </c>
      <c r="G112" s="29" t="inlineStr">
        <is>
          <t>CFS</t>
        </is>
      </c>
      <c r="H112" s="29" t="inlineStr">
        <is>
          <t>SCE</t>
        </is>
      </c>
      <c r="I112" s="29" t="inlineStr">
        <is>
          <t>자본변동표</t>
        </is>
      </c>
      <c r="J112" s="29" t="inlineStr">
        <is>
          <t>-표준계정코드 미사용-</t>
        </is>
      </c>
      <c r="K112" s="29" t="inlineStr">
        <is>
          <t>확정급여부채의 재측정요소</t>
        </is>
      </c>
      <c r="L112" s="29" t="inlineStr">
        <is>
          <t>자본 [member]|지배기업의 소유주에게 귀속되는 자본 [member]</t>
        </is>
      </c>
      <c r="M112" s="29" t="inlineStr">
        <is>
          <t>제 16 기</t>
        </is>
      </c>
      <c r="N112" s="29" t="inlineStr">
        <is>
          <t>211854435.0</t>
        </is>
      </c>
      <c r="O112" s="29" t="inlineStr">
        <is>
          <t>284841341.0</t>
        </is>
      </c>
      <c r="P112" s="29" t="inlineStr">
        <is>
          <t>KRW</t>
        </is>
      </c>
      <c r="Q112" s="29" t="inlineStr">
        <is>
          <t>3</t>
        </is>
      </c>
    </row>
    <row r="113" ht="24" customHeight="1">
      <c r="A113" s="24" t="inlineStr">
        <is>
          <t>OpenDART_fnlttSinglAcntAll</t>
        </is>
      </c>
      <c r="B113" s="24" t="inlineStr">
        <is>
          <t>01021666</t>
        </is>
      </c>
      <c r="C113" s="24" t="inlineStr">
        <is>
          <t>덕산테코피아</t>
        </is>
      </c>
      <c r="D113" s="24" t="inlineStr">
        <is>
          <t>duksan</t>
        </is>
      </c>
      <c r="E113" s="24" t="inlineStr">
        <is>
          <t>317330</t>
        </is>
      </c>
      <c r="F113" s="24" t="inlineStr">
        <is>
          <t>2021</t>
        </is>
      </c>
      <c r="G113" s="24" t="inlineStr">
        <is>
          <t>CFS</t>
        </is>
      </c>
      <c r="H113" s="24" t="inlineStr">
        <is>
          <t>SCE</t>
        </is>
      </c>
      <c r="I113" s="24" t="inlineStr">
        <is>
          <t>자본변동표</t>
        </is>
      </c>
      <c r="J113" s="24" t="inlineStr">
        <is>
          <t>-표준계정코드 미사용-</t>
        </is>
      </c>
      <c r="K113" s="24" t="inlineStr">
        <is>
          <t>확정급여부채의 재측정요소</t>
        </is>
      </c>
      <c r="L113" s="24" t="inlineStr">
        <is>
          <t>연결재무제표 [member]</t>
        </is>
      </c>
      <c r="M113" s="24" t="inlineStr">
        <is>
          <t>제 16 기</t>
        </is>
      </c>
      <c r="N113" s="24" t="inlineStr">
        <is>
          <t>238702078.0</t>
        </is>
      </c>
      <c r="O113" s="24" t="inlineStr">
        <is>
          <t>285696930.0</t>
        </is>
      </c>
      <c r="P113" s="24" t="inlineStr">
        <is>
          <t>KRW</t>
        </is>
      </c>
      <c r="Q113" s="24" t="inlineStr">
        <is>
          <t>3</t>
        </is>
      </c>
    </row>
    <row r="114" ht="24" customHeight="1">
      <c r="A114" s="29" t="inlineStr">
        <is>
          <t>OpenDART_fnlttSinglAcntAll</t>
        </is>
      </c>
      <c r="B114" s="29" t="inlineStr">
        <is>
          <t>01021666</t>
        </is>
      </c>
      <c r="C114" s="29" t="inlineStr">
        <is>
          <t>덕산테코피아</t>
        </is>
      </c>
      <c r="D114" s="29" t="inlineStr">
        <is>
          <t>duksan</t>
        </is>
      </c>
      <c r="E114" s="29" t="inlineStr">
        <is>
          <t>317330</t>
        </is>
      </c>
      <c r="F114" s="29" t="inlineStr">
        <is>
          <t>2021</t>
        </is>
      </c>
      <c r="G114" s="29" t="inlineStr">
        <is>
          <t>CFS</t>
        </is>
      </c>
      <c r="H114" s="29" t="inlineStr">
        <is>
          <t>SCE</t>
        </is>
      </c>
      <c r="I114" s="29" t="inlineStr">
        <is>
          <t>자본변동표</t>
        </is>
      </c>
      <c r="J114" s="29" t="inlineStr">
        <is>
          <t>ifrs-full_IssueOfEquity</t>
        </is>
      </c>
      <c r="K114" s="29" t="inlineStr">
        <is>
          <t>유상증자</t>
        </is>
      </c>
      <c r="L114" s="29" t="inlineStr">
        <is>
          <t>자본 [member]|비지배지분 [member]</t>
        </is>
      </c>
      <c r="M114" s="29" t="inlineStr">
        <is>
          <t>제 16 기</t>
        </is>
      </c>
      <c r="N114" s="29" t="inlineStr">
        <is>
          <t>310079598.0</t>
        </is>
      </c>
      <c r="O114" s="29" t="inlineStr">
        <is>
          <t>해당 없음</t>
        </is>
      </c>
      <c r="P114" s="29" t="inlineStr">
        <is>
          <t>KRW</t>
        </is>
      </c>
      <c r="Q114" s="29" t="inlineStr">
        <is>
          <t>4</t>
        </is>
      </c>
    </row>
    <row r="115" ht="24" customHeight="1">
      <c r="A115" s="24" t="inlineStr">
        <is>
          <t>OpenDART_fnlttSinglAcntAll</t>
        </is>
      </c>
      <c r="B115" s="24" t="inlineStr">
        <is>
          <t>01021666</t>
        </is>
      </c>
      <c r="C115" s="24" t="inlineStr">
        <is>
          <t>덕산테코피아</t>
        </is>
      </c>
      <c r="D115" s="24" t="inlineStr">
        <is>
          <t>duksan</t>
        </is>
      </c>
      <c r="E115" s="24" t="inlineStr">
        <is>
          <t>317330</t>
        </is>
      </c>
      <c r="F115" s="24" t="inlineStr">
        <is>
          <t>2021</t>
        </is>
      </c>
      <c r="G115" s="24" t="inlineStr">
        <is>
          <t>CFS</t>
        </is>
      </c>
      <c r="H115" s="24" t="inlineStr">
        <is>
          <t>SCE</t>
        </is>
      </c>
      <c r="I115" s="24" t="inlineStr">
        <is>
          <t>자본변동표</t>
        </is>
      </c>
      <c r="J115" s="24" t="inlineStr">
        <is>
          <t>ifrs-full_IssueOfEquity</t>
        </is>
      </c>
      <c r="K115" s="24" t="inlineStr">
        <is>
          <t>유상증자</t>
        </is>
      </c>
      <c r="L115" s="24" t="inlineStr">
        <is>
          <t>자본 [member]|지배기업의 소유주에게 귀속되는 자본 [member]|자본잉여금 [member]</t>
        </is>
      </c>
      <c r="M115" s="24" t="inlineStr">
        <is>
          <t>제 16 기</t>
        </is>
      </c>
      <c r="N115" s="24" t="inlineStr">
        <is>
          <t>-167049803.0</t>
        </is>
      </c>
      <c r="O115" s="24" t="inlineStr">
        <is>
          <t>해당 없음</t>
        </is>
      </c>
      <c r="P115" s="24" t="inlineStr">
        <is>
          <t>KRW</t>
        </is>
      </c>
      <c r="Q115" s="24" t="inlineStr">
        <is>
          <t>4</t>
        </is>
      </c>
    </row>
    <row r="116" ht="24" customHeight="1">
      <c r="A116" s="29" t="inlineStr">
        <is>
          <t>OpenDART_fnlttSinglAcntAll</t>
        </is>
      </c>
      <c r="B116" s="29" t="inlineStr">
        <is>
          <t>01021666</t>
        </is>
      </c>
      <c r="C116" s="29" t="inlineStr">
        <is>
          <t>덕산테코피아</t>
        </is>
      </c>
      <c r="D116" s="29" t="inlineStr">
        <is>
          <t>duksan</t>
        </is>
      </c>
      <c r="E116" s="29" t="inlineStr">
        <is>
          <t>317330</t>
        </is>
      </c>
      <c r="F116" s="29" t="inlineStr">
        <is>
          <t>2021</t>
        </is>
      </c>
      <c r="G116" s="29" t="inlineStr">
        <is>
          <t>CFS</t>
        </is>
      </c>
      <c r="H116" s="29" t="inlineStr">
        <is>
          <t>SCE</t>
        </is>
      </c>
      <c r="I116" s="29" t="inlineStr">
        <is>
          <t>자본변동표</t>
        </is>
      </c>
      <c r="J116" s="29" t="inlineStr">
        <is>
          <t>ifrs-full_IssueOfEquity</t>
        </is>
      </c>
      <c r="K116" s="29" t="inlineStr">
        <is>
          <t>유상증자</t>
        </is>
      </c>
      <c r="L116" s="29" t="inlineStr">
        <is>
          <t>자본 [member]|지배기업의 소유주에게 귀속되는 자본 [member]</t>
        </is>
      </c>
      <c r="M116" s="29" t="inlineStr">
        <is>
          <t>제 16 기</t>
        </is>
      </c>
      <c r="N116" s="29" t="inlineStr">
        <is>
          <t>-167049803.0</t>
        </is>
      </c>
      <c r="O116" s="29" t="inlineStr">
        <is>
          <t>해당 없음</t>
        </is>
      </c>
      <c r="P116" s="29" t="inlineStr">
        <is>
          <t>KRW</t>
        </is>
      </c>
      <c r="Q116" s="29" t="inlineStr">
        <is>
          <t>4</t>
        </is>
      </c>
    </row>
    <row r="117" ht="24" customHeight="1">
      <c r="A117" s="24" t="inlineStr">
        <is>
          <t>OpenDART_fnlttSinglAcntAll</t>
        </is>
      </c>
      <c r="B117" s="24" t="inlineStr">
        <is>
          <t>01021666</t>
        </is>
      </c>
      <c r="C117" s="24" t="inlineStr">
        <is>
          <t>덕산테코피아</t>
        </is>
      </c>
      <c r="D117" s="24" t="inlineStr">
        <is>
          <t>duksan</t>
        </is>
      </c>
      <c r="E117" s="24" t="inlineStr">
        <is>
          <t>317330</t>
        </is>
      </c>
      <c r="F117" s="24" t="inlineStr">
        <is>
          <t>2021</t>
        </is>
      </c>
      <c r="G117" s="24" t="inlineStr">
        <is>
          <t>CFS</t>
        </is>
      </c>
      <c r="H117" s="24" t="inlineStr">
        <is>
          <t>SCE</t>
        </is>
      </c>
      <c r="I117" s="24" t="inlineStr">
        <is>
          <t>자본변동표</t>
        </is>
      </c>
      <c r="J117" s="24" t="inlineStr">
        <is>
          <t>ifrs-full_IssueOfEquity</t>
        </is>
      </c>
      <c r="K117" s="24" t="inlineStr">
        <is>
          <t>유상증자</t>
        </is>
      </c>
      <c r="L117" s="24" t="inlineStr">
        <is>
          <t>자본 [member]|지배기업의 소유주에게 귀속되는 자본 [member]|자본금 [member]</t>
        </is>
      </c>
      <c r="M117" s="24" t="inlineStr">
        <is>
          <t>제 16 기</t>
        </is>
      </c>
      <c r="N117" s="24" t="inlineStr">
        <is>
          <t>해당 없음</t>
        </is>
      </c>
      <c r="O117" s="24" t="inlineStr">
        <is>
          <t>해당 없음</t>
        </is>
      </c>
      <c r="P117" s="24" t="inlineStr">
        <is>
          <t>KRW</t>
        </is>
      </c>
      <c r="Q117" s="24" t="inlineStr">
        <is>
          <t>4</t>
        </is>
      </c>
    </row>
    <row r="118" ht="24" customHeight="1">
      <c r="A118" s="29" t="inlineStr">
        <is>
          <t>OpenDART_fnlttSinglAcntAll</t>
        </is>
      </c>
      <c r="B118" s="29" t="inlineStr">
        <is>
          <t>01021666</t>
        </is>
      </c>
      <c r="C118" s="29" t="inlineStr">
        <is>
          <t>덕산테코피아</t>
        </is>
      </c>
      <c r="D118" s="29" t="inlineStr">
        <is>
          <t>duksan</t>
        </is>
      </c>
      <c r="E118" s="29" t="inlineStr">
        <is>
          <t>317330</t>
        </is>
      </c>
      <c r="F118" s="29" t="inlineStr">
        <is>
          <t>2021</t>
        </is>
      </c>
      <c r="G118" s="29" t="inlineStr">
        <is>
          <t>CFS</t>
        </is>
      </c>
      <c r="H118" s="29" t="inlineStr">
        <is>
          <t>SCE</t>
        </is>
      </c>
      <c r="I118" s="29" t="inlineStr">
        <is>
          <t>자본변동표</t>
        </is>
      </c>
      <c r="J118" s="29" t="inlineStr">
        <is>
          <t>ifrs-full_IssueOfEquity</t>
        </is>
      </c>
      <c r="K118" s="29" t="inlineStr">
        <is>
          <t>유상증자</t>
        </is>
      </c>
      <c r="L118" s="29" t="inlineStr">
        <is>
          <t>연결재무제표 [member]</t>
        </is>
      </c>
      <c r="M118" s="29" t="inlineStr">
        <is>
          <t>제 16 기</t>
        </is>
      </c>
      <c r="N118" s="29" t="inlineStr">
        <is>
          <t>143029795.0</t>
        </is>
      </c>
      <c r="O118" s="29" t="inlineStr">
        <is>
          <t>0.0</t>
        </is>
      </c>
      <c r="P118" s="29" t="inlineStr">
        <is>
          <t>KRW</t>
        </is>
      </c>
      <c r="Q118" s="29" t="inlineStr">
        <is>
          <t>4</t>
        </is>
      </c>
    </row>
    <row r="119" ht="24" customHeight="1">
      <c r="A119" s="24" t="inlineStr">
        <is>
          <t>OpenDART_fnlttSinglAcntAll</t>
        </is>
      </c>
      <c r="B119" s="24" t="inlineStr">
        <is>
          <t>01021666</t>
        </is>
      </c>
      <c r="C119" s="24" t="inlineStr">
        <is>
          <t>덕산테코피아</t>
        </is>
      </c>
      <c r="D119" s="24" t="inlineStr">
        <is>
          <t>duksan</t>
        </is>
      </c>
      <c r="E119" s="24" t="inlineStr">
        <is>
          <t>317330</t>
        </is>
      </c>
      <c r="F119" s="24" t="inlineStr">
        <is>
          <t>2021</t>
        </is>
      </c>
      <c r="G119" s="24" t="inlineStr">
        <is>
          <t>CFS</t>
        </is>
      </c>
      <c r="H119" s="24" t="inlineStr">
        <is>
          <t>SCE</t>
        </is>
      </c>
      <c r="I119" s="24" t="inlineStr">
        <is>
          <t>자본변동표</t>
        </is>
      </c>
      <c r="J119" s="24" t="inlineStr">
        <is>
          <t>dart_ShareBasedPaymentTransactions</t>
        </is>
      </c>
      <c r="K119" s="24" t="inlineStr">
        <is>
          <t>주식매수선택권</t>
        </is>
      </c>
      <c r="L119" s="24" t="inlineStr">
        <is>
          <t>자본 [member]|지배기업의 소유주에게 귀속되는 자본 [member]|기타자본항목</t>
        </is>
      </c>
      <c r="M119" s="24" t="inlineStr">
        <is>
          <t>제 16 기</t>
        </is>
      </c>
      <c r="N119" s="24" t="inlineStr">
        <is>
          <t>-2999969600.0</t>
        </is>
      </c>
      <c r="O119" s="24" t="inlineStr">
        <is>
          <t>17001790.0</t>
        </is>
      </c>
      <c r="P119" s="24" t="inlineStr">
        <is>
          <t>KRW</t>
        </is>
      </c>
      <c r="Q119" s="24" t="inlineStr">
        <is>
          <t>5</t>
        </is>
      </c>
    </row>
    <row r="120" ht="24" customHeight="1">
      <c r="A120" s="29" t="inlineStr">
        <is>
          <t>OpenDART_fnlttSinglAcntAll</t>
        </is>
      </c>
      <c r="B120" s="29" t="inlineStr">
        <is>
          <t>01021666</t>
        </is>
      </c>
      <c r="C120" s="29" t="inlineStr">
        <is>
          <t>덕산테코피아</t>
        </is>
      </c>
      <c r="D120" s="29" t="inlineStr">
        <is>
          <t>duksan</t>
        </is>
      </c>
      <c r="E120" s="29" t="inlineStr">
        <is>
          <t>317330</t>
        </is>
      </c>
      <c r="F120" s="29" t="inlineStr">
        <is>
          <t>2021</t>
        </is>
      </c>
      <c r="G120" s="29" t="inlineStr">
        <is>
          <t>CFS</t>
        </is>
      </c>
      <c r="H120" s="29" t="inlineStr">
        <is>
          <t>SCE</t>
        </is>
      </c>
      <c r="I120" s="29" t="inlineStr">
        <is>
          <t>자본변동표</t>
        </is>
      </c>
      <c r="J120" s="29" t="inlineStr">
        <is>
          <t>dart_ShareBasedPaymentTransactions</t>
        </is>
      </c>
      <c r="K120" s="29" t="inlineStr">
        <is>
          <t>주식매수선택권</t>
        </is>
      </c>
      <c r="L120" s="29" t="inlineStr">
        <is>
          <t>연결재무제표 [member]</t>
        </is>
      </c>
      <c r="M120" s="29" t="inlineStr">
        <is>
          <t>제 16 기</t>
        </is>
      </c>
      <c r="N120" s="29" t="inlineStr">
        <is>
          <t>-2999969600.0</t>
        </is>
      </c>
      <c r="O120" s="29" t="inlineStr">
        <is>
          <t>17001790.0</t>
        </is>
      </c>
      <c r="P120" s="29" t="inlineStr">
        <is>
          <t>KRW</t>
        </is>
      </c>
      <c r="Q120" s="29" t="inlineStr">
        <is>
          <t>5</t>
        </is>
      </c>
    </row>
    <row r="121" ht="24" customHeight="1">
      <c r="A121" s="24" t="inlineStr">
        <is>
          <t>OpenDART_fnlttSinglAcntAll</t>
        </is>
      </c>
      <c r="B121" s="24" t="inlineStr">
        <is>
          <t>01021666</t>
        </is>
      </c>
      <c r="C121" s="24" t="inlineStr">
        <is>
          <t>덕산테코피아</t>
        </is>
      </c>
      <c r="D121" s="24" t="inlineStr">
        <is>
          <t>duksan</t>
        </is>
      </c>
      <c r="E121" s="24" t="inlineStr">
        <is>
          <t>317330</t>
        </is>
      </c>
      <c r="F121" s="24" t="inlineStr">
        <is>
          <t>2021</t>
        </is>
      </c>
      <c r="G121" s="24" t="inlineStr">
        <is>
          <t>CFS</t>
        </is>
      </c>
      <c r="H121" s="24" t="inlineStr">
        <is>
          <t>SCE</t>
        </is>
      </c>
      <c r="I121" s="24" t="inlineStr">
        <is>
          <t>자본변동표</t>
        </is>
      </c>
      <c r="J121" s="24" t="inlineStr">
        <is>
          <t>dart_ShareBasedPaymentTransactions</t>
        </is>
      </c>
      <c r="K121" s="24" t="inlineStr">
        <is>
          <t>주식매수선택권</t>
        </is>
      </c>
      <c r="L121" s="24" t="inlineStr">
        <is>
          <t>자본 [member]|지배기업의 소유주에게 귀속되는 자본 [member]</t>
        </is>
      </c>
      <c r="M121" s="24" t="inlineStr">
        <is>
          <t>제 16 기</t>
        </is>
      </c>
      <c r="N121" s="24" t="inlineStr">
        <is>
          <t>-2999969600.0</t>
        </is>
      </c>
      <c r="O121" s="24" t="inlineStr">
        <is>
          <t>17001790.0</t>
        </is>
      </c>
      <c r="P121" s="24" t="inlineStr">
        <is>
          <t>KRW</t>
        </is>
      </c>
      <c r="Q121" s="24" t="inlineStr">
        <is>
          <t>5</t>
        </is>
      </c>
    </row>
    <row r="122" ht="24" customHeight="1">
      <c r="A122" s="29" t="inlineStr">
        <is>
          <t>OpenDART_fnlttSinglAcntAll</t>
        </is>
      </c>
      <c r="B122" s="29" t="inlineStr">
        <is>
          <t>01021666</t>
        </is>
      </c>
      <c r="C122" s="29" t="inlineStr">
        <is>
          <t>덕산테코피아</t>
        </is>
      </c>
      <c r="D122" s="29" t="inlineStr">
        <is>
          <t>duksan</t>
        </is>
      </c>
      <c r="E122" s="29" t="inlineStr">
        <is>
          <t>317330</t>
        </is>
      </c>
      <c r="F122" s="29" t="inlineStr">
        <is>
          <t>2021</t>
        </is>
      </c>
      <c r="G122" s="29" t="inlineStr">
        <is>
          <t>CFS</t>
        </is>
      </c>
      <c r="H122" s="29" t="inlineStr">
        <is>
          <t>SCE</t>
        </is>
      </c>
      <c r="I122" s="29" t="inlineStr">
        <is>
          <t>자본변동표</t>
        </is>
      </c>
      <c r="J122" s="29" t="inlineStr">
        <is>
          <t>dart_TreasuryShareTransactions</t>
        </is>
      </c>
      <c r="K122" s="29" t="inlineStr">
        <is>
          <t>자기주식취득</t>
        </is>
      </c>
      <c r="L122" s="29" t="inlineStr">
        <is>
          <t>자본 [member]|지배기업의 소유주에게 귀속되는 자본 [member]|기타자본항목</t>
        </is>
      </c>
      <c r="M122" s="29" t="inlineStr">
        <is>
          <t>제 16 기</t>
        </is>
      </c>
      <c r="N122" s="29" t="inlineStr">
        <is>
          <t>208906352.0</t>
        </is>
      </c>
      <c r="O122" s="29" t="inlineStr">
        <is>
          <t>-999986400.0</t>
        </is>
      </c>
      <c r="P122" s="29" t="inlineStr">
        <is>
          <t>KRW</t>
        </is>
      </c>
      <c r="Q122" s="29" t="inlineStr">
        <is>
          <t>6</t>
        </is>
      </c>
    </row>
    <row r="123" ht="24" customHeight="1">
      <c r="A123" s="24" t="inlineStr">
        <is>
          <t>OpenDART_fnlttSinglAcntAll</t>
        </is>
      </c>
      <c r="B123" s="24" t="inlineStr">
        <is>
          <t>01021666</t>
        </is>
      </c>
      <c r="C123" s="24" t="inlineStr">
        <is>
          <t>덕산테코피아</t>
        </is>
      </c>
      <c r="D123" s="24" t="inlineStr">
        <is>
          <t>duksan</t>
        </is>
      </c>
      <c r="E123" s="24" t="inlineStr">
        <is>
          <t>317330</t>
        </is>
      </c>
      <c r="F123" s="24" t="inlineStr">
        <is>
          <t>2021</t>
        </is>
      </c>
      <c r="G123" s="24" t="inlineStr">
        <is>
          <t>CFS</t>
        </is>
      </c>
      <c r="H123" s="24" t="inlineStr">
        <is>
          <t>SCE</t>
        </is>
      </c>
      <c r="I123" s="24" t="inlineStr">
        <is>
          <t>자본변동표</t>
        </is>
      </c>
      <c r="J123" s="24" t="inlineStr">
        <is>
          <t>dart_TreasuryShareTransactions</t>
        </is>
      </c>
      <c r="K123" s="24" t="inlineStr">
        <is>
          <t>자기주식취득</t>
        </is>
      </c>
      <c r="L123" s="24" t="inlineStr">
        <is>
          <t>자본 [member]|지배기업의 소유주에게 귀속되는 자본 [member]</t>
        </is>
      </c>
      <c r="M123" s="24" t="inlineStr">
        <is>
          <t>제 16 기</t>
        </is>
      </c>
      <c r="N123" s="24" t="inlineStr">
        <is>
          <t>208906352.0</t>
        </is>
      </c>
      <c r="O123" s="24" t="inlineStr">
        <is>
          <t>-999986400.0</t>
        </is>
      </c>
      <c r="P123" s="24" t="inlineStr">
        <is>
          <t>KRW</t>
        </is>
      </c>
      <c r="Q123" s="24" t="inlineStr">
        <is>
          <t>6</t>
        </is>
      </c>
    </row>
    <row r="124" ht="24" customHeight="1">
      <c r="A124" s="29" t="inlineStr">
        <is>
          <t>OpenDART_fnlttSinglAcntAll</t>
        </is>
      </c>
      <c r="B124" s="29" t="inlineStr">
        <is>
          <t>01021666</t>
        </is>
      </c>
      <c r="C124" s="29" t="inlineStr">
        <is>
          <t>덕산테코피아</t>
        </is>
      </c>
      <c r="D124" s="29" t="inlineStr">
        <is>
          <t>duksan</t>
        </is>
      </c>
      <c r="E124" s="29" t="inlineStr">
        <is>
          <t>317330</t>
        </is>
      </c>
      <c r="F124" s="29" t="inlineStr">
        <is>
          <t>2021</t>
        </is>
      </c>
      <c r="G124" s="29" t="inlineStr">
        <is>
          <t>CFS</t>
        </is>
      </c>
      <c r="H124" s="29" t="inlineStr">
        <is>
          <t>SCE</t>
        </is>
      </c>
      <c r="I124" s="29" t="inlineStr">
        <is>
          <t>자본변동표</t>
        </is>
      </c>
      <c r="J124" s="29" t="inlineStr">
        <is>
          <t>dart_TreasuryShareTransactions</t>
        </is>
      </c>
      <c r="K124" s="29" t="inlineStr">
        <is>
          <t>자기주식취득</t>
        </is>
      </c>
      <c r="L124" s="29" t="inlineStr">
        <is>
          <t>연결재무제표 [member]</t>
        </is>
      </c>
      <c r="M124" s="29" t="inlineStr">
        <is>
          <t>제 16 기</t>
        </is>
      </c>
      <c r="N124" s="29" t="inlineStr">
        <is>
          <t>208906352.0</t>
        </is>
      </c>
      <c r="O124" s="29" t="inlineStr">
        <is>
          <t>-999986400.0</t>
        </is>
      </c>
      <c r="P124" s="29" t="inlineStr">
        <is>
          <t>KRW</t>
        </is>
      </c>
      <c r="Q124" s="29" t="inlineStr">
        <is>
          <t>6</t>
        </is>
      </c>
    </row>
    <row r="125" ht="24" customHeight="1">
      <c r="A125" s="24" t="inlineStr">
        <is>
          <t>OpenDART_fnlttSinglAcntAll</t>
        </is>
      </c>
      <c r="B125" s="24" t="inlineStr">
        <is>
          <t>01021666</t>
        </is>
      </c>
      <c r="C125" s="24" t="inlineStr">
        <is>
          <t>덕산테코피아</t>
        </is>
      </c>
      <c r="D125" s="24" t="inlineStr">
        <is>
          <t>duksan</t>
        </is>
      </c>
      <c r="E125" s="24" t="inlineStr">
        <is>
          <t>317330</t>
        </is>
      </c>
      <c r="F125" s="24" t="inlineStr">
        <is>
          <t>2021</t>
        </is>
      </c>
      <c r="G125" s="24" t="inlineStr">
        <is>
          <t>CFS</t>
        </is>
      </c>
      <c r="H125" s="24" t="inlineStr">
        <is>
          <t>SCE</t>
        </is>
      </c>
      <c r="I125" s="24" t="inlineStr">
        <is>
          <t>자본변동표</t>
        </is>
      </c>
      <c r="J125" s="24" t="inlineStr">
        <is>
          <t>-표준계정코드 미사용-</t>
        </is>
      </c>
      <c r="K125" s="24" t="inlineStr">
        <is>
          <t>자기주식처분</t>
        </is>
      </c>
      <c r="L125" s="24" t="inlineStr">
        <is>
          <t>자본 [member]|지배기업의 소유주에게 귀속되는 자본 [member]|기타자본항목</t>
        </is>
      </c>
      <c r="M125" s="24" t="inlineStr">
        <is>
          <t>제 16 기</t>
        </is>
      </c>
      <c r="N125" s="24" t="inlineStr">
        <is>
          <t>해당 없음</t>
        </is>
      </c>
      <c r="O125" s="24" t="inlineStr">
        <is>
          <t>해당 없음</t>
        </is>
      </c>
      <c r="P125" s="24" t="inlineStr">
        <is>
          <t>KRW</t>
        </is>
      </c>
      <c r="Q125" s="24" t="inlineStr">
        <is>
          <t>7</t>
        </is>
      </c>
    </row>
    <row r="126" ht="24" customHeight="1">
      <c r="A126" s="29" t="inlineStr">
        <is>
          <t>OpenDART_fnlttSinglAcntAll</t>
        </is>
      </c>
      <c r="B126" s="29" t="inlineStr">
        <is>
          <t>01021666</t>
        </is>
      </c>
      <c r="C126" s="29" t="inlineStr">
        <is>
          <t>덕산테코피아</t>
        </is>
      </c>
      <c r="D126" s="29" t="inlineStr">
        <is>
          <t>duksan</t>
        </is>
      </c>
      <c r="E126" s="29" t="inlineStr">
        <is>
          <t>317330</t>
        </is>
      </c>
      <c r="F126" s="29" t="inlineStr">
        <is>
          <t>2021</t>
        </is>
      </c>
      <c r="G126" s="29" t="inlineStr">
        <is>
          <t>CFS</t>
        </is>
      </c>
      <c r="H126" s="29" t="inlineStr">
        <is>
          <t>SCE</t>
        </is>
      </c>
      <c r="I126" s="29" t="inlineStr">
        <is>
          <t>자본변동표</t>
        </is>
      </c>
      <c r="J126" s="29" t="inlineStr">
        <is>
          <t>-표준계정코드 미사용-</t>
        </is>
      </c>
      <c r="K126" s="29" t="inlineStr">
        <is>
          <t>자기주식처분</t>
        </is>
      </c>
      <c r="L126" s="29" t="inlineStr">
        <is>
          <t>자본 [member]|지배기업의 소유주에게 귀속되는 자본 [member]</t>
        </is>
      </c>
      <c r="M126" s="29" t="inlineStr">
        <is>
          <t>제 16 기</t>
        </is>
      </c>
      <c r="N126" s="29" t="inlineStr">
        <is>
          <t>해당 없음</t>
        </is>
      </c>
      <c r="O126" s="29" t="inlineStr">
        <is>
          <t>해당 없음</t>
        </is>
      </c>
      <c r="P126" s="29" t="inlineStr">
        <is>
          <t>KRW</t>
        </is>
      </c>
      <c r="Q126" s="29" t="inlineStr">
        <is>
          <t>7</t>
        </is>
      </c>
    </row>
    <row r="127" ht="24" customHeight="1">
      <c r="A127" s="24" t="inlineStr">
        <is>
          <t>OpenDART_fnlttSinglAcntAll</t>
        </is>
      </c>
      <c r="B127" s="24" t="inlineStr">
        <is>
          <t>01021666</t>
        </is>
      </c>
      <c r="C127" s="24" t="inlineStr">
        <is>
          <t>덕산테코피아</t>
        </is>
      </c>
      <c r="D127" s="24" t="inlineStr">
        <is>
          <t>duksan</t>
        </is>
      </c>
      <c r="E127" s="24" t="inlineStr">
        <is>
          <t>317330</t>
        </is>
      </c>
      <c r="F127" s="24" t="inlineStr">
        <is>
          <t>2021</t>
        </is>
      </c>
      <c r="G127" s="24" t="inlineStr">
        <is>
          <t>CFS</t>
        </is>
      </c>
      <c r="H127" s="24" t="inlineStr">
        <is>
          <t>SCE</t>
        </is>
      </c>
      <c r="I127" s="24" t="inlineStr">
        <is>
          <t>자본변동표</t>
        </is>
      </c>
      <c r="J127" s="24" t="inlineStr">
        <is>
          <t>-표준계정코드 미사용-</t>
        </is>
      </c>
      <c r="K127" s="24" t="inlineStr">
        <is>
          <t>자기주식처분</t>
        </is>
      </c>
      <c r="L127" s="24" t="inlineStr">
        <is>
          <t>연결재무제표 [member]</t>
        </is>
      </c>
      <c r="M127" s="24" t="inlineStr">
        <is>
          <t>제 16 기</t>
        </is>
      </c>
      <c r="N127" s="24" t="inlineStr">
        <is>
          <t>해당 없음</t>
        </is>
      </c>
      <c r="O127" s="24" t="inlineStr">
        <is>
          <t>해당 없음</t>
        </is>
      </c>
      <c r="P127" s="24" t="inlineStr">
        <is>
          <t>KRW</t>
        </is>
      </c>
      <c r="Q127" s="24" t="inlineStr">
        <is>
          <t>7</t>
        </is>
      </c>
    </row>
    <row r="128" ht="24" customHeight="1">
      <c r="A128" s="29" t="inlineStr">
        <is>
          <t>OpenDART_fnlttSinglAcntAll</t>
        </is>
      </c>
      <c r="B128" s="29" t="inlineStr">
        <is>
          <t>01021666</t>
        </is>
      </c>
      <c r="C128" s="29" t="inlineStr">
        <is>
          <t>덕산테코피아</t>
        </is>
      </c>
      <c r="D128" s="29" t="inlineStr">
        <is>
          <t>duksan</t>
        </is>
      </c>
      <c r="E128" s="29" t="inlineStr">
        <is>
          <t>317330</t>
        </is>
      </c>
      <c r="F128" s="29" t="inlineStr">
        <is>
          <t>2021</t>
        </is>
      </c>
      <c r="G128" s="29" t="inlineStr">
        <is>
          <t>CFS</t>
        </is>
      </c>
      <c r="H128" s="29" t="inlineStr">
        <is>
          <t>SCE</t>
        </is>
      </c>
      <c r="I128" s="29" t="inlineStr">
        <is>
          <t>자본변동표</t>
        </is>
      </c>
      <c r="J128" s="29" t="inlineStr">
        <is>
          <t>-표준계정코드 미사용-</t>
        </is>
      </c>
      <c r="K128" s="29" t="inlineStr">
        <is>
          <t>자기주식처분</t>
        </is>
      </c>
      <c r="L128" s="29" t="inlineStr">
        <is>
          <t>자본 [member]|지배기업의 소유주에게 귀속되는 자본 [member]|자본잉여금 [member]</t>
        </is>
      </c>
      <c r="M128" s="29" t="inlineStr">
        <is>
          <t>제 16 기</t>
        </is>
      </c>
      <c r="N128" s="29" t="inlineStr">
        <is>
          <t>해당 없음</t>
        </is>
      </c>
      <c r="O128" s="29" t="inlineStr">
        <is>
          <t>해당 없음</t>
        </is>
      </c>
      <c r="P128" s="29" t="inlineStr">
        <is>
          <t>KRW</t>
        </is>
      </c>
      <c r="Q128" s="29" t="inlineStr">
        <is>
          <t>7</t>
        </is>
      </c>
    </row>
    <row r="129" ht="24" customHeight="1">
      <c r="A129" s="24" t="inlineStr">
        <is>
          <t>OpenDART_fnlttSinglAcntAll</t>
        </is>
      </c>
      <c r="B129" s="24" t="inlineStr">
        <is>
          <t>01021666</t>
        </is>
      </c>
      <c r="C129" s="24" t="inlineStr">
        <is>
          <t>덕산테코피아</t>
        </is>
      </c>
      <c r="D129" s="24" t="inlineStr">
        <is>
          <t>duksan</t>
        </is>
      </c>
      <c r="E129" s="24" t="inlineStr">
        <is>
          <t>317330</t>
        </is>
      </c>
      <c r="F129" s="24" t="inlineStr">
        <is>
          <t>2021</t>
        </is>
      </c>
      <c r="G129" s="24" t="inlineStr">
        <is>
          <t>CFS</t>
        </is>
      </c>
      <c r="H129" s="24" t="inlineStr">
        <is>
          <t>SCE</t>
        </is>
      </c>
      <c r="I129" s="24" t="inlineStr">
        <is>
          <t>자본변동표</t>
        </is>
      </c>
      <c r="J129" s="24" t="inlineStr">
        <is>
          <t>dart_IncreaseDecreaseThroughBusinessCombinations</t>
        </is>
      </c>
      <c r="K129" s="24" t="inlineStr">
        <is>
          <t>사업결합</t>
        </is>
      </c>
      <c r="L129" s="24" t="inlineStr">
        <is>
          <t>자본 [member]|비지배지분 [member]</t>
        </is>
      </c>
      <c r="M129" s="24" t="inlineStr">
        <is>
          <t>제 16 기</t>
        </is>
      </c>
      <c r="N129" s="24" t="inlineStr">
        <is>
          <t>해당 없음</t>
        </is>
      </c>
      <c r="O129" s="24" t="inlineStr">
        <is>
          <t>889418543.0</t>
        </is>
      </c>
      <c r="P129" s="24" t="inlineStr">
        <is>
          <t>KRW</t>
        </is>
      </c>
      <c r="Q129" s="24" t="inlineStr">
        <is>
          <t>8</t>
        </is>
      </c>
    </row>
    <row r="130" ht="24" customHeight="1">
      <c r="A130" s="29" t="inlineStr">
        <is>
          <t>OpenDART_fnlttSinglAcntAll</t>
        </is>
      </c>
      <c r="B130" s="29" t="inlineStr">
        <is>
          <t>01021666</t>
        </is>
      </c>
      <c r="C130" s="29" t="inlineStr">
        <is>
          <t>덕산테코피아</t>
        </is>
      </c>
      <c r="D130" s="29" t="inlineStr">
        <is>
          <t>duksan</t>
        </is>
      </c>
      <c r="E130" s="29" t="inlineStr">
        <is>
          <t>317330</t>
        </is>
      </c>
      <c r="F130" s="29" t="inlineStr">
        <is>
          <t>2021</t>
        </is>
      </c>
      <c r="G130" s="29" t="inlineStr">
        <is>
          <t>CFS</t>
        </is>
      </c>
      <c r="H130" s="29" t="inlineStr">
        <is>
          <t>SCE</t>
        </is>
      </c>
      <c r="I130" s="29" t="inlineStr">
        <is>
          <t>자본변동표</t>
        </is>
      </c>
      <c r="J130" s="29" t="inlineStr">
        <is>
          <t>dart_IncreaseDecreaseThroughBusinessCombinations</t>
        </is>
      </c>
      <c r="K130" s="29" t="inlineStr">
        <is>
          <t>사업결합</t>
        </is>
      </c>
      <c r="L130" s="29" t="inlineStr">
        <is>
          <t>연결재무제표 [member]</t>
        </is>
      </c>
      <c r="M130" s="29" t="inlineStr">
        <is>
          <t>제 16 기</t>
        </is>
      </c>
      <c r="N130" s="29" t="inlineStr">
        <is>
          <t>0.0</t>
        </is>
      </c>
      <c r="O130" s="29" t="inlineStr">
        <is>
          <t>889418543.0</t>
        </is>
      </c>
      <c r="P130" s="29" t="inlineStr">
        <is>
          <t>KRW</t>
        </is>
      </c>
      <c r="Q130" s="29" t="inlineStr">
        <is>
          <t>8</t>
        </is>
      </c>
    </row>
    <row r="131" ht="24" customHeight="1">
      <c r="A131" s="24" t="inlineStr">
        <is>
          <t>OpenDART_fnlttSinglAcntAll</t>
        </is>
      </c>
      <c r="B131" s="24" t="inlineStr">
        <is>
          <t>01021666</t>
        </is>
      </c>
      <c r="C131" s="24" t="inlineStr">
        <is>
          <t>덕산테코피아</t>
        </is>
      </c>
      <c r="D131" s="24" t="inlineStr">
        <is>
          <t>duksan</t>
        </is>
      </c>
      <c r="E131" s="24" t="inlineStr">
        <is>
          <t>317330</t>
        </is>
      </c>
      <c r="F131" s="24" t="inlineStr">
        <is>
          <t>2021</t>
        </is>
      </c>
      <c r="G131" s="24" t="inlineStr">
        <is>
          <t>CFS</t>
        </is>
      </c>
      <c r="H131" s="24" t="inlineStr">
        <is>
          <t>SCE</t>
        </is>
      </c>
      <c r="I131" s="24" t="inlineStr">
        <is>
          <t>자본변동표</t>
        </is>
      </c>
      <c r="J131" s="24" t="inlineStr">
        <is>
          <t>ifrs-full_Equity</t>
        </is>
      </c>
      <c r="K131" s="24" t="inlineStr">
        <is>
          <t>기말자본</t>
        </is>
      </c>
      <c r="L131" s="24" t="inlineStr">
        <is>
          <t>자본 [member]|지배기업의 소유주에게 귀속되는 자본 [member]|이익잉여금 [member]</t>
        </is>
      </c>
      <c r="M131" s="24" t="inlineStr">
        <is>
          <t>제 16 기</t>
        </is>
      </c>
      <c r="N131" s="24" t="inlineStr">
        <is>
          <t>90614859038.0</t>
        </is>
      </c>
      <c r="O131" s="24" t="inlineStr">
        <is>
          <t>72576001629.0</t>
        </is>
      </c>
      <c r="P131" s="24" t="inlineStr">
        <is>
          <t>KRW</t>
        </is>
      </c>
      <c r="Q131" s="24" t="inlineStr">
        <is>
          <t>9</t>
        </is>
      </c>
    </row>
    <row r="132" ht="24" customHeight="1">
      <c r="A132" s="29" t="inlineStr">
        <is>
          <t>OpenDART_fnlttSinglAcntAll</t>
        </is>
      </c>
      <c r="B132" s="29" t="inlineStr">
        <is>
          <t>01021666</t>
        </is>
      </c>
      <c r="C132" s="29" t="inlineStr">
        <is>
          <t>덕산테코피아</t>
        </is>
      </c>
      <c r="D132" s="29" t="inlineStr">
        <is>
          <t>duksan</t>
        </is>
      </c>
      <c r="E132" s="29" t="inlineStr">
        <is>
          <t>317330</t>
        </is>
      </c>
      <c r="F132" s="29" t="inlineStr">
        <is>
          <t>2021</t>
        </is>
      </c>
      <c r="G132" s="29" t="inlineStr">
        <is>
          <t>CFS</t>
        </is>
      </c>
      <c r="H132" s="29" t="inlineStr">
        <is>
          <t>SCE</t>
        </is>
      </c>
      <c r="I132" s="29" t="inlineStr">
        <is>
          <t>자본변동표</t>
        </is>
      </c>
      <c r="J132" s="29" t="inlineStr">
        <is>
          <t>ifrs-full_Equity</t>
        </is>
      </c>
      <c r="K132" s="29" t="inlineStr">
        <is>
          <t>기말자본</t>
        </is>
      </c>
      <c r="L132" s="29" t="inlineStr">
        <is>
          <t>자본 [member]|지배기업의 소유주에게 귀속되는 자본 [member]|기타자본항목</t>
        </is>
      </c>
      <c r="M132" s="29" t="inlineStr">
        <is>
          <t>제 16 기</t>
        </is>
      </c>
      <c r="N132" s="29" t="inlineStr">
        <is>
          <t>-3825475372.0</t>
        </is>
      </c>
      <c r="O132" s="29" t="inlineStr">
        <is>
          <t>-1034412124.0</t>
        </is>
      </c>
      <c r="P132" s="29" t="inlineStr">
        <is>
          <t>KRW</t>
        </is>
      </c>
      <c r="Q132" s="29" t="inlineStr">
        <is>
          <t>9</t>
        </is>
      </c>
    </row>
    <row r="133" ht="24" customHeight="1">
      <c r="A133" s="24" t="inlineStr">
        <is>
          <t>OpenDART_fnlttSinglAcntAll</t>
        </is>
      </c>
      <c r="B133" s="24" t="inlineStr">
        <is>
          <t>01021666</t>
        </is>
      </c>
      <c r="C133" s="24" t="inlineStr">
        <is>
          <t>덕산테코피아</t>
        </is>
      </c>
      <c r="D133" s="24" t="inlineStr">
        <is>
          <t>duksan</t>
        </is>
      </c>
      <c r="E133" s="24" t="inlineStr">
        <is>
          <t>317330</t>
        </is>
      </c>
      <c r="F133" s="24" t="inlineStr">
        <is>
          <t>2021</t>
        </is>
      </c>
      <c r="G133" s="24" t="inlineStr">
        <is>
          <t>CFS</t>
        </is>
      </c>
      <c r="H133" s="24" t="inlineStr">
        <is>
          <t>SCE</t>
        </is>
      </c>
      <c r="I133" s="24" t="inlineStr">
        <is>
          <t>자본변동표</t>
        </is>
      </c>
      <c r="J133" s="24" t="inlineStr">
        <is>
          <t>ifrs-full_Equity</t>
        </is>
      </c>
      <c r="K133" s="24" t="inlineStr">
        <is>
          <t>기말자본</t>
        </is>
      </c>
      <c r="L133" s="24" t="inlineStr">
        <is>
          <t>자본 [member]|지배기업의 소유주에게 귀속되는 자본 [member]</t>
        </is>
      </c>
      <c r="M133" s="24" t="inlineStr">
        <is>
          <t>제 16 기</t>
        </is>
      </c>
      <c r="N133" s="24" t="inlineStr">
        <is>
          <t>172319220642.0</t>
        </is>
      </c>
      <c r="O133" s="24" t="inlineStr">
        <is>
          <t>157238476284.0</t>
        </is>
      </c>
      <c r="P133" s="24" t="inlineStr">
        <is>
          <t>KRW</t>
        </is>
      </c>
      <c r="Q133" s="24" t="inlineStr">
        <is>
          <t>9</t>
        </is>
      </c>
    </row>
    <row r="134" ht="24" customHeight="1">
      <c r="A134" s="29" t="inlineStr">
        <is>
          <t>OpenDART_fnlttSinglAcntAll</t>
        </is>
      </c>
      <c r="B134" s="29" t="inlineStr">
        <is>
          <t>01021666</t>
        </is>
      </c>
      <c r="C134" s="29" t="inlineStr">
        <is>
          <t>덕산테코피아</t>
        </is>
      </c>
      <c r="D134" s="29" t="inlineStr">
        <is>
          <t>duksan</t>
        </is>
      </c>
      <c r="E134" s="29" t="inlineStr">
        <is>
          <t>317330</t>
        </is>
      </c>
      <c r="F134" s="29" t="inlineStr">
        <is>
          <t>2021</t>
        </is>
      </c>
      <c r="G134" s="29" t="inlineStr">
        <is>
          <t>CFS</t>
        </is>
      </c>
      <c r="H134" s="29" t="inlineStr">
        <is>
          <t>SCE</t>
        </is>
      </c>
      <c r="I134" s="29" t="inlineStr">
        <is>
          <t>자본변동표</t>
        </is>
      </c>
      <c r="J134" s="29" t="inlineStr">
        <is>
          <t>ifrs-full_Equity</t>
        </is>
      </c>
      <c r="K134" s="29" t="inlineStr">
        <is>
          <t>기말자본</t>
        </is>
      </c>
      <c r="L134" s="29" t="inlineStr">
        <is>
          <t>자본 [member]|비지배지분 [member]</t>
        </is>
      </c>
      <c r="M134" s="29" t="inlineStr">
        <is>
          <t>제 16 기</t>
        </is>
      </c>
      <c r="N134" s="29" t="inlineStr">
        <is>
          <t>667724256.0</t>
        </is>
      </c>
      <c r="O134" s="29" t="inlineStr">
        <is>
          <t>779189009.0</t>
        </is>
      </c>
      <c r="P134" s="29" t="inlineStr">
        <is>
          <t>KRW</t>
        </is>
      </c>
      <c r="Q134" s="29" t="inlineStr">
        <is>
          <t>9</t>
        </is>
      </c>
    </row>
    <row r="135" ht="24" customHeight="1">
      <c r="A135" s="24" t="inlineStr">
        <is>
          <t>OpenDART_fnlttSinglAcntAll</t>
        </is>
      </c>
      <c r="B135" s="24" t="inlineStr">
        <is>
          <t>01021666</t>
        </is>
      </c>
      <c r="C135" s="24" t="inlineStr">
        <is>
          <t>덕산테코피아</t>
        </is>
      </c>
      <c r="D135" s="24" t="inlineStr">
        <is>
          <t>duksan</t>
        </is>
      </c>
      <c r="E135" s="24" t="inlineStr">
        <is>
          <t>317330</t>
        </is>
      </c>
      <c r="F135" s="24" t="inlineStr">
        <is>
          <t>2021</t>
        </is>
      </c>
      <c r="G135" s="24" t="inlineStr">
        <is>
          <t>CFS</t>
        </is>
      </c>
      <c r="H135" s="24" t="inlineStr">
        <is>
          <t>SCE</t>
        </is>
      </c>
      <c r="I135" s="24" t="inlineStr">
        <is>
          <t>자본변동표</t>
        </is>
      </c>
      <c r="J135" s="24" t="inlineStr">
        <is>
          <t>ifrs-full_Equity</t>
        </is>
      </c>
      <c r="K135" s="24" t="inlineStr">
        <is>
          <t>기말자본</t>
        </is>
      </c>
      <c r="L135" s="24" t="inlineStr">
        <is>
          <t>연결재무제표 [member]</t>
        </is>
      </c>
      <c r="M135" s="24" t="inlineStr">
        <is>
          <t>제 16 기</t>
        </is>
      </c>
      <c r="N135" s="24" t="inlineStr">
        <is>
          <t>172986944898.0</t>
        </is>
      </c>
      <c r="O135" s="24" t="inlineStr">
        <is>
          <t>158017665293.0</t>
        </is>
      </c>
      <c r="P135" s="24" t="inlineStr">
        <is>
          <t>KRW</t>
        </is>
      </c>
      <c r="Q135" s="24" t="inlineStr">
        <is>
          <t>9</t>
        </is>
      </c>
    </row>
    <row r="136" ht="24" customHeight="1">
      <c r="A136" s="29" t="inlineStr">
        <is>
          <t>OpenDART_fnlttSinglAcntAll</t>
        </is>
      </c>
      <c r="B136" s="29" t="inlineStr">
        <is>
          <t>01021666</t>
        </is>
      </c>
      <c r="C136" s="29" t="inlineStr">
        <is>
          <t>덕산테코피아</t>
        </is>
      </c>
      <c r="D136" s="29" t="inlineStr">
        <is>
          <t>duksan</t>
        </is>
      </c>
      <c r="E136" s="29" t="inlineStr">
        <is>
          <t>317330</t>
        </is>
      </c>
      <c r="F136" s="29" t="inlineStr">
        <is>
          <t>2021</t>
        </is>
      </c>
      <c r="G136" s="29" t="inlineStr">
        <is>
          <t>CFS</t>
        </is>
      </c>
      <c r="H136" s="29" t="inlineStr">
        <is>
          <t>SCE</t>
        </is>
      </c>
      <c r="I136" s="29" t="inlineStr">
        <is>
          <t>자본변동표</t>
        </is>
      </c>
      <c r="J136" s="29" t="inlineStr">
        <is>
          <t>ifrs-full_Equity</t>
        </is>
      </c>
      <c r="K136" s="29" t="inlineStr">
        <is>
          <t>기말자본</t>
        </is>
      </c>
      <c r="L136" s="29" t="inlineStr">
        <is>
          <t>자본 [member]|지배기업의 소유주에게 귀속되는 자본 [member]|자본금 [member]</t>
        </is>
      </c>
      <c r="M136" s="29" t="inlineStr">
        <is>
          <t>제 16 기</t>
        </is>
      </c>
      <c r="N136" s="29" t="inlineStr">
        <is>
          <t>9188714000.0</t>
        </is>
      </c>
      <c r="O136" s="29" t="inlineStr">
        <is>
          <t>9188714000.0</t>
        </is>
      </c>
      <c r="P136" s="29" t="inlineStr">
        <is>
          <t>KRW</t>
        </is>
      </c>
      <c r="Q136" s="29" t="inlineStr">
        <is>
          <t>9</t>
        </is>
      </c>
    </row>
    <row r="137" ht="24" customHeight="1">
      <c r="A137" s="24" t="inlineStr">
        <is>
          <t>OpenDART_fnlttSinglAcntAll</t>
        </is>
      </c>
      <c r="B137" s="24" t="inlineStr">
        <is>
          <t>01021666</t>
        </is>
      </c>
      <c r="C137" s="24" t="inlineStr">
        <is>
          <t>덕산테코피아</t>
        </is>
      </c>
      <c r="D137" s="24" t="inlineStr">
        <is>
          <t>duksan</t>
        </is>
      </c>
      <c r="E137" s="24" t="inlineStr">
        <is>
          <t>317330</t>
        </is>
      </c>
      <c r="F137" s="24" t="inlineStr">
        <is>
          <t>2021</t>
        </is>
      </c>
      <c r="G137" s="24" t="inlineStr">
        <is>
          <t>CFS</t>
        </is>
      </c>
      <c r="H137" s="24" t="inlineStr">
        <is>
          <t>SCE</t>
        </is>
      </c>
      <c r="I137" s="24" t="inlineStr">
        <is>
          <t>자본변동표</t>
        </is>
      </c>
      <c r="J137" s="24" t="inlineStr">
        <is>
          <t>ifrs-full_Equity</t>
        </is>
      </c>
      <c r="K137" s="24" t="inlineStr">
        <is>
          <t>기말자본</t>
        </is>
      </c>
      <c r="L137" s="24" t="inlineStr">
        <is>
          <t>자본 [member]|지배기업의 소유주에게 귀속되는 자본 [member]|자본잉여금 [member]</t>
        </is>
      </c>
      <c r="M137" s="24" t="inlineStr">
        <is>
          <t>제 16 기</t>
        </is>
      </c>
      <c r="N137" s="24" t="inlineStr">
        <is>
          <t>76341122976.0</t>
        </is>
      </c>
      <c r="O137" s="24" t="inlineStr">
        <is>
          <t>76508172779.0</t>
        </is>
      </c>
      <c r="P137" s="24" t="inlineStr">
        <is>
          <t>KRW</t>
        </is>
      </c>
      <c r="Q137" s="24" t="inlineStr">
        <is>
          <t>9</t>
        </is>
      </c>
    </row>
    <row r="138" ht="24" customHeight="1">
      <c r="A138" s="29" t="inlineStr">
        <is>
          <t>OpenDART_fnlttSinglAcntAll</t>
        </is>
      </c>
      <c r="B138" s="29" t="inlineStr">
        <is>
          <t>01021666</t>
        </is>
      </c>
      <c r="C138" s="29" t="inlineStr">
        <is>
          <t>덕산테코피아</t>
        </is>
      </c>
      <c r="D138" s="29" t="inlineStr">
        <is>
          <t>duksan</t>
        </is>
      </c>
      <c r="E138" s="29" t="inlineStr">
        <is>
          <t>317330</t>
        </is>
      </c>
      <c r="F138" s="29" t="inlineStr">
        <is>
          <t>2022</t>
        </is>
      </c>
      <c r="G138" s="29" t="inlineStr">
        <is>
          <t>CFS</t>
        </is>
      </c>
      <c r="H138" s="29" t="inlineStr">
        <is>
          <t>BS</t>
        </is>
      </c>
      <c r="I138" s="29" t="inlineStr">
        <is>
          <t>재무상태표</t>
        </is>
      </c>
      <c r="J138" s="29" t="inlineStr">
        <is>
          <t>ifrs-full_CurrentAssets</t>
        </is>
      </c>
      <c r="K138" s="29" t="inlineStr">
        <is>
          <t>유동자산</t>
        </is>
      </c>
      <c r="L138" s="29" t="inlineStr">
        <is>
          <t>-</t>
        </is>
      </c>
      <c r="M138" s="29" t="inlineStr">
        <is>
          <t>제 17 기</t>
        </is>
      </c>
      <c r="N138" s="29" t="inlineStr">
        <is>
          <t>71435629813.0</t>
        </is>
      </c>
      <c r="O138" s="29" t="inlineStr">
        <is>
          <t>104059553481.0</t>
        </is>
      </c>
      <c r="P138" s="29" t="inlineStr">
        <is>
          <t>KRW</t>
        </is>
      </c>
      <c r="Q138" s="29" t="inlineStr">
        <is>
          <t>1</t>
        </is>
      </c>
    </row>
    <row r="139" ht="24" customHeight="1">
      <c r="A139" s="24" t="inlineStr">
        <is>
          <t>OpenDART_fnlttSinglAcntAll</t>
        </is>
      </c>
      <c r="B139" s="24" t="inlineStr">
        <is>
          <t>01021666</t>
        </is>
      </c>
      <c r="C139" s="24" t="inlineStr">
        <is>
          <t>덕산테코피아</t>
        </is>
      </c>
      <c r="D139" s="24" t="inlineStr">
        <is>
          <t>duksan</t>
        </is>
      </c>
      <c r="E139" s="24" t="inlineStr">
        <is>
          <t>317330</t>
        </is>
      </c>
      <c r="F139" s="24" t="inlineStr">
        <is>
          <t>2022</t>
        </is>
      </c>
      <c r="G139" s="24" t="inlineStr">
        <is>
          <t>CFS</t>
        </is>
      </c>
      <c r="H139" s="24" t="inlineStr">
        <is>
          <t>BS</t>
        </is>
      </c>
      <c r="I139" s="24" t="inlineStr">
        <is>
          <t>재무상태표</t>
        </is>
      </c>
      <c r="J139" s="24" t="inlineStr">
        <is>
          <t>ifrs-full_CashAndCashEquivalents</t>
        </is>
      </c>
      <c r="K139" s="24" t="inlineStr">
        <is>
          <t>현금및현금성자산</t>
        </is>
      </c>
      <c r="L139" s="24" t="inlineStr">
        <is>
          <t>-</t>
        </is>
      </c>
      <c r="M139" s="24" t="inlineStr">
        <is>
          <t>제 17 기</t>
        </is>
      </c>
      <c r="N139" s="24" t="inlineStr">
        <is>
          <t>27763882839.0</t>
        </is>
      </c>
      <c r="O139" s="24" t="inlineStr">
        <is>
          <t>43329141816.0</t>
        </is>
      </c>
      <c r="P139" s="24" t="inlineStr">
        <is>
          <t>KRW</t>
        </is>
      </c>
      <c r="Q139" s="24" t="inlineStr">
        <is>
          <t>2</t>
        </is>
      </c>
    </row>
    <row r="140" ht="24" customHeight="1">
      <c r="A140" s="29" t="inlineStr">
        <is>
          <t>OpenDART_fnlttSinglAcntAll</t>
        </is>
      </c>
      <c r="B140" s="29" t="inlineStr">
        <is>
          <t>01021666</t>
        </is>
      </c>
      <c r="C140" s="29" t="inlineStr">
        <is>
          <t>덕산테코피아</t>
        </is>
      </c>
      <c r="D140" s="29" t="inlineStr">
        <is>
          <t>duksan</t>
        </is>
      </c>
      <c r="E140" s="29" t="inlineStr">
        <is>
          <t>317330</t>
        </is>
      </c>
      <c r="F140" s="29" t="inlineStr">
        <is>
          <t>2022</t>
        </is>
      </c>
      <c r="G140" s="29" t="inlineStr">
        <is>
          <t>CFS</t>
        </is>
      </c>
      <c r="H140" s="29" t="inlineStr">
        <is>
          <t>BS</t>
        </is>
      </c>
      <c r="I140" s="29" t="inlineStr">
        <is>
          <t>재무상태표</t>
        </is>
      </c>
      <c r="J140" s="29" t="inlineStr">
        <is>
          <t>dart_ShortTermDepositsNotClassifiedAsCashEquivalents</t>
        </is>
      </c>
      <c r="K140" s="29" t="inlineStr">
        <is>
          <t>단기금융상품</t>
        </is>
      </c>
      <c r="L140" s="29" t="inlineStr">
        <is>
          <t>-</t>
        </is>
      </c>
      <c r="M140" s="29" t="inlineStr">
        <is>
          <t>제 17 기</t>
        </is>
      </c>
      <c r="N140" s="29" t="inlineStr">
        <is>
          <t>24950.0</t>
        </is>
      </c>
      <c r="O140" s="29" t="inlineStr">
        <is>
          <t>20000020600.0</t>
        </is>
      </c>
      <c r="P140" s="29" t="inlineStr">
        <is>
          <t>KRW</t>
        </is>
      </c>
      <c r="Q140" s="29" t="inlineStr">
        <is>
          <t>3</t>
        </is>
      </c>
    </row>
    <row r="141" ht="24" customHeight="1">
      <c r="A141" s="24" t="inlineStr">
        <is>
          <t>OpenDART_fnlttSinglAcntAll</t>
        </is>
      </c>
      <c r="B141" s="24" t="inlineStr">
        <is>
          <t>01021666</t>
        </is>
      </c>
      <c r="C141" s="24" t="inlineStr">
        <is>
          <t>덕산테코피아</t>
        </is>
      </c>
      <c r="D141" s="24" t="inlineStr">
        <is>
          <t>duksan</t>
        </is>
      </c>
      <c r="E141" s="24" t="inlineStr">
        <is>
          <t>317330</t>
        </is>
      </c>
      <c r="F141" s="24" t="inlineStr">
        <is>
          <t>2022</t>
        </is>
      </c>
      <c r="G141" s="24" t="inlineStr">
        <is>
          <t>CFS</t>
        </is>
      </c>
      <c r="H141" s="24" t="inlineStr">
        <is>
          <t>BS</t>
        </is>
      </c>
      <c r="I141" s="24" t="inlineStr">
        <is>
          <t>재무상태표</t>
        </is>
      </c>
      <c r="J141" s="24" t="inlineStr">
        <is>
          <t>dart_ShortTermTradeReceivable</t>
        </is>
      </c>
      <c r="K141" s="24" t="inlineStr">
        <is>
          <t>매출채권</t>
        </is>
      </c>
      <c r="L141" s="24" t="inlineStr">
        <is>
          <t>-</t>
        </is>
      </c>
      <c r="M141" s="24" t="inlineStr">
        <is>
          <t>제 17 기</t>
        </is>
      </c>
      <c r="N141" s="24" t="inlineStr">
        <is>
          <t>10865760273.0</t>
        </is>
      </c>
      <c r="O141" s="24" t="inlineStr">
        <is>
          <t>8937658980.0</t>
        </is>
      </c>
      <c r="P141" s="24" t="inlineStr">
        <is>
          <t>KRW</t>
        </is>
      </c>
      <c r="Q141" s="24" t="inlineStr">
        <is>
          <t>4</t>
        </is>
      </c>
    </row>
    <row r="142" ht="24" customHeight="1">
      <c r="A142" s="29" t="inlineStr">
        <is>
          <t>OpenDART_fnlttSinglAcntAll</t>
        </is>
      </c>
      <c r="B142" s="29" t="inlineStr">
        <is>
          <t>01021666</t>
        </is>
      </c>
      <c r="C142" s="29" t="inlineStr">
        <is>
          <t>덕산테코피아</t>
        </is>
      </c>
      <c r="D142" s="29" t="inlineStr">
        <is>
          <t>duksan</t>
        </is>
      </c>
      <c r="E142" s="29" t="inlineStr">
        <is>
          <t>317330</t>
        </is>
      </c>
      <c r="F142" s="29" t="inlineStr">
        <is>
          <t>2022</t>
        </is>
      </c>
      <c r="G142" s="29" t="inlineStr">
        <is>
          <t>CFS</t>
        </is>
      </c>
      <c r="H142" s="29" t="inlineStr">
        <is>
          <t>BS</t>
        </is>
      </c>
      <c r="I142" s="29" t="inlineStr">
        <is>
          <t>재무상태표</t>
        </is>
      </c>
      <c r="J142" s="29" t="inlineStr">
        <is>
          <t>ifrs-full_TradeAndOtherCurrentReceivables</t>
        </is>
      </c>
      <c r="K142" s="29" t="inlineStr">
        <is>
          <t>기타유동채권</t>
        </is>
      </c>
      <c r="L142" s="29" t="inlineStr">
        <is>
          <t>-</t>
        </is>
      </c>
      <c r="M142" s="29" t="inlineStr">
        <is>
          <t>제 17 기</t>
        </is>
      </c>
      <c r="N142" s="29" t="inlineStr">
        <is>
          <t>2726857967.0</t>
        </is>
      </c>
      <c r="O142" s="29" t="inlineStr">
        <is>
          <t>3474325624.0</t>
        </is>
      </c>
      <c r="P142" s="29" t="inlineStr">
        <is>
          <t>KRW</t>
        </is>
      </c>
      <c r="Q142" s="29" t="inlineStr">
        <is>
          <t>5</t>
        </is>
      </c>
    </row>
    <row r="143" ht="24" customHeight="1">
      <c r="A143" s="24" t="inlineStr">
        <is>
          <t>OpenDART_fnlttSinglAcntAll</t>
        </is>
      </c>
      <c r="B143" s="24" t="inlineStr">
        <is>
          <t>01021666</t>
        </is>
      </c>
      <c r="C143" s="24" t="inlineStr">
        <is>
          <t>덕산테코피아</t>
        </is>
      </c>
      <c r="D143" s="24" t="inlineStr">
        <is>
          <t>duksan</t>
        </is>
      </c>
      <c r="E143" s="24" t="inlineStr">
        <is>
          <t>317330</t>
        </is>
      </c>
      <c r="F143" s="24" t="inlineStr">
        <is>
          <t>2022</t>
        </is>
      </c>
      <c r="G143" s="24" t="inlineStr">
        <is>
          <t>CFS</t>
        </is>
      </c>
      <c r="H143" s="24" t="inlineStr">
        <is>
          <t>BS</t>
        </is>
      </c>
      <c r="I143" s="24" t="inlineStr">
        <is>
          <t>재무상태표</t>
        </is>
      </c>
      <c r="J143" s="24" t="inlineStr">
        <is>
          <t>dart_OtherCurrentAssets</t>
        </is>
      </c>
      <c r="K143" s="24" t="inlineStr">
        <is>
          <t>기타유동자산</t>
        </is>
      </c>
      <c r="L143" s="24" t="inlineStr">
        <is>
          <t>-</t>
        </is>
      </c>
      <c r="M143" s="24" t="inlineStr">
        <is>
          <t>제 17 기</t>
        </is>
      </c>
      <c r="N143" s="24" t="inlineStr">
        <is>
          <t>3501352784.0</t>
        </is>
      </c>
      <c r="O143" s="24" t="inlineStr">
        <is>
          <t>1871262049.0</t>
        </is>
      </c>
      <c r="P143" s="24" t="inlineStr">
        <is>
          <t>KRW</t>
        </is>
      </c>
      <c r="Q143" s="24" t="inlineStr">
        <is>
          <t>6</t>
        </is>
      </c>
    </row>
    <row r="144" ht="24" customHeight="1">
      <c r="A144" s="29" t="inlineStr">
        <is>
          <t>OpenDART_fnlttSinglAcntAll</t>
        </is>
      </c>
      <c r="B144" s="29" t="inlineStr">
        <is>
          <t>01021666</t>
        </is>
      </c>
      <c r="C144" s="29" t="inlineStr">
        <is>
          <t>덕산테코피아</t>
        </is>
      </c>
      <c r="D144" s="29" t="inlineStr">
        <is>
          <t>duksan</t>
        </is>
      </c>
      <c r="E144" s="29" t="inlineStr">
        <is>
          <t>317330</t>
        </is>
      </c>
      <c r="F144" s="29" t="inlineStr">
        <is>
          <t>2022</t>
        </is>
      </c>
      <c r="G144" s="29" t="inlineStr">
        <is>
          <t>CFS</t>
        </is>
      </c>
      <c r="H144" s="29" t="inlineStr">
        <is>
          <t>BS</t>
        </is>
      </c>
      <c r="I144" s="29" t="inlineStr">
        <is>
          <t>재무상태표</t>
        </is>
      </c>
      <c r="J144" s="29" t="inlineStr">
        <is>
          <t>ifrs-full_Inventories</t>
        </is>
      </c>
      <c r="K144" s="29" t="inlineStr">
        <is>
          <t>재고자산</t>
        </is>
      </c>
      <c r="L144" s="29" t="inlineStr">
        <is>
          <t>-</t>
        </is>
      </c>
      <c r="M144" s="29" t="inlineStr">
        <is>
          <t>제 17 기</t>
        </is>
      </c>
      <c r="N144" s="29" t="inlineStr">
        <is>
          <t>26577751000.0</t>
        </is>
      </c>
      <c r="O144" s="29" t="inlineStr">
        <is>
          <t>26447144412.0</t>
        </is>
      </c>
      <c r="P144" s="29" t="inlineStr">
        <is>
          <t>KRW</t>
        </is>
      </c>
      <c r="Q144" s="29" t="inlineStr">
        <is>
          <t>7</t>
        </is>
      </c>
    </row>
    <row r="145" ht="24" customHeight="1">
      <c r="A145" s="24" t="inlineStr">
        <is>
          <t>OpenDART_fnlttSinglAcntAll</t>
        </is>
      </c>
      <c r="B145" s="24" t="inlineStr">
        <is>
          <t>01021666</t>
        </is>
      </c>
      <c r="C145" s="24" t="inlineStr">
        <is>
          <t>덕산테코피아</t>
        </is>
      </c>
      <c r="D145" s="24" t="inlineStr">
        <is>
          <t>duksan</t>
        </is>
      </c>
      <c r="E145" s="24" t="inlineStr">
        <is>
          <t>317330</t>
        </is>
      </c>
      <c r="F145" s="24" t="inlineStr">
        <is>
          <t>2022</t>
        </is>
      </c>
      <c r="G145" s="24" t="inlineStr">
        <is>
          <t>CFS</t>
        </is>
      </c>
      <c r="H145" s="24" t="inlineStr">
        <is>
          <t>BS</t>
        </is>
      </c>
      <c r="I145" s="24" t="inlineStr">
        <is>
          <t>재무상태표</t>
        </is>
      </c>
      <c r="J145" s="24" t="inlineStr">
        <is>
          <t>ifrs-full_NoncurrentAssets</t>
        </is>
      </c>
      <c r="K145" s="24" t="inlineStr">
        <is>
          <t>비유동자산</t>
        </is>
      </c>
      <c r="L145" s="24" t="inlineStr">
        <is>
          <t>-</t>
        </is>
      </c>
      <c r="M145" s="24" t="inlineStr">
        <is>
          <t>제 17 기</t>
        </is>
      </c>
      <c r="N145" s="24" t="inlineStr">
        <is>
          <t>227091097231.0</t>
        </is>
      </c>
      <c r="O145" s="24" t="inlineStr">
        <is>
          <t>140276375483.0</t>
        </is>
      </c>
      <c r="P145" s="24" t="inlineStr">
        <is>
          <t>KRW</t>
        </is>
      </c>
      <c r="Q145" s="24" t="inlineStr">
        <is>
          <t>8</t>
        </is>
      </c>
    </row>
    <row r="146" ht="24" customHeight="1">
      <c r="A146" s="29" t="inlineStr">
        <is>
          <t>OpenDART_fnlttSinglAcntAll</t>
        </is>
      </c>
      <c r="B146" s="29" t="inlineStr">
        <is>
          <t>01021666</t>
        </is>
      </c>
      <c r="C146" s="29" t="inlineStr">
        <is>
          <t>덕산테코피아</t>
        </is>
      </c>
      <c r="D146" s="29" t="inlineStr">
        <is>
          <t>duksan</t>
        </is>
      </c>
      <c r="E146" s="29" t="inlineStr">
        <is>
          <t>317330</t>
        </is>
      </c>
      <c r="F146" s="29" t="inlineStr">
        <is>
          <t>2022</t>
        </is>
      </c>
      <c r="G146" s="29" t="inlineStr">
        <is>
          <t>CFS</t>
        </is>
      </c>
      <c r="H146" s="29" t="inlineStr">
        <is>
          <t>BS</t>
        </is>
      </c>
      <c r="I146" s="29" t="inlineStr">
        <is>
          <t>재무상태표</t>
        </is>
      </c>
      <c r="J146" s="29" t="inlineStr">
        <is>
          <t>ifrs-full_OtherNoncurrentFinancialAssets</t>
        </is>
      </c>
      <c r="K146" s="29" t="inlineStr">
        <is>
          <t>당기손익-공정가치금융자산</t>
        </is>
      </c>
      <c r="L146" s="29" t="inlineStr">
        <is>
          <t>-</t>
        </is>
      </c>
      <c r="M146" s="29" t="inlineStr">
        <is>
          <t>제 17 기</t>
        </is>
      </c>
      <c r="N146" s="29" t="inlineStr">
        <is>
          <t>7709121953.0</t>
        </is>
      </c>
      <c r="O146" s="29" t="inlineStr">
        <is>
          <t>18734683340.0</t>
        </is>
      </c>
      <c r="P146" s="29" t="inlineStr">
        <is>
          <t>KRW</t>
        </is>
      </c>
      <c r="Q146" s="29" t="inlineStr">
        <is>
          <t>9</t>
        </is>
      </c>
    </row>
    <row r="147" ht="24" customHeight="1">
      <c r="A147" s="24" t="inlineStr">
        <is>
          <t>OpenDART_fnlttSinglAcntAll</t>
        </is>
      </c>
      <c r="B147" s="24" t="inlineStr">
        <is>
          <t>01021666</t>
        </is>
      </c>
      <c r="C147" s="24" t="inlineStr">
        <is>
          <t>덕산테코피아</t>
        </is>
      </c>
      <c r="D147" s="24" t="inlineStr">
        <is>
          <t>duksan</t>
        </is>
      </c>
      <c r="E147" s="24" t="inlineStr">
        <is>
          <t>317330</t>
        </is>
      </c>
      <c r="F147" s="24" t="inlineStr">
        <is>
          <t>2022</t>
        </is>
      </c>
      <c r="G147" s="24" t="inlineStr">
        <is>
          <t>CFS</t>
        </is>
      </c>
      <c r="H147" s="24" t="inlineStr">
        <is>
          <t>BS</t>
        </is>
      </c>
      <c r="I147" s="24" t="inlineStr">
        <is>
          <t>재무상태표</t>
        </is>
      </c>
      <c r="J147" s="24" t="inlineStr">
        <is>
          <t>dart_LongTermTradeAndOtherNonCurrentReceivablesGross</t>
        </is>
      </c>
      <c r="K147" s="24" t="inlineStr">
        <is>
          <t>기타비유동채권</t>
        </is>
      </c>
      <c r="L147" s="24" t="inlineStr">
        <is>
          <t>-</t>
        </is>
      </c>
      <c r="M147" s="24" t="inlineStr">
        <is>
          <t>제 17 기</t>
        </is>
      </c>
      <c r="N147" s="24" t="inlineStr">
        <is>
          <t>2532172467.0</t>
        </is>
      </c>
      <c r="O147" s="24" t="inlineStr">
        <is>
          <t>171000000.0</t>
        </is>
      </c>
      <c r="P147" s="24" t="inlineStr">
        <is>
          <t>KRW</t>
        </is>
      </c>
      <c r="Q147" s="24" t="inlineStr">
        <is>
          <t>10</t>
        </is>
      </c>
    </row>
    <row r="148" ht="24" customHeight="1">
      <c r="A148" s="29" t="inlineStr">
        <is>
          <t>OpenDART_fnlttSinglAcntAll</t>
        </is>
      </c>
      <c r="B148" s="29" t="inlineStr">
        <is>
          <t>01021666</t>
        </is>
      </c>
      <c r="C148" s="29" t="inlineStr">
        <is>
          <t>덕산테코피아</t>
        </is>
      </c>
      <c r="D148" s="29" t="inlineStr">
        <is>
          <t>duksan</t>
        </is>
      </c>
      <c r="E148" s="29" t="inlineStr">
        <is>
          <t>317330</t>
        </is>
      </c>
      <c r="F148" s="29" t="inlineStr">
        <is>
          <t>2022</t>
        </is>
      </c>
      <c r="G148" s="29" t="inlineStr">
        <is>
          <t>CFS</t>
        </is>
      </c>
      <c r="H148" s="29" t="inlineStr">
        <is>
          <t>BS</t>
        </is>
      </c>
      <c r="I148" s="29" t="inlineStr">
        <is>
          <t>재무상태표</t>
        </is>
      </c>
      <c r="J148" s="29" t="inlineStr">
        <is>
          <t>ifrs-full_PropertyPlantAndEquipment</t>
        </is>
      </c>
      <c r="K148" s="29" t="inlineStr">
        <is>
          <t>유형자산</t>
        </is>
      </c>
      <c r="L148" s="29" t="inlineStr">
        <is>
          <t>-</t>
        </is>
      </c>
      <c r="M148" s="29" t="inlineStr">
        <is>
          <t>제 17 기</t>
        </is>
      </c>
      <c r="N148" s="29" t="inlineStr">
        <is>
          <t>190792276923.0</t>
        </is>
      </c>
      <c r="O148" s="29" t="inlineStr">
        <is>
          <t>115181099296.0</t>
        </is>
      </c>
      <c r="P148" s="29" t="inlineStr">
        <is>
          <t>KRW</t>
        </is>
      </c>
      <c r="Q148" s="29" t="inlineStr">
        <is>
          <t>11</t>
        </is>
      </c>
    </row>
    <row r="149" ht="24" customHeight="1">
      <c r="A149" s="24" t="inlineStr">
        <is>
          <t>OpenDART_fnlttSinglAcntAll</t>
        </is>
      </c>
      <c r="B149" s="24" t="inlineStr">
        <is>
          <t>01021666</t>
        </is>
      </c>
      <c r="C149" s="24" t="inlineStr">
        <is>
          <t>덕산테코피아</t>
        </is>
      </c>
      <c r="D149" s="24" t="inlineStr">
        <is>
          <t>duksan</t>
        </is>
      </c>
      <c r="E149" s="24" t="inlineStr">
        <is>
          <t>317330</t>
        </is>
      </c>
      <c r="F149" s="24" t="inlineStr">
        <is>
          <t>2022</t>
        </is>
      </c>
      <c r="G149" s="24" t="inlineStr">
        <is>
          <t>CFS</t>
        </is>
      </c>
      <c r="H149" s="24" t="inlineStr">
        <is>
          <t>BS</t>
        </is>
      </c>
      <c r="I149" s="24" t="inlineStr">
        <is>
          <t>재무상태표</t>
        </is>
      </c>
      <c r="J149" s="24" t="inlineStr">
        <is>
          <t>ifrs-full_IntangibleAssetsOtherThanGoodwill</t>
        </is>
      </c>
      <c r="K149" s="24" t="inlineStr">
        <is>
          <t>무형자산</t>
        </is>
      </c>
      <c r="L149" s="24" t="inlineStr">
        <is>
          <t>-</t>
        </is>
      </c>
      <c r="M149" s="24" t="inlineStr">
        <is>
          <t>제 17 기</t>
        </is>
      </c>
      <c r="N149" s="24" t="inlineStr">
        <is>
          <t>19927978909.0</t>
        </is>
      </c>
      <c r="O149" s="24" t="inlineStr">
        <is>
          <t>4214824565.0</t>
        </is>
      </c>
      <c r="P149" s="24" t="inlineStr">
        <is>
          <t>KRW</t>
        </is>
      </c>
      <c r="Q149" s="24" t="inlineStr">
        <is>
          <t>12</t>
        </is>
      </c>
    </row>
    <row r="150" ht="24" customHeight="1">
      <c r="A150" s="29" t="inlineStr">
        <is>
          <t>OpenDART_fnlttSinglAcntAll</t>
        </is>
      </c>
      <c r="B150" s="29" t="inlineStr">
        <is>
          <t>01021666</t>
        </is>
      </c>
      <c r="C150" s="29" t="inlineStr">
        <is>
          <t>덕산테코피아</t>
        </is>
      </c>
      <c r="D150" s="29" t="inlineStr">
        <is>
          <t>duksan</t>
        </is>
      </c>
      <c r="E150" s="29" t="inlineStr">
        <is>
          <t>317330</t>
        </is>
      </c>
      <c r="F150" s="29" t="inlineStr">
        <is>
          <t>2022</t>
        </is>
      </c>
      <c r="G150" s="29" t="inlineStr">
        <is>
          <t>CFS</t>
        </is>
      </c>
      <c r="H150" s="29" t="inlineStr">
        <is>
          <t>BS</t>
        </is>
      </c>
      <c r="I150" s="29" t="inlineStr">
        <is>
          <t>재무상태표</t>
        </is>
      </c>
      <c r="J150" s="29" t="inlineStr">
        <is>
          <t>ifrs-full_RightofuseAssets</t>
        </is>
      </c>
      <c r="K150" s="29" t="inlineStr">
        <is>
          <t>사용권자산</t>
        </is>
      </c>
      <c r="L150" s="29" t="inlineStr">
        <is>
          <t>-</t>
        </is>
      </c>
      <c r="M150" s="29" t="inlineStr">
        <is>
          <t>제 17 기</t>
        </is>
      </c>
      <c r="N150" s="29" t="inlineStr">
        <is>
          <t>496317650.0</t>
        </is>
      </c>
      <c r="O150" s="29" t="inlineStr">
        <is>
          <t>485935066.0</t>
        </is>
      </c>
      <c r="P150" s="29" t="inlineStr">
        <is>
          <t>KRW</t>
        </is>
      </c>
      <c r="Q150" s="29" t="inlineStr">
        <is>
          <t>13</t>
        </is>
      </c>
    </row>
    <row r="151" ht="24" customHeight="1">
      <c r="A151" s="24" t="inlineStr">
        <is>
          <t>OpenDART_fnlttSinglAcntAll</t>
        </is>
      </c>
      <c r="B151" s="24" t="inlineStr">
        <is>
          <t>01021666</t>
        </is>
      </c>
      <c r="C151" s="24" t="inlineStr">
        <is>
          <t>덕산테코피아</t>
        </is>
      </c>
      <c r="D151" s="24" t="inlineStr">
        <is>
          <t>duksan</t>
        </is>
      </c>
      <c r="E151" s="24" t="inlineStr">
        <is>
          <t>317330</t>
        </is>
      </c>
      <c r="F151" s="24" t="inlineStr">
        <is>
          <t>2022</t>
        </is>
      </c>
      <c r="G151" s="24" t="inlineStr">
        <is>
          <t>CFS</t>
        </is>
      </c>
      <c r="H151" s="24" t="inlineStr">
        <is>
          <t>BS</t>
        </is>
      </c>
      <c r="I151" s="24" t="inlineStr">
        <is>
          <t>재무상태표</t>
        </is>
      </c>
      <c r="J151" s="24" t="inlineStr">
        <is>
          <t>dart_InvestedAssetForPostemploymentBenefit</t>
        </is>
      </c>
      <c r="K151" s="24" t="inlineStr">
        <is>
          <t>퇴직급여운용자산/퇴직연금운용자산</t>
        </is>
      </c>
      <c r="L151" s="24" t="inlineStr">
        <is>
          <t>-</t>
        </is>
      </c>
      <c r="M151" s="24" t="inlineStr">
        <is>
          <t>제 17 기</t>
        </is>
      </c>
      <c r="N151" s="24" t="inlineStr">
        <is>
          <t>756470067.0</t>
        </is>
      </c>
      <c r="O151" s="24" t="inlineStr">
        <is>
          <t>해당 없음</t>
        </is>
      </c>
      <c r="P151" s="24" t="inlineStr">
        <is>
          <t>KRW</t>
        </is>
      </c>
      <c r="Q151" s="24" t="inlineStr">
        <is>
          <t>14</t>
        </is>
      </c>
    </row>
    <row r="152" ht="24" customHeight="1">
      <c r="A152" s="29" t="inlineStr">
        <is>
          <t>OpenDART_fnlttSinglAcntAll</t>
        </is>
      </c>
      <c r="B152" s="29" t="inlineStr">
        <is>
          <t>01021666</t>
        </is>
      </c>
      <c r="C152" s="29" t="inlineStr">
        <is>
          <t>덕산테코피아</t>
        </is>
      </c>
      <c r="D152" s="29" t="inlineStr">
        <is>
          <t>duksan</t>
        </is>
      </c>
      <c r="E152" s="29" t="inlineStr">
        <is>
          <t>317330</t>
        </is>
      </c>
      <c r="F152" s="29" t="inlineStr">
        <is>
          <t>2022</t>
        </is>
      </c>
      <c r="G152" s="29" t="inlineStr">
        <is>
          <t>CFS</t>
        </is>
      </c>
      <c r="H152" s="29" t="inlineStr">
        <is>
          <t>BS</t>
        </is>
      </c>
      <c r="I152" s="29" t="inlineStr">
        <is>
          <t>재무상태표</t>
        </is>
      </c>
      <c r="J152" s="29" t="inlineStr">
        <is>
          <t>ifrs-full_DeferredTaxAssets</t>
        </is>
      </c>
      <c r="K152" s="29" t="inlineStr">
        <is>
          <t>이연법인세자산</t>
        </is>
      </c>
      <c r="L152" s="29" t="inlineStr">
        <is>
          <t>-</t>
        </is>
      </c>
      <c r="M152" s="29" t="inlineStr">
        <is>
          <t>제 17 기</t>
        </is>
      </c>
      <c r="N152" s="29" t="inlineStr">
        <is>
          <t>4876759262.0</t>
        </is>
      </c>
      <c r="O152" s="29" t="inlineStr">
        <is>
          <t>1488833216.0</t>
        </is>
      </c>
      <c r="P152" s="29" t="inlineStr">
        <is>
          <t>KRW</t>
        </is>
      </c>
      <c r="Q152" s="29" t="inlineStr">
        <is>
          <t>15</t>
        </is>
      </c>
    </row>
    <row r="153" ht="24" customHeight="1">
      <c r="A153" s="24" t="inlineStr">
        <is>
          <t>OpenDART_fnlttSinglAcntAll</t>
        </is>
      </c>
      <c r="B153" s="24" t="inlineStr">
        <is>
          <t>01021666</t>
        </is>
      </c>
      <c r="C153" s="24" t="inlineStr">
        <is>
          <t>덕산테코피아</t>
        </is>
      </c>
      <c r="D153" s="24" t="inlineStr">
        <is>
          <t>duksan</t>
        </is>
      </c>
      <c r="E153" s="24" t="inlineStr">
        <is>
          <t>317330</t>
        </is>
      </c>
      <c r="F153" s="24" t="inlineStr">
        <is>
          <t>2022</t>
        </is>
      </c>
      <c r="G153" s="24" t="inlineStr">
        <is>
          <t>CFS</t>
        </is>
      </c>
      <c r="H153" s="24" t="inlineStr">
        <is>
          <t>BS</t>
        </is>
      </c>
      <c r="I153" s="24" t="inlineStr">
        <is>
          <t>재무상태표</t>
        </is>
      </c>
      <c r="J153" s="24" t="inlineStr">
        <is>
          <t>ifrs-full_Assets</t>
        </is>
      </c>
      <c r="K153" s="24" t="inlineStr">
        <is>
          <t>자산총계</t>
        </is>
      </c>
      <c r="L153" s="24" t="inlineStr">
        <is>
          <t>-</t>
        </is>
      </c>
      <c r="M153" s="24" t="inlineStr">
        <is>
          <t>제 17 기</t>
        </is>
      </c>
      <c r="N153" s="24" t="inlineStr">
        <is>
          <t>298526727044.0</t>
        </is>
      </c>
      <c r="O153" s="24" t="inlineStr">
        <is>
          <t>244335928964.0</t>
        </is>
      </c>
      <c r="P153" s="24" t="inlineStr">
        <is>
          <t>KRW</t>
        </is>
      </c>
      <c r="Q153" s="24" t="inlineStr">
        <is>
          <t>16</t>
        </is>
      </c>
    </row>
    <row r="154" ht="24" customHeight="1">
      <c r="A154" s="29" t="inlineStr">
        <is>
          <t>OpenDART_fnlttSinglAcntAll</t>
        </is>
      </c>
      <c r="B154" s="29" t="inlineStr">
        <is>
          <t>01021666</t>
        </is>
      </c>
      <c r="C154" s="29" t="inlineStr">
        <is>
          <t>덕산테코피아</t>
        </is>
      </c>
      <c r="D154" s="29" t="inlineStr">
        <is>
          <t>duksan</t>
        </is>
      </c>
      <c r="E154" s="29" t="inlineStr">
        <is>
          <t>317330</t>
        </is>
      </c>
      <c r="F154" s="29" t="inlineStr">
        <is>
          <t>2022</t>
        </is>
      </c>
      <c r="G154" s="29" t="inlineStr">
        <is>
          <t>CFS</t>
        </is>
      </c>
      <c r="H154" s="29" t="inlineStr">
        <is>
          <t>BS</t>
        </is>
      </c>
      <c r="I154" s="29" t="inlineStr">
        <is>
          <t>재무상태표</t>
        </is>
      </c>
      <c r="J154" s="29" t="inlineStr">
        <is>
          <t>ifrs-full_CurrentLiabilities</t>
        </is>
      </c>
      <c r="K154" s="29" t="inlineStr">
        <is>
          <t>유동부채</t>
        </is>
      </c>
      <c r="L154" s="29" t="inlineStr">
        <is>
          <t>-</t>
        </is>
      </c>
      <c r="M154" s="29" t="inlineStr">
        <is>
          <t>제 17 기</t>
        </is>
      </c>
      <c r="N154" s="29" t="inlineStr">
        <is>
          <t>17199914096.0</t>
        </is>
      </c>
      <c r="O154" s="29" t="inlineStr">
        <is>
          <t>17594405779.0</t>
        </is>
      </c>
      <c r="P154" s="29" t="inlineStr">
        <is>
          <t>KRW</t>
        </is>
      </c>
      <c r="Q154" s="29" t="inlineStr">
        <is>
          <t>18</t>
        </is>
      </c>
    </row>
    <row r="155" ht="24" customHeight="1">
      <c r="A155" s="24" t="inlineStr">
        <is>
          <t>OpenDART_fnlttSinglAcntAll</t>
        </is>
      </c>
      <c r="B155" s="24" t="inlineStr">
        <is>
          <t>01021666</t>
        </is>
      </c>
      <c r="C155" s="24" t="inlineStr">
        <is>
          <t>덕산테코피아</t>
        </is>
      </c>
      <c r="D155" s="24" t="inlineStr">
        <is>
          <t>duksan</t>
        </is>
      </c>
      <c r="E155" s="24" t="inlineStr">
        <is>
          <t>317330</t>
        </is>
      </c>
      <c r="F155" s="24" t="inlineStr">
        <is>
          <t>2022</t>
        </is>
      </c>
      <c r="G155" s="24" t="inlineStr">
        <is>
          <t>CFS</t>
        </is>
      </c>
      <c r="H155" s="24" t="inlineStr">
        <is>
          <t>BS</t>
        </is>
      </c>
      <c r="I155" s="24" t="inlineStr">
        <is>
          <t>재무상태표</t>
        </is>
      </c>
      <c r="J155" s="24" t="inlineStr">
        <is>
          <t>dart_ShortTermTradePayables</t>
        </is>
      </c>
      <c r="K155" s="24" t="inlineStr">
        <is>
          <t>매입채무</t>
        </is>
      </c>
      <c r="L155" s="24" t="inlineStr">
        <is>
          <t>-</t>
        </is>
      </c>
      <c r="M155" s="24" t="inlineStr">
        <is>
          <t>제 17 기</t>
        </is>
      </c>
      <c r="N155" s="24" t="inlineStr">
        <is>
          <t>1609547906.0</t>
        </is>
      </c>
      <c r="O155" s="24" t="inlineStr">
        <is>
          <t>2113125804.0</t>
        </is>
      </c>
      <c r="P155" s="24" t="inlineStr">
        <is>
          <t>KRW</t>
        </is>
      </c>
      <c r="Q155" s="24" t="inlineStr">
        <is>
          <t>19</t>
        </is>
      </c>
    </row>
    <row r="156" ht="24" customHeight="1">
      <c r="A156" s="29" t="inlineStr">
        <is>
          <t>OpenDART_fnlttSinglAcntAll</t>
        </is>
      </c>
      <c r="B156" s="29" t="inlineStr">
        <is>
          <t>01021666</t>
        </is>
      </c>
      <c r="C156" s="29" t="inlineStr">
        <is>
          <t>덕산테코피아</t>
        </is>
      </c>
      <c r="D156" s="29" t="inlineStr">
        <is>
          <t>duksan</t>
        </is>
      </c>
      <c r="E156" s="29" t="inlineStr">
        <is>
          <t>317330</t>
        </is>
      </c>
      <c r="F156" s="29" t="inlineStr">
        <is>
          <t>2022</t>
        </is>
      </c>
      <c r="G156" s="29" t="inlineStr">
        <is>
          <t>CFS</t>
        </is>
      </c>
      <c r="H156" s="29" t="inlineStr">
        <is>
          <t>BS</t>
        </is>
      </c>
      <c r="I156" s="29" t="inlineStr">
        <is>
          <t>재무상태표</t>
        </is>
      </c>
      <c r="J156" s="29" t="inlineStr">
        <is>
          <t>ifrs-full_TradeAndOtherCurrentPayables</t>
        </is>
      </c>
      <c r="K156" s="29" t="inlineStr">
        <is>
          <t>기타유동채무</t>
        </is>
      </c>
      <c r="L156" s="29" t="inlineStr">
        <is>
          <t>-</t>
        </is>
      </c>
      <c r="M156" s="29" t="inlineStr">
        <is>
          <t>제 17 기</t>
        </is>
      </c>
      <c r="N156" s="29" t="inlineStr">
        <is>
          <t>14883643043.0</t>
        </is>
      </c>
      <c r="O156" s="29" t="inlineStr">
        <is>
          <t>11961414737.0</t>
        </is>
      </c>
      <c r="P156" s="29" t="inlineStr">
        <is>
          <t>KRW</t>
        </is>
      </c>
      <c r="Q156" s="29" t="inlineStr">
        <is>
          <t>20</t>
        </is>
      </c>
    </row>
    <row r="157" ht="24" customHeight="1">
      <c r="A157" s="24" t="inlineStr">
        <is>
          <t>OpenDART_fnlttSinglAcntAll</t>
        </is>
      </c>
      <c r="B157" s="24" t="inlineStr">
        <is>
          <t>01021666</t>
        </is>
      </c>
      <c r="C157" s="24" t="inlineStr">
        <is>
          <t>덕산테코피아</t>
        </is>
      </c>
      <c r="D157" s="24" t="inlineStr">
        <is>
          <t>duksan</t>
        </is>
      </c>
      <c r="E157" s="24" t="inlineStr">
        <is>
          <t>317330</t>
        </is>
      </c>
      <c r="F157" s="24" t="inlineStr">
        <is>
          <t>2022</t>
        </is>
      </c>
      <c r="G157" s="24" t="inlineStr">
        <is>
          <t>CFS</t>
        </is>
      </c>
      <c r="H157" s="24" t="inlineStr">
        <is>
          <t>BS</t>
        </is>
      </c>
      <c r="I157" s="24" t="inlineStr">
        <is>
          <t>재무상태표</t>
        </is>
      </c>
      <c r="J157" s="24" t="inlineStr">
        <is>
          <t>ifrs-full_CurrentPortionOfLongtermBorrowings</t>
        </is>
      </c>
      <c r="K157" s="24" t="inlineStr">
        <is>
          <t>차입금</t>
        </is>
      </c>
      <c r="L157" s="24" t="inlineStr">
        <is>
          <t>-</t>
        </is>
      </c>
      <c r="M157" s="24" t="inlineStr">
        <is>
          <t>제 17 기</t>
        </is>
      </c>
      <c r="N157" s="24" t="inlineStr">
        <is>
          <t>60000000.0</t>
        </is>
      </c>
      <c r="O157" s="24" t="inlineStr">
        <is>
          <t>1180831000.0</t>
        </is>
      </c>
      <c r="P157" s="24" t="inlineStr">
        <is>
          <t>KRW</t>
        </is>
      </c>
      <c r="Q157" s="24" t="inlineStr">
        <is>
          <t>21</t>
        </is>
      </c>
    </row>
    <row r="158" ht="24" customHeight="1">
      <c r="A158" s="29" t="inlineStr">
        <is>
          <t>OpenDART_fnlttSinglAcntAll</t>
        </is>
      </c>
      <c r="B158" s="29" t="inlineStr">
        <is>
          <t>01021666</t>
        </is>
      </c>
      <c r="C158" s="29" t="inlineStr">
        <is>
          <t>덕산테코피아</t>
        </is>
      </c>
      <c r="D158" s="29" t="inlineStr">
        <is>
          <t>duksan</t>
        </is>
      </c>
      <c r="E158" s="29" t="inlineStr">
        <is>
          <t>317330</t>
        </is>
      </c>
      <c r="F158" s="29" t="inlineStr">
        <is>
          <t>2022</t>
        </is>
      </c>
      <c r="G158" s="29" t="inlineStr">
        <is>
          <t>CFS</t>
        </is>
      </c>
      <c r="H158" s="29" t="inlineStr">
        <is>
          <t>BS</t>
        </is>
      </c>
      <c r="I158" s="29" t="inlineStr">
        <is>
          <t>재무상태표</t>
        </is>
      </c>
      <c r="J158" s="29" t="inlineStr">
        <is>
          <t>dart_OtherCurrentLiabilities</t>
        </is>
      </c>
      <c r="K158" s="29" t="inlineStr">
        <is>
          <t>기타유동부채</t>
        </is>
      </c>
      <c r="L158" s="29" t="inlineStr">
        <is>
          <t>-</t>
        </is>
      </c>
      <c r="M158" s="29" t="inlineStr">
        <is>
          <t>제 17 기</t>
        </is>
      </c>
      <c r="N158" s="29" t="inlineStr">
        <is>
          <t>224398990.0</t>
        </is>
      </c>
      <c r="O158" s="29" t="inlineStr">
        <is>
          <t>312082258.0</t>
        </is>
      </c>
      <c r="P158" s="29" t="inlineStr">
        <is>
          <t>KRW</t>
        </is>
      </c>
      <c r="Q158" s="29" t="inlineStr">
        <is>
          <t>22</t>
        </is>
      </c>
    </row>
    <row r="159" ht="24" customHeight="1">
      <c r="A159" s="24" t="inlineStr">
        <is>
          <t>OpenDART_fnlttSinglAcntAll</t>
        </is>
      </c>
      <c r="B159" s="24" t="inlineStr">
        <is>
          <t>01021666</t>
        </is>
      </c>
      <c r="C159" s="24" t="inlineStr">
        <is>
          <t>덕산테코피아</t>
        </is>
      </c>
      <c r="D159" s="24" t="inlineStr">
        <is>
          <t>duksan</t>
        </is>
      </c>
      <c r="E159" s="24" t="inlineStr">
        <is>
          <t>317330</t>
        </is>
      </c>
      <c r="F159" s="24" t="inlineStr">
        <is>
          <t>2022</t>
        </is>
      </c>
      <c r="G159" s="24" t="inlineStr">
        <is>
          <t>CFS</t>
        </is>
      </c>
      <c r="H159" s="24" t="inlineStr">
        <is>
          <t>BS</t>
        </is>
      </c>
      <c r="I159" s="24" t="inlineStr">
        <is>
          <t>재무상태표</t>
        </is>
      </c>
      <c r="J159" s="24" t="inlineStr">
        <is>
          <t>ifrs-full_CurrentTaxLiabilities</t>
        </is>
      </c>
      <c r="K159" s="24" t="inlineStr">
        <is>
          <t>당기법인세부채</t>
        </is>
      </c>
      <c r="L159" s="24" t="inlineStr">
        <is>
          <t>-</t>
        </is>
      </c>
      <c r="M159" s="24" t="inlineStr">
        <is>
          <t>제 17 기</t>
        </is>
      </c>
      <c r="N159" s="24" t="inlineStr">
        <is>
          <t>422324157.0</t>
        </is>
      </c>
      <c r="O159" s="24" t="inlineStr">
        <is>
          <t>2026951980.0</t>
        </is>
      </c>
      <c r="P159" s="24" t="inlineStr">
        <is>
          <t>KRW</t>
        </is>
      </c>
      <c r="Q159" s="24" t="inlineStr">
        <is>
          <t>23</t>
        </is>
      </c>
    </row>
    <row r="160" ht="24" customHeight="1">
      <c r="A160" s="29" t="inlineStr">
        <is>
          <t>OpenDART_fnlttSinglAcntAll</t>
        </is>
      </c>
      <c r="B160" s="29" t="inlineStr">
        <is>
          <t>01021666</t>
        </is>
      </c>
      <c r="C160" s="29" t="inlineStr">
        <is>
          <t>덕산테코피아</t>
        </is>
      </c>
      <c r="D160" s="29" t="inlineStr">
        <is>
          <t>duksan</t>
        </is>
      </c>
      <c r="E160" s="29" t="inlineStr">
        <is>
          <t>317330</t>
        </is>
      </c>
      <c r="F160" s="29" t="inlineStr">
        <is>
          <t>2022</t>
        </is>
      </c>
      <c r="G160" s="29" t="inlineStr">
        <is>
          <t>CFS</t>
        </is>
      </c>
      <c r="H160" s="29" t="inlineStr">
        <is>
          <t>BS</t>
        </is>
      </c>
      <c r="I160" s="29" t="inlineStr">
        <is>
          <t>재무상태표</t>
        </is>
      </c>
      <c r="J160" s="29" t="inlineStr">
        <is>
          <t>ifrs-full_NoncurrentLiabilities</t>
        </is>
      </c>
      <c r="K160" s="29" t="inlineStr">
        <is>
          <t>비유동부채</t>
        </is>
      </c>
      <c r="L160" s="29" t="inlineStr">
        <is>
          <t>-</t>
        </is>
      </c>
      <c r="M160" s="29" t="inlineStr">
        <is>
          <t>제 17 기</t>
        </is>
      </c>
      <c r="N160" s="29" t="inlineStr">
        <is>
          <t>78040757533.0</t>
        </is>
      </c>
      <c r="O160" s="29" t="inlineStr">
        <is>
          <t>53754578287.0</t>
        </is>
      </c>
      <c r="P160" s="29" t="inlineStr">
        <is>
          <t>KRW</t>
        </is>
      </c>
      <c r="Q160" s="29" t="inlineStr">
        <is>
          <t>24</t>
        </is>
      </c>
    </row>
    <row r="161" ht="24" customHeight="1">
      <c r="A161" s="24" t="inlineStr">
        <is>
          <t>OpenDART_fnlttSinglAcntAll</t>
        </is>
      </c>
      <c r="B161" s="24" t="inlineStr">
        <is>
          <t>01021666</t>
        </is>
      </c>
      <c r="C161" s="24" t="inlineStr">
        <is>
          <t>덕산테코피아</t>
        </is>
      </c>
      <c r="D161" s="24" t="inlineStr">
        <is>
          <t>duksan</t>
        </is>
      </c>
      <c r="E161" s="24" t="inlineStr">
        <is>
          <t>317330</t>
        </is>
      </c>
      <c r="F161" s="24" t="inlineStr">
        <is>
          <t>2022</t>
        </is>
      </c>
      <c r="G161" s="24" t="inlineStr">
        <is>
          <t>CFS</t>
        </is>
      </c>
      <c r="H161" s="24" t="inlineStr">
        <is>
          <t>BS</t>
        </is>
      </c>
      <c r="I161" s="24" t="inlineStr">
        <is>
          <t>재무상태표</t>
        </is>
      </c>
      <c r="J161" s="24" t="inlineStr">
        <is>
          <t>dart_LongTermTradeAndOtherNonCurrentPayables</t>
        </is>
      </c>
      <c r="K161" s="24" t="inlineStr">
        <is>
          <t>기타비유동채무</t>
        </is>
      </c>
      <c r="L161" s="24" t="inlineStr">
        <is>
          <t>-</t>
        </is>
      </c>
      <c r="M161" s="24" t="inlineStr">
        <is>
          <t>제 17 기</t>
        </is>
      </c>
      <c r="N161" s="24" t="inlineStr">
        <is>
          <t>8707819784.0</t>
        </is>
      </c>
      <c r="O161" s="24" t="inlineStr">
        <is>
          <t>12293772516.0</t>
        </is>
      </c>
      <c r="P161" s="24" t="inlineStr">
        <is>
          <t>KRW</t>
        </is>
      </c>
      <c r="Q161" s="24" t="inlineStr">
        <is>
          <t>25</t>
        </is>
      </c>
    </row>
    <row r="162" ht="24" customHeight="1">
      <c r="A162" s="29" t="inlineStr">
        <is>
          <t>OpenDART_fnlttSinglAcntAll</t>
        </is>
      </c>
      <c r="B162" s="29" t="inlineStr">
        <is>
          <t>01021666</t>
        </is>
      </c>
      <c r="C162" s="29" t="inlineStr">
        <is>
          <t>덕산테코피아</t>
        </is>
      </c>
      <c r="D162" s="29" t="inlineStr">
        <is>
          <t>duksan</t>
        </is>
      </c>
      <c r="E162" s="29" t="inlineStr">
        <is>
          <t>317330</t>
        </is>
      </c>
      <c r="F162" s="29" t="inlineStr">
        <is>
          <t>2022</t>
        </is>
      </c>
      <c r="G162" s="29" t="inlineStr">
        <is>
          <t>CFS</t>
        </is>
      </c>
      <c r="H162" s="29" t="inlineStr">
        <is>
          <t>BS</t>
        </is>
      </c>
      <c r="I162" s="29" t="inlineStr">
        <is>
          <t>재무상태표</t>
        </is>
      </c>
      <c r="J162" s="29" t="inlineStr">
        <is>
          <t>dart_LongTermBorrowingsGross</t>
        </is>
      </c>
      <c r="K162" s="29" t="inlineStr">
        <is>
          <t>장기차입금</t>
        </is>
      </c>
      <c r="L162" s="29" t="inlineStr">
        <is>
          <t>-</t>
        </is>
      </c>
      <c r="M162" s="29" t="inlineStr">
        <is>
          <t>제 17 기</t>
        </is>
      </c>
      <c r="N162" s="29" t="inlineStr">
        <is>
          <t>26040000000.0</t>
        </is>
      </c>
      <c r="O162" s="29" t="inlineStr">
        <is>
          <t>180000000.0</t>
        </is>
      </c>
      <c r="P162" s="29" t="inlineStr">
        <is>
          <t>KRW</t>
        </is>
      </c>
      <c r="Q162" s="29" t="inlineStr">
        <is>
          <t>26</t>
        </is>
      </c>
    </row>
    <row r="163" ht="24" customHeight="1">
      <c r="A163" s="24" t="inlineStr">
        <is>
          <t>OpenDART_fnlttSinglAcntAll</t>
        </is>
      </c>
      <c r="B163" s="24" t="inlineStr">
        <is>
          <t>01021666</t>
        </is>
      </c>
      <c r="C163" s="24" t="inlineStr">
        <is>
          <t>덕산테코피아</t>
        </is>
      </c>
      <c r="D163" s="24" t="inlineStr">
        <is>
          <t>duksan</t>
        </is>
      </c>
      <c r="E163" s="24" t="inlineStr">
        <is>
          <t>317330</t>
        </is>
      </c>
      <c r="F163" s="24" t="inlineStr">
        <is>
          <t>2022</t>
        </is>
      </c>
      <c r="G163" s="24" t="inlineStr">
        <is>
          <t>CFS</t>
        </is>
      </c>
      <c r="H163" s="24" t="inlineStr">
        <is>
          <t>BS</t>
        </is>
      </c>
      <c r="I163" s="24" t="inlineStr">
        <is>
          <t>재무상태표</t>
        </is>
      </c>
      <c r="J163" s="24" t="inlineStr">
        <is>
          <t>dart_ConvertibleBonds</t>
        </is>
      </c>
      <c r="K163" s="24" t="inlineStr">
        <is>
          <t>전환사채</t>
        </is>
      </c>
      <c r="L163" s="24" t="inlineStr">
        <is>
          <t>-</t>
        </is>
      </c>
      <c r="M163" s="24" t="inlineStr">
        <is>
          <t>제 17 기</t>
        </is>
      </c>
      <c r="N163" s="24" t="inlineStr">
        <is>
          <t>42781735075.0</t>
        </is>
      </c>
      <c r="O163" s="24" t="inlineStr">
        <is>
          <t>40583670136.0</t>
        </is>
      </c>
      <c r="P163" s="24" t="inlineStr">
        <is>
          <t>KRW</t>
        </is>
      </c>
      <c r="Q163" s="24" t="inlineStr">
        <is>
          <t>27</t>
        </is>
      </c>
    </row>
    <row r="164" ht="24" customHeight="1">
      <c r="A164" s="29" t="inlineStr">
        <is>
          <t>OpenDART_fnlttSinglAcntAll</t>
        </is>
      </c>
      <c r="B164" s="29" t="inlineStr">
        <is>
          <t>01021666</t>
        </is>
      </c>
      <c r="C164" s="29" t="inlineStr">
        <is>
          <t>덕산테코피아</t>
        </is>
      </c>
      <c r="D164" s="29" t="inlineStr">
        <is>
          <t>duksan</t>
        </is>
      </c>
      <c r="E164" s="29" t="inlineStr">
        <is>
          <t>317330</t>
        </is>
      </c>
      <c r="F164" s="29" t="inlineStr">
        <is>
          <t>2022</t>
        </is>
      </c>
      <c r="G164" s="29" t="inlineStr">
        <is>
          <t>CFS</t>
        </is>
      </c>
      <c r="H164" s="29" t="inlineStr">
        <is>
          <t>BS</t>
        </is>
      </c>
      <c r="I164" s="29" t="inlineStr">
        <is>
          <t>재무상태표</t>
        </is>
      </c>
      <c r="J164" s="29" t="inlineStr">
        <is>
          <t>dart_PostemploymentBenefitObligations</t>
        </is>
      </c>
      <c r="K164" s="29" t="inlineStr">
        <is>
          <t>확정급여부채</t>
        </is>
      </c>
      <c r="L164" s="29" t="inlineStr">
        <is>
          <t>-</t>
        </is>
      </c>
      <c r="M164" s="29" t="inlineStr">
        <is>
          <t>제 17 기</t>
        </is>
      </c>
      <c r="N164" s="29" t="inlineStr">
        <is>
          <t>217356535.0</t>
        </is>
      </c>
      <c r="O164" s="29" t="inlineStr">
        <is>
          <t>376616564.0</t>
        </is>
      </c>
      <c r="P164" s="29" t="inlineStr">
        <is>
          <t>KRW</t>
        </is>
      </c>
      <c r="Q164" s="29" t="inlineStr">
        <is>
          <t>28</t>
        </is>
      </c>
    </row>
    <row r="165" ht="24" customHeight="1">
      <c r="A165" s="24" t="inlineStr">
        <is>
          <t>OpenDART_fnlttSinglAcntAll</t>
        </is>
      </c>
      <c r="B165" s="24" t="inlineStr">
        <is>
          <t>01021666</t>
        </is>
      </c>
      <c r="C165" s="24" t="inlineStr">
        <is>
          <t>덕산테코피아</t>
        </is>
      </c>
      <c r="D165" s="24" t="inlineStr">
        <is>
          <t>duksan</t>
        </is>
      </c>
      <c r="E165" s="24" t="inlineStr">
        <is>
          <t>317330</t>
        </is>
      </c>
      <c r="F165" s="24" t="inlineStr">
        <is>
          <t>2022</t>
        </is>
      </c>
      <c r="G165" s="24" t="inlineStr">
        <is>
          <t>CFS</t>
        </is>
      </c>
      <c r="H165" s="24" t="inlineStr">
        <is>
          <t>BS</t>
        </is>
      </c>
      <c r="I165" s="24" t="inlineStr">
        <is>
          <t>재무상태표</t>
        </is>
      </c>
      <c r="J165" s="24" t="inlineStr">
        <is>
          <t>dart_OtherNonCurrentLiabilities</t>
        </is>
      </c>
      <c r="K165" s="24" t="inlineStr">
        <is>
          <t>기타비유동부채</t>
        </is>
      </c>
      <c r="L165" s="24" t="inlineStr">
        <is>
          <t>-</t>
        </is>
      </c>
      <c r="M165" s="24" t="inlineStr">
        <is>
          <t>제 17 기</t>
        </is>
      </c>
      <c r="N165" s="24" t="inlineStr">
        <is>
          <t>293846139.0</t>
        </is>
      </c>
      <c r="O165" s="24" t="inlineStr">
        <is>
          <t>320519071.0</t>
        </is>
      </c>
      <c r="P165" s="24" t="inlineStr">
        <is>
          <t>KRW</t>
        </is>
      </c>
      <c r="Q165" s="24" t="inlineStr">
        <is>
          <t>29</t>
        </is>
      </c>
    </row>
    <row r="166" ht="24" customHeight="1">
      <c r="A166" s="29" t="inlineStr">
        <is>
          <t>OpenDART_fnlttSinglAcntAll</t>
        </is>
      </c>
      <c r="B166" s="29" t="inlineStr">
        <is>
          <t>01021666</t>
        </is>
      </c>
      <c r="C166" s="29" t="inlineStr">
        <is>
          <t>덕산테코피아</t>
        </is>
      </c>
      <c r="D166" s="29" t="inlineStr">
        <is>
          <t>duksan</t>
        </is>
      </c>
      <c r="E166" s="29" t="inlineStr">
        <is>
          <t>317330</t>
        </is>
      </c>
      <c r="F166" s="29" t="inlineStr">
        <is>
          <t>2022</t>
        </is>
      </c>
      <c r="G166" s="29" t="inlineStr">
        <is>
          <t>CFS</t>
        </is>
      </c>
      <c r="H166" s="29" t="inlineStr">
        <is>
          <t>BS</t>
        </is>
      </c>
      <c r="I166" s="29" t="inlineStr">
        <is>
          <t>재무상태표</t>
        </is>
      </c>
      <c r="J166" s="29" t="inlineStr">
        <is>
          <t>ifrs-full_Liabilities</t>
        </is>
      </c>
      <c r="K166" s="29" t="inlineStr">
        <is>
          <t>부채총계</t>
        </is>
      </c>
      <c r="L166" s="29" t="inlineStr">
        <is>
          <t>-</t>
        </is>
      </c>
      <c r="M166" s="29" t="inlineStr">
        <is>
          <t>제 17 기</t>
        </is>
      </c>
      <c r="N166" s="29" t="inlineStr">
        <is>
          <t>95240671629.0</t>
        </is>
      </c>
      <c r="O166" s="29" t="inlineStr">
        <is>
          <t>71348984066.0</t>
        </is>
      </c>
      <c r="P166" s="29" t="inlineStr">
        <is>
          <t>KRW</t>
        </is>
      </c>
      <c r="Q166" s="29" t="inlineStr">
        <is>
          <t>30</t>
        </is>
      </c>
    </row>
    <row r="167" ht="24" customHeight="1">
      <c r="A167" s="24" t="inlineStr">
        <is>
          <t>OpenDART_fnlttSinglAcntAll</t>
        </is>
      </c>
      <c r="B167" s="24" t="inlineStr">
        <is>
          <t>01021666</t>
        </is>
      </c>
      <c r="C167" s="24" t="inlineStr">
        <is>
          <t>덕산테코피아</t>
        </is>
      </c>
      <c r="D167" s="24" t="inlineStr">
        <is>
          <t>duksan</t>
        </is>
      </c>
      <c r="E167" s="24" t="inlineStr">
        <is>
          <t>317330</t>
        </is>
      </c>
      <c r="F167" s="24" t="inlineStr">
        <is>
          <t>2022</t>
        </is>
      </c>
      <c r="G167" s="24" t="inlineStr">
        <is>
          <t>CFS</t>
        </is>
      </c>
      <c r="H167" s="24" t="inlineStr">
        <is>
          <t>BS</t>
        </is>
      </c>
      <c r="I167" s="24" t="inlineStr">
        <is>
          <t>재무상태표</t>
        </is>
      </c>
      <c r="J167" s="24" t="inlineStr">
        <is>
          <t>ifrs-full_EquityAttributableToOwnersOfParent</t>
        </is>
      </c>
      <c r="K167" s="24" t="inlineStr">
        <is>
          <t>지배기업의 소유주지분</t>
        </is>
      </c>
      <c r="L167" s="24" t="inlineStr">
        <is>
          <t>-</t>
        </is>
      </c>
      <c r="M167" s="24" t="inlineStr">
        <is>
          <t>제 17 기</t>
        </is>
      </c>
      <c r="N167" s="24" t="inlineStr">
        <is>
          <t>188388701035.0</t>
        </is>
      </c>
      <c r="O167" s="24" t="inlineStr">
        <is>
          <t>172319220642.0</t>
        </is>
      </c>
      <c r="P167" s="24" t="inlineStr">
        <is>
          <t>KRW</t>
        </is>
      </c>
      <c r="Q167" s="24" t="inlineStr">
        <is>
          <t>32</t>
        </is>
      </c>
    </row>
    <row r="168" ht="24" customHeight="1">
      <c r="A168" s="29" t="inlineStr">
        <is>
          <t>OpenDART_fnlttSinglAcntAll</t>
        </is>
      </c>
      <c r="B168" s="29" t="inlineStr">
        <is>
          <t>01021666</t>
        </is>
      </c>
      <c r="C168" s="29" t="inlineStr">
        <is>
          <t>덕산테코피아</t>
        </is>
      </c>
      <c r="D168" s="29" t="inlineStr">
        <is>
          <t>duksan</t>
        </is>
      </c>
      <c r="E168" s="29" t="inlineStr">
        <is>
          <t>317330</t>
        </is>
      </c>
      <c r="F168" s="29" t="inlineStr">
        <is>
          <t>2022</t>
        </is>
      </c>
      <c r="G168" s="29" t="inlineStr">
        <is>
          <t>CFS</t>
        </is>
      </c>
      <c r="H168" s="29" t="inlineStr">
        <is>
          <t>BS</t>
        </is>
      </c>
      <c r="I168" s="29" t="inlineStr">
        <is>
          <t>재무상태표</t>
        </is>
      </c>
      <c r="J168" s="29" t="inlineStr">
        <is>
          <t>ifrs-full_IssuedCapital</t>
        </is>
      </c>
      <c r="K168" s="29" t="inlineStr">
        <is>
          <t>자본금</t>
        </is>
      </c>
      <c r="L168" s="29" t="inlineStr">
        <is>
          <t>-</t>
        </is>
      </c>
      <c r="M168" s="29" t="inlineStr">
        <is>
          <t>제 17 기</t>
        </is>
      </c>
      <c r="N168" s="29" t="inlineStr">
        <is>
          <t>9188714000.0</t>
        </is>
      </c>
      <c r="O168" s="29" t="inlineStr">
        <is>
          <t>9188714000.0</t>
        </is>
      </c>
      <c r="P168" s="29" t="inlineStr">
        <is>
          <t>KRW</t>
        </is>
      </c>
      <c r="Q168" s="29" t="inlineStr">
        <is>
          <t>33</t>
        </is>
      </c>
    </row>
    <row r="169" ht="24" customHeight="1">
      <c r="A169" s="24" t="inlineStr">
        <is>
          <t>OpenDART_fnlttSinglAcntAll</t>
        </is>
      </c>
      <c r="B169" s="24" t="inlineStr">
        <is>
          <t>01021666</t>
        </is>
      </c>
      <c r="C169" s="24" t="inlineStr">
        <is>
          <t>덕산테코피아</t>
        </is>
      </c>
      <c r="D169" s="24" t="inlineStr">
        <is>
          <t>duksan</t>
        </is>
      </c>
      <c r="E169" s="24" t="inlineStr">
        <is>
          <t>317330</t>
        </is>
      </c>
      <c r="F169" s="24" t="inlineStr">
        <is>
          <t>2022</t>
        </is>
      </c>
      <c r="G169" s="24" t="inlineStr">
        <is>
          <t>CFS</t>
        </is>
      </c>
      <c r="H169" s="24" t="inlineStr">
        <is>
          <t>BS</t>
        </is>
      </c>
      <c r="I169" s="24" t="inlineStr">
        <is>
          <t>재무상태표</t>
        </is>
      </c>
      <c r="J169" s="24" t="inlineStr">
        <is>
          <t>dart_CapitalSurplus</t>
        </is>
      </c>
      <c r="K169" s="24" t="inlineStr">
        <is>
          <t>자본잉여금</t>
        </is>
      </c>
      <c r="L169" s="24" t="inlineStr">
        <is>
          <t>-</t>
        </is>
      </c>
      <c r="M169" s="24" t="inlineStr">
        <is>
          <t>제 17 기</t>
        </is>
      </c>
      <c r="N169" s="24" t="inlineStr">
        <is>
          <t>76241971091.0</t>
        </is>
      </c>
      <c r="O169" s="24" t="inlineStr">
        <is>
          <t>76341122976.0</t>
        </is>
      </c>
      <c r="P169" s="24" t="inlineStr">
        <is>
          <t>KRW</t>
        </is>
      </c>
      <c r="Q169" s="24" t="inlineStr">
        <is>
          <t>34</t>
        </is>
      </c>
    </row>
    <row r="170" ht="24" customHeight="1">
      <c r="A170" s="29" t="inlineStr">
        <is>
          <t>OpenDART_fnlttSinglAcntAll</t>
        </is>
      </c>
      <c r="B170" s="29" t="inlineStr">
        <is>
          <t>01021666</t>
        </is>
      </c>
      <c r="C170" s="29" t="inlineStr">
        <is>
          <t>덕산테코피아</t>
        </is>
      </c>
      <c r="D170" s="29" t="inlineStr">
        <is>
          <t>duksan</t>
        </is>
      </c>
      <c r="E170" s="29" t="inlineStr">
        <is>
          <t>317330</t>
        </is>
      </c>
      <c r="F170" s="29" t="inlineStr">
        <is>
          <t>2022</t>
        </is>
      </c>
      <c r="G170" s="29" t="inlineStr">
        <is>
          <t>CFS</t>
        </is>
      </c>
      <c r="H170" s="29" t="inlineStr">
        <is>
          <t>BS</t>
        </is>
      </c>
      <c r="I170" s="29" t="inlineStr">
        <is>
          <t>재무상태표</t>
        </is>
      </c>
      <c r="J170" s="29" t="inlineStr">
        <is>
          <t>dart_ElementsOfOtherStockholdersEquity</t>
        </is>
      </c>
      <c r="K170" s="29" t="inlineStr">
        <is>
          <t>기타자본항목</t>
        </is>
      </c>
      <c r="L170" s="29" t="inlineStr">
        <is>
          <t>-</t>
        </is>
      </c>
      <c r="M170" s="29" t="inlineStr">
        <is>
          <t>제 17 기</t>
        </is>
      </c>
      <c r="N170" s="29" t="inlineStr">
        <is>
          <t>-4409540724.0</t>
        </is>
      </c>
      <c r="O170" s="29" t="inlineStr">
        <is>
          <t>-3825475372.0</t>
        </is>
      </c>
      <c r="P170" s="29" t="inlineStr">
        <is>
          <t>KRW</t>
        </is>
      </c>
      <c r="Q170" s="29" t="inlineStr">
        <is>
          <t>35</t>
        </is>
      </c>
    </row>
    <row r="171" ht="24" customHeight="1">
      <c r="A171" s="24" t="inlineStr">
        <is>
          <t>OpenDART_fnlttSinglAcntAll</t>
        </is>
      </c>
      <c r="B171" s="24" t="inlineStr">
        <is>
          <t>01021666</t>
        </is>
      </c>
      <c r="C171" s="24" t="inlineStr">
        <is>
          <t>덕산테코피아</t>
        </is>
      </c>
      <c r="D171" s="24" t="inlineStr">
        <is>
          <t>duksan</t>
        </is>
      </c>
      <c r="E171" s="24" t="inlineStr">
        <is>
          <t>317330</t>
        </is>
      </c>
      <c r="F171" s="24" t="inlineStr">
        <is>
          <t>2022</t>
        </is>
      </c>
      <c r="G171" s="24" t="inlineStr">
        <is>
          <t>CFS</t>
        </is>
      </c>
      <c r="H171" s="24" t="inlineStr">
        <is>
          <t>BS</t>
        </is>
      </c>
      <c r="I171" s="24" t="inlineStr">
        <is>
          <t>재무상태표</t>
        </is>
      </c>
      <c r="J171" s="24" t="inlineStr">
        <is>
          <t>ifrs-full_RetainedEarnings</t>
        </is>
      </c>
      <c r="K171" s="24" t="inlineStr">
        <is>
          <t>이익잉여금</t>
        </is>
      </c>
      <c r="L171" s="24" t="inlineStr">
        <is>
          <t>-</t>
        </is>
      </c>
      <c r="M171" s="24" t="inlineStr">
        <is>
          <t>제 17 기</t>
        </is>
      </c>
      <c r="N171" s="24" t="inlineStr">
        <is>
          <t>107367556668.0</t>
        </is>
      </c>
      <c r="O171" s="24" t="inlineStr">
        <is>
          <t>90614859038.0</t>
        </is>
      </c>
      <c r="P171" s="24" t="inlineStr">
        <is>
          <t>KRW</t>
        </is>
      </c>
      <c r="Q171" s="24" t="inlineStr">
        <is>
          <t>36</t>
        </is>
      </c>
    </row>
    <row r="172" ht="24" customHeight="1">
      <c r="A172" s="29" t="inlineStr">
        <is>
          <t>OpenDART_fnlttSinglAcntAll</t>
        </is>
      </c>
      <c r="B172" s="29" t="inlineStr">
        <is>
          <t>01021666</t>
        </is>
      </c>
      <c r="C172" s="29" t="inlineStr">
        <is>
          <t>덕산테코피아</t>
        </is>
      </c>
      <c r="D172" s="29" t="inlineStr">
        <is>
          <t>duksan</t>
        </is>
      </c>
      <c r="E172" s="29" t="inlineStr">
        <is>
          <t>317330</t>
        </is>
      </c>
      <c r="F172" s="29" t="inlineStr">
        <is>
          <t>2022</t>
        </is>
      </c>
      <c r="G172" s="29" t="inlineStr">
        <is>
          <t>CFS</t>
        </is>
      </c>
      <c r="H172" s="29" t="inlineStr">
        <is>
          <t>BS</t>
        </is>
      </c>
      <c r="I172" s="29" t="inlineStr">
        <is>
          <t>재무상태표</t>
        </is>
      </c>
      <c r="J172" s="29" t="inlineStr">
        <is>
          <t>ifrs-full_NoncontrollingInterests</t>
        </is>
      </c>
      <c r="K172" s="29" t="inlineStr">
        <is>
          <t>비지배지분</t>
        </is>
      </c>
      <c r="L172" s="29" t="inlineStr">
        <is>
          <t>-</t>
        </is>
      </c>
      <c r="M172" s="29" t="inlineStr">
        <is>
          <t>제 17 기</t>
        </is>
      </c>
      <c r="N172" s="29" t="inlineStr">
        <is>
          <t>14897354380.0</t>
        </is>
      </c>
      <c r="O172" s="29" t="inlineStr">
        <is>
          <t>667724256.0</t>
        </is>
      </c>
      <c r="P172" s="29" t="inlineStr">
        <is>
          <t>KRW</t>
        </is>
      </c>
      <c r="Q172" s="29" t="inlineStr">
        <is>
          <t>37</t>
        </is>
      </c>
    </row>
    <row r="173" ht="24" customHeight="1">
      <c r="A173" s="24" t="inlineStr">
        <is>
          <t>OpenDART_fnlttSinglAcntAll</t>
        </is>
      </c>
      <c r="B173" s="24" t="inlineStr">
        <is>
          <t>01021666</t>
        </is>
      </c>
      <c r="C173" s="24" t="inlineStr">
        <is>
          <t>덕산테코피아</t>
        </is>
      </c>
      <c r="D173" s="24" t="inlineStr">
        <is>
          <t>duksan</t>
        </is>
      </c>
      <c r="E173" s="24" t="inlineStr">
        <is>
          <t>317330</t>
        </is>
      </c>
      <c r="F173" s="24" t="inlineStr">
        <is>
          <t>2022</t>
        </is>
      </c>
      <c r="G173" s="24" t="inlineStr">
        <is>
          <t>CFS</t>
        </is>
      </c>
      <c r="H173" s="24" t="inlineStr">
        <is>
          <t>BS</t>
        </is>
      </c>
      <c r="I173" s="24" t="inlineStr">
        <is>
          <t>재무상태표</t>
        </is>
      </c>
      <c r="J173" s="24" t="inlineStr">
        <is>
          <t>ifrs-full_Equity</t>
        </is>
      </c>
      <c r="K173" s="24" t="inlineStr">
        <is>
          <t>자본총계</t>
        </is>
      </c>
      <c r="L173" s="24" t="inlineStr">
        <is>
          <t>-</t>
        </is>
      </c>
      <c r="M173" s="24" t="inlineStr">
        <is>
          <t>제 17 기</t>
        </is>
      </c>
      <c r="N173" s="24" t="inlineStr">
        <is>
          <t>203286055415.0</t>
        </is>
      </c>
      <c r="O173" s="24" t="inlineStr">
        <is>
          <t>172986944898.0</t>
        </is>
      </c>
      <c r="P173" s="24" t="inlineStr">
        <is>
          <t>KRW</t>
        </is>
      </c>
      <c r="Q173" s="24" t="inlineStr">
        <is>
          <t>38</t>
        </is>
      </c>
    </row>
    <row r="174" ht="24" customHeight="1">
      <c r="A174" s="29" t="inlineStr">
        <is>
          <t>OpenDART_fnlttSinglAcntAll</t>
        </is>
      </c>
      <c r="B174" s="29" t="inlineStr">
        <is>
          <t>01021666</t>
        </is>
      </c>
      <c r="C174" s="29" t="inlineStr">
        <is>
          <t>덕산테코피아</t>
        </is>
      </c>
      <c r="D174" s="29" t="inlineStr">
        <is>
          <t>duksan</t>
        </is>
      </c>
      <c r="E174" s="29" t="inlineStr">
        <is>
          <t>317330</t>
        </is>
      </c>
      <c r="F174" s="29" t="inlineStr">
        <is>
          <t>2022</t>
        </is>
      </c>
      <c r="G174" s="29" t="inlineStr">
        <is>
          <t>CFS</t>
        </is>
      </c>
      <c r="H174" s="29" t="inlineStr">
        <is>
          <t>BS</t>
        </is>
      </c>
      <c r="I174" s="29" t="inlineStr">
        <is>
          <t>재무상태표</t>
        </is>
      </c>
      <c r="J174" s="29" t="inlineStr">
        <is>
          <t>ifrs-full_EquityAndLiabilities</t>
        </is>
      </c>
      <c r="K174" s="29" t="inlineStr">
        <is>
          <t>자본과부채총계</t>
        </is>
      </c>
      <c r="L174" s="29" t="inlineStr">
        <is>
          <t>-</t>
        </is>
      </c>
      <c r="M174" s="29" t="inlineStr">
        <is>
          <t>제 17 기</t>
        </is>
      </c>
      <c r="N174" s="29" t="inlineStr">
        <is>
          <t>298526727044.0</t>
        </is>
      </c>
      <c r="O174" s="29" t="inlineStr">
        <is>
          <t>244335928964.0</t>
        </is>
      </c>
      <c r="P174" s="29" t="inlineStr">
        <is>
          <t>KRW</t>
        </is>
      </c>
      <c r="Q174" s="29" t="inlineStr">
        <is>
          <t>39</t>
        </is>
      </c>
    </row>
    <row r="175" ht="24" customHeight="1">
      <c r="A175" s="24" t="inlineStr">
        <is>
          <t>OpenDART_fnlttSinglAcntAll</t>
        </is>
      </c>
      <c r="B175" s="24" t="inlineStr">
        <is>
          <t>01021666</t>
        </is>
      </c>
      <c r="C175" s="24" t="inlineStr">
        <is>
          <t>덕산테코피아</t>
        </is>
      </c>
      <c r="D175" s="24" t="inlineStr">
        <is>
          <t>duksan</t>
        </is>
      </c>
      <c r="E175" s="24" t="inlineStr">
        <is>
          <t>317330</t>
        </is>
      </c>
      <c r="F175" s="24" t="inlineStr">
        <is>
          <t>2022</t>
        </is>
      </c>
      <c r="G175" s="24" t="inlineStr">
        <is>
          <t>CFS</t>
        </is>
      </c>
      <c r="H175" s="24" t="inlineStr">
        <is>
          <t>CIS</t>
        </is>
      </c>
      <c r="I175" s="24" t="inlineStr">
        <is>
          <t>포괄손익계산서</t>
        </is>
      </c>
      <c r="J175" s="24" t="inlineStr">
        <is>
          <t>ifrs-full_Revenue</t>
        </is>
      </c>
      <c r="K175" s="24" t="inlineStr">
        <is>
          <t>매출액</t>
        </is>
      </c>
      <c r="L175" s="24" t="inlineStr">
        <is>
          <t>-</t>
        </is>
      </c>
      <c r="M175" s="24" t="inlineStr">
        <is>
          <t>제 17 기</t>
        </is>
      </c>
      <c r="N175" s="24" t="inlineStr">
        <is>
          <t>111005121065.0</t>
        </is>
      </c>
      <c r="O175" s="24" t="inlineStr">
        <is>
          <t>112383155917.0</t>
        </is>
      </c>
      <c r="P175" s="24" t="inlineStr">
        <is>
          <t>KRW</t>
        </is>
      </c>
      <c r="Q175" s="24" t="inlineStr">
        <is>
          <t>0</t>
        </is>
      </c>
    </row>
    <row r="176" ht="24" customHeight="1">
      <c r="A176" s="29" t="inlineStr">
        <is>
          <t>OpenDART_fnlttSinglAcntAll</t>
        </is>
      </c>
      <c r="B176" s="29" t="inlineStr">
        <is>
          <t>01021666</t>
        </is>
      </c>
      <c r="C176" s="29" t="inlineStr">
        <is>
          <t>덕산테코피아</t>
        </is>
      </c>
      <c r="D176" s="29" t="inlineStr">
        <is>
          <t>duksan</t>
        </is>
      </c>
      <c r="E176" s="29" t="inlineStr">
        <is>
          <t>317330</t>
        </is>
      </c>
      <c r="F176" s="29" t="inlineStr">
        <is>
          <t>2022</t>
        </is>
      </c>
      <c r="G176" s="29" t="inlineStr">
        <is>
          <t>CFS</t>
        </is>
      </c>
      <c r="H176" s="29" t="inlineStr">
        <is>
          <t>CIS</t>
        </is>
      </c>
      <c r="I176" s="29" t="inlineStr">
        <is>
          <t>포괄손익계산서</t>
        </is>
      </c>
      <c r="J176" s="29" t="inlineStr">
        <is>
          <t>ifrs-full_CostOfSales</t>
        </is>
      </c>
      <c r="K176" s="29" t="inlineStr">
        <is>
          <t>매출원가</t>
        </is>
      </c>
      <c r="L176" s="29" t="inlineStr">
        <is>
          <t>-</t>
        </is>
      </c>
      <c r="M176" s="29" t="inlineStr">
        <is>
          <t>제 17 기</t>
        </is>
      </c>
      <c r="N176" s="29" t="inlineStr">
        <is>
          <t>75979925094.0</t>
        </is>
      </c>
      <c r="O176" s="29" t="inlineStr">
        <is>
          <t>72355169140.0</t>
        </is>
      </c>
      <c r="P176" s="29" t="inlineStr">
        <is>
          <t>KRW</t>
        </is>
      </c>
      <c r="Q176" s="29" t="inlineStr">
        <is>
          <t>1</t>
        </is>
      </c>
    </row>
    <row r="177" ht="24" customHeight="1">
      <c r="A177" s="24" t="inlineStr">
        <is>
          <t>OpenDART_fnlttSinglAcntAll</t>
        </is>
      </c>
      <c r="B177" s="24" t="inlineStr">
        <is>
          <t>01021666</t>
        </is>
      </c>
      <c r="C177" s="24" t="inlineStr">
        <is>
          <t>덕산테코피아</t>
        </is>
      </c>
      <c r="D177" s="24" t="inlineStr">
        <is>
          <t>duksan</t>
        </is>
      </c>
      <c r="E177" s="24" t="inlineStr">
        <is>
          <t>317330</t>
        </is>
      </c>
      <c r="F177" s="24" t="inlineStr">
        <is>
          <t>2022</t>
        </is>
      </c>
      <c r="G177" s="24" t="inlineStr">
        <is>
          <t>CFS</t>
        </is>
      </c>
      <c r="H177" s="24" t="inlineStr">
        <is>
          <t>CIS</t>
        </is>
      </c>
      <c r="I177" s="24" t="inlineStr">
        <is>
          <t>포괄손익계산서</t>
        </is>
      </c>
      <c r="J177" s="24" t="inlineStr">
        <is>
          <t>ifrs-full_GrossProfit</t>
        </is>
      </c>
      <c r="K177" s="24" t="inlineStr">
        <is>
          <t>매출총이익</t>
        </is>
      </c>
      <c r="L177" s="24" t="inlineStr">
        <is>
          <t>-</t>
        </is>
      </c>
      <c r="M177" s="24" t="inlineStr">
        <is>
          <t>제 17 기</t>
        </is>
      </c>
      <c r="N177" s="24" t="inlineStr">
        <is>
          <t>35025195971.0</t>
        </is>
      </c>
      <c r="O177" s="24" t="inlineStr">
        <is>
          <t>40027986777.0</t>
        </is>
      </c>
      <c r="P177" s="24" t="inlineStr">
        <is>
          <t>KRW</t>
        </is>
      </c>
      <c r="Q177" s="24" t="inlineStr">
        <is>
          <t>2</t>
        </is>
      </c>
    </row>
    <row r="178" ht="24" customHeight="1">
      <c r="A178" s="29" t="inlineStr">
        <is>
          <t>OpenDART_fnlttSinglAcntAll</t>
        </is>
      </c>
      <c r="B178" s="29" t="inlineStr">
        <is>
          <t>01021666</t>
        </is>
      </c>
      <c r="C178" s="29" t="inlineStr">
        <is>
          <t>덕산테코피아</t>
        </is>
      </c>
      <c r="D178" s="29" t="inlineStr">
        <is>
          <t>duksan</t>
        </is>
      </c>
      <c r="E178" s="29" t="inlineStr">
        <is>
          <t>317330</t>
        </is>
      </c>
      <c r="F178" s="29" t="inlineStr">
        <is>
          <t>2022</t>
        </is>
      </c>
      <c r="G178" s="29" t="inlineStr">
        <is>
          <t>CFS</t>
        </is>
      </c>
      <c r="H178" s="29" t="inlineStr">
        <is>
          <t>CIS</t>
        </is>
      </c>
      <c r="I178" s="29" t="inlineStr">
        <is>
          <t>포괄손익계산서</t>
        </is>
      </c>
      <c r="J178" s="29" t="inlineStr">
        <is>
          <t>dart_TotalSellingGeneralAdministrativeExpenses</t>
        </is>
      </c>
      <c r="K178" s="29" t="inlineStr">
        <is>
          <t>판매비와관리비</t>
        </is>
      </c>
      <c r="L178" s="29" t="inlineStr">
        <is>
          <t>-</t>
        </is>
      </c>
      <c r="M178" s="29" t="inlineStr">
        <is>
          <t>제 17 기</t>
        </is>
      </c>
      <c r="N178" s="29" t="inlineStr">
        <is>
          <t>25764156085.0</t>
        </is>
      </c>
      <c r="O178" s="29" t="inlineStr">
        <is>
          <t>18047048028.0</t>
        </is>
      </c>
      <c r="P178" s="29" t="inlineStr">
        <is>
          <t>KRW</t>
        </is>
      </c>
      <c r="Q178" s="29" t="inlineStr">
        <is>
          <t>3</t>
        </is>
      </c>
    </row>
    <row r="179" ht="24" customHeight="1">
      <c r="A179" s="24" t="inlineStr">
        <is>
          <t>OpenDART_fnlttSinglAcntAll</t>
        </is>
      </c>
      <c r="B179" s="24" t="inlineStr">
        <is>
          <t>01021666</t>
        </is>
      </c>
      <c r="C179" s="24" t="inlineStr">
        <is>
          <t>덕산테코피아</t>
        </is>
      </c>
      <c r="D179" s="24" t="inlineStr">
        <is>
          <t>duksan</t>
        </is>
      </c>
      <c r="E179" s="24" t="inlineStr">
        <is>
          <t>317330</t>
        </is>
      </c>
      <c r="F179" s="24" t="inlineStr">
        <is>
          <t>2022</t>
        </is>
      </c>
      <c r="G179" s="24" t="inlineStr">
        <is>
          <t>CFS</t>
        </is>
      </c>
      <c r="H179" s="24" t="inlineStr">
        <is>
          <t>CIS</t>
        </is>
      </c>
      <c r="I179" s="24" t="inlineStr">
        <is>
          <t>포괄손익계산서</t>
        </is>
      </c>
      <c r="J179" s="24" t="inlineStr">
        <is>
          <t>dart_OperatingIncomeLoss</t>
        </is>
      </c>
      <c r="K179" s="24" t="inlineStr">
        <is>
          <t>영업이익</t>
        </is>
      </c>
      <c r="L179" s="24" t="inlineStr">
        <is>
          <t>-</t>
        </is>
      </c>
      <c r="M179" s="24" t="inlineStr">
        <is>
          <t>제 17 기</t>
        </is>
      </c>
      <c r="N179" s="24" t="inlineStr">
        <is>
          <t>9261039886.0</t>
        </is>
      </c>
      <c r="O179" s="24" t="inlineStr">
        <is>
          <t>21980938749.0</t>
        </is>
      </c>
      <c r="P179" s="24" t="inlineStr">
        <is>
          <t>KRW</t>
        </is>
      </c>
      <c r="Q179" s="24" t="inlineStr">
        <is>
          <t>4</t>
        </is>
      </c>
    </row>
    <row r="180" ht="24" customHeight="1">
      <c r="A180" s="29" t="inlineStr">
        <is>
          <t>OpenDART_fnlttSinglAcntAll</t>
        </is>
      </c>
      <c r="B180" s="29" t="inlineStr">
        <is>
          <t>01021666</t>
        </is>
      </c>
      <c r="C180" s="29" t="inlineStr">
        <is>
          <t>덕산테코피아</t>
        </is>
      </c>
      <c r="D180" s="29" t="inlineStr">
        <is>
          <t>duksan</t>
        </is>
      </c>
      <c r="E180" s="29" t="inlineStr">
        <is>
          <t>317330</t>
        </is>
      </c>
      <c r="F180" s="29" t="inlineStr">
        <is>
          <t>2022</t>
        </is>
      </c>
      <c r="G180" s="29" t="inlineStr">
        <is>
          <t>CFS</t>
        </is>
      </c>
      <c r="H180" s="29" t="inlineStr">
        <is>
          <t>CIS</t>
        </is>
      </c>
      <c r="I180" s="29" t="inlineStr">
        <is>
          <t>포괄손익계산서</t>
        </is>
      </c>
      <c r="J180" s="29" t="inlineStr">
        <is>
          <t>dart_OtherGains</t>
        </is>
      </c>
      <c r="K180" s="29" t="inlineStr">
        <is>
          <t>기타수익</t>
        </is>
      </c>
      <c r="L180" s="29" t="inlineStr">
        <is>
          <t>-</t>
        </is>
      </c>
      <c r="M180" s="29" t="inlineStr">
        <is>
          <t>제 17 기</t>
        </is>
      </c>
      <c r="N180" s="29" t="inlineStr">
        <is>
          <t>976951822.0</t>
        </is>
      </c>
      <c r="O180" s="29" t="inlineStr">
        <is>
          <t>266451905.0</t>
        </is>
      </c>
      <c r="P180" s="29" t="inlineStr">
        <is>
          <t>KRW</t>
        </is>
      </c>
      <c r="Q180" s="29" t="inlineStr">
        <is>
          <t>5</t>
        </is>
      </c>
    </row>
    <row r="181" ht="24" customHeight="1">
      <c r="A181" s="24" t="inlineStr">
        <is>
          <t>OpenDART_fnlttSinglAcntAll</t>
        </is>
      </c>
      <c r="B181" s="24" t="inlineStr">
        <is>
          <t>01021666</t>
        </is>
      </c>
      <c r="C181" s="24" t="inlineStr">
        <is>
          <t>덕산테코피아</t>
        </is>
      </c>
      <c r="D181" s="24" t="inlineStr">
        <is>
          <t>duksan</t>
        </is>
      </c>
      <c r="E181" s="24" t="inlineStr">
        <is>
          <t>317330</t>
        </is>
      </c>
      <c r="F181" s="24" t="inlineStr">
        <is>
          <t>2022</t>
        </is>
      </c>
      <c r="G181" s="24" t="inlineStr">
        <is>
          <t>CFS</t>
        </is>
      </c>
      <c r="H181" s="24" t="inlineStr">
        <is>
          <t>CIS</t>
        </is>
      </c>
      <c r="I181" s="24" t="inlineStr">
        <is>
          <t>포괄손익계산서</t>
        </is>
      </c>
      <c r="J181" s="24" t="inlineStr">
        <is>
          <t>dart_OtherLosses</t>
        </is>
      </c>
      <c r="K181" s="24" t="inlineStr">
        <is>
          <t>기타비용</t>
        </is>
      </c>
      <c r="L181" s="24" t="inlineStr">
        <is>
          <t>-</t>
        </is>
      </c>
      <c r="M181" s="24" t="inlineStr">
        <is>
          <t>제 17 기</t>
        </is>
      </c>
      <c r="N181" s="24" t="inlineStr">
        <is>
          <t>523407100.0</t>
        </is>
      </c>
      <c r="O181" s="24" t="inlineStr">
        <is>
          <t>1933082978.0</t>
        </is>
      </c>
      <c r="P181" s="24" t="inlineStr">
        <is>
          <t>KRW</t>
        </is>
      </c>
      <c r="Q181" s="24" t="inlineStr">
        <is>
          <t>6</t>
        </is>
      </c>
    </row>
    <row r="182" ht="24" customHeight="1">
      <c r="A182" s="29" t="inlineStr">
        <is>
          <t>OpenDART_fnlttSinglAcntAll</t>
        </is>
      </c>
      <c r="B182" s="29" t="inlineStr">
        <is>
          <t>01021666</t>
        </is>
      </c>
      <c r="C182" s="29" t="inlineStr">
        <is>
          <t>덕산테코피아</t>
        </is>
      </c>
      <c r="D182" s="29" t="inlineStr">
        <is>
          <t>duksan</t>
        </is>
      </c>
      <c r="E182" s="29" t="inlineStr">
        <is>
          <t>317330</t>
        </is>
      </c>
      <c r="F182" s="29" t="inlineStr">
        <is>
          <t>2022</t>
        </is>
      </c>
      <c r="G182" s="29" t="inlineStr">
        <is>
          <t>CFS</t>
        </is>
      </c>
      <c r="H182" s="29" t="inlineStr">
        <is>
          <t>CIS</t>
        </is>
      </c>
      <c r="I182" s="29" t="inlineStr">
        <is>
          <t>포괄손익계산서</t>
        </is>
      </c>
      <c r="J182" s="29" t="inlineStr">
        <is>
          <t>ifrs-full_FinanceIncome</t>
        </is>
      </c>
      <c r="K182" s="29" t="inlineStr">
        <is>
          <t>금융수익</t>
        </is>
      </c>
      <c r="L182" s="29" t="inlineStr">
        <is>
          <t>-</t>
        </is>
      </c>
      <c r="M182" s="29" t="inlineStr">
        <is>
          <t>제 17 기</t>
        </is>
      </c>
      <c r="N182" s="29" t="inlineStr">
        <is>
          <t>7284481074.0</t>
        </is>
      </c>
      <c r="O182" s="29" t="inlineStr">
        <is>
          <t>1461184812.0</t>
        </is>
      </c>
      <c r="P182" s="29" t="inlineStr">
        <is>
          <t>KRW</t>
        </is>
      </c>
      <c r="Q182" s="29" t="inlineStr">
        <is>
          <t>7</t>
        </is>
      </c>
    </row>
    <row r="183" ht="24" customHeight="1">
      <c r="A183" s="24" t="inlineStr">
        <is>
          <t>OpenDART_fnlttSinglAcntAll</t>
        </is>
      </c>
      <c r="B183" s="24" t="inlineStr">
        <is>
          <t>01021666</t>
        </is>
      </c>
      <c r="C183" s="24" t="inlineStr">
        <is>
          <t>덕산테코피아</t>
        </is>
      </c>
      <c r="D183" s="24" t="inlineStr">
        <is>
          <t>duksan</t>
        </is>
      </c>
      <c r="E183" s="24" t="inlineStr">
        <is>
          <t>317330</t>
        </is>
      </c>
      <c r="F183" s="24" t="inlineStr">
        <is>
          <t>2022</t>
        </is>
      </c>
      <c r="G183" s="24" t="inlineStr">
        <is>
          <t>CFS</t>
        </is>
      </c>
      <c r="H183" s="24" t="inlineStr">
        <is>
          <t>CIS</t>
        </is>
      </c>
      <c r="I183" s="24" t="inlineStr">
        <is>
          <t>포괄손익계산서</t>
        </is>
      </c>
      <c r="J183" s="24" t="inlineStr">
        <is>
          <t>ifrs-full_FinanceCosts</t>
        </is>
      </c>
      <c r="K183" s="24" t="inlineStr">
        <is>
          <t>금융비용</t>
        </is>
      </c>
      <c r="L183" s="24" t="inlineStr">
        <is>
          <t>-</t>
        </is>
      </c>
      <c r="M183" s="24" t="inlineStr">
        <is>
          <t>제 17 기</t>
        </is>
      </c>
      <c r="N183" s="24" t="inlineStr">
        <is>
          <t>4395682610.0</t>
        </is>
      </c>
      <c r="O183" s="24" t="inlineStr">
        <is>
          <t>2627953593.0</t>
        </is>
      </c>
      <c r="P183" s="24" t="inlineStr">
        <is>
          <t>KRW</t>
        </is>
      </c>
      <c r="Q183" s="24" t="inlineStr">
        <is>
          <t>8</t>
        </is>
      </c>
    </row>
    <row r="184" ht="24" customHeight="1">
      <c r="A184" s="29" t="inlineStr">
        <is>
          <t>OpenDART_fnlttSinglAcntAll</t>
        </is>
      </c>
      <c r="B184" s="29" t="inlineStr">
        <is>
          <t>01021666</t>
        </is>
      </c>
      <c r="C184" s="29" t="inlineStr">
        <is>
          <t>덕산테코피아</t>
        </is>
      </c>
      <c r="D184" s="29" t="inlineStr">
        <is>
          <t>duksan</t>
        </is>
      </c>
      <c r="E184" s="29" t="inlineStr">
        <is>
          <t>317330</t>
        </is>
      </c>
      <c r="F184" s="29" t="inlineStr">
        <is>
          <t>2022</t>
        </is>
      </c>
      <c r="G184" s="29" t="inlineStr">
        <is>
          <t>CFS</t>
        </is>
      </c>
      <c r="H184" s="29" t="inlineStr">
        <is>
          <t>CIS</t>
        </is>
      </c>
      <c r="I184" s="29" t="inlineStr">
        <is>
          <t>포괄손익계산서</t>
        </is>
      </c>
      <c r="J184" s="29" t="inlineStr">
        <is>
          <t>ifrs-full_ProfitLossBeforeTax</t>
        </is>
      </c>
      <c r="K184" s="29" t="inlineStr">
        <is>
          <t>법인세비용차감전순이익(손실)</t>
        </is>
      </c>
      <c r="L184" s="29" t="inlineStr">
        <is>
          <t>-</t>
        </is>
      </c>
      <c r="M184" s="29" t="inlineStr">
        <is>
          <t>제 17 기</t>
        </is>
      </c>
      <c r="N184" s="29" t="inlineStr">
        <is>
          <t>12603383072.0</t>
        </is>
      </c>
      <c r="O184" s="29" t="inlineStr">
        <is>
          <t>19147538895.0</t>
        </is>
      </c>
      <c r="P184" s="29" t="inlineStr">
        <is>
          <t>KRW</t>
        </is>
      </c>
      <c r="Q184" s="29" t="inlineStr">
        <is>
          <t>9</t>
        </is>
      </c>
    </row>
    <row r="185" ht="24" customHeight="1">
      <c r="A185" s="24" t="inlineStr">
        <is>
          <t>OpenDART_fnlttSinglAcntAll</t>
        </is>
      </c>
      <c r="B185" s="24" t="inlineStr">
        <is>
          <t>01021666</t>
        </is>
      </c>
      <c r="C185" s="24" t="inlineStr">
        <is>
          <t>덕산테코피아</t>
        </is>
      </c>
      <c r="D185" s="24" t="inlineStr">
        <is>
          <t>duksan</t>
        </is>
      </c>
      <c r="E185" s="24" t="inlineStr">
        <is>
          <t>317330</t>
        </is>
      </c>
      <c r="F185" s="24" t="inlineStr">
        <is>
          <t>2022</t>
        </is>
      </c>
      <c r="G185" s="24" t="inlineStr">
        <is>
          <t>CFS</t>
        </is>
      </c>
      <c r="H185" s="24" t="inlineStr">
        <is>
          <t>CIS</t>
        </is>
      </c>
      <c r="I185" s="24" t="inlineStr">
        <is>
          <t>포괄손익계산서</t>
        </is>
      </c>
      <c r="J185" s="24" t="inlineStr">
        <is>
          <t>ifrs-full_IncomeTaxExpenseContinuingOperations</t>
        </is>
      </c>
      <c r="K185" s="24" t="inlineStr">
        <is>
          <t>법인세비용</t>
        </is>
      </c>
      <c r="L185" s="24" t="inlineStr">
        <is>
          <t>-</t>
        </is>
      </c>
      <c r="M185" s="24" t="inlineStr">
        <is>
          <t>제 17 기</t>
        </is>
      </c>
      <c r="N185" s="24" t="inlineStr">
        <is>
          <t>-2446959907.0</t>
        </is>
      </c>
      <c r="O185" s="24" t="inlineStr">
        <is>
          <t>1768927915.0</t>
        </is>
      </c>
      <c r="P185" s="24" t="inlineStr">
        <is>
          <t>KRW</t>
        </is>
      </c>
      <c r="Q185" s="24" t="inlineStr">
        <is>
          <t>10</t>
        </is>
      </c>
    </row>
    <row r="186" ht="24" customHeight="1">
      <c r="A186" s="29" t="inlineStr">
        <is>
          <t>OpenDART_fnlttSinglAcntAll</t>
        </is>
      </c>
      <c r="B186" s="29" t="inlineStr">
        <is>
          <t>01021666</t>
        </is>
      </c>
      <c r="C186" s="29" t="inlineStr">
        <is>
          <t>덕산테코피아</t>
        </is>
      </c>
      <c r="D186" s="29" t="inlineStr">
        <is>
          <t>duksan</t>
        </is>
      </c>
      <c r="E186" s="29" t="inlineStr">
        <is>
          <t>317330</t>
        </is>
      </c>
      <c r="F186" s="29" t="inlineStr">
        <is>
          <t>2022</t>
        </is>
      </c>
      <c r="G186" s="29" t="inlineStr">
        <is>
          <t>CFS</t>
        </is>
      </c>
      <c r="H186" s="29" t="inlineStr">
        <is>
          <t>CIS</t>
        </is>
      </c>
      <c r="I186" s="29" t="inlineStr">
        <is>
          <t>포괄손익계산서</t>
        </is>
      </c>
      <c r="J186" s="29" t="inlineStr">
        <is>
          <t>ifrs-full_ProfitLoss</t>
        </is>
      </c>
      <c r="K186" s="29" t="inlineStr">
        <is>
          <t>당기순이익(손실)</t>
        </is>
      </c>
      <c r="L186" s="29" t="inlineStr">
        <is>
          <t>-</t>
        </is>
      </c>
      <c r="M186" s="29" t="inlineStr">
        <is>
          <t>제 17 기</t>
        </is>
      </c>
      <c r="N186" s="29" t="inlineStr">
        <is>
          <t>15050342979.0</t>
        </is>
      </c>
      <c r="O186" s="29" t="inlineStr">
        <is>
          <t>17378610980.0</t>
        </is>
      </c>
      <c r="P186" s="29" t="inlineStr">
        <is>
          <t>KRW</t>
        </is>
      </c>
      <c r="Q186" s="29" t="inlineStr">
        <is>
          <t>11</t>
        </is>
      </c>
    </row>
    <row r="187" ht="24" customHeight="1">
      <c r="A187" s="24" t="inlineStr">
        <is>
          <t>OpenDART_fnlttSinglAcntAll</t>
        </is>
      </c>
      <c r="B187" s="24" t="inlineStr">
        <is>
          <t>01021666</t>
        </is>
      </c>
      <c r="C187" s="24" t="inlineStr">
        <is>
          <t>덕산테코피아</t>
        </is>
      </c>
      <c r="D187" s="24" t="inlineStr">
        <is>
          <t>duksan</t>
        </is>
      </c>
      <c r="E187" s="24" t="inlineStr">
        <is>
          <t>317330</t>
        </is>
      </c>
      <c r="F187" s="24" t="inlineStr">
        <is>
          <t>2022</t>
        </is>
      </c>
      <c r="G187" s="24" t="inlineStr">
        <is>
          <t>CFS</t>
        </is>
      </c>
      <c r="H187" s="24" t="inlineStr">
        <is>
          <t>CIS</t>
        </is>
      </c>
      <c r="I187" s="24" t="inlineStr">
        <is>
          <t>포괄손익계산서</t>
        </is>
      </c>
      <c r="J187" s="24" t="inlineStr">
        <is>
          <t>ifrs-full_ProfitLossAttributableToOwnersOfParent</t>
        </is>
      </c>
      <c r="K187" s="24" t="inlineStr">
        <is>
          <t>지배기업 소유주지분</t>
        </is>
      </c>
      <c r="L187" s="24" t="inlineStr">
        <is>
          <t>-</t>
        </is>
      </c>
      <c r="M187" s="24" t="inlineStr">
        <is>
          <t>제 17 기</t>
        </is>
      </c>
      <c r="N187" s="24" t="inlineStr">
        <is>
          <t>16061828691.0</t>
        </is>
      </c>
      <c r="O187" s="24" t="inlineStr">
        <is>
          <t>17827002974.0</t>
        </is>
      </c>
      <c r="P187" s="24" t="inlineStr">
        <is>
          <t>KRW</t>
        </is>
      </c>
      <c r="Q187" s="24" t="inlineStr">
        <is>
          <t>13</t>
        </is>
      </c>
    </row>
    <row r="188" ht="24" customHeight="1">
      <c r="A188" s="29" t="inlineStr">
        <is>
          <t>OpenDART_fnlttSinglAcntAll</t>
        </is>
      </c>
      <c r="B188" s="29" t="inlineStr">
        <is>
          <t>01021666</t>
        </is>
      </c>
      <c r="C188" s="29" t="inlineStr">
        <is>
          <t>덕산테코피아</t>
        </is>
      </c>
      <c r="D188" s="29" t="inlineStr">
        <is>
          <t>duksan</t>
        </is>
      </c>
      <c r="E188" s="29" t="inlineStr">
        <is>
          <t>317330</t>
        </is>
      </c>
      <c r="F188" s="29" t="inlineStr">
        <is>
          <t>2022</t>
        </is>
      </c>
      <c r="G188" s="29" t="inlineStr">
        <is>
          <t>CFS</t>
        </is>
      </c>
      <c r="H188" s="29" t="inlineStr">
        <is>
          <t>CIS</t>
        </is>
      </c>
      <c r="I188" s="29" t="inlineStr">
        <is>
          <t>포괄손익계산서</t>
        </is>
      </c>
      <c r="J188" s="29" t="inlineStr">
        <is>
          <t>ifrs-full_ProfitLossAttributableToNoncontrollingInterests</t>
        </is>
      </c>
      <c r="K188" s="29" t="inlineStr">
        <is>
          <t>비지배지분</t>
        </is>
      </c>
      <c r="L188" s="29" t="inlineStr">
        <is>
          <t>-</t>
        </is>
      </c>
      <c r="M188" s="29" t="inlineStr">
        <is>
          <t>제 17 기</t>
        </is>
      </c>
      <c r="N188" s="29" t="inlineStr">
        <is>
          <t>-1011485712.0</t>
        </is>
      </c>
      <c r="O188" s="29" t="inlineStr">
        <is>
          <t>-448391994.0</t>
        </is>
      </c>
      <c r="P188" s="29" t="inlineStr">
        <is>
          <t>KRW</t>
        </is>
      </c>
      <c r="Q188" s="29" t="inlineStr">
        <is>
          <t>14</t>
        </is>
      </c>
    </row>
    <row r="189" ht="24" customHeight="1">
      <c r="A189" s="24" t="inlineStr">
        <is>
          <t>OpenDART_fnlttSinglAcntAll</t>
        </is>
      </c>
      <c r="B189" s="24" t="inlineStr">
        <is>
          <t>01021666</t>
        </is>
      </c>
      <c r="C189" s="24" t="inlineStr">
        <is>
          <t>덕산테코피아</t>
        </is>
      </c>
      <c r="D189" s="24" t="inlineStr">
        <is>
          <t>duksan</t>
        </is>
      </c>
      <c r="E189" s="24" t="inlineStr">
        <is>
          <t>317330</t>
        </is>
      </c>
      <c r="F189" s="24" t="inlineStr">
        <is>
          <t>2022</t>
        </is>
      </c>
      <c r="G189" s="24" t="inlineStr">
        <is>
          <t>CFS</t>
        </is>
      </c>
      <c r="H189" s="24" t="inlineStr">
        <is>
          <t>CIS</t>
        </is>
      </c>
      <c r="I189" s="24" t="inlineStr">
        <is>
          <t>포괄손익계산서</t>
        </is>
      </c>
      <c r="J189" s="24" t="inlineStr">
        <is>
          <t>ifrs-full_OtherComprehensiveIncome</t>
        </is>
      </c>
      <c r="K189" s="24" t="inlineStr">
        <is>
          <t>기타포괄손익</t>
        </is>
      </c>
      <c r="L189" s="24" t="inlineStr">
        <is>
          <t>-</t>
        </is>
      </c>
      <c r="M189" s="24" t="inlineStr">
        <is>
          <t>제 17 기</t>
        </is>
      </c>
      <c r="N189" s="24" t="inlineStr">
        <is>
          <t>650844272.0</t>
        </is>
      </c>
      <c r="O189" s="24" t="inlineStr">
        <is>
          <t>238702078.0</t>
        </is>
      </c>
      <c r="P189" s="24" t="inlineStr">
        <is>
          <t>KRW</t>
        </is>
      </c>
      <c r="Q189" s="24" t="inlineStr">
        <is>
          <t>15</t>
        </is>
      </c>
    </row>
    <row r="190" ht="24" customHeight="1">
      <c r="A190" s="29" t="inlineStr">
        <is>
          <t>OpenDART_fnlttSinglAcntAll</t>
        </is>
      </c>
      <c r="B190" s="29" t="inlineStr">
        <is>
          <t>01021666</t>
        </is>
      </c>
      <c r="C190" s="29" t="inlineStr">
        <is>
          <t>덕산테코피아</t>
        </is>
      </c>
      <c r="D190" s="29" t="inlineStr">
        <is>
          <t>duksan</t>
        </is>
      </c>
      <c r="E190" s="29" t="inlineStr">
        <is>
          <t>317330</t>
        </is>
      </c>
      <c r="F190" s="29" t="inlineStr">
        <is>
          <t>2022</t>
        </is>
      </c>
      <c r="G190" s="29" t="inlineStr">
        <is>
          <t>CFS</t>
        </is>
      </c>
      <c r="H190" s="29" t="inlineStr">
        <is>
          <t>CIS</t>
        </is>
      </c>
      <c r="I190" s="29" t="inlineStr">
        <is>
          <t>포괄손익계산서</t>
        </is>
      </c>
      <c r="J190" s="29" t="inlineStr">
        <is>
          <t>dart_OtherComprehensiveIncomeThatWillNotBeReclassifiedToProfitOrLossNetOfTax</t>
        </is>
      </c>
      <c r="K190" s="29" t="inlineStr">
        <is>
          <t>당기손익으로 재분류되지 않는항목 :</t>
        </is>
      </c>
      <c r="L190" s="29" t="inlineStr">
        <is>
          <t>-</t>
        </is>
      </c>
      <c r="M190" s="29" t="inlineStr">
        <is>
          <t>제 17 기</t>
        </is>
      </c>
      <c r="N190" s="29" t="inlineStr">
        <is>
          <t>650844272.0</t>
        </is>
      </c>
      <c r="O190" s="29" t="inlineStr">
        <is>
          <t>238702078.0</t>
        </is>
      </c>
      <c r="P190" s="29" t="inlineStr">
        <is>
          <t>KRW</t>
        </is>
      </c>
      <c r="Q190" s="29" t="inlineStr">
        <is>
          <t>16</t>
        </is>
      </c>
    </row>
    <row r="191" ht="24" customHeight="1">
      <c r="A191" s="24" t="inlineStr">
        <is>
          <t>OpenDART_fnlttSinglAcntAll</t>
        </is>
      </c>
      <c r="B191" s="24" t="inlineStr">
        <is>
          <t>01021666</t>
        </is>
      </c>
      <c r="C191" s="24" t="inlineStr">
        <is>
          <t>덕산테코피아</t>
        </is>
      </c>
      <c r="D191" s="24" t="inlineStr">
        <is>
          <t>duksan</t>
        </is>
      </c>
      <c r="E191" s="24" t="inlineStr">
        <is>
          <t>317330</t>
        </is>
      </c>
      <c r="F191" s="24" t="inlineStr">
        <is>
          <t>2022</t>
        </is>
      </c>
      <c r="G191" s="24" t="inlineStr">
        <is>
          <t>CFS</t>
        </is>
      </c>
      <c r="H191" s="24" t="inlineStr">
        <is>
          <t>CIS</t>
        </is>
      </c>
      <c r="I191" s="24" t="inlineStr">
        <is>
          <t>포괄손익계산서</t>
        </is>
      </c>
      <c r="J191" s="24" t="inlineStr">
        <is>
          <t>dart_OtherComprehensiveIncomeNetOfTaxGainsLossesOnRemeasurementsOfDefinedBenefitPlans</t>
        </is>
      </c>
      <c r="K191" s="24" t="inlineStr">
        <is>
          <t>순확정급여부의 재측정요소</t>
        </is>
      </c>
      <c r="L191" s="24" t="inlineStr">
        <is>
          <t>-</t>
        </is>
      </c>
      <c r="M191" s="24" t="inlineStr">
        <is>
          <t>제 17 기</t>
        </is>
      </c>
      <c r="N191" s="24" t="inlineStr">
        <is>
          <t>702980461.0</t>
        </is>
      </c>
      <c r="O191" s="24" t="inlineStr">
        <is>
          <t>238702078.0</t>
        </is>
      </c>
      <c r="P191" s="24" t="inlineStr">
        <is>
          <t>KRW</t>
        </is>
      </c>
      <c r="Q191" s="24" t="inlineStr">
        <is>
          <t>17</t>
        </is>
      </c>
    </row>
    <row r="192" ht="24" customHeight="1">
      <c r="A192" s="29" t="inlineStr">
        <is>
          <t>OpenDART_fnlttSinglAcntAll</t>
        </is>
      </c>
      <c r="B192" s="29" t="inlineStr">
        <is>
          <t>01021666</t>
        </is>
      </c>
      <c r="C192" s="29" t="inlineStr">
        <is>
          <t>덕산테코피아</t>
        </is>
      </c>
      <c r="D192" s="29" t="inlineStr">
        <is>
          <t>duksan</t>
        </is>
      </c>
      <c r="E192" s="29" t="inlineStr">
        <is>
          <t>317330</t>
        </is>
      </c>
      <c r="F192" s="29" t="inlineStr">
        <is>
          <t>2022</t>
        </is>
      </c>
      <c r="G192" s="29" t="inlineStr">
        <is>
          <t>CFS</t>
        </is>
      </c>
      <c r="H192" s="29" t="inlineStr">
        <is>
          <t>CIS</t>
        </is>
      </c>
      <c r="I192" s="29" t="inlineStr">
        <is>
          <t>포괄손익계산서</t>
        </is>
      </c>
      <c r="J192" s="29" t="inlineStr">
        <is>
          <t>-표준계정코드 미사용-</t>
        </is>
      </c>
      <c r="K192" s="29" t="inlineStr">
        <is>
          <t>해외사업환산손익</t>
        </is>
      </c>
      <c r="L192" s="29" t="inlineStr">
        <is>
          <t>-</t>
        </is>
      </c>
      <c r="M192" s="29" t="inlineStr">
        <is>
          <t>제 17 기</t>
        </is>
      </c>
      <c r="N192" s="29" t="inlineStr">
        <is>
          <t>-52136189.0</t>
        </is>
      </c>
      <c r="O192" s="29" t="inlineStr">
        <is>
          <t>해당 없음</t>
        </is>
      </c>
      <c r="P192" s="29" t="inlineStr">
        <is>
          <t>KRW</t>
        </is>
      </c>
      <c r="Q192" s="29" t="inlineStr">
        <is>
          <t>18</t>
        </is>
      </c>
    </row>
    <row r="193" ht="24" customHeight="1">
      <c r="A193" s="24" t="inlineStr">
        <is>
          <t>OpenDART_fnlttSinglAcntAll</t>
        </is>
      </c>
      <c r="B193" s="24" t="inlineStr">
        <is>
          <t>01021666</t>
        </is>
      </c>
      <c r="C193" s="24" t="inlineStr">
        <is>
          <t>덕산테코피아</t>
        </is>
      </c>
      <c r="D193" s="24" t="inlineStr">
        <is>
          <t>duksan</t>
        </is>
      </c>
      <c r="E193" s="24" t="inlineStr">
        <is>
          <t>317330</t>
        </is>
      </c>
      <c r="F193" s="24" t="inlineStr">
        <is>
          <t>2022</t>
        </is>
      </c>
      <c r="G193" s="24" t="inlineStr">
        <is>
          <t>CFS</t>
        </is>
      </c>
      <c r="H193" s="24" t="inlineStr">
        <is>
          <t>CIS</t>
        </is>
      </c>
      <c r="I193" s="24" t="inlineStr">
        <is>
          <t>포괄손익계산서</t>
        </is>
      </c>
      <c r="J193" s="24" t="inlineStr">
        <is>
          <t>ifrs-full_ComprehensiveIncome</t>
        </is>
      </c>
      <c r="K193" s="24" t="inlineStr">
        <is>
          <t>총포괄손익</t>
        </is>
      </c>
      <c r="L193" s="24" t="inlineStr">
        <is>
          <t>-</t>
        </is>
      </c>
      <c r="M193" s="24" t="inlineStr">
        <is>
          <t>제 17 기</t>
        </is>
      </c>
      <c r="N193" s="24" t="inlineStr">
        <is>
          <t>15701187251.0</t>
        </is>
      </c>
      <c r="O193" s="24" t="inlineStr">
        <is>
          <t>17617313058.0</t>
        </is>
      </c>
      <c r="P193" s="24" t="inlineStr">
        <is>
          <t>KRW</t>
        </is>
      </c>
      <c r="Q193" s="24" t="inlineStr">
        <is>
          <t>19</t>
        </is>
      </c>
    </row>
    <row r="194" ht="24" customHeight="1">
      <c r="A194" s="29" t="inlineStr">
        <is>
          <t>OpenDART_fnlttSinglAcntAll</t>
        </is>
      </c>
      <c r="B194" s="29" t="inlineStr">
        <is>
          <t>01021666</t>
        </is>
      </c>
      <c r="C194" s="29" t="inlineStr">
        <is>
          <t>덕산테코피아</t>
        </is>
      </c>
      <c r="D194" s="29" t="inlineStr">
        <is>
          <t>duksan</t>
        </is>
      </c>
      <c r="E194" s="29" t="inlineStr">
        <is>
          <t>317330</t>
        </is>
      </c>
      <c r="F194" s="29" t="inlineStr">
        <is>
          <t>2022</t>
        </is>
      </c>
      <c r="G194" s="29" t="inlineStr">
        <is>
          <t>CFS</t>
        </is>
      </c>
      <c r="H194" s="29" t="inlineStr">
        <is>
          <t>CIS</t>
        </is>
      </c>
      <c r="I194" s="29" t="inlineStr">
        <is>
          <t>포괄손익계산서</t>
        </is>
      </c>
      <c r="J194" s="29" t="inlineStr">
        <is>
          <t>ifrs-full_ComprehensiveIncomeAttributableToOwnersOfParent</t>
        </is>
      </c>
      <c r="K194" s="29" t="inlineStr">
        <is>
          <t>지배기업 소유주지분</t>
        </is>
      </c>
      <c r="L194" s="29" t="inlineStr">
        <is>
          <t>-</t>
        </is>
      </c>
      <c r="M194" s="29" t="inlineStr">
        <is>
          <t>제 17 기</t>
        </is>
      </c>
      <c r="N194" s="29" t="inlineStr">
        <is>
          <t>16726415777.0</t>
        </is>
      </c>
      <c r="O194" s="29" t="inlineStr">
        <is>
          <t>18038857409.0</t>
        </is>
      </c>
      <c r="P194" s="29" t="inlineStr">
        <is>
          <t>KRW</t>
        </is>
      </c>
      <c r="Q194" s="29" t="inlineStr">
        <is>
          <t>21</t>
        </is>
      </c>
    </row>
    <row r="195" ht="24" customHeight="1">
      <c r="A195" s="24" t="inlineStr">
        <is>
          <t>OpenDART_fnlttSinglAcntAll</t>
        </is>
      </c>
      <c r="B195" s="24" t="inlineStr">
        <is>
          <t>01021666</t>
        </is>
      </c>
      <c r="C195" s="24" t="inlineStr">
        <is>
          <t>덕산테코피아</t>
        </is>
      </c>
      <c r="D195" s="24" t="inlineStr">
        <is>
          <t>duksan</t>
        </is>
      </c>
      <c r="E195" s="24" t="inlineStr">
        <is>
          <t>317330</t>
        </is>
      </c>
      <c r="F195" s="24" t="inlineStr">
        <is>
          <t>2022</t>
        </is>
      </c>
      <c r="G195" s="24" t="inlineStr">
        <is>
          <t>CFS</t>
        </is>
      </c>
      <c r="H195" s="24" t="inlineStr">
        <is>
          <t>CIS</t>
        </is>
      </c>
      <c r="I195" s="24" t="inlineStr">
        <is>
          <t>포괄손익계산서</t>
        </is>
      </c>
      <c r="J195" s="24" t="inlineStr">
        <is>
          <t>ifrs-full_ComprehensiveIncomeAttributableToNoncontrollingInterests</t>
        </is>
      </c>
      <c r="K195" s="24" t="inlineStr">
        <is>
          <t>비지배지분</t>
        </is>
      </c>
      <c r="L195" s="24" t="inlineStr">
        <is>
          <t>-</t>
        </is>
      </c>
      <c r="M195" s="24" t="inlineStr">
        <is>
          <t>제 17 기</t>
        </is>
      </c>
      <c r="N195" s="24" t="inlineStr">
        <is>
          <t>-1025228526.0</t>
        </is>
      </c>
      <c r="O195" s="24" t="inlineStr">
        <is>
          <t>-421544351.0</t>
        </is>
      </c>
      <c r="P195" s="24" t="inlineStr">
        <is>
          <t>KRW</t>
        </is>
      </c>
      <c r="Q195" s="24" t="inlineStr">
        <is>
          <t>22</t>
        </is>
      </c>
    </row>
    <row r="196" ht="24" customHeight="1">
      <c r="A196" s="29" t="inlineStr">
        <is>
          <t>OpenDART_fnlttSinglAcntAll</t>
        </is>
      </c>
      <c r="B196" s="29" t="inlineStr">
        <is>
          <t>01021666</t>
        </is>
      </c>
      <c r="C196" s="29" t="inlineStr">
        <is>
          <t>덕산테코피아</t>
        </is>
      </c>
      <c r="D196" s="29" t="inlineStr">
        <is>
          <t>duksan</t>
        </is>
      </c>
      <c r="E196" s="29" t="inlineStr">
        <is>
          <t>317330</t>
        </is>
      </c>
      <c r="F196" s="29" t="inlineStr">
        <is>
          <t>2022</t>
        </is>
      </c>
      <c r="G196" s="29" t="inlineStr">
        <is>
          <t>CFS</t>
        </is>
      </c>
      <c r="H196" s="29" t="inlineStr">
        <is>
          <t>CIS</t>
        </is>
      </c>
      <c r="I196" s="29" t="inlineStr">
        <is>
          <t>포괄손익계산서</t>
        </is>
      </c>
      <c r="J196" s="29" t="inlineStr">
        <is>
          <t>ifrs-full_BasicEarningsLossPerShare</t>
        </is>
      </c>
      <c r="K196" s="29" t="inlineStr">
        <is>
          <t>기본주당이익(손실)</t>
        </is>
      </c>
      <c r="L196" s="29" t="inlineStr">
        <is>
          <t>-</t>
        </is>
      </c>
      <c r="M196" s="29" t="inlineStr">
        <is>
          <t>제 17 기</t>
        </is>
      </c>
      <c r="N196" s="29" t="inlineStr">
        <is>
          <t>885.0</t>
        </is>
      </c>
      <c r="O196" s="29" t="inlineStr">
        <is>
          <t>952.0</t>
        </is>
      </c>
      <c r="P196" s="29" t="inlineStr">
        <is>
          <t>KRW</t>
        </is>
      </c>
      <c r="Q196" s="29" t="inlineStr">
        <is>
          <t>24</t>
        </is>
      </c>
    </row>
    <row r="197" ht="24" customHeight="1">
      <c r="A197" s="24" t="inlineStr">
        <is>
          <t>OpenDART_fnlttSinglAcntAll</t>
        </is>
      </c>
      <c r="B197" s="24" t="inlineStr">
        <is>
          <t>01021666</t>
        </is>
      </c>
      <c r="C197" s="24" t="inlineStr">
        <is>
          <t>덕산테코피아</t>
        </is>
      </c>
      <c r="D197" s="24" t="inlineStr">
        <is>
          <t>duksan</t>
        </is>
      </c>
      <c r="E197" s="24" t="inlineStr">
        <is>
          <t>317330</t>
        </is>
      </c>
      <c r="F197" s="24" t="inlineStr">
        <is>
          <t>2022</t>
        </is>
      </c>
      <c r="G197" s="24" t="inlineStr">
        <is>
          <t>CFS</t>
        </is>
      </c>
      <c r="H197" s="24" t="inlineStr">
        <is>
          <t>CIS</t>
        </is>
      </c>
      <c r="I197" s="24" t="inlineStr">
        <is>
          <t>포괄손익계산서</t>
        </is>
      </c>
      <c r="J197" s="24" t="inlineStr">
        <is>
          <t>ifrs-full_DilutedEarningsLossPerShare</t>
        </is>
      </c>
      <c r="K197" s="24" t="inlineStr">
        <is>
          <t>희석주당이익(손실)</t>
        </is>
      </c>
      <c r="L197" s="24" t="inlineStr">
        <is>
          <t>-</t>
        </is>
      </c>
      <c r="M197" s="24" t="inlineStr">
        <is>
          <t>제 17 기</t>
        </is>
      </c>
      <c r="N197" s="24" t="inlineStr">
        <is>
          <t>885.0</t>
        </is>
      </c>
      <c r="O197" s="24" t="inlineStr">
        <is>
          <t>875.0</t>
        </is>
      </c>
      <c r="P197" s="24" t="inlineStr">
        <is>
          <t>KRW</t>
        </is>
      </c>
      <c r="Q197" s="24" t="inlineStr">
        <is>
          <t>25</t>
        </is>
      </c>
    </row>
    <row r="198" ht="24" customHeight="1">
      <c r="A198" s="29" t="inlineStr">
        <is>
          <t>OpenDART_fnlttSinglAcntAll</t>
        </is>
      </c>
      <c r="B198" s="29" t="inlineStr">
        <is>
          <t>01021666</t>
        </is>
      </c>
      <c r="C198" s="29" t="inlineStr">
        <is>
          <t>덕산테코피아</t>
        </is>
      </c>
      <c r="D198" s="29" t="inlineStr">
        <is>
          <t>duksan</t>
        </is>
      </c>
      <c r="E198" s="29" t="inlineStr">
        <is>
          <t>317330</t>
        </is>
      </c>
      <c r="F198" s="29" t="inlineStr">
        <is>
          <t>2022</t>
        </is>
      </c>
      <c r="G198" s="29" t="inlineStr">
        <is>
          <t>CFS</t>
        </is>
      </c>
      <c r="H198" s="29" t="inlineStr">
        <is>
          <t>CF</t>
        </is>
      </c>
      <c r="I198" s="29" t="inlineStr">
        <is>
          <t>현금흐름표</t>
        </is>
      </c>
      <c r="J198" s="29" t="inlineStr">
        <is>
          <t>ifrs-full_CashFlowsFromUsedInOperatingActivities</t>
        </is>
      </c>
      <c r="K198" s="29" t="inlineStr">
        <is>
          <t>Ⅰ.영업활동으로 인한 현금흐름</t>
        </is>
      </c>
      <c r="L198" s="29" t="inlineStr">
        <is>
          <t>-</t>
        </is>
      </c>
      <c r="M198" s="29" t="inlineStr">
        <is>
          <t>제 17 기</t>
        </is>
      </c>
      <c r="N198" s="29" t="inlineStr">
        <is>
          <t>12253509090.0</t>
        </is>
      </c>
      <c r="O198" s="29" t="inlineStr">
        <is>
          <t>21130762102.0</t>
        </is>
      </c>
      <c r="P198" s="29" t="inlineStr">
        <is>
          <t>KRW</t>
        </is>
      </c>
      <c r="Q198" s="29" t="inlineStr">
        <is>
          <t>0</t>
        </is>
      </c>
    </row>
    <row r="199" ht="24" customHeight="1">
      <c r="A199" s="24" t="inlineStr">
        <is>
          <t>OpenDART_fnlttSinglAcntAll</t>
        </is>
      </c>
      <c r="B199" s="24" t="inlineStr">
        <is>
          <t>01021666</t>
        </is>
      </c>
      <c r="C199" s="24" t="inlineStr">
        <is>
          <t>덕산테코피아</t>
        </is>
      </c>
      <c r="D199" s="24" t="inlineStr">
        <is>
          <t>duksan</t>
        </is>
      </c>
      <c r="E199" s="24" t="inlineStr">
        <is>
          <t>317330</t>
        </is>
      </c>
      <c r="F199" s="24" t="inlineStr">
        <is>
          <t>2022</t>
        </is>
      </c>
      <c r="G199" s="24" t="inlineStr">
        <is>
          <t>CFS</t>
        </is>
      </c>
      <c r="H199" s="24" t="inlineStr">
        <is>
          <t>CF</t>
        </is>
      </c>
      <c r="I199" s="24" t="inlineStr">
        <is>
          <t>현금흐름표</t>
        </is>
      </c>
      <c r="J199" s="24" t="inlineStr">
        <is>
          <t>dart_AdjustmentsForAssetsLiabilitiesOfOperatingActivities</t>
        </is>
      </c>
      <c r="K199" s="24" t="inlineStr">
        <is>
          <t>영업으로부터 창출된 현금흐름</t>
        </is>
      </c>
      <c r="L199" s="24" t="inlineStr">
        <is>
          <t>-</t>
        </is>
      </c>
      <c r="M199" s="24" t="inlineStr">
        <is>
          <t>제 17 기</t>
        </is>
      </c>
      <c r="N199" s="24" t="inlineStr">
        <is>
          <t>14487294686.0</t>
        </is>
      </c>
      <c r="O199" s="24" t="inlineStr">
        <is>
          <t>21280759925.0</t>
        </is>
      </c>
      <c r="P199" s="24" t="inlineStr">
        <is>
          <t>KRW</t>
        </is>
      </c>
      <c r="Q199" s="24" t="inlineStr">
        <is>
          <t>1</t>
        </is>
      </c>
    </row>
    <row r="200" ht="24" customHeight="1">
      <c r="A200" s="29" t="inlineStr">
        <is>
          <t>OpenDART_fnlttSinglAcntAll</t>
        </is>
      </c>
      <c r="B200" s="29" t="inlineStr">
        <is>
          <t>01021666</t>
        </is>
      </c>
      <c r="C200" s="29" t="inlineStr">
        <is>
          <t>덕산테코피아</t>
        </is>
      </c>
      <c r="D200" s="29" t="inlineStr">
        <is>
          <t>duksan</t>
        </is>
      </c>
      <c r="E200" s="29" t="inlineStr">
        <is>
          <t>317330</t>
        </is>
      </c>
      <c r="F200" s="29" t="inlineStr">
        <is>
          <t>2022</t>
        </is>
      </c>
      <c r="G200" s="29" t="inlineStr">
        <is>
          <t>CFS</t>
        </is>
      </c>
      <c r="H200" s="29" t="inlineStr">
        <is>
          <t>CF</t>
        </is>
      </c>
      <c r="I200" s="29" t="inlineStr">
        <is>
          <t>현금흐름표</t>
        </is>
      </c>
      <c r="J200" s="29" t="inlineStr">
        <is>
          <t>ifrs-full_InterestReceivedClassifiedAsOperatingActivities</t>
        </is>
      </c>
      <c r="K200" s="29" t="inlineStr">
        <is>
          <t>이자의 수취</t>
        </is>
      </c>
      <c r="L200" s="29" t="inlineStr">
        <is>
          <t>-</t>
        </is>
      </c>
      <c r="M200" s="29" t="inlineStr">
        <is>
          <t>제 17 기</t>
        </is>
      </c>
      <c r="N200" s="29" t="inlineStr">
        <is>
          <t>499880537.0</t>
        </is>
      </c>
      <c r="O200" s="29" t="inlineStr">
        <is>
          <t>1243077982.0</t>
        </is>
      </c>
      <c r="P200" s="29" t="inlineStr">
        <is>
          <t>KRW</t>
        </is>
      </c>
      <c r="Q200" s="29" t="inlineStr">
        <is>
          <t>2</t>
        </is>
      </c>
    </row>
    <row r="201" ht="24" customHeight="1">
      <c r="A201" s="24" t="inlineStr">
        <is>
          <t>OpenDART_fnlttSinglAcntAll</t>
        </is>
      </c>
      <c r="B201" s="24" t="inlineStr">
        <is>
          <t>01021666</t>
        </is>
      </c>
      <c r="C201" s="24" t="inlineStr">
        <is>
          <t>덕산테코피아</t>
        </is>
      </c>
      <c r="D201" s="24" t="inlineStr">
        <is>
          <t>duksan</t>
        </is>
      </c>
      <c r="E201" s="24" t="inlineStr">
        <is>
          <t>317330</t>
        </is>
      </c>
      <c r="F201" s="24" t="inlineStr">
        <is>
          <t>2022</t>
        </is>
      </c>
      <c r="G201" s="24" t="inlineStr">
        <is>
          <t>CFS</t>
        </is>
      </c>
      <c r="H201" s="24" t="inlineStr">
        <is>
          <t>CF</t>
        </is>
      </c>
      <c r="I201" s="24" t="inlineStr">
        <is>
          <t>현금흐름표</t>
        </is>
      </c>
      <c r="J201" s="24" t="inlineStr">
        <is>
          <t>ifrs-full_InterestPaidClassifiedAsOperatingActivities</t>
        </is>
      </c>
      <c r="K201" s="24" t="inlineStr">
        <is>
          <t>이자의 지급</t>
        </is>
      </c>
      <c r="L201" s="24" t="inlineStr">
        <is>
          <t>-</t>
        </is>
      </c>
      <c r="M201" s="24" t="inlineStr">
        <is>
          <t>제 17 기</t>
        </is>
      </c>
      <c r="N201" s="24" t="inlineStr">
        <is>
          <t>25177663.0</t>
        </is>
      </c>
      <c r="O201" s="24" t="inlineStr">
        <is>
          <t>32372295.0</t>
        </is>
      </c>
      <c r="P201" s="24" t="inlineStr">
        <is>
          <t>KRW</t>
        </is>
      </c>
      <c r="Q201" s="24" t="inlineStr">
        <is>
          <t>3</t>
        </is>
      </c>
    </row>
    <row r="202" ht="24" customHeight="1">
      <c r="A202" s="29" t="inlineStr">
        <is>
          <t>OpenDART_fnlttSinglAcntAll</t>
        </is>
      </c>
      <c r="B202" s="29" t="inlineStr">
        <is>
          <t>01021666</t>
        </is>
      </c>
      <c r="C202" s="29" t="inlineStr">
        <is>
          <t>덕산테코피아</t>
        </is>
      </c>
      <c r="D202" s="29" t="inlineStr">
        <is>
          <t>duksan</t>
        </is>
      </c>
      <c r="E202" s="29" t="inlineStr">
        <is>
          <t>317330</t>
        </is>
      </c>
      <c r="F202" s="29" t="inlineStr">
        <is>
          <t>2022</t>
        </is>
      </c>
      <c r="G202" s="29" t="inlineStr">
        <is>
          <t>CFS</t>
        </is>
      </c>
      <c r="H202" s="29" t="inlineStr">
        <is>
          <t>CF</t>
        </is>
      </c>
      <c r="I202" s="29" t="inlineStr">
        <is>
          <t>현금흐름표</t>
        </is>
      </c>
      <c r="J202" s="29" t="inlineStr">
        <is>
          <t>ifrs-full_IncomeTaxesPaidRefundClassifiedAsOperatingActivities</t>
        </is>
      </c>
      <c r="K202" s="29" t="inlineStr">
        <is>
          <t>법인세납부(환급)</t>
        </is>
      </c>
      <c r="L202" s="29" t="inlineStr">
        <is>
          <t>-</t>
        </is>
      </c>
      <c r="M202" s="29" t="inlineStr">
        <is>
          <t>제 17 기</t>
        </is>
      </c>
      <c r="N202" s="29" t="inlineStr">
        <is>
          <t>2708488470.0</t>
        </is>
      </c>
      <c r="O202" s="29" t="inlineStr">
        <is>
          <t>1360703510.0</t>
        </is>
      </c>
      <c r="P202" s="29" t="inlineStr">
        <is>
          <t>KRW</t>
        </is>
      </c>
      <c r="Q202" s="29" t="inlineStr">
        <is>
          <t>4</t>
        </is>
      </c>
    </row>
    <row r="203" ht="24" customHeight="1">
      <c r="A203" s="24" t="inlineStr">
        <is>
          <t>OpenDART_fnlttSinglAcntAll</t>
        </is>
      </c>
      <c r="B203" s="24" t="inlineStr">
        <is>
          <t>01021666</t>
        </is>
      </c>
      <c r="C203" s="24" t="inlineStr">
        <is>
          <t>덕산테코피아</t>
        </is>
      </c>
      <c r="D203" s="24" t="inlineStr">
        <is>
          <t>duksan</t>
        </is>
      </c>
      <c r="E203" s="24" t="inlineStr">
        <is>
          <t>317330</t>
        </is>
      </c>
      <c r="F203" s="24" t="inlineStr">
        <is>
          <t>2022</t>
        </is>
      </c>
      <c r="G203" s="24" t="inlineStr">
        <is>
          <t>CFS</t>
        </is>
      </c>
      <c r="H203" s="24" t="inlineStr">
        <is>
          <t>CF</t>
        </is>
      </c>
      <c r="I203" s="24" t="inlineStr">
        <is>
          <t>현금흐름표</t>
        </is>
      </c>
      <c r="J203" s="24" t="inlineStr">
        <is>
          <t>ifrs-full_CashFlowsFromUsedInInvestingActivities</t>
        </is>
      </c>
      <c r="K203" s="24" t="inlineStr">
        <is>
          <t>Ⅱ.투자활동으로 인한 현금흐름</t>
        </is>
      </c>
      <c r="L203" s="24" t="inlineStr">
        <is>
          <t>-</t>
        </is>
      </c>
      <c r="M203" s="24" t="inlineStr">
        <is>
          <t>제 17 기</t>
        </is>
      </c>
      <c r="N203" s="24" t="inlineStr">
        <is>
          <t>-50682557412.0</t>
        </is>
      </c>
      <c r="O203" s="24" t="inlineStr">
        <is>
          <t>-29567603948.0</t>
        </is>
      </c>
      <c r="P203" s="24" t="inlineStr">
        <is>
          <t>KRW</t>
        </is>
      </c>
      <c r="Q203" s="24" t="inlineStr">
        <is>
          <t>5</t>
        </is>
      </c>
    </row>
    <row r="204" ht="24" customHeight="1">
      <c r="A204" s="29" t="inlineStr">
        <is>
          <t>OpenDART_fnlttSinglAcntAll</t>
        </is>
      </c>
      <c r="B204" s="29" t="inlineStr">
        <is>
          <t>01021666</t>
        </is>
      </c>
      <c r="C204" s="29" t="inlineStr">
        <is>
          <t>덕산테코피아</t>
        </is>
      </c>
      <c r="D204" s="29" t="inlineStr">
        <is>
          <t>duksan</t>
        </is>
      </c>
      <c r="E204" s="29" t="inlineStr">
        <is>
          <t>317330</t>
        </is>
      </c>
      <c r="F204" s="29" t="inlineStr">
        <is>
          <t>2022</t>
        </is>
      </c>
      <c r="G204" s="29" t="inlineStr">
        <is>
          <t>CFS</t>
        </is>
      </c>
      <c r="H204" s="29" t="inlineStr">
        <is>
          <t>CF</t>
        </is>
      </c>
      <c r="I204" s="29" t="inlineStr">
        <is>
          <t>현금흐름표</t>
        </is>
      </c>
      <c r="J204" s="29" t="inlineStr">
        <is>
          <t>ifrs-full_PurchaseOfPropertyPlantAndEquipmentClassifiedAsInvestingActivities</t>
        </is>
      </c>
      <c r="K204" s="29" t="inlineStr">
        <is>
          <t>유형자산의 취득</t>
        </is>
      </c>
      <c r="L204" s="29" t="inlineStr">
        <is>
          <t>-</t>
        </is>
      </c>
      <c r="M204" s="29" t="inlineStr">
        <is>
          <t>제 17 기</t>
        </is>
      </c>
      <c r="N204" s="29" t="inlineStr">
        <is>
          <t>78591869798.0</t>
        </is>
      </c>
      <c r="O204" s="29" t="inlineStr">
        <is>
          <t>36566236104.0</t>
        </is>
      </c>
      <c r="P204" s="29" t="inlineStr">
        <is>
          <t>KRW</t>
        </is>
      </c>
      <c r="Q204" s="29" t="inlineStr">
        <is>
          <t>6</t>
        </is>
      </c>
    </row>
    <row r="205" ht="24" customHeight="1">
      <c r="A205" s="24" t="inlineStr">
        <is>
          <t>OpenDART_fnlttSinglAcntAll</t>
        </is>
      </c>
      <c r="B205" s="24" t="inlineStr">
        <is>
          <t>01021666</t>
        </is>
      </c>
      <c r="C205" s="24" t="inlineStr">
        <is>
          <t>덕산테코피아</t>
        </is>
      </c>
      <c r="D205" s="24" t="inlineStr">
        <is>
          <t>duksan</t>
        </is>
      </c>
      <c r="E205" s="24" t="inlineStr">
        <is>
          <t>317330</t>
        </is>
      </c>
      <c r="F205" s="24" t="inlineStr">
        <is>
          <t>2022</t>
        </is>
      </c>
      <c r="G205" s="24" t="inlineStr">
        <is>
          <t>CFS</t>
        </is>
      </c>
      <c r="H205" s="24" t="inlineStr">
        <is>
          <t>CF</t>
        </is>
      </c>
      <c r="I205" s="24" t="inlineStr">
        <is>
          <t>현금흐름표</t>
        </is>
      </c>
      <c r="J205" s="24" t="inlineStr">
        <is>
          <t>ifrs-full_PurchaseOfIntangibleAssetsClassifiedAsInvestingActivities</t>
        </is>
      </c>
      <c r="K205" s="24" t="inlineStr">
        <is>
          <t>무형자산의 취득</t>
        </is>
      </c>
      <c r="L205" s="24" t="inlineStr">
        <is>
          <t>-</t>
        </is>
      </c>
      <c r="M205" s="24" t="inlineStr">
        <is>
          <t>제 17 기</t>
        </is>
      </c>
      <c r="N205" s="24" t="inlineStr">
        <is>
          <t>88718697.0</t>
        </is>
      </c>
      <c r="O205" s="24" t="inlineStr">
        <is>
          <t>470589090.0</t>
        </is>
      </c>
      <c r="P205" s="24" t="inlineStr">
        <is>
          <t>KRW</t>
        </is>
      </c>
      <c r="Q205" s="24" t="inlineStr">
        <is>
          <t>7</t>
        </is>
      </c>
    </row>
    <row r="206" ht="24" customHeight="1">
      <c r="A206" s="29" t="inlineStr">
        <is>
          <t>OpenDART_fnlttSinglAcntAll</t>
        </is>
      </c>
      <c r="B206" s="29" t="inlineStr">
        <is>
          <t>01021666</t>
        </is>
      </c>
      <c r="C206" s="29" t="inlineStr">
        <is>
          <t>덕산테코피아</t>
        </is>
      </c>
      <c r="D206" s="29" t="inlineStr">
        <is>
          <t>duksan</t>
        </is>
      </c>
      <c r="E206" s="29" t="inlineStr">
        <is>
          <t>317330</t>
        </is>
      </c>
      <c r="F206" s="29" t="inlineStr">
        <is>
          <t>2022</t>
        </is>
      </c>
      <c r="G206" s="29" t="inlineStr">
        <is>
          <t>CFS</t>
        </is>
      </c>
      <c r="H206" s="29" t="inlineStr">
        <is>
          <t>CF</t>
        </is>
      </c>
      <c r="I206" s="29" t="inlineStr">
        <is>
          <t>현금흐름표</t>
        </is>
      </c>
      <c r="J206" s="29" t="inlineStr">
        <is>
          <t>dart_PurchaseOfShortTermFinancialInstruments</t>
        </is>
      </c>
      <c r="K206" s="29" t="inlineStr">
        <is>
          <t>단기금융상품의 증가</t>
        </is>
      </c>
      <c r="L206" s="29" t="inlineStr">
        <is>
          <t>-</t>
        </is>
      </c>
      <c r="M206" s="29" t="inlineStr">
        <is>
          <t>제 17 기</t>
        </is>
      </c>
      <c r="N206" s="29" t="inlineStr">
        <is>
          <t>1014327621.0</t>
        </is>
      </c>
      <c r="O206" s="29" t="inlineStr">
        <is>
          <t>23000000000.0</t>
        </is>
      </c>
      <c r="P206" s="29" t="inlineStr">
        <is>
          <t>KRW</t>
        </is>
      </c>
      <c r="Q206" s="29" t="inlineStr">
        <is>
          <t>8</t>
        </is>
      </c>
    </row>
    <row r="207" ht="24" customHeight="1">
      <c r="A207" s="24" t="inlineStr">
        <is>
          <t>OpenDART_fnlttSinglAcntAll</t>
        </is>
      </c>
      <c r="B207" s="24" t="inlineStr">
        <is>
          <t>01021666</t>
        </is>
      </c>
      <c r="C207" s="24" t="inlineStr">
        <is>
          <t>덕산테코피아</t>
        </is>
      </c>
      <c r="D207" s="24" t="inlineStr">
        <is>
          <t>duksan</t>
        </is>
      </c>
      <c r="E207" s="24" t="inlineStr">
        <is>
          <t>317330</t>
        </is>
      </c>
      <c r="F207" s="24" t="inlineStr">
        <is>
          <t>2022</t>
        </is>
      </c>
      <c r="G207" s="24" t="inlineStr">
        <is>
          <t>CFS</t>
        </is>
      </c>
      <c r="H207" s="24" t="inlineStr">
        <is>
          <t>CF</t>
        </is>
      </c>
      <c r="I207" s="24" t="inlineStr">
        <is>
          <t>현금흐름표</t>
        </is>
      </c>
      <c r="J207" s="24" t="inlineStr">
        <is>
          <t>dart_ProceedsFromSalesOfShortTermFinancialInstruments</t>
        </is>
      </c>
      <c r="K207" s="24" t="inlineStr">
        <is>
          <t>단기금융상품의 감소</t>
        </is>
      </c>
      <c r="L207" s="24" t="inlineStr">
        <is>
          <t>-</t>
        </is>
      </c>
      <c r="M207" s="24" t="inlineStr">
        <is>
          <t>제 17 기</t>
        </is>
      </c>
      <c r="N207" s="24" t="inlineStr">
        <is>
          <t>21014323271.0</t>
        </is>
      </c>
      <c r="O207" s="24" t="inlineStr">
        <is>
          <t>31999993000.0</t>
        </is>
      </c>
      <c r="P207" s="24" t="inlineStr">
        <is>
          <t>KRW</t>
        </is>
      </c>
      <c r="Q207" s="24" t="inlineStr">
        <is>
          <t>9</t>
        </is>
      </c>
    </row>
    <row r="208" ht="24" customHeight="1">
      <c r="A208" s="29" t="inlineStr">
        <is>
          <t>OpenDART_fnlttSinglAcntAll</t>
        </is>
      </c>
      <c r="B208" s="29" t="inlineStr">
        <is>
          <t>01021666</t>
        </is>
      </c>
      <c r="C208" s="29" t="inlineStr">
        <is>
          <t>덕산테코피아</t>
        </is>
      </c>
      <c r="D208" s="29" t="inlineStr">
        <is>
          <t>duksan</t>
        </is>
      </c>
      <c r="E208" s="29" t="inlineStr">
        <is>
          <t>317330</t>
        </is>
      </c>
      <c r="F208" s="29" t="inlineStr">
        <is>
          <t>2022</t>
        </is>
      </c>
      <c r="G208" s="29" t="inlineStr">
        <is>
          <t>CFS</t>
        </is>
      </c>
      <c r="H208" s="29" t="inlineStr">
        <is>
          <t>CF</t>
        </is>
      </c>
      <c r="I208" s="29" t="inlineStr">
        <is>
          <t>현금흐름표</t>
        </is>
      </c>
      <c r="J208" s="29" t="inlineStr">
        <is>
          <t>dart_DecreaseInGuaranteeDeposits</t>
        </is>
      </c>
      <c r="K208" s="29" t="inlineStr">
        <is>
          <t>임차보증금의 감소</t>
        </is>
      </c>
      <c r="L208" s="29" t="inlineStr">
        <is>
          <t>-</t>
        </is>
      </c>
      <c r="M208" s="29" t="inlineStr">
        <is>
          <t>제 17 기</t>
        </is>
      </c>
      <c r="N208" s="29" t="inlineStr">
        <is>
          <t>114500000.0</t>
        </is>
      </c>
      <c r="O208" s="29" t="inlineStr">
        <is>
          <t>해당 없음</t>
        </is>
      </c>
      <c r="P208" s="29" t="inlineStr">
        <is>
          <t>KRW</t>
        </is>
      </c>
      <c r="Q208" s="29" t="inlineStr">
        <is>
          <t>10</t>
        </is>
      </c>
    </row>
    <row r="209" ht="24" customHeight="1">
      <c r="A209" s="24" t="inlineStr">
        <is>
          <t>OpenDART_fnlttSinglAcntAll</t>
        </is>
      </c>
      <c r="B209" s="24" t="inlineStr">
        <is>
          <t>01021666</t>
        </is>
      </c>
      <c r="C209" s="24" t="inlineStr">
        <is>
          <t>덕산테코피아</t>
        </is>
      </c>
      <c r="D209" s="24" t="inlineStr">
        <is>
          <t>duksan</t>
        </is>
      </c>
      <c r="E209" s="24" t="inlineStr">
        <is>
          <t>317330</t>
        </is>
      </c>
      <c r="F209" s="24" t="inlineStr">
        <is>
          <t>2022</t>
        </is>
      </c>
      <c r="G209" s="24" t="inlineStr">
        <is>
          <t>CFS</t>
        </is>
      </c>
      <c r="H209" s="24" t="inlineStr">
        <is>
          <t>CF</t>
        </is>
      </c>
      <c r="I209" s="24" t="inlineStr">
        <is>
          <t>현금흐름표</t>
        </is>
      </c>
      <c r="J209" s="24" t="inlineStr">
        <is>
          <t>dart_IncreaseInGuaranteeDeposits</t>
        </is>
      </c>
      <c r="K209" s="24" t="inlineStr">
        <is>
          <t>임차보증금의 증가</t>
        </is>
      </c>
      <c r="L209" s="24" t="inlineStr">
        <is>
          <t>-</t>
        </is>
      </c>
      <c r="M209" s="24" t="inlineStr">
        <is>
          <t>제 17 기</t>
        </is>
      </c>
      <c r="N209" s="24" t="inlineStr">
        <is>
          <t>43000000.0</t>
        </is>
      </c>
      <c r="O209" s="24" t="inlineStr">
        <is>
          <t>171500000.0</t>
        </is>
      </c>
      <c r="P209" s="24" t="inlineStr">
        <is>
          <t>KRW</t>
        </is>
      </c>
      <c r="Q209" s="24" t="inlineStr">
        <is>
          <t>11</t>
        </is>
      </c>
    </row>
    <row r="210" ht="24" customHeight="1">
      <c r="A210" s="29" t="inlineStr">
        <is>
          <t>OpenDART_fnlttSinglAcntAll</t>
        </is>
      </c>
      <c r="B210" s="29" t="inlineStr">
        <is>
          <t>01021666</t>
        </is>
      </c>
      <c r="C210" s="29" t="inlineStr">
        <is>
          <t>덕산테코피아</t>
        </is>
      </c>
      <c r="D210" s="29" t="inlineStr">
        <is>
          <t>duksan</t>
        </is>
      </c>
      <c r="E210" s="29" t="inlineStr">
        <is>
          <t>317330</t>
        </is>
      </c>
      <c r="F210" s="29" t="inlineStr">
        <is>
          <t>2022</t>
        </is>
      </c>
      <c r="G210" s="29" t="inlineStr">
        <is>
          <t>CFS</t>
        </is>
      </c>
      <c r="H210" s="29" t="inlineStr">
        <is>
          <t>CF</t>
        </is>
      </c>
      <c r="I210" s="29" t="inlineStr">
        <is>
          <t>현금흐름표</t>
        </is>
      </c>
      <c r="J210" s="29" t="inlineStr">
        <is>
          <t>-표준계정코드 미사용-</t>
        </is>
      </c>
      <c r="K210" s="29" t="inlineStr">
        <is>
          <t>단기대여금의 증가</t>
        </is>
      </c>
      <c r="L210" s="29" t="inlineStr">
        <is>
          <t>-</t>
        </is>
      </c>
      <c r="M210" s="29" t="inlineStr">
        <is>
          <t>제 17 기</t>
        </is>
      </c>
      <c r="N210" s="29" t="inlineStr">
        <is>
          <t>130000000.0</t>
        </is>
      </c>
      <c r="O210" s="29" t="inlineStr">
        <is>
          <t>해당 없음</t>
        </is>
      </c>
      <c r="P210" s="29" t="inlineStr">
        <is>
          <t>KRW</t>
        </is>
      </c>
      <c r="Q210" s="29" t="inlineStr">
        <is>
          <t>12</t>
        </is>
      </c>
    </row>
    <row r="211" ht="24" customHeight="1">
      <c r="A211" s="24" t="inlineStr">
        <is>
          <t>OpenDART_fnlttSinglAcntAll</t>
        </is>
      </c>
      <c r="B211" s="24" t="inlineStr">
        <is>
          <t>01021666</t>
        </is>
      </c>
      <c r="C211" s="24" t="inlineStr">
        <is>
          <t>덕산테코피아</t>
        </is>
      </c>
      <c r="D211" s="24" t="inlineStr">
        <is>
          <t>duksan</t>
        </is>
      </c>
      <c r="E211" s="24" t="inlineStr">
        <is>
          <t>317330</t>
        </is>
      </c>
      <c r="F211" s="24" t="inlineStr">
        <is>
          <t>2022</t>
        </is>
      </c>
      <c r="G211" s="24" t="inlineStr">
        <is>
          <t>CFS</t>
        </is>
      </c>
      <c r="H211" s="24" t="inlineStr">
        <is>
          <t>CF</t>
        </is>
      </c>
      <c r="I211" s="24" t="inlineStr">
        <is>
          <t>현금흐름표</t>
        </is>
      </c>
      <c r="J211" s="24" t="inlineStr">
        <is>
          <t>dart_ProceedsFromSalesOfShortTermLoansAndReceivables</t>
        </is>
      </c>
      <c r="K211" s="24" t="inlineStr">
        <is>
          <t>단기대여금의 감소</t>
        </is>
      </c>
      <c r="L211" s="24" t="inlineStr">
        <is>
          <t>-</t>
        </is>
      </c>
      <c r="M211" s="24" t="inlineStr">
        <is>
          <t>제 17 기</t>
        </is>
      </c>
      <c r="N211" s="24" t="inlineStr">
        <is>
          <t>720932000.0</t>
        </is>
      </c>
      <c r="O211" s="24" t="inlineStr">
        <is>
          <t>444638000.0</t>
        </is>
      </c>
      <c r="P211" s="24" t="inlineStr">
        <is>
          <t>KRW</t>
        </is>
      </c>
      <c r="Q211" s="24" t="inlineStr">
        <is>
          <t>13</t>
        </is>
      </c>
    </row>
    <row r="212" ht="24" customHeight="1">
      <c r="A212" s="29" t="inlineStr">
        <is>
          <t>OpenDART_fnlttSinglAcntAll</t>
        </is>
      </c>
      <c r="B212" s="29" t="inlineStr">
        <is>
          <t>01021666</t>
        </is>
      </c>
      <c r="C212" s="29" t="inlineStr">
        <is>
          <t>덕산테코피아</t>
        </is>
      </c>
      <c r="D212" s="29" t="inlineStr">
        <is>
          <t>duksan</t>
        </is>
      </c>
      <c r="E212" s="29" t="inlineStr">
        <is>
          <t>317330</t>
        </is>
      </c>
      <c r="F212" s="29" t="inlineStr">
        <is>
          <t>2022</t>
        </is>
      </c>
      <c r="G212" s="29" t="inlineStr">
        <is>
          <t>CFS</t>
        </is>
      </c>
      <c r="H212" s="29" t="inlineStr">
        <is>
          <t>CF</t>
        </is>
      </c>
      <c r="I212" s="29" t="inlineStr">
        <is>
          <t>현금흐름표</t>
        </is>
      </c>
      <c r="J212" s="29" t="inlineStr">
        <is>
          <t>-표준계정코드 미사용-</t>
        </is>
      </c>
      <c r="K212" s="29" t="inlineStr">
        <is>
          <t>장기대여금의 증가</t>
        </is>
      </c>
      <c r="L212" s="29" t="inlineStr">
        <is>
          <t>-</t>
        </is>
      </c>
      <c r="M212" s="29" t="inlineStr">
        <is>
          <t>제 17 기</t>
        </is>
      </c>
      <c r="N212" s="29" t="inlineStr">
        <is>
          <t>-147940000.0</t>
        </is>
      </c>
      <c r="O212" s="29" t="inlineStr">
        <is>
          <t>해당 없음</t>
        </is>
      </c>
      <c r="P212" s="29" t="inlineStr">
        <is>
          <t>KRW</t>
        </is>
      </c>
      <c r="Q212" s="29" t="inlineStr">
        <is>
          <t>14</t>
        </is>
      </c>
    </row>
    <row r="213" ht="24" customHeight="1">
      <c r="A213" s="24" t="inlineStr">
        <is>
          <t>OpenDART_fnlttSinglAcntAll</t>
        </is>
      </c>
      <c r="B213" s="24" t="inlineStr">
        <is>
          <t>01021666</t>
        </is>
      </c>
      <c r="C213" s="24" t="inlineStr">
        <is>
          <t>덕산테코피아</t>
        </is>
      </c>
      <c r="D213" s="24" t="inlineStr">
        <is>
          <t>duksan</t>
        </is>
      </c>
      <c r="E213" s="24" t="inlineStr">
        <is>
          <t>317330</t>
        </is>
      </c>
      <c r="F213" s="24" t="inlineStr">
        <is>
          <t>2022</t>
        </is>
      </c>
      <c r="G213" s="24" t="inlineStr">
        <is>
          <t>CFS</t>
        </is>
      </c>
      <c r="H213" s="24" t="inlineStr">
        <is>
          <t>CF</t>
        </is>
      </c>
      <c r="I213" s="24" t="inlineStr">
        <is>
          <t>현금흐름표</t>
        </is>
      </c>
      <c r="J213" s="24" t="inlineStr">
        <is>
          <t>dart_PurchaseOfNonCurrentAvailableForSaleFinancialAssets</t>
        </is>
      </c>
      <c r="K213" s="24" t="inlineStr">
        <is>
          <t>당기손익-공정가치금융자산 증가</t>
        </is>
      </c>
      <c r="L213" s="24" t="inlineStr">
        <is>
          <t>-</t>
        </is>
      </c>
      <c r="M213" s="24" t="inlineStr">
        <is>
          <t>제 17 기</t>
        </is>
      </c>
      <c r="N213" s="24" t="inlineStr">
        <is>
          <t>400000000.0</t>
        </is>
      </c>
      <c r="O213" s="24" t="inlineStr">
        <is>
          <t>3300000000.0</t>
        </is>
      </c>
      <c r="P213" s="24" t="inlineStr">
        <is>
          <t>KRW</t>
        </is>
      </c>
      <c r="Q213" s="24" t="inlineStr">
        <is>
          <t>15</t>
        </is>
      </c>
    </row>
    <row r="214" ht="24" customHeight="1">
      <c r="A214" s="29" t="inlineStr">
        <is>
          <t>OpenDART_fnlttSinglAcntAll</t>
        </is>
      </c>
      <c r="B214" s="29" t="inlineStr">
        <is>
          <t>01021666</t>
        </is>
      </c>
      <c r="C214" s="29" t="inlineStr">
        <is>
          <t>덕산테코피아</t>
        </is>
      </c>
      <c r="D214" s="29" t="inlineStr">
        <is>
          <t>duksan</t>
        </is>
      </c>
      <c r="E214" s="29" t="inlineStr">
        <is>
          <t>317330</t>
        </is>
      </c>
      <c r="F214" s="29" t="inlineStr">
        <is>
          <t>2022</t>
        </is>
      </c>
      <c r="G214" s="29" t="inlineStr">
        <is>
          <t>CFS</t>
        </is>
      </c>
      <c r="H214" s="29" t="inlineStr">
        <is>
          <t>CF</t>
        </is>
      </c>
      <c r="I214" s="29" t="inlineStr">
        <is>
          <t>현금흐름표</t>
        </is>
      </c>
      <c r="J214" s="29" t="inlineStr">
        <is>
          <t>dart_ProceedsFromSalesOfFairValueFinancialAsset</t>
        </is>
      </c>
      <c r="K214" s="29" t="inlineStr">
        <is>
          <t>당기손익-공정가치금융자산 감소</t>
        </is>
      </c>
      <c r="L214" s="29" t="inlineStr">
        <is>
          <t>-</t>
        </is>
      </c>
      <c r="M214" s="29" t="inlineStr">
        <is>
          <t>제 17 기</t>
        </is>
      </c>
      <c r="N214" s="29" t="inlineStr">
        <is>
          <t>8219228085.0</t>
        </is>
      </c>
      <c r="O214" s="29" t="inlineStr">
        <is>
          <t>1483121235.0</t>
        </is>
      </c>
      <c r="P214" s="29" t="inlineStr">
        <is>
          <t>KRW</t>
        </is>
      </c>
      <c r="Q214" s="29" t="inlineStr">
        <is>
          <t>16</t>
        </is>
      </c>
    </row>
    <row r="215" ht="24" customHeight="1">
      <c r="A215" s="24" t="inlineStr">
        <is>
          <t>OpenDART_fnlttSinglAcntAll</t>
        </is>
      </c>
      <c r="B215" s="24" t="inlineStr">
        <is>
          <t>01021666</t>
        </is>
      </c>
      <c r="C215" s="24" t="inlineStr">
        <is>
          <t>덕산테코피아</t>
        </is>
      </c>
      <c r="D215" s="24" t="inlineStr">
        <is>
          <t>duksan</t>
        </is>
      </c>
      <c r="E215" s="24" t="inlineStr">
        <is>
          <t>317330</t>
        </is>
      </c>
      <c r="F215" s="24" t="inlineStr">
        <is>
          <t>2022</t>
        </is>
      </c>
      <c r="G215" s="24" t="inlineStr">
        <is>
          <t>CFS</t>
        </is>
      </c>
      <c r="H215" s="24" t="inlineStr">
        <is>
          <t>CF</t>
        </is>
      </c>
      <c r="I215" s="24" t="inlineStr">
        <is>
          <t>현금흐름표</t>
        </is>
      </c>
      <c r="J215" s="24" t="inlineStr">
        <is>
          <t>ifrs-full_ProceedsFromSalesOfPropertyPlantAndEquipmentClassifiedAsInvestingActivities</t>
        </is>
      </c>
      <c r="K215" s="24" t="inlineStr">
        <is>
          <t>유형자산의 처분</t>
        </is>
      </c>
      <c r="L215" s="24" t="inlineStr">
        <is>
          <t>-</t>
        </is>
      </c>
      <c r="M215" s="24" t="inlineStr">
        <is>
          <t>제 17 기</t>
        </is>
      </c>
      <c r="N215" s="24" t="inlineStr">
        <is>
          <t>950000.0</t>
        </is>
      </c>
      <c r="O215" s="24" t="inlineStr">
        <is>
          <t>해당 없음</t>
        </is>
      </c>
      <c r="P215" s="24" t="inlineStr">
        <is>
          <t>KRW</t>
        </is>
      </c>
      <c r="Q215" s="24" t="inlineStr">
        <is>
          <t>17</t>
        </is>
      </c>
    </row>
    <row r="216" ht="24" customHeight="1">
      <c r="A216" s="29" t="inlineStr">
        <is>
          <t>OpenDART_fnlttSinglAcntAll</t>
        </is>
      </c>
      <c r="B216" s="29" t="inlineStr">
        <is>
          <t>01021666</t>
        </is>
      </c>
      <c r="C216" s="29" t="inlineStr">
        <is>
          <t>덕산테코피아</t>
        </is>
      </c>
      <c r="D216" s="29" t="inlineStr">
        <is>
          <t>duksan</t>
        </is>
      </c>
      <c r="E216" s="29" t="inlineStr">
        <is>
          <t>317330</t>
        </is>
      </c>
      <c r="F216" s="29" t="inlineStr">
        <is>
          <t>2022</t>
        </is>
      </c>
      <c r="G216" s="29" t="inlineStr">
        <is>
          <t>CFS</t>
        </is>
      </c>
      <c r="H216" s="29" t="inlineStr">
        <is>
          <t>CF</t>
        </is>
      </c>
      <c r="I216" s="29" t="inlineStr">
        <is>
          <t>현금흐름표</t>
        </is>
      </c>
      <c r="J216" s="29" t="inlineStr">
        <is>
          <t>ifrs-full_CashFlowsUsedInObtainingControlOfSubsidiariesOrOtherBusinessesClassifiedAsInvestingActivities</t>
        </is>
      </c>
      <c r="K216" s="29" t="inlineStr">
        <is>
          <t>종속기업과 기타 사업의 지배력 획득에 따른 현금흐름</t>
        </is>
      </c>
      <c r="L216" s="29" t="inlineStr">
        <is>
          <t>-</t>
        </is>
      </c>
      <c r="M216" s="29" t="inlineStr">
        <is>
          <t>제 17 기</t>
        </is>
      </c>
      <c r="N216" s="29" t="inlineStr">
        <is>
          <t>6955464652.0</t>
        </is>
      </c>
      <c r="O216" s="29" t="inlineStr">
        <is>
          <t>해당 없음</t>
        </is>
      </c>
      <c r="P216" s="29" t="inlineStr">
        <is>
          <t>KRW</t>
        </is>
      </c>
      <c r="Q216" s="29" t="inlineStr">
        <is>
          <t>18</t>
        </is>
      </c>
    </row>
    <row r="217" ht="24" customHeight="1">
      <c r="A217" s="24" t="inlineStr">
        <is>
          <t>OpenDART_fnlttSinglAcntAll</t>
        </is>
      </c>
      <c r="B217" s="24" t="inlineStr">
        <is>
          <t>01021666</t>
        </is>
      </c>
      <c r="C217" s="24" t="inlineStr">
        <is>
          <t>덕산테코피아</t>
        </is>
      </c>
      <c r="D217" s="24" t="inlineStr">
        <is>
          <t>duksan</t>
        </is>
      </c>
      <c r="E217" s="24" t="inlineStr">
        <is>
          <t>317330</t>
        </is>
      </c>
      <c r="F217" s="24" t="inlineStr">
        <is>
          <t>2022</t>
        </is>
      </c>
      <c r="G217" s="24" t="inlineStr">
        <is>
          <t>CFS</t>
        </is>
      </c>
      <c r="H217" s="24" t="inlineStr">
        <is>
          <t>CF</t>
        </is>
      </c>
      <c r="I217" s="24" t="inlineStr">
        <is>
          <t>현금흐름표</t>
        </is>
      </c>
      <c r="J217" s="24" t="inlineStr">
        <is>
          <t>-표준계정코드 미사용-</t>
        </is>
      </c>
      <c r="K217" s="24" t="inlineStr">
        <is>
          <t>임대보증금의 감소</t>
        </is>
      </c>
      <c r="L217" s="24" t="inlineStr">
        <is>
          <t>-</t>
        </is>
      </c>
      <c r="M217" s="24" t="inlineStr">
        <is>
          <t>제 17 기</t>
        </is>
      </c>
      <c r="N217" s="24" t="inlineStr">
        <is>
          <t>해당 없음</t>
        </is>
      </c>
      <c r="O217" s="24" t="inlineStr">
        <is>
          <t>-49000000.0</t>
        </is>
      </c>
      <c r="P217" s="24" t="inlineStr">
        <is>
          <t>KRW</t>
        </is>
      </c>
      <c r="Q217" s="24" t="inlineStr">
        <is>
          <t>19</t>
        </is>
      </c>
    </row>
    <row r="218" ht="24" customHeight="1">
      <c r="A218" s="29" t="inlineStr">
        <is>
          <t>OpenDART_fnlttSinglAcntAll</t>
        </is>
      </c>
      <c r="B218" s="29" t="inlineStr">
        <is>
          <t>01021666</t>
        </is>
      </c>
      <c r="C218" s="29" t="inlineStr">
        <is>
          <t>덕산테코피아</t>
        </is>
      </c>
      <c r="D218" s="29" t="inlineStr">
        <is>
          <t>duksan</t>
        </is>
      </c>
      <c r="E218" s="29" t="inlineStr">
        <is>
          <t>317330</t>
        </is>
      </c>
      <c r="F218" s="29" t="inlineStr">
        <is>
          <t>2022</t>
        </is>
      </c>
      <c r="G218" s="29" t="inlineStr">
        <is>
          <t>CFS</t>
        </is>
      </c>
      <c r="H218" s="29" t="inlineStr">
        <is>
          <t>CF</t>
        </is>
      </c>
      <c r="I218" s="29" t="inlineStr">
        <is>
          <t>현금흐름표</t>
        </is>
      </c>
      <c r="J218" s="29" t="inlineStr">
        <is>
          <t>ifrs-full_ProceedsFromGovernmentGrantsClassifiedAsInvestingActivities</t>
        </is>
      </c>
      <c r="K218" s="29" t="inlineStr">
        <is>
          <t>정부보조금의 수취</t>
        </is>
      </c>
      <c r="L218" s="29" t="inlineStr">
        <is>
          <t>-</t>
        </is>
      </c>
      <c r="M218" s="29" t="inlineStr">
        <is>
          <t>제 17 기</t>
        </is>
      </c>
      <c r="N218" s="29" t="inlineStr">
        <is>
          <t>6617400000.0</t>
        </is>
      </c>
      <c r="O218" s="29" t="inlineStr">
        <is>
          <t>해당 없음</t>
        </is>
      </c>
      <c r="P218" s="29" t="inlineStr">
        <is>
          <t>KRW</t>
        </is>
      </c>
      <c r="Q218" s="29" t="inlineStr">
        <is>
          <t>21</t>
        </is>
      </c>
    </row>
    <row r="219" ht="24" customHeight="1">
      <c r="A219" s="24" t="inlineStr">
        <is>
          <t>OpenDART_fnlttSinglAcntAll</t>
        </is>
      </c>
      <c r="B219" s="24" t="inlineStr">
        <is>
          <t>01021666</t>
        </is>
      </c>
      <c r="C219" s="24" t="inlineStr">
        <is>
          <t>덕산테코피아</t>
        </is>
      </c>
      <c r="D219" s="24" t="inlineStr">
        <is>
          <t>duksan</t>
        </is>
      </c>
      <c r="E219" s="24" t="inlineStr">
        <is>
          <t>317330</t>
        </is>
      </c>
      <c r="F219" s="24" t="inlineStr">
        <is>
          <t>2022</t>
        </is>
      </c>
      <c r="G219" s="24" t="inlineStr">
        <is>
          <t>CFS</t>
        </is>
      </c>
      <c r="H219" s="24" t="inlineStr">
        <is>
          <t>CF</t>
        </is>
      </c>
      <c r="I219" s="24" t="inlineStr">
        <is>
          <t>현금흐름표</t>
        </is>
      </c>
      <c r="J219" s="24" t="inlineStr">
        <is>
          <t>ifrs-full_CashAdvancesAndLoansMadeToOtherPartiesClassifiedAsInvestingActivities</t>
        </is>
      </c>
      <c r="K219" s="24" t="inlineStr">
        <is>
          <t>선급금의 증가</t>
        </is>
      </c>
      <c r="L219" s="24" t="inlineStr">
        <is>
          <t>-</t>
        </is>
      </c>
      <c r="M219" s="24" t="inlineStr">
        <is>
          <t>제 17 기</t>
        </is>
      </c>
      <c r="N219" s="24" t="inlineStr">
        <is>
          <t>해당 없음</t>
        </is>
      </c>
      <c r="O219" s="24" t="inlineStr">
        <is>
          <t>36030989.0</t>
        </is>
      </c>
      <c r="P219" s="24" t="inlineStr">
        <is>
          <t>KRW</t>
        </is>
      </c>
      <c r="Q219" s="24" t="inlineStr">
        <is>
          <t>22</t>
        </is>
      </c>
    </row>
    <row r="220" ht="24" customHeight="1">
      <c r="A220" s="29" t="inlineStr">
        <is>
          <t>OpenDART_fnlttSinglAcntAll</t>
        </is>
      </c>
      <c r="B220" s="29" t="inlineStr">
        <is>
          <t>01021666</t>
        </is>
      </c>
      <c r="C220" s="29" t="inlineStr">
        <is>
          <t>덕산테코피아</t>
        </is>
      </c>
      <c r="D220" s="29" t="inlineStr">
        <is>
          <t>duksan</t>
        </is>
      </c>
      <c r="E220" s="29" t="inlineStr">
        <is>
          <t>317330</t>
        </is>
      </c>
      <c r="F220" s="29" t="inlineStr">
        <is>
          <t>2022</t>
        </is>
      </c>
      <c r="G220" s="29" t="inlineStr">
        <is>
          <t>CFS</t>
        </is>
      </c>
      <c r="H220" s="29" t="inlineStr">
        <is>
          <t>CF</t>
        </is>
      </c>
      <c r="I220" s="29" t="inlineStr">
        <is>
          <t>현금흐름표</t>
        </is>
      </c>
      <c r="J220" s="29" t="inlineStr">
        <is>
          <t>-표준계정코드 미사용-</t>
        </is>
      </c>
      <c r="K220" s="29" t="inlineStr">
        <is>
          <t>기타보증금의 증가</t>
        </is>
      </c>
      <c r="L220" s="29" t="inlineStr">
        <is>
          <t>-</t>
        </is>
      </c>
      <c r="M220" s="29" t="inlineStr">
        <is>
          <t>제 17 기</t>
        </is>
      </c>
      <c r="N220" s="29" t="inlineStr">
        <is>
          <t>1430000.0</t>
        </is>
      </c>
      <c r="O220" s="29" t="inlineStr">
        <is>
          <t>해당 없음</t>
        </is>
      </c>
      <c r="P220" s="29" t="inlineStr">
        <is>
          <t>KRW</t>
        </is>
      </c>
      <c r="Q220" s="29" t="inlineStr">
        <is>
          <t>23</t>
        </is>
      </c>
    </row>
    <row r="221" ht="24" customHeight="1">
      <c r="A221" s="24" t="inlineStr">
        <is>
          <t>OpenDART_fnlttSinglAcntAll</t>
        </is>
      </c>
      <c r="B221" s="24" t="inlineStr">
        <is>
          <t>01021666</t>
        </is>
      </c>
      <c r="C221" s="24" t="inlineStr">
        <is>
          <t>덕산테코피아</t>
        </is>
      </c>
      <c r="D221" s="24" t="inlineStr">
        <is>
          <t>duksan</t>
        </is>
      </c>
      <c r="E221" s="24" t="inlineStr">
        <is>
          <t>317330</t>
        </is>
      </c>
      <c r="F221" s="24" t="inlineStr">
        <is>
          <t>2022</t>
        </is>
      </c>
      <c r="G221" s="24" t="inlineStr">
        <is>
          <t>CFS</t>
        </is>
      </c>
      <c r="H221" s="24" t="inlineStr">
        <is>
          <t>CF</t>
        </is>
      </c>
      <c r="I221" s="24" t="inlineStr">
        <is>
          <t>현금흐름표</t>
        </is>
      </c>
      <c r="J221" s="24" t="inlineStr">
        <is>
          <t>ifrs-full_CashFlowsFromUsedInFinancingActivities</t>
        </is>
      </c>
      <c r="K221" s="24" t="inlineStr">
        <is>
          <t>Ⅲ. 재무활동현금흐름</t>
        </is>
      </c>
      <c r="L221" s="24" t="inlineStr">
        <is>
          <t>-</t>
        </is>
      </c>
      <c r="M221" s="24" t="inlineStr">
        <is>
          <t>제 17 기</t>
        </is>
      </c>
      <c r="N221" s="24" t="inlineStr">
        <is>
          <t>23565758073.0</t>
        </is>
      </c>
      <c r="O221" s="24" t="inlineStr">
        <is>
          <t>45474761561.0</t>
        </is>
      </c>
      <c r="P221" s="24" t="inlineStr">
        <is>
          <t>KRW</t>
        </is>
      </c>
      <c r="Q221" s="24" t="inlineStr">
        <is>
          <t>24</t>
        </is>
      </c>
    </row>
    <row r="222" ht="24" customHeight="1">
      <c r="A222" s="29" t="inlineStr">
        <is>
          <t>OpenDART_fnlttSinglAcntAll</t>
        </is>
      </c>
      <c r="B222" s="29" t="inlineStr">
        <is>
          <t>01021666</t>
        </is>
      </c>
      <c r="C222" s="29" t="inlineStr">
        <is>
          <t>덕산테코피아</t>
        </is>
      </c>
      <c r="D222" s="29" t="inlineStr">
        <is>
          <t>duksan</t>
        </is>
      </c>
      <c r="E222" s="29" t="inlineStr">
        <is>
          <t>317330</t>
        </is>
      </c>
      <c r="F222" s="29" t="inlineStr">
        <is>
          <t>2022</t>
        </is>
      </c>
      <c r="G222" s="29" t="inlineStr">
        <is>
          <t>CFS</t>
        </is>
      </c>
      <c r="H222" s="29" t="inlineStr">
        <is>
          <t>CF</t>
        </is>
      </c>
      <c r="I222" s="29" t="inlineStr">
        <is>
          <t>현금흐름표</t>
        </is>
      </c>
      <c r="J222" s="29" t="inlineStr">
        <is>
          <t>ifrs-full_RepaymentsOfBorrowingsClassifiedAsFinancingActivities</t>
        </is>
      </c>
      <c r="K222" s="29" t="inlineStr">
        <is>
          <t>유동성장기부채의 상환</t>
        </is>
      </c>
      <c r="L222" s="29" t="inlineStr">
        <is>
          <t>-</t>
        </is>
      </c>
      <c r="M222" s="29" t="inlineStr">
        <is>
          <t>제 17 기</t>
        </is>
      </c>
      <c r="N222" s="29" t="inlineStr">
        <is>
          <t>1180831000.0</t>
        </is>
      </c>
      <c r="O222" s="29" t="inlineStr">
        <is>
          <t>1183324000.0</t>
        </is>
      </c>
      <c r="P222" s="29" t="inlineStr">
        <is>
          <t>KRW</t>
        </is>
      </c>
      <c r="Q222" s="29" t="inlineStr">
        <is>
          <t>25</t>
        </is>
      </c>
    </row>
    <row r="223" ht="24" customHeight="1">
      <c r="A223" s="24" t="inlineStr">
        <is>
          <t>OpenDART_fnlttSinglAcntAll</t>
        </is>
      </c>
      <c r="B223" s="24" t="inlineStr">
        <is>
          <t>01021666</t>
        </is>
      </c>
      <c r="C223" s="24" t="inlineStr">
        <is>
          <t>덕산테코피아</t>
        </is>
      </c>
      <c r="D223" s="24" t="inlineStr">
        <is>
          <t>duksan</t>
        </is>
      </c>
      <c r="E223" s="24" t="inlineStr">
        <is>
          <t>317330</t>
        </is>
      </c>
      <c r="F223" s="24" t="inlineStr">
        <is>
          <t>2022</t>
        </is>
      </c>
      <c r="G223" s="24" t="inlineStr">
        <is>
          <t>CFS</t>
        </is>
      </c>
      <c r="H223" s="24" t="inlineStr">
        <is>
          <t>CF</t>
        </is>
      </c>
      <c r="I223" s="24" t="inlineStr">
        <is>
          <t>현금흐름표</t>
        </is>
      </c>
      <c r="J223" s="24" t="inlineStr">
        <is>
          <t>ifrs-full_PaymentsOfFinanceLeaseLiabilitiesClassifiedAsFinancingActivities</t>
        </is>
      </c>
      <c r="K223" s="24" t="inlineStr">
        <is>
          <t>리스부채의 감소</t>
        </is>
      </c>
      <c r="L223" s="24" t="inlineStr">
        <is>
          <t>-</t>
        </is>
      </c>
      <c r="M223" s="24" t="inlineStr">
        <is>
          <t>제 17 기</t>
        </is>
      </c>
      <c r="N223" s="24" t="inlineStr">
        <is>
          <t>273435877.0</t>
        </is>
      </c>
      <c r="O223" s="24" t="inlineStr">
        <is>
          <t>225002816.0</t>
        </is>
      </c>
      <c r="P223" s="24" t="inlineStr">
        <is>
          <t>KRW</t>
        </is>
      </c>
      <c r="Q223" s="24" t="inlineStr">
        <is>
          <t>26</t>
        </is>
      </c>
    </row>
    <row r="224" ht="24" customHeight="1">
      <c r="A224" s="29" t="inlineStr">
        <is>
          <t>OpenDART_fnlttSinglAcntAll</t>
        </is>
      </c>
      <c r="B224" s="29" t="inlineStr">
        <is>
          <t>01021666</t>
        </is>
      </c>
      <c r="C224" s="29" t="inlineStr">
        <is>
          <t>덕산테코피아</t>
        </is>
      </c>
      <c r="D224" s="29" t="inlineStr">
        <is>
          <t>duksan</t>
        </is>
      </c>
      <c r="E224" s="29" t="inlineStr">
        <is>
          <t>317330</t>
        </is>
      </c>
      <c r="F224" s="29" t="inlineStr">
        <is>
          <t>2022</t>
        </is>
      </c>
      <c r="G224" s="29" t="inlineStr">
        <is>
          <t>CFS</t>
        </is>
      </c>
      <c r="H224" s="29" t="inlineStr">
        <is>
          <t>CF</t>
        </is>
      </c>
      <c r="I224" s="29" t="inlineStr">
        <is>
          <t>현금흐름표</t>
        </is>
      </c>
      <c r="J224" s="29" t="inlineStr">
        <is>
          <t>ifrs-full_ProceedsFromIssuingShares</t>
        </is>
      </c>
      <c r="K224" s="29" t="inlineStr">
        <is>
          <t>유상증자</t>
        </is>
      </c>
      <c r="L224" s="29" t="inlineStr">
        <is>
          <t>-</t>
        </is>
      </c>
      <c r="M224" s="29" t="inlineStr">
        <is>
          <t>제 17 기</t>
        </is>
      </c>
      <c r="N224" s="29" t="inlineStr">
        <is>
          <t>해당 없음</t>
        </is>
      </c>
      <c r="O224" s="29" t="inlineStr">
        <is>
          <t>1151169754.0</t>
        </is>
      </c>
      <c r="P224" s="29" t="inlineStr">
        <is>
          <t>KRW</t>
        </is>
      </c>
      <c r="Q224" s="29" t="inlineStr">
        <is>
          <t>27</t>
        </is>
      </c>
    </row>
    <row r="225" ht="24" customHeight="1">
      <c r="A225" s="24" t="inlineStr">
        <is>
          <t>OpenDART_fnlttSinglAcntAll</t>
        </is>
      </c>
      <c r="B225" s="24" t="inlineStr">
        <is>
          <t>01021666</t>
        </is>
      </c>
      <c r="C225" s="24" t="inlineStr">
        <is>
          <t>덕산테코피아</t>
        </is>
      </c>
      <c r="D225" s="24" t="inlineStr">
        <is>
          <t>duksan</t>
        </is>
      </c>
      <c r="E225" s="24" t="inlineStr">
        <is>
          <t>317330</t>
        </is>
      </c>
      <c r="F225" s="24" t="inlineStr">
        <is>
          <t>2022</t>
        </is>
      </c>
      <c r="G225" s="24" t="inlineStr">
        <is>
          <t>CFS</t>
        </is>
      </c>
      <c r="H225" s="24" t="inlineStr">
        <is>
          <t>CF</t>
        </is>
      </c>
      <c r="I225" s="24" t="inlineStr">
        <is>
          <t>현금흐름표</t>
        </is>
      </c>
      <c r="J225" s="24" t="inlineStr">
        <is>
          <t>dart_ProceedsFromShortTermBorrowings</t>
        </is>
      </c>
      <c r="K225" s="24" t="inlineStr">
        <is>
          <t>단기차입금의 증가</t>
        </is>
      </c>
      <c r="L225" s="24" t="inlineStr">
        <is>
          <t>-</t>
        </is>
      </c>
      <c r="M225" s="24" t="inlineStr">
        <is>
          <t>제 17 기</t>
        </is>
      </c>
      <c r="N225" s="24" t="inlineStr">
        <is>
          <t>200000000.0</t>
        </is>
      </c>
      <c r="O225" s="24" t="inlineStr">
        <is>
          <t>해당 없음</t>
        </is>
      </c>
      <c r="P225" s="24" t="inlineStr">
        <is>
          <t>KRW</t>
        </is>
      </c>
      <c r="Q225" s="24" t="inlineStr">
        <is>
          <t>28</t>
        </is>
      </c>
    </row>
    <row r="226" ht="24" customHeight="1">
      <c r="A226" s="29" t="inlineStr">
        <is>
          <t>OpenDART_fnlttSinglAcntAll</t>
        </is>
      </c>
      <c r="B226" s="29" t="inlineStr">
        <is>
          <t>01021666</t>
        </is>
      </c>
      <c r="C226" s="29" t="inlineStr">
        <is>
          <t>덕산테코피아</t>
        </is>
      </c>
      <c r="D226" s="29" t="inlineStr">
        <is>
          <t>duksan</t>
        </is>
      </c>
      <c r="E226" s="29" t="inlineStr">
        <is>
          <t>317330</t>
        </is>
      </c>
      <c r="F226" s="29" t="inlineStr">
        <is>
          <t>2022</t>
        </is>
      </c>
      <c r="G226" s="29" t="inlineStr">
        <is>
          <t>CFS</t>
        </is>
      </c>
      <c r="H226" s="29" t="inlineStr">
        <is>
          <t>CF</t>
        </is>
      </c>
      <c r="I226" s="29" t="inlineStr">
        <is>
          <t>현금흐름표</t>
        </is>
      </c>
      <c r="J226" s="29" t="inlineStr">
        <is>
          <t>dart_RepaymentsOfShortTermBorrowings</t>
        </is>
      </c>
      <c r="K226" s="29" t="inlineStr">
        <is>
          <t>단기차입금의 상환</t>
        </is>
      </c>
      <c r="L226" s="29" t="inlineStr">
        <is>
          <t>-</t>
        </is>
      </c>
      <c r="M226" s="29" t="inlineStr">
        <is>
          <t>제 17 기</t>
        </is>
      </c>
      <c r="N226" s="29" t="inlineStr">
        <is>
          <t>100000000.0</t>
        </is>
      </c>
      <c r="O226" s="29" t="inlineStr">
        <is>
          <t>255000000.0</t>
        </is>
      </c>
      <c r="P226" s="29" t="inlineStr">
        <is>
          <t>KRW</t>
        </is>
      </c>
      <c r="Q226" s="29" t="inlineStr">
        <is>
          <t>29</t>
        </is>
      </c>
    </row>
    <row r="227" ht="24" customHeight="1">
      <c r="A227" s="24" t="inlineStr">
        <is>
          <t>OpenDART_fnlttSinglAcntAll</t>
        </is>
      </c>
      <c r="B227" s="24" t="inlineStr">
        <is>
          <t>01021666</t>
        </is>
      </c>
      <c r="C227" s="24" t="inlineStr">
        <is>
          <t>덕산테코피아</t>
        </is>
      </c>
      <c r="D227" s="24" t="inlineStr">
        <is>
          <t>duksan</t>
        </is>
      </c>
      <c r="E227" s="24" t="inlineStr">
        <is>
          <t>317330</t>
        </is>
      </c>
      <c r="F227" s="24" t="inlineStr">
        <is>
          <t>2022</t>
        </is>
      </c>
      <c r="G227" s="24" t="inlineStr">
        <is>
          <t>CFS</t>
        </is>
      </c>
      <c r="H227" s="24" t="inlineStr">
        <is>
          <t>CF</t>
        </is>
      </c>
      <c r="I227" s="24" t="inlineStr">
        <is>
          <t>현금흐름표</t>
        </is>
      </c>
      <c r="J227" s="24" t="inlineStr">
        <is>
          <t>dart_ProceedsFromLongTermBorrowings</t>
        </is>
      </c>
      <c r="K227" s="24" t="inlineStr">
        <is>
          <t>장기차입금의 증가</t>
        </is>
      </c>
      <c r="L227" s="24" t="inlineStr">
        <is>
          <t>-</t>
        </is>
      </c>
      <c r="M227" s="24" t="inlineStr">
        <is>
          <t>제 17 기</t>
        </is>
      </c>
      <c r="N227" s="24" t="inlineStr">
        <is>
          <t>25920000000.0</t>
        </is>
      </c>
      <c r="O227" s="24" t="inlineStr">
        <is>
          <t>해당 없음</t>
        </is>
      </c>
      <c r="P227" s="24" t="inlineStr">
        <is>
          <t>KRW</t>
        </is>
      </c>
      <c r="Q227" s="24" t="inlineStr">
        <is>
          <t>31</t>
        </is>
      </c>
    </row>
    <row r="228" ht="24" customHeight="1">
      <c r="A228" s="29" t="inlineStr">
        <is>
          <t>OpenDART_fnlttSinglAcntAll</t>
        </is>
      </c>
      <c r="B228" s="29" t="inlineStr">
        <is>
          <t>01021666</t>
        </is>
      </c>
      <c r="C228" s="29" t="inlineStr">
        <is>
          <t>덕산테코피아</t>
        </is>
      </c>
      <c r="D228" s="29" t="inlineStr">
        <is>
          <t>duksan</t>
        </is>
      </c>
      <c r="E228" s="29" t="inlineStr">
        <is>
          <t>317330</t>
        </is>
      </c>
      <c r="F228" s="29" t="inlineStr">
        <is>
          <t>2022</t>
        </is>
      </c>
      <c r="G228" s="29" t="inlineStr">
        <is>
          <t>CFS</t>
        </is>
      </c>
      <c r="H228" s="29" t="inlineStr">
        <is>
          <t>CF</t>
        </is>
      </c>
      <c r="I228" s="29" t="inlineStr">
        <is>
          <t>현금흐름표</t>
        </is>
      </c>
      <c r="J228" s="29" t="inlineStr">
        <is>
          <t>dart_RepaymentsOfLongTermBorrowings</t>
        </is>
      </c>
      <c r="K228" s="29" t="inlineStr">
        <is>
          <t>장기차입금의 상환</t>
        </is>
      </c>
      <c r="L228" s="29" t="inlineStr">
        <is>
          <t>-</t>
        </is>
      </c>
      <c r="M228" s="29" t="inlineStr">
        <is>
          <t>제 17 기</t>
        </is>
      </c>
      <c r="N228" s="29" t="inlineStr">
        <is>
          <t>해당 없음</t>
        </is>
      </c>
      <c r="O228" s="29" t="inlineStr">
        <is>
          <t>-49977528182.0</t>
        </is>
      </c>
      <c r="P228" s="29" t="inlineStr">
        <is>
          <t>KRW</t>
        </is>
      </c>
      <c r="Q228" s="29" t="inlineStr">
        <is>
          <t>32</t>
        </is>
      </c>
    </row>
    <row r="229" ht="24" customHeight="1">
      <c r="A229" s="24" t="inlineStr">
        <is>
          <t>OpenDART_fnlttSinglAcntAll</t>
        </is>
      </c>
      <c r="B229" s="24" t="inlineStr">
        <is>
          <t>01021666</t>
        </is>
      </c>
      <c r="C229" s="24" t="inlineStr">
        <is>
          <t>덕산테코피아</t>
        </is>
      </c>
      <c r="D229" s="24" t="inlineStr">
        <is>
          <t>duksan</t>
        </is>
      </c>
      <c r="E229" s="24" t="inlineStr">
        <is>
          <t>317330</t>
        </is>
      </c>
      <c r="F229" s="24" t="inlineStr">
        <is>
          <t>2022</t>
        </is>
      </c>
      <c r="G229" s="24" t="inlineStr">
        <is>
          <t>CFS</t>
        </is>
      </c>
      <c r="H229" s="24" t="inlineStr">
        <is>
          <t>CF</t>
        </is>
      </c>
      <c r="I229" s="24" t="inlineStr">
        <is>
          <t>현금흐름표</t>
        </is>
      </c>
      <c r="J229" s="24" t="inlineStr">
        <is>
          <t>dart_AcquisitionOfTreasuryShares</t>
        </is>
      </c>
      <c r="K229" s="24" t="inlineStr">
        <is>
          <t>자기주식의 취득</t>
        </is>
      </c>
      <c r="L229" s="24" t="inlineStr">
        <is>
          <t>-</t>
        </is>
      </c>
      <c r="M229" s="24" t="inlineStr">
        <is>
          <t>제 17 기</t>
        </is>
      </c>
      <c r="N229" s="24" t="inlineStr">
        <is>
          <t>999975050.0</t>
        </is>
      </c>
      <c r="O229" s="24" t="inlineStr">
        <is>
          <t>2999969600.0</t>
        </is>
      </c>
      <c r="P229" s="24" t="inlineStr">
        <is>
          <t>KRW</t>
        </is>
      </c>
      <c r="Q229" s="24" t="inlineStr">
        <is>
          <t>34</t>
        </is>
      </c>
    </row>
    <row r="230" ht="24" customHeight="1">
      <c r="A230" s="29" t="inlineStr">
        <is>
          <t>OpenDART_fnlttSinglAcntAll</t>
        </is>
      </c>
      <c r="B230" s="29" t="inlineStr">
        <is>
          <t>01021666</t>
        </is>
      </c>
      <c r="C230" s="29" t="inlineStr">
        <is>
          <t>덕산테코피아</t>
        </is>
      </c>
      <c r="D230" s="29" t="inlineStr">
        <is>
          <t>duksan</t>
        </is>
      </c>
      <c r="E230" s="29" t="inlineStr">
        <is>
          <t>317330</t>
        </is>
      </c>
      <c r="F230" s="29" t="inlineStr">
        <is>
          <t>2022</t>
        </is>
      </c>
      <c r="G230" s="29" t="inlineStr">
        <is>
          <t>CFS</t>
        </is>
      </c>
      <c r="H230" s="29" t="inlineStr">
        <is>
          <t>CF</t>
        </is>
      </c>
      <c r="I230" s="29" t="inlineStr">
        <is>
          <t>현금흐름표</t>
        </is>
      </c>
      <c r="J230" s="29" t="inlineStr">
        <is>
          <t>-표준계정코드 미사용-</t>
        </is>
      </c>
      <c r="K230" s="29" t="inlineStr">
        <is>
          <t>주식발행초과금</t>
        </is>
      </c>
      <c r="L230" s="29" t="inlineStr">
        <is>
          <t>-</t>
        </is>
      </c>
      <c r="M230" s="29" t="inlineStr">
        <is>
          <t>제 17 기</t>
        </is>
      </c>
      <c r="N230" s="29" t="inlineStr">
        <is>
          <t>해당 없음</t>
        </is>
      </c>
      <c r="O230" s="29" t="inlineStr">
        <is>
          <t>-1008139959.0</t>
        </is>
      </c>
      <c r="P230" s="29" t="inlineStr">
        <is>
          <t>KRW</t>
        </is>
      </c>
      <c r="Q230" s="29" t="inlineStr">
        <is>
          <t>35</t>
        </is>
      </c>
    </row>
    <row r="231" ht="24" customHeight="1">
      <c r="A231" s="24" t="inlineStr">
        <is>
          <t>OpenDART_fnlttSinglAcntAll</t>
        </is>
      </c>
      <c r="B231" s="24" t="inlineStr">
        <is>
          <t>01021666</t>
        </is>
      </c>
      <c r="C231" s="24" t="inlineStr">
        <is>
          <t>덕산테코피아</t>
        </is>
      </c>
      <c r="D231" s="24" t="inlineStr">
        <is>
          <t>duksan</t>
        </is>
      </c>
      <c r="E231" s="24" t="inlineStr">
        <is>
          <t>317330</t>
        </is>
      </c>
      <c r="F231" s="24" t="inlineStr">
        <is>
          <t>2022</t>
        </is>
      </c>
      <c r="G231" s="24" t="inlineStr">
        <is>
          <t>CFS</t>
        </is>
      </c>
      <c r="H231" s="24" t="inlineStr">
        <is>
          <t>CF</t>
        </is>
      </c>
      <c r="I231" s="24" t="inlineStr">
        <is>
          <t>현금흐름표</t>
        </is>
      </c>
      <c r="J231" s="24" t="inlineStr">
        <is>
          <t>dart_IncreaseInGuaranteeDepositsAsFinancialActivities</t>
        </is>
      </c>
      <c r="K231" s="24" t="inlineStr">
        <is>
          <t>임대보증금의 증가</t>
        </is>
      </c>
      <c r="L231" s="24" t="inlineStr">
        <is>
          <t>-</t>
        </is>
      </c>
      <c r="M231" s="24" t="inlineStr">
        <is>
          <t>제 17 기</t>
        </is>
      </c>
      <c r="N231" s="24" t="inlineStr">
        <is>
          <t>해당 없음</t>
        </is>
      </c>
      <c r="O231" s="24" t="inlineStr">
        <is>
          <t>17500000.0</t>
        </is>
      </c>
      <c r="P231" s="24" t="inlineStr">
        <is>
          <t>KRW</t>
        </is>
      </c>
      <c r="Q231" s="24" t="inlineStr">
        <is>
          <t>36</t>
        </is>
      </c>
    </row>
    <row r="232" ht="24" customHeight="1">
      <c r="A232" s="29" t="inlineStr">
        <is>
          <t>OpenDART_fnlttSinglAcntAll</t>
        </is>
      </c>
      <c r="B232" s="29" t="inlineStr">
        <is>
          <t>01021666</t>
        </is>
      </c>
      <c r="C232" s="29" t="inlineStr">
        <is>
          <t>덕산테코피아</t>
        </is>
      </c>
      <c r="D232" s="29" t="inlineStr">
        <is>
          <t>duksan</t>
        </is>
      </c>
      <c r="E232" s="29" t="inlineStr">
        <is>
          <t>317330</t>
        </is>
      </c>
      <c r="F232" s="29" t="inlineStr">
        <is>
          <t>2022</t>
        </is>
      </c>
      <c r="G232" s="29" t="inlineStr">
        <is>
          <t>CFS</t>
        </is>
      </c>
      <c r="H232" s="29" t="inlineStr">
        <is>
          <t>CF</t>
        </is>
      </c>
      <c r="I232" s="29" t="inlineStr">
        <is>
          <t>현금흐름표</t>
        </is>
      </c>
      <c r="J232" s="29" t="inlineStr">
        <is>
          <t>ifrs-full_EffectOfExchangeRateChangesOnCashAndCashEquivalents</t>
        </is>
      </c>
      <c r="K232" s="29" t="inlineStr">
        <is>
          <t>Ⅳ. 현금및현금성자산에 대한 환율변동효과</t>
        </is>
      </c>
      <c r="L232" s="29" t="inlineStr">
        <is>
          <t>-</t>
        </is>
      </c>
      <c r="M232" s="29" t="inlineStr">
        <is>
          <t>제 17 기</t>
        </is>
      </c>
      <c r="N232" s="29" t="inlineStr">
        <is>
          <t>-701968728.0</t>
        </is>
      </c>
      <c r="O232" s="29" t="inlineStr">
        <is>
          <t>7529126.0</t>
        </is>
      </c>
      <c r="P232" s="29" t="inlineStr">
        <is>
          <t>KRW</t>
        </is>
      </c>
      <c r="Q232" s="29" t="inlineStr">
        <is>
          <t>37</t>
        </is>
      </c>
    </row>
    <row r="233" ht="24" customHeight="1">
      <c r="A233" s="24" t="inlineStr">
        <is>
          <t>OpenDART_fnlttSinglAcntAll</t>
        </is>
      </c>
      <c r="B233" s="24" t="inlineStr">
        <is>
          <t>01021666</t>
        </is>
      </c>
      <c r="C233" s="24" t="inlineStr">
        <is>
          <t>덕산테코피아</t>
        </is>
      </c>
      <c r="D233" s="24" t="inlineStr">
        <is>
          <t>duksan</t>
        </is>
      </c>
      <c r="E233" s="24" t="inlineStr">
        <is>
          <t>317330</t>
        </is>
      </c>
      <c r="F233" s="24" t="inlineStr">
        <is>
          <t>2022</t>
        </is>
      </c>
      <c r="G233" s="24" t="inlineStr">
        <is>
          <t>CFS</t>
        </is>
      </c>
      <c r="H233" s="24" t="inlineStr">
        <is>
          <t>CF</t>
        </is>
      </c>
      <c r="I233" s="24" t="inlineStr">
        <is>
          <t>현금흐름표</t>
        </is>
      </c>
      <c r="J233" s="24" t="inlineStr">
        <is>
          <t>ifrs-full_IncreaseDecreaseInCashAndCashEquivalents</t>
        </is>
      </c>
      <c r="K233" s="24" t="inlineStr">
        <is>
          <t>Ⅴ. 현금및현금성자산의 순증가(Ⅰ+Ⅱ+Ⅲ)</t>
        </is>
      </c>
      <c r="L233" s="24" t="inlineStr">
        <is>
          <t>-</t>
        </is>
      </c>
      <c r="M233" s="24" t="inlineStr">
        <is>
          <t>제 17 기</t>
        </is>
      </c>
      <c r="N233" s="24" t="inlineStr">
        <is>
          <t>-15565258977.0</t>
        </is>
      </c>
      <c r="O233" s="24" t="inlineStr">
        <is>
          <t>37045448841.0</t>
        </is>
      </c>
      <c r="P233" s="24" t="inlineStr">
        <is>
          <t>KRW</t>
        </is>
      </c>
      <c r="Q233" s="24" t="inlineStr">
        <is>
          <t>38</t>
        </is>
      </c>
    </row>
    <row r="234" ht="24" customHeight="1">
      <c r="A234" s="29" t="inlineStr">
        <is>
          <t>OpenDART_fnlttSinglAcntAll</t>
        </is>
      </c>
      <c r="B234" s="29" t="inlineStr">
        <is>
          <t>01021666</t>
        </is>
      </c>
      <c r="C234" s="29" t="inlineStr">
        <is>
          <t>덕산테코피아</t>
        </is>
      </c>
      <c r="D234" s="29" t="inlineStr">
        <is>
          <t>duksan</t>
        </is>
      </c>
      <c r="E234" s="29" t="inlineStr">
        <is>
          <t>317330</t>
        </is>
      </c>
      <c r="F234" s="29" t="inlineStr">
        <is>
          <t>2022</t>
        </is>
      </c>
      <c r="G234" s="29" t="inlineStr">
        <is>
          <t>CFS</t>
        </is>
      </c>
      <c r="H234" s="29" t="inlineStr">
        <is>
          <t>CF</t>
        </is>
      </c>
      <c r="I234" s="29" t="inlineStr">
        <is>
          <t>현금흐름표</t>
        </is>
      </c>
      <c r="J234" s="29" t="inlineStr">
        <is>
          <t>dart_CashAndCashEquivalentsAtBeginningOfPeriodCf</t>
        </is>
      </c>
      <c r="K234" s="29" t="inlineStr">
        <is>
          <t>Ⅵ. 기초현금및현금성자산</t>
        </is>
      </c>
      <c r="L234" s="29" t="inlineStr">
        <is>
          <t>-</t>
        </is>
      </c>
      <c r="M234" s="29" t="inlineStr">
        <is>
          <t>제 17 기</t>
        </is>
      </c>
      <c r="N234" s="29" t="inlineStr">
        <is>
          <t>43329141816.0</t>
        </is>
      </c>
      <c r="O234" s="29" t="inlineStr">
        <is>
          <t>6283692975.0</t>
        </is>
      </c>
      <c r="P234" s="29" t="inlineStr">
        <is>
          <t>KRW</t>
        </is>
      </c>
      <c r="Q234" s="29" t="inlineStr">
        <is>
          <t>39</t>
        </is>
      </c>
    </row>
    <row r="235" ht="24" customHeight="1">
      <c r="A235" s="24" t="inlineStr">
        <is>
          <t>OpenDART_fnlttSinglAcntAll</t>
        </is>
      </c>
      <c r="B235" s="24" t="inlineStr">
        <is>
          <t>01021666</t>
        </is>
      </c>
      <c r="C235" s="24" t="inlineStr">
        <is>
          <t>덕산테코피아</t>
        </is>
      </c>
      <c r="D235" s="24" t="inlineStr">
        <is>
          <t>duksan</t>
        </is>
      </c>
      <c r="E235" s="24" t="inlineStr">
        <is>
          <t>317330</t>
        </is>
      </c>
      <c r="F235" s="24" t="inlineStr">
        <is>
          <t>2022</t>
        </is>
      </c>
      <c r="G235" s="24" t="inlineStr">
        <is>
          <t>CFS</t>
        </is>
      </c>
      <c r="H235" s="24" t="inlineStr">
        <is>
          <t>CF</t>
        </is>
      </c>
      <c r="I235" s="24" t="inlineStr">
        <is>
          <t>현금흐름표</t>
        </is>
      </c>
      <c r="J235" s="24" t="inlineStr">
        <is>
          <t>dart_CashAndCashEquivalentsAtEndOfPeriodCf</t>
        </is>
      </c>
      <c r="K235" s="24" t="inlineStr">
        <is>
          <t>Ⅶ. 기말현금및현금성자산</t>
        </is>
      </c>
      <c r="L235" s="24" t="inlineStr">
        <is>
          <t>-</t>
        </is>
      </c>
      <c r="M235" s="24" t="inlineStr">
        <is>
          <t>제 17 기</t>
        </is>
      </c>
      <c r="N235" s="24" t="inlineStr">
        <is>
          <t>27763882839.0</t>
        </is>
      </c>
      <c r="O235" s="24" t="inlineStr">
        <is>
          <t>43329141816.0</t>
        </is>
      </c>
      <c r="P235" s="24" t="inlineStr">
        <is>
          <t>KRW</t>
        </is>
      </c>
      <c r="Q235" s="24" t="inlineStr">
        <is>
          <t>40</t>
        </is>
      </c>
    </row>
    <row r="236" ht="24" customHeight="1">
      <c r="A236" s="29" t="inlineStr">
        <is>
          <t>OpenDART_fnlttSinglAcntAll</t>
        </is>
      </c>
      <c r="B236" s="29" t="inlineStr">
        <is>
          <t>01021666</t>
        </is>
      </c>
      <c r="C236" s="29" t="inlineStr">
        <is>
          <t>덕산테코피아</t>
        </is>
      </c>
      <c r="D236" s="29" t="inlineStr">
        <is>
          <t>duksan</t>
        </is>
      </c>
      <c r="E236" s="29" t="inlineStr">
        <is>
          <t>317330</t>
        </is>
      </c>
      <c r="F236" s="29" t="inlineStr">
        <is>
          <t>2022</t>
        </is>
      </c>
      <c r="G236" s="29" t="inlineStr">
        <is>
          <t>CFS</t>
        </is>
      </c>
      <c r="H236" s="29" t="inlineStr">
        <is>
          <t>SCE</t>
        </is>
      </c>
      <c r="I236" s="29" t="inlineStr">
        <is>
          <t>자본변동표</t>
        </is>
      </c>
      <c r="J236" s="29" t="inlineStr">
        <is>
          <t>dart_EquityAtBeginningOfPeriod</t>
        </is>
      </c>
      <c r="K236" s="29" t="inlineStr">
        <is>
          <t>기초자본</t>
        </is>
      </c>
      <c r="L236" s="29" t="inlineStr">
        <is>
          <t>자본 [member]|지배기업의 소유주에게 귀속되는 자본 [member]|자본잉여금 [member]</t>
        </is>
      </c>
      <c r="M236" s="29" t="inlineStr">
        <is>
          <t>제 17 기</t>
        </is>
      </c>
      <c r="N236" s="29" t="inlineStr">
        <is>
          <t>76341122976.0</t>
        </is>
      </c>
      <c r="O236" s="29" t="inlineStr">
        <is>
          <t>76508172779.0</t>
        </is>
      </c>
      <c r="P236" s="29" t="inlineStr">
        <is>
          <t>KRW</t>
        </is>
      </c>
      <c r="Q236" s="29" t="inlineStr">
        <is>
          <t>1</t>
        </is>
      </c>
    </row>
    <row r="237" ht="24" customHeight="1">
      <c r="A237" s="24" t="inlineStr">
        <is>
          <t>OpenDART_fnlttSinglAcntAll</t>
        </is>
      </c>
      <c r="B237" s="24" t="inlineStr">
        <is>
          <t>01021666</t>
        </is>
      </c>
      <c r="C237" s="24" t="inlineStr">
        <is>
          <t>덕산테코피아</t>
        </is>
      </c>
      <c r="D237" s="24" t="inlineStr">
        <is>
          <t>duksan</t>
        </is>
      </c>
      <c r="E237" s="24" t="inlineStr">
        <is>
          <t>317330</t>
        </is>
      </c>
      <c r="F237" s="24" t="inlineStr">
        <is>
          <t>2022</t>
        </is>
      </c>
      <c r="G237" s="24" t="inlineStr">
        <is>
          <t>CFS</t>
        </is>
      </c>
      <c r="H237" s="24" t="inlineStr">
        <is>
          <t>SCE</t>
        </is>
      </c>
      <c r="I237" s="24" t="inlineStr">
        <is>
          <t>자본변동표</t>
        </is>
      </c>
      <c r="J237" s="24" t="inlineStr">
        <is>
          <t>dart_EquityAtBeginningOfPeriod</t>
        </is>
      </c>
      <c r="K237" s="24" t="inlineStr">
        <is>
          <t>기초자본</t>
        </is>
      </c>
      <c r="L237" s="24" t="inlineStr">
        <is>
          <t>연결재무제표 [member]</t>
        </is>
      </c>
      <c r="M237" s="24" t="inlineStr">
        <is>
          <t>제 17 기</t>
        </is>
      </c>
      <c r="N237" s="24" t="inlineStr">
        <is>
          <t>172986944898.0</t>
        </is>
      </c>
      <c r="O237" s="24" t="inlineStr">
        <is>
          <t>158017665293.0</t>
        </is>
      </c>
      <c r="P237" s="24" t="inlineStr">
        <is>
          <t>KRW</t>
        </is>
      </c>
      <c r="Q237" s="24" t="inlineStr">
        <is>
          <t>1</t>
        </is>
      </c>
    </row>
    <row r="238" ht="24" customHeight="1">
      <c r="A238" s="29" t="inlineStr">
        <is>
          <t>OpenDART_fnlttSinglAcntAll</t>
        </is>
      </c>
      <c r="B238" s="29" t="inlineStr">
        <is>
          <t>01021666</t>
        </is>
      </c>
      <c r="C238" s="29" t="inlineStr">
        <is>
          <t>덕산테코피아</t>
        </is>
      </c>
      <c r="D238" s="29" t="inlineStr">
        <is>
          <t>duksan</t>
        </is>
      </c>
      <c r="E238" s="29" t="inlineStr">
        <is>
          <t>317330</t>
        </is>
      </c>
      <c r="F238" s="29" t="inlineStr">
        <is>
          <t>2022</t>
        </is>
      </c>
      <c r="G238" s="29" t="inlineStr">
        <is>
          <t>CFS</t>
        </is>
      </c>
      <c r="H238" s="29" t="inlineStr">
        <is>
          <t>SCE</t>
        </is>
      </c>
      <c r="I238" s="29" t="inlineStr">
        <is>
          <t>자본변동표</t>
        </is>
      </c>
      <c r="J238" s="29" t="inlineStr">
        <is>
          <t>dart_EquityAtBeginningOfPeriod</t>
        </is>
      </c>
      <c r="K238" s="29" t="inlineStr">
        <is>
          <t>기초자본</t>
        </is>
      </c>
      <c r="L238" s="29" t="inlineStr">
        <is>
          <t>자본 [member]|비지배지분 [member]</t>
        </is>
      </c>
      <c r="M238" s="29" t="inlineStr">
        <is>
          <t>제 17 기</t>
        </is>
      </c>
      <c r="N238" s="29" t="inlineStr">
        <is>
          <t>667724256.0</t>
        </is>
      </c>
      <c r="O238" s="29" t="inlineStr">
        <is>
          <t>779189009.0</t>
        </is>
      </c>
      <c r="P238" s="29" t="inlineStr">
        <is>
          <t>KRW</t>
        </is>
      </c>
      <c r="Q238" s="29" t="inlineStr">
        <is>
          <t>1</t>
        </is>
      </c>
    </row>
    <row r="239" ht="24" customHeight="1">
      <c r="A239" s="24" t="inlineStr">
        <is>
          <t>OpenDART_fnlttSinglAcntAll</t>
        </is>
      </c>
      <c r="B239" s="24" t="inlineStr">
        <is>
          <t>01021666</t>
        </is>
      </c>
      <c r="C239" s="24" t="inlineStr">
        <is>
          <t>덕산테코피아</t>
        </is>
      </c>
      <c r="D239" s="24" t="inlineStr">
        <is>
          <t>duksan</t>
        </is>
      </c>
      <c r="E239" s="24" t="inlineStr">
        <is>
          <t>317330</t>
        </is>
      </c>
      <c r="F239" s="24" t="inlineStr">
        <is>
          <t>2022</t>
        </is>
      </c>
      <c r="G239" s="24" t="inlineStr">
        <is>
          <t>CFS</t>
        </is>
      </c>
      <c r="H239" s="24" t="inlineStr">
        <is>
          <t>SCE</t>
        </is>
      </c>
      <c r="I239" s="24" t="inlineStr">
        <is>
          <t>자본변동표</t>
        </is>
      </c>
      <c r="J239" s="24" t="inlineStr">
        <is>
          <t>dart_EquityAtBeginningOfPeriod</t>
        </is>
      </c>
      <c r="K239" s="24" t="inlineStr">
        <is>
          <t>기초자본</t>
        </is>
      </c>
      <c r="L239" s="24" t="inlineStr">
        <is>
          <t>자본 [member]|지배기업의 소유주에게 귀속되는 자본 [member]</t>
        </is>
      </c>
      <c r="M239" s="24" t="inlineStr">
        <is>
          <t>제 17 기</t>
        </is>
      </c>
      <c r="N239" s="24" t="inlineStr">
        <is>
          <t>172319220642.0</t>
        </is>
      </c>
      <c r="O239" s="24" t="inlineStr">
        <is>
          <t>157238476284.0</t>
        </is>
      </c>
      <c r="P239" s="24" t="inlineStr">
        <is>
          <t>KRW</t>
        </is>
      </c>
      <c r="Q239" s="24" t="inlineStr">
        <is>
          <t>1</t>
        </is>
      </c>
    </row>
    <row r="240" ht="24" customHeight="1">
      <c r="A240" s="29" t="inlineStr">
        <is>
          <t>OpenDART_fnlttSinglAcntAll</t>
        </is>
      </c>
      <c r="B240" s="29" t="inlineStr">
        <is>
          <t>01021666</t>
        </is>
      </c>
      <c r="C240" s="29" t="inlineStr">
        <is>
          <t>덕산테코피아</t>
        </is>
      </c>
      <c r="D240" s="29" t="inlineStr">
        <is>
          <t>duksan</t>
        </is>
      </c>
      <c r="E240" s="29" t="inlineStr">
        <is>
          <t>317330</t>
        </is>
      </c>
      <c r="F240" s="29" t="inlineStr">
        <is>
          <t>2022</t>
        </is>
      </c>
      <c r="G240" s="29" t="inlineStr">
        <is>
          <t>CFS</t>
        </is>
      </c>
      <c r="H240" s="29" t="inlineStr">
        <is>
          <t>SCE</t>
        </is>
      </c>
      <c r="I240" s="29" t="inlineStr">
        <is>
          <t>자본변동표</t>
        </is>
      </c>
      <c r="J240" s="29" t="inlineStr">
        <is>
          <t>dart_EquityAtBeginningOfPeriod</t>
        </is>
      </c>
      <c r="K240" s="29" t="inlineStr">
        <is>
          <t>기초자본</t>
        </is>
      </c>
      <c r="L240" s="29" t="inlineStr">
        <is>
          <t>자본 [member]|지배기업의 소유주에게 귀속되는 자본 [member]|기타자본항목</t>
        </is>
      </c>
      <c r="M240" s="29" t="inlineStr">
        <is>
          <t>제 17 기</t>
        </is>
      </c>
      <c r="N240" s="29" t="inlineStr">
        <is>
          <t>-3825475372.0</t>
        </is>
      </c>
      <c r="O240" s="29" t="inlineStr">
        <is>
          <t>-1034412124.0</t>
        </is>
      </c>
      <c r="P240" s="29" t="inlineStr">
        <is>
          <t>KRW</t>
        </is>
      </c>
      <c r="Q240" s="29" t="inlineStr">
        <is>
          <t>1</t>
        </is>
      </c>
    </row>
    <row r="241" ht="24" customHeight="1">
      <c r="A241" s="24" t="inlineStr">
        <is>
          <t>OpenDART_fnlttSinglAcntAll</t>
        </is>
      </c>
      <c r="B241" s="24" t="inlineStr">
        <is>
          <t>01021666</t>
        </is>
      </c>
      <c r="C241" s="24" t="inlineStr">
        <is>
          <t>덕산테코피아</t>
        </is>
      </c>
      <c r="D241" s="24" t="inlineStr">
        <is>
          <t>duksan</t>
        </is>
      </c>
      <c r="E241" s="24" t="inlineStr">
        <is>
          <t>317330</t>
        </is>
      </c>
      <c r="F241" s="24" t="inlineStr">
        <is>
          <t>2022</t>
        </is>
      </c>
      <c r="G241" s="24" t="inlineStr">
        <is>
          <t>CFS</t>
        </is>
      </c>
      <c r="H241" s="24" t="inlineStr">
        <is>
          <t>SCE</t>
        </is>
      </c>
      <c r="I241" s="24" t="inlineStr">
        <is>
          <t>자본변동표</t>
        </is>
      </c>
      <c r="J241" s="24" t="inlineStr">
        <is>
          <t>dart_EquityAtBeginningOfPeriod</t>
        </is>
      </c>
      <c r="K241" s="24" t="inlineStr">
        <is>
          <t>기초자본</t>
        </is>
      </c>
      <c r="L241" s="24" t="inlineStr">
        <is>
          <t>자본 [member]|지배기업의 소유주에게 귀속되는 자본 [member]|이익잉여금 [member]</t>
        </is>
      </c>
      <c r="M241" s="24" t="inlineStr">
        <is>
          <t>제 17 기</t>
        </is>
      </c>
      <c r="N241" s="24" t="inlineStr">
        <is>
          <t>90614859038.0</t>
        </is>
      </c>
      <c r="O241" s="24" t="inlineStr">
        <is>
          <t>72576001629.0</t>
        </is>
      </c>
      <c r="P241" s="24" t="inlineStr">
        <is>
          <t>KRW</t>
        </is>
      </c>
      <c r="Q241" s="24" t="inlineStr">
        <is>
          <t>1</t>
        </is>
      </c>
    </row>
    <row r="242" ht="24" customHeight="1">
      <c r="A242" s="29" t="inlineStr">
        <is>
          <t>OpenDART_fnlttSinglAcntAll</t>
        </is>
      </c>
      <c r="B242" s="29" t="inlineStr">
        <is>
          <t>01021666</t>
        </is>
      </c>
      <c r="C242" s="29" t="inlineStr">
        <is>
          <t>덕산테코피아</t>
        </is>
      </c>
      <c r="D242" s="29" t="inlineStr">
        <is>
          <t>duksan</t>
        </is>
      </c>
      <c r="E242" s="29" t="inlineStr">
        <is>
          <t>317330</t>
        </is>
      </c>
      <c r="F242" s="29" t="inlineStr">
        <is>
          <t>2022</t>
        </is>
      </c>
      <c r="G242" s="29" t="inlineStr">
        <is>
          <t>CFS</t>
        </is>
      </c>
      <c r="H242" s="29" t="inlineStr">
        <is>
          <t>SCE</t>
        </is>
      </c>
      <c r="I242" s="29" t="inlineStr">
        <is>
          <t>자본변동표</t>
        </is>
      </c>
      <c r="J242" s="29" t="inlineStr">
        <is>
          <t>dart_EquityAtBeginningOfPeriod</t>
        </is>
      </c>
      <c r="K242" s="29" t="inlineStr">
        <is>
          <t>기초자본</t>
        </is>
      </c>
      <c r="L242" s="29" t="inlineStr">
        <is>
          <t>자본 [member]|지배기업의 소유주에게 귀속되는 자본 [member]|자본금 [member]</t>
        </is>
      </c>
      <c r="M242" s="29" t="inlineStr">
        <is>
          <t>제 17 기</t>
        </is>
      </c>
      <c r="N242" s="29" t="inlineStr">
        <is>
          <t>9188714000.0</t>
        </is>
      </c>
      <c r="O242" s="29" t="inlineStr">
        <is>
          <t>9188714000.0</t>
        </is>
      </c>
      <c r="P242" s="29" t="inlineStr">
        <is>
          <t>KRW</t>
        </is>
      </c>
      <c r="Q242" s="29" t="inlineStr">
        <is>
          <t>1</t>
        </is>
      </c>
    </row>
    <row r="243" ht="24" customHeight="1">
      <c r="A243" s="24" t="inlineStr">
        <is>
          <t>OpenDART_fnlttSinglAcntAll</t>
        </is>
      </c>
      <c r="B243" s="24" t="inlineStr">
        <is>
          <t>01021666</t>
        </is>
      </c>
      <c r="C243" s="24" t="inlineStr">
        <is>
          <t>덕산테코피아</t>
        </is>
      </c>
      <c r="D243" s="24" t="inlineStr">
        <is>
          <t>duksan</t>
        </is>
      </c>
      <c r="E243" s="24" t="inlineStr">
        <is>
          <t>317330</t>
        </is>
      </c>
      <c r="F243" s="24" t="inlineStr">
        <is>
          <t>2022</t>
        </is>
      </c>
      <c r="G243" s="24" t="inlineStr">
        <is>
          <t>CFS</t>
        </is>
      </c>
      <c r="H243" s="24" t="inlineStr">
        <is>
          <t>SCE</t>
        </is>
      </c>
      <c r="I243" s="24" t="inlineStr">
        <is>
          <t>자본변동표</t>
        </is>
      </c>
      <c r="J243" s="24" t="inlineStr">
        <is>
          <t>ifrs-full_ProfitLoss</t>
        </is>
      </c>
      <c r="K243" s="24" t="inlineStr">
        <is>
          <t>당기순이익(손실)</t>
        </is>
      </c>
      <c r="L243" s="24" t="inlineStr">
        <is>
          <t>자본 [member]|지배기업의 소유주에게 귀속되는 자본 [member]</t>
        </is>
      </c>
      <c r="M243" s="24" t="inlineStr">
        <is>
          <t>제 17 기</t>
        </is>
      </c>
      <c r="N243" s="24" t="inlineStr">
        <is>
          <t>16061828691.0</t>
        </is>
      </c>
      <c r="O243" s="24" t="inlineStr">
        <is>
          <t>17827002974.0</t>
        </is>
      </c>
      <c r="P243" s="24" t="inlineStr">
        <is>
          <t>KRW</t>
        </is>
      </c>
      <c r="Q243" s="24" t="inlineStr">
        <is>
          <t>2</t>
        </is>
      </c>
    </row>
    <row r="244" ht="24" customHeight="1">
      <c r="A244" s="29" t="inlineStr">
        <is>
          <t>OpenDART_fnlttSinglAcntAll</t>
        </is>
      </c>
      <c r="B244" s="29" t="inlineStr">
        <is>
          <t>01021666</t>
        </is>
      </c>
      <c r="C244" s="29" t="inlineStr">
        <is>
          <t>덕산테코피아</t>
        </is>
      </c>
      <c r="D244" s="29" t="inlineStr">
        <is>
          <t>duksan</t>
        </is>
      </c>
      <c r="E244" s="29" t="inlineStr">
        <is>
          <t>317330</t>
        </is>
      </c>
      <c r="F244" s="29" t="inlineStr">
        <is>
          <t>2022</t>
        </is>
      </c>
      <c r="G244" s="29" t="inlineStr">
        <is>
          <t>CFS</t>
        </is>
      </c>
      <c r="H244" s="29" t="inlineStr">
        <is>
          <t>SCE</t>
        </is>
      </c>
      <c r="I244" s="29" t="inlineStr">
        <is>
          <t>자본변동표</t>
        </is>
      </c>
      <c r="J244" s="29" t="inlineStr">
        <is>
          <t>ifrs-full_ProfitLoss</t>
        </is>
      </c>
      <c r="K244" s="29" t="inlineStr">
        <is>
          <t>당기순이익(손실)</t>
        </is>
      </c>
      <c r="L244" s="29" t="inlineStr">
        <is>
          <t>자본 [member]|지배기업의 소유주에게 귀속되는 자본 [member]|이익잉여금 [member]</t>
        </is>
      </c>
      <c r="M244" s="29" t="inlineStr">
        <is>
          <t>제 17 기</t>
        </is>
      </c>
      <c r="N244" s="29" t="inlineStr">
        <is>
          <t>16061828691.0</t>
        </is>
      </c>
      <c r="O244" s="29" t="inlineStr">
        <is>
          <t>17827002974.0</t>
        </is>
      </c>
      <c r="P244" s="29" t="inlineStr">
        <is>
          <t>KRW</t>
        </is>
      </c>
      <c r="Q244" s="29" t="inlineStr">
        <is>
          <t>2</t>
        </is>
      </c>
    </row>
    <row r="245" ht="24" customHeight="1">
      <c r="A245" s="24" t="inlineStr">
        <is>
          <t>OpenDART_fnlttSinglAcntAll</t>
        </is>
      </c>
      <c r="B245" s="24" t="inlineStr">
        <is>
          <t>01021666</t>
        </is>
      </c>
      <c r="C245" s="24" t="inlineStr">
        <is>
          <t>덕산테코피아</t>
        </is>
      </c>
      <c r="D245" s="24" t="inlineStr">
        <is>
          <t>duksan</t>
        </is>
      </c>
      <c r="E245" s="24" t="inlineStr">
        <is>
          <t>317330</t>
        </is>
      </c>
      <c r="F245" s="24" t="inlineStr">
        <is>
          <t>2022</t>
        </is>
      </c>
      <c r="G245" s="24" t="inlineStr">
        <is>
          <t>CFS</t>
        </is>
      </c>
      <c r="H245" s="24" t="inlineStr">
        <is>
          <t>SCE</t>
        </is>
      </c>
      <c r="I245" s="24" t="inlineStr">
        <is>
          <t>자본변동표</t>
        </is>
      </c>
      <c r="J245" s="24" t="inlineStr">
        <is>
          <t>ifrs-full_ProfitLoss</t>
        </is>
      </c>
      <c r="K245" s="24" t="inlineStr">
        <is>
          <t>당기순이익(손실)</t>
        </is>
      </c>
      <c r="L245" s="24" t="inlineStr">
        <is>
          <t>자본 [member]|비지배지분 [member]</t>
        </is>
      </c>
      <c r="M245" s="24" t="inlineStr">
        <is>
          <t>제 17 기</t>
        </is>
      </c>
      <c r="N245" s="24" t="inlineStr">
        <is>
          <t>-1011485712.0</t>
        </is>
      </c>
      <c r="O245" s="24" t="inlineStr">
        <is>
          <t>-448391994.0</t>
        </is>
      </c>
      <c r="P245" s="24" t="inlineStr">
        <is>
          <t>KRW</t>
        </is>
      </c>
      <c r="Q245" s="24" t="inlineStr">
        <is>
          <t>2</t>
        </is>
      </c>
    </row>
    <row r="246" ht="24" customHeight="1">
      <c r="A246" s="29" t="inlineStr">
        <is>
          <t>OpenDART_fnlttSinglAcntAll</t>
        </is>
      </c>
      <c r="B246" s="29" t="inlineStr">
        <is>
          <t>01021666</t>
        </is>
      </c>
      <c r="C246" s="29" t="inlineStr">
        <is>
          <t>덕산테코피아</t>
        </is>
      </c>
      <c r="D246" s="29" t="inlineStr">
        <is>
          <t>duksan</t>
        </is>
      </c>
      <c r="E246" s="29" t="inlineStr">
        <is>
          <t>317330</t>
        </is>
      </c>
      <c r="F246" s="29" t="inlineStr">
        <is>
          <t>2022</t>
        </is>
      </c>
      <c r="G246" s="29" t="inlineStr">
        <is>
          <t>CFS</t>
        </is>
      </c>
      <c r="H246" s="29" t="inlineStr">
        <is>
          <t>SCE</t>
        </is>
      </c>
      <c r="I246" s="29" t="inlineStr">
        <is>
          <t>자본변동표</t>
        </is>
      </c>
      <c r="J246" s="29" t="inlineStr">
        <is>
          <t>ifrs-full_ProfitLoss</t>
        </is>
      </c>
      <c r="K246" s="29" t="inlineStr">
        <is>
          <t>당기순이익(손실)</t>
        </is>
      </c>
      <c r="L246" s="29" t="inlineStr">
        <is>
          <t>연결재무제표 [member]</t>
        </is>
      </c>
      <c r="M246" s="29" t="inlineStr">
        <is>
          <t>제 17 기</t>
        </is>
      </c>
      <c r="N246" s="29" t="inlineStr">
        <is>
          <t>15050342979.0</t>
        </is>
      </c>
      <c r="O246" s="29" t="inlineStr">
        <is>
          <t>17378610980.0</t>
        </is>
      </c>
      <c r="P246" s="29" t="inlineStr">
        <is>
          <t>KRW</t>
        </is>
      </c>
      <c r="Q246" s="29" t="inlineStr">
        <is>
          <t>2</t>
        </is>
      </c>
    </row>
    <row r="247" ht="24" customHeight="1">
      <c r="A247" s="24" t="inlineStr">
        <is>
          <t>OpenDART_fnlttSinglAcntAll</t>
        </is>
      </c>
      <c r="B247" s="24" t="inlineStr">
        <is>
          <t>01021666</t>
        </is>
      </c>
      <c r="C247" s="24" t="inlineStr">
        <is>
          <t>덕산테코피아</t>
        </is>
      </c>
      <c r="D247" s="24" t="inlineStr">
        <is>
          <t>duksan</t>
        </is>
      </c>
      <c r="E247" s="24" t="inlineStr">
        <is>
          <t>317330</t>
        </is>
      </c>
      <c r="F247" s="24" t="inlineStr">
        <is>
          <t>2022</t>
        </is>
      </c>
      <c r="G247" s="24" t="inlineStr">
        <is>
          <t>CFS</t>
        </is>
      </c>
      <c r="H247" s="24" t="inlineStr">
        <is>
          <t>SCE</t>
        </is>
      </c>
      <c r="I247" s="24" t="inlineStr">
        <is>
          <t>자본변동표</t>
        </is>
      </c>
      <c r="J247" s="24" t="inlineStr">
        <is>
          <t>dart_OtherComprehensiveIncomeForStatementOfChangesInEquity</t>
        </is>
      </c>
      <c r="K247" s="24" t="inlineStr">
        <is>
          <t>기타포괄손익</t>
        </is>
      </c>
      <c r="L247" s="24" t="inlineStr">
        <is>
          <t>자본 [member]|지배기업의 소유주에게 귀속되는 자본 [member]</t>
        </is>
      </c>
      <c r="M247" s="24" t="inlineStr">
        <is>
          <t>제 17 기</t>
        </is>
      </c>
      <c r="N247" s="24" t="inlineStr">
        <is>
          <t>-26281853.0</t>
        </is>
      </c>
      <c r="O247" s="24" t="inlineStr">
        <is>
          <t>해당 없음</t>
        </is>
      </c>
      <c r="P247" s="24" t="inlineStr">
        <is>
          <t>KRW</t>
        </is>
      </c>
      <c r="Q247" s="24" t="inlineStr">
        <is>
          <t>3</t>
        </is>
      </c>
    </row>
    <row r="248" ht="24" customHeight="1">
      <c r="A248" s="29" t="inlineStr">
        <is>
          <t>OpenDART_fnlttSinglAcntAll</t>
        </is>
      </c>
      <c r="B248" s="29" t="inlineStr">
        <is>
          <t>01021666</t>
        </is>
      </c>
      <c r="C248" s="29" t="inlineStr">
        <is>
          <t>덕산테코피아</t>
        </is>
      </c>
      <c r="D248" s="29" t="inlineStr">
        <is>
          <t>duksan</t>
        </is>
      </c>
      <c r="E248" s="29" t="inlineStr">
        <is>
          <t>317330</t>
        </is>
      </c>
      <c r="F248" s="29" t="inlineStr">
        <is>
          <t>2022</t>
        </is>
      </c>
      <c r="G248" s="29" t="inlineStr">
        <is>
          <t>CFS</t>
        </is>
      </c>
      <c r="H248" s="29" t="inlineStr">
        <is>
          <t>SCE</t>
        </is>
      </c>
      <c r="I248" s="29" t="inlineStr">
        <is>
          <t>자본변동표</t>
        </is>
      </c>
      <c r="J248" s="29" t="inlineStr">
        <is>
          <t>dart_OtherComprehensiveIncomeForStatementOfChangesInEquity</t>
        </is>
      </c>
      <c r="K248" s="29" t="inlineStr">
        <is>
          <t>기타포괄손익</t>
        </is>
      </c>
      <c r="L248" s="29" t="inlineStr">
        <is>
          <t>자본 [member]|지배기업의 소유주에게 귀속되는 자본 [member]|기타자본항목</t>
        </is>
      </c>
      <c r="M248" s="29" t="inlineStr">
        <is>
          <t>제 17 기</t>
        </is>
      </c>
      <c r="N248" s="29" t="inlineStr">
        <is>
          <t>-26281853.0</t>
        </is>
      </c>
      <c r="O248" s="29" t="inlineStr">
        <is>
          <t>해당 없음</t>
        </is>
      </c>
      <c r="P248" s="29" t="inlineStr">
        <is>
          <t>KRW</t>
        </is>
      </c>
      <c r="Q248" s="29" t="inlineStr">
        <is>
          <t>3</t>
        </is>
      </c>
    </row>
    <row r="249" ht="24" customHeight="1">
      <c r="A249" s="24" t="inlineStr">
        <is>
          <t>OpenDART_fnlttSinglAcntAll</t>
        </is>
      </c>
      <c r="B249" s="24" t="inlineStr">
        <is>
          <t>01021666</t>
        </is>
      </c>
      <c r="C249" s="24" t="inlineStr">
        <is>
          <t>덕산테코피아</t>
        </is>
      </c>
      <c r="D249" s="24" t="inlineStr">
        <is>
          <t>duksan</t>
        </is>
      </c>
      <c r="E249" s="24" t="inlineStr">
        <is>
          <t>317330</t>
        </is>
      </c>
      <c r="F249" s="24" t="inlineStr">
        <is>
          <t>2022</t>
        </is>
      </c>
      <c r="G249" s="24" t="inlineStr">
        <is>
          <t>CFS</t>
        </is>
      </c>
      <c r="H249" s="24" t="inlineStr">
        <is>
          <t>SCE</t>
        </is>
      </c>
      <c r="I249" s="24" t="inlineStr">
        <is>
          <t>자본변동표</t>
        </is>
      </c>
      <c r="J249" s="24" t="inlineStr">
        <is>
          <t>dart_OtherComprehensiveIncomeForStatementOfChangesInEquity</t>
        </is>
      </c>
      <c r="K249" s="24" t="inlineStr">
        <is>
          <t>기타포괄손익</t>
        </is>
      </c>
      <c r="L249" s="24" t="inlineStr">
        <is>
          <t>자본 [member]|비지배지분 [member]</t>
        </is>
      </c>
      <c r="M249" s="24" t="inlineStr">
        <is>
          <t>제 17 기</t>
        </is>
      </c>
      <c r="N249" s="24" t="inlineStr">
        <is>
          <t>-25854336.0</t>
        </is>
      </c>
      <c r="O249" s="24" t="inlineStr">
        <is>
          <t>해당 없음</t>
        </is>
      </c>
      <c r="P249" s="24" t="inlineStr">
        <is>
          <t>KRW</t>
        </is>
      </c>
      <c r="Q249" s="24" t="inlineStr">
        <is>
          <t>3</t>
        </is>
      </c>
    </row>
    <row r="250" ht="24" customHeight="1">
      <c r="A250" s="29" t="inlineStr">
        <is>
          <t>OpenDART_fnlttSinglAcntAll</t>
        </is>
      </c>
      <c r="B250" s="29" t="inlineStr">
        <is>
          <t>01021666</t>
        </is>
      </c>
      <c r="C250" s="29" t="inlineStr">
        <is>
          <t>덕산테코피아</t>
        </is>
      </c>
      <c r="D250" s="29" t="inlineStr">
        <is>
          <t>duksan</t>
        </is>
      </c>
      <c r="E250" s="29" t="inlineStr">
        <is>
          <t>317330</t>
        </is>
      </c>
      <c r="F250" s="29" t="inlineStr">
        <is>
          <t>2022</t>
        </is>
      </c>
      <c r="G250" s="29" t="inlineStr">
        <is>
          <t>CFS</t>
        </is>
      </c>
      <c r="H250" s="29" t="inlineStr">
        <is>
          <t>SCE</t>
        </is>
      </c>
      <c r="I250" s="29" t="inlineStr">
        <is>
          <t>자본변동표</t>
        </is>
      </c>
      <c r="J250" s="29" t="inlineStr">
        <is>
          <t>dart_OtherComprehensiveIncomeForStatementOfChangesInEquity</t>
        </is>
      </c>
      <c r="K250" s="29" t="inlineStr">
        <is>
          <t>기타포괄손익</t>
        </is>
      </c>
      <c r="L250" s="29" t="inlineStr">
        <is>
          <t>연결재무제표 [member]</t>
        </is>
      </c>
      <c r="M250" s="29" t="inlineStr">
        <is>
          <t>제 17 기</t>
        </is>
      </c>
      <c r="N250" s="29" t="inlineStr">
        <is>
          <t>-52136189.0</t>
        </is>
      </c>
      <c r="O250" s="29" t="inlineStr">
        <is>
          <t>해당 없음</t>
        </is>
      </c>
      <c r="P250" s="29" t="inlineStr">
        <is>
          <t>KRW</t>
        </is>
      </c>
      <c r="Q250" s="29" t="inlineStr">
        <is>
          <t>3</t>
        </is>
      </c>
    </row>
    <row r="251" ht="24" customHeight="1">
      <c r="A251" s="24" t="inlineStr">
        <is>
          <t>OpenDART_fnlttSinglAcntAll</t>
        </is>
      </c>
      <c r="B251" s="24" t="inlineStr">
        <is>
          <t>01021666</t>
        </is>
      </c>
      <c r="C251" s="24" t="inlineStr">
        <is>
          <t>덕산테코피아</t>
        </is>
      </c>
      <c r="D251" s="24" t="inlineStr">
        <is>
          <t>duksan</t>
        </is>
      </c>
      <c r="E251" s="24" t="inlineStr">
        <is>
          <t>317330</t>
        </is>
      </c>
      <c r="F251" s="24" t="inlineStr">
        <is>
          <t>2022</t>
        </is>
      </c>
      <c r="G251" s="24" t="inlineStr">
        <is>
          <t>CFS</t>
        </is>
      </c>
      <c r="H251" s="24" t="inlineStr">
        <is>
          <t>SCE</t>
        </is>
      </c>
      <c r="I251" s="24" t="inlineStr">
        <is>
          <t>자본변동표</t>
        </is>
      </c>
      <c r="J251" s="24" t="inlineStr">
        <is>
          <t>-표준계정코드 미사용-</t>
        </is>
      </c>
      <c r="K251" s="24" t="inlineStr">
        <is>
          <t>확정급여부채의 재측정요소</t>
        </is>
      </c>
      <c r="L251" s="24" t="inlineStr">
        <is>
          <t>연결재무제표 [member]</t>
        </is>
      </c>
      <c r="M251" s="24" t="inlineStr">
        <is>
          <t>제 17 기</t>
        </is>
      </c>
      <c r="N251" s="24" t="inlineStr">
        <is>
          <t>702980461.0</t>
        </is>
      </c>
      <c r="O251" s="24" t="inlineStr">
        <is>
          <t>238702078.0</t>
        </is>
      </c>
      <c r="P251" s="24" t="inlineStr">
        <is>
          <t>KRW</t>
        </is>
      </c>
      <c r="Q251" s="24" t="inlineStr">
        <is>
          <t>4</t>
        </is>
      </c>
    </row>
    <row r="252" ht="24" customHeight="1">
      <c r="A252" s="29" t="inlineStr">
        <is>
          <t>OpenDART_fnlttSinglAcntAll</t>
        </is>
      </c>
      <c r="B252" s="29" t="inlineStr">
        <is>
          <t>01021666</t>
        </is>
      </c>
      <c r="C252" s="29" t="inlineStr">
        <is>
          <t>덕산테코피아</t>
        </is>
      </c>
      <c r="D252" s="29" t="inlineStr">
        <is>
          <t>duksan</t>
        </is>
      </c>
      <c r="E252" s="29" t="inlineStr">
        <is>
          <t>317330</t>
        </is>
      </c>
      <c r="F252" s="29" t="inlineStr">
        <is>
          <t>2022</t>
        </is>
      </c>
      <c r="G252" s="29" t="inlineStr">
        <is>
          <t>CFS</t>
        </is>
      </c>
      <c r="H252" s="29" t="inlineStr">
        <is>
          <t>SCE</t>
        </is>
      </c>
      <c r="I252" s="29" t="inlineStr">
        <is>
          <t>자본변동표</t>
        </is>
      </c>
      <c r="J252" s="29" t="inlineStr">
        <is>
          <t>-표준계정코드 미사용-</t>
        </is>
      </c>
      <c r="K252" s="29" t="inlineStr">
        <is>
          <t>확정급여부채의 재측정요소</t>
        </is>
      </c>
      <c r="L252" s="29" t="inlineStr">
        <is>
          <t>자본 [member]|지배기업의 소유주에게 귀속되는 자본 [member]|이익잉여금 [member]</t>
        </is>
      </c>
      <c r="M252" s="29" t="inlineStr">
        <is>
          <t>제 17 기</t>
        </is>
      </c>
      <c r="N252" s="29" t="inlineStr">
        <is>
          <t>690868939.0</t>
        </is>
      </c>
      <c r="O252" s="29" t="inlineStr">
        <is>
          <t>211854435.0</t>
        </is>
      </c>
      <c r="P252" s="29" t="inlineStr">
        <is>
          <t>KRW</t>
        </is>
      </c>
      <c r="Q252" s="29" t="inlineStr">
        <is>
          <t>4</t>
        </is>
      </c>
    </row>
    <row r="253" ht="24" customHeight="1">
      <c r="A253" s="24" t="inlineStr">
        <is>
          <t>OpenDART_fnlttSinglAcntAll</t>
        </is>
      </c>
      <c r="B253" s="24" t="inlineStr">
        <is>
          <t>01021666</t>
        </is>
      </c>
      <c r="C253" s="24" t="inlineStr">
        <is>
          <t>덕산테코피아</t>
        </is>
      </c>
      <c r="D253" s="24" t="inlineStr">
        <is>
          <t>duksan</t>
        </is>
      </c>
      <c r="E253" s="24" t="inlineStr">
        <is>
          <t>317330</t>
        </is>
      </c>
      <c r="F253" s="24" t="inlineStr">
        <is>
          <t>2022</t>
        </is>
      </c>
      <c r="G253" s="24" t="inlineStr">
        <is>
          <t>CFS</t>
        </is>
      </c>
      <c r="H253" s="24" t="inlineStr">
        <is>
          <t>SCE</t>
        </is>
      </c>
      <c r="I253" s="24" t="inlineStr">
        <is>
          <t>자본변동표</t>
        </is>
      </c>
      <c r="J253" s="24" t="inlineStr">
        <is>
          <t>-표준계정코드 미사용-</t>
        </is>
      </c>
      <c r="K253" s="24" t="inlineStr">
        <is>
          <t>확정급여부채의 재측정요소</t>
        </is>
      </c>
      <c r="L253" s="24" t="inlineStr">
        <is>
          <t>자본 [member]|지배기업의 소유주에게 귀속되는 자본 [member]</t>
        </is>
      </c>
      <c r="M253" s="24" t="inlineStr">
        <is>
          <t>제 17 기</t>
        </is>
      </c>
      <c r="N253" s="24" t="inlineStr">
        <is>
          <t>690868939.0</t>
        </is>
      </c>
      <c r="O253" s="24" t="inlineStr">
        <is>
          <t>211854435.0</t>
        </is>
      </c>
      <c r="P253" s="24" t="inlineStr">
        <is>
          <t>KRW</t>
        </is>
      </c>
      <c r="Q253" s="24" t="inlineStr">
        <is>
          <t>4</t>
        </is>
      </c>
    </row>
    <row r="254" ht="24" customHeight="1">
      <c r="A254" s="29" t="inlineStr">
        <is>
          <t>OpenDART_fnlttSinglAcntAll</t>
        </is>
      </c>
      <c r="B254" s="29" t="inlineStr">
        <is>
          <t>01021666</t>
        </is>
      </c>
      <c r="C254" s="29" t="inlineStr">
        <is>
          <t>덕산테코피아</t>
        </is>
      </c>
      <c r="D254" s="29" t="inlineStr">
        <is>
          <t>duksan</t>
        </is>
      </c>
      <c r="E254" s="29" t="inlineStr">
        <is>
          <t>317330</t>
        </is>
      </c>
      <c r="F254" s="29" t="inlineStr">
        <is>
          <t>2022</t>
        </is>
      </c>
      <c r="G254" s="29" t="inlineStr">
        <is>
          <t>CFS</t>
        </is>
      </c>
      <c r="H254" s="29" t="inlineStr">
        <is>
          <t>SCE</t>
        </is>
      </c>
      <c r="I254" s="29" t="inlineStr">
        <is>
          <t>자본변동표</t>
        </is>
      </c>
      <c r="J254" s="29" t="inlineStr">
        <is>
          <t>-표준계정코드 미사용-</t>
        </is>
      </c>
      <c r="K254" s="29" t="inlineStr">
        <is>
          <t>확정급여부채의 재측정요소</t>
        </is>
      </c>
      <c r="L254" s="29" t="inlineStr">
        <is>
          <t>자본 [member]|비지배지분 [member]</t>
        </is>
      </c>
      <c r="M254" s="29" t="inlineStr">
        <is>
          <t>제 17 기</t>
        </is>
      </c>
      <c r="N254" s="29" t="inlineStr">
        <is>
          <t>12111522.0</t>
        </is>
      </c>
      <c r="O254" s="29" t="inlineStr">
        <is>
          <t>26847643.0</t>
        </is>
      </c>
      <c r="P254" s="29" t="inlineStr">
        <is>
          <t>KRW</t>
        </is>
      </c>
      <c r="Q254" s="29" t="inlineStr">
        <is>
          <t>4</t>
        </is>
      </c>
    </row>
    <row r="255" ht="24" customHeight="1">
      <c r="A255" s="24" t="inlineStr">
        <is>
          <t>OpenDART_fnlttSinglAcntAll</t>
        </is>
      </c>
      <c r="B255" s="24" t="inlineStr">
        <is>
          <t>01021666</t>
        </is>
      </c>
      <c r="C255" s="24" t="inlineStr">
        <is>
          <t>덕산테코피아</t>
        </is>
      </c>
      <c r="D255" s="24" t="inlineStr">
        <is>
          <t>duksan</t>
        </is>
      </c>
      <c r="E255" s="24" t="inlineStr">
        <is>
          <t>317330</t>
        </is>
      </c>
      <c r="F255" s="24" t="inlineStr">
        <is>
          <t>2022</t>
        </is>
      </c>
      <c r="G255" s="24" t="inlineStr">
        <is>
          <t>CFS</t>
        </is>
      </c>
      <c r="H255" s="24" t="inlineStr">
        <is>
          <t>SCE</t>
        </is>
      </c>
      <c r="I255" s="24" t="inlineStr">
        <is>
          <t>자본변동표</t>
        </is>
      </c>
      <c r="J255" s="24" t="inlineStr">
        <is>
          <t>ifrs-full_IssueOfEquity</t>
        </is>
      </c>
      <c r="K255" s="24" t="inlineStr">
        <is>
          <t>유상증자</t>
        </is>
      </c>
      <c r="L255" s="24" t="inlineStr">
        <is>
          <t>자본 [member]|비지배지분 [member]</t>
        </is>
      </c>
      <c r="M255" s="24" t="inlineStr">
        <is>
          <t>제 17 기</t>
        </is>
      </c>
      <c r="N255" s="24" t="inlineStr">
        <is>
          <t>98366795.0</t>
        </is>
      </c>
      <c r="O255" s="24" t="inlineStr">
        <is>
          <t>310079598.0</t>
        </is>
      </c>
      <c r="P255" s="24" t="inlineStr">
        <is>
          <t>KRW</t>
        </is>
      </c>
      <c r="Q255" s="24" t="inlineStr">
        <is>
          <t>5</t>
        </is>
      </c>
    </row>
    <row r="256" ht="24" customHeight="1">
      <c r="A256" s="29" t="inlineStr">
        <is>
          <t>OpenDART_fnlttSinglAcntAll</t>
        </is>
      </c>
      <c r="B256" s="29" t="inlineStr">
        <is>
          <t>01021666</t>
        </is>
      </c>
      <c r="C256" s="29" t="inlineStr">
        <is>
          <t>덕산테코피아</t>
        </is>
      </c>
      <c r="D256" s="29" t="inlineStr">
        <is>
          <t>duksan</t>
        </is>
      </c>
      <c r="E256" s="29" t="inlineStr">
        <is>
          <t>317330</t>
        </is>
      </c>
      <c r="F256" s="29" t="inlineStr">
        <is>
          <t>2022</t>
        </is>
      </c>
      <c r="G256" s="29" t="inlineStr">
        <is>
          <t>CFS</t>
        </is>
      </c>
      <c r="H256" s="29" t="inlineStr">
        <is>
          <t>SCE</t>
        </is>
      </c>
      <c r="I256" s="29" t="inlineStr">
        <is>
          <t>자본변동표</t>
        </is>
      </c>
      <c r="J256" s="29" t="inlineStr">
        <is>
          <t>ifrs-full_IssueOfEquity</t>
        </is>
      </c>
      <c r="K256" s="29" t="inlineStr">
        <is>
          <t>유상증자</t>
        </is>
      </c>
      <c r="L256" s="29" t="inlineStr">
        <is>
          <t>연결재무제표 [member]</t>
        </is>
      </c>
      <c r="M256" s="29" t="inlineStr">
        <is>
          <t>제 17 기</t>
        </is>
      </c>
      <c r="N256" s="29" t="inlineStr">
        <is>
          <t>-785090.0</t>
        </is>
      </c>
      <c r="O256" s="29" t="inlineStr">
        <is>
          <t>143029795.0</t>
        </is>
      </c>
      <c r="P256" s="29" t="inlineStr">
        <is>
          <t>KRW</t>
        </is>
      </c>
      <c r="Q256" s="29" t="inlineStr">
        <is>
          <t>5</t>
        </is>
      </c>
    </row>
    <row r="257" ht="24" customHeight="1">
      <c r="A257" s="24" t="inlineStr">
        <is>
          <t>OpenDART_fnlttSinglAcntAll</t>
        </is>
      </c>
      <c r="B257" s="24" t="inlineStr">
        <is>
          <t>01021666</t>
        </is>
      </c>
      <c r="C257" s="24" t="inlineStr">
        <is>
          <t>덕산테코피아</t>
        </is>
      </c>
      <c r="D257" s="24" t="inlineStr">
        <is>
          <t>duksan</t>
        </is>
      </c>
      <c r="E257" s="24" t="inlineStr">
        <is>
          <t>317330</t>
        </is>
      </c>
      <c r="F257" s="24" t="inlineStr">
        <is>
          <t>2022</t>
        </is>
      </c>
      <c r="G257" s="24" t="inlineStr">
        <is>
          <t>CFS</t>
        </is>
      </c>
      <c r="H257" s="24" t="inlineStr">
        <is>
          <t>SCE</t>
        </is>
      </c>
      <c r="I257" s="24" t="inlineStr">
        <is>
          <t>자본변동표</t>
        </is>
      </c>
      <c r="J257" s="24" t="inlineStr">
        <is>
          <t>ifrs-full_IssueOfEquity</t>
        </is>
      </c>
      <c r="K257" s="24" t="inlineStr">
        <is>
          <t>유상증자</t>
        </is>
      </c>
      <c r="L257" s="24" t="inlineStr">
        <is>
          <t>자본 [member]|지배기업의 소유주에게 귀속되는 자본 [member]|자본잉여금 [member]</t>
        </is>
      </c>
      <c r="M257" s="24" t="inlineStr">
        <is>
          <t>제 17 기</t>
        </is>
      </c>
      <c r="N257" s="24" t="inlineStr">
        <is>
          <t>-99151885.0</t>
        </is>
      </c>
      <c r="O257" s="24" t="inlineStr">
        <is>
          <t>-167049803.0</t>
        </is>
      </c>
      <c r="P257" s="24" t="inlineStr">
        <is>
          <t>KRW</t>
        </is>
      </c>
      <c r="Q257" s="24" t="inlineStr">
        <is>
          <t>5</t>
        </is>
      </c>
    </row>
    <row r="258" ht="24" customHeight="1">
      <c r="A258" s="29" t="inlineStr">
        <is>
          <t>OpenDART_fnlttSinglAcntAll</t>
        </is>
      </c>
      <c r="B258" s="29" t="inlineStr">
        <is>
          <t>01021666</t>
        </is>
      </c>
      <c r="C258" s="29" t="inlineStr">
        <is>
          <t>덕산테코피아</t>
        </is>
      </c>
      <c r="D258" s="29" t="inlineStr">
        <is>
          <t>duksan</t>
        </is>
      </c>
      <c r="E258" s="29" t="inlineStr">
        <is>
          <t>317330</t>
        </is>
      </c>
      <c r="F258" s="29" t="inlineStr">
        <is>
          <t>2022</t>
        </is>
      </c>
      <c r="G258" s="29" t="inlineStr">
        <is>
          <t>CFS</t>
        </is>
      </c>
      <c r="H258" s="29" t="inlineStr">
        <is>
          <t>SCE</t>
        </is>
      </c>
      <c r="I258" s="29" t="inlineStr">
        <is>
          <t>자본변동표</t>
        </is>
      </c>
      <c r="J258" s="29" t="inlineStr">
        <is>
          <t>ifrs-full_IssueOfEquity</t>
        </is>
      </c>
      <c r="K258" s="29" t="inlineStr">
        <is>
          <t>유상증자</t>
        </is>
      </c>
      <c r="L258" s="29" t="inlineStr">
        <is>
          <t>자본 [member]|지배기업의 소유주에게 귀속되는 자본 [member]</t>
        </is>
      </c>
      <c r="M258" s="29" t="inlineStr">
        <is>
          <t>제 17 기</t>
        </is>
      </c>
      <c r="N258" s="29" t="inlineStr">
        <is>
          <t>-99151885.0</t>
        </is>
      </c>
      <c r="O258" s="29" t="inlineStr">
        <is>
          <t>-167049803.0</t>
        </is>
      </c>
      <c r="P258" s="29" t="inlineStr">
        <is>
          <t>KRW</t>
        </is>
      </c>
      <c r="Q258" s="29" t="inlineStr">
        <is>
          <t>5</t>
        </is>
      </c>
    </row>
    <row r="259" ht="24" customHeight="1">
      <c r="A259" s="24" t="inlineStr">
        <is>
          <t>OpenDART_fnlttSinglAcntAll</t>
        </is>
      </c>
      <c r="B259" s="24" t="inlineStr">
        <is>
          <t>01021666</t>
        </is>
      </c>
      <c r="C259" s="24" t="inlineStr">
        <is>
          <t>덕산테코피아</t>
        </is>
      </c>
      <c r="D259" s="24" t="inlineStr">
        <is>
          <t>duksan</t>
        </is>
      </c>
      <c r="E259" s="24" t="inlineStr">
        <is>
          <t>317330</t>
        </is>
      </c>
      <c r="F259" s="24" t="inlineStr">
        <is>
          <t>2022</t>
        </is>
      </c>
      <c r="G259" s="24" t="inlineStr">
        <is>
          <t>CFS</t>
        </is>
      </c>
      <c r="H259" s="24" t="inlineStr">
        <is>
          <t>SCE</t>
        </is>
      </c>
      <c r="I259" s="24" t="inlineStr">
        <is>
          <t>자본변동표</t>
        </is>
      </c>
      <c r="J259" s="24" t="inlineStr">
        <is>
          <t>dart_ShareBasedPaymentTransactions</t>
        </is>
      </c>
      <c r="K259" s="24" t="inlineStr">
        <is>
          <t>주식매수선택권</t>
        </is>
      </c>
      <c r="L259" s="24" t="inlineStr">
        <is>
          <t>자본 [member]|비지배지분 [member]</t>
        </is>
      </c>
      <c r="M259" s="24" t="inlineStr">
        <is>
          <t>제 17 기</t>
        </is>
      </c>
      <c r="N259" s="24" t="inlineStr">
        <is>
          <t>410394181.0</t>
        </is>
      </c>
      <c r="O259" s="24" t="inlineStr">
        <is>
          <t>해당 없음</t>
        </is>
      </c>
      <c r="P259" s="24" t="inlineStr">
        <is>
          <t>KRW</t>
        </is>
      </c>
      <c r="Q259" s="24" t="inlineStr">
        <is>
          <t>6</t>
        </is>
      </c>
    </row>
    <row r="260" ht="24" customHeight="1">
      <c r="A260" s="29" t="inlineStr">
        <is>
          <t>OpenDART_fnlttSinglAcntAll</t>
        </is>
      </c>
      <c r="B260" s="29" t="inlineStr">
        <is>
          <t>01021666</t>
        </is>
      </c>
      <c r="C260" s="29" t="inlineStr">
        <is>
          <t>덕산테코피아</t>
        </is>
      </c>
      <c r="D260" s="29" t="inlineStr">
        <is>
          <t>duksan</t>
        </is>
      </c>
      <c r="E260" s="29" t="inlineStr">
        <is>
          <t>317330</t>
        </is>
      </c>
      <c r="F260" s="29" t="inlineStr">
        <is>
          <t>2022</t>
        </is>
      </c>
      <c r="G260" s="29" t="inlineStr">
        <is>
          <t>CFS</t>
        </is>
      </c>
      <c r="H260" s="29" t="inlineStr">
        <is>
          <t>SCE</t>
        </is>
      </c>
      <c r="I260" s="29" t="inlineStr">
        <is>
          <t>자본변동표</t>
        </is>
      </c>
      <c r="J260" s="29" t="inlineStr">
        <is>
          <t>dart_ShareBasedPaymentTransactions</t>
        </is>
      </c>
      <c r="K260" s="29" t="inlineStr">
        <is>
          <t>주식매수선택권</t>
        </is>
      </c>
      <c r="L260" s="29" t="inlineStr">
        <is>
          <t>자본 [member]|지배기업의 소유주에게 귀속되는 자본 [member]|기타자본항목</t>
        </is>
      </c>
      <c r="M260" s="29" t="inlineStr">
        <is>
          <t>제 17 기</t>
        </is>
      </c>
      <c r="N260" s="29" t="inlineStr">
        <is>
          <t>442191551.0</t>
        </is>
      </c>
      <c r="O260" s="29" t="inlineStr">
        <is>
          <t>208906352.0</t>
        </is>
      </c>
      <c r="P260" s="29" t="inlineStr">
        <is>
          <t>KRW</t>
        </is>
      </c>
      <c r="Q260" s="29" t="inlineStr">
        <is>
          <t>6</t>
        </is>
      </c>
    </row>
    <row r="261" ht="24" customHeight="1">
      <c r="A261" s="24" t="inlineStr">
        <is>
          <t>OpenDART_fnlttSinglAcntAll</t>
        </is>
      </c>
      <c r="B261" s="24" t="inlineStr">
        <is>
          <t>01021666</t>
        </is>
      </c>
      <c r="C261" s="24" t="inlineStr">
        <is>
          <t>덕산테코피아</t>
        </is>
      </c>
      <c r="D261" s="24" t="inlineStr">
        <is>
          <t>duksan</t>
        </is>
      </c>
      <c r="E261" s="24" t="inlineStr">
        <is>
          <t>317330</t>
        </is>
      </c>
      <c r="F261" s="24" t="inlineStr">
        <is>
          <t>2022</t>
        </is>
      </c>
      <c r="G261" s="24" t="inlineStr">
        <is>
          <t>CFS</t>
        </is>
      </c>
      <c r="H261" s="24" t="inlineStr">
        <is>
          <t>SCE</t>
        </is>
      </c>
      <c r="I261" s="24" t="inlineStr">
        <is>
          <t>자본변동표</t>
        </is>
      </c>
      <c r="J261" s="24" t="inlineStr">
        <is>
          <t>dart_ShareBasedPaymentTransactions</t>
        </is>
      </c>
      <c r="K261" s="24" t="inlineStr">
        <is>
          <t>주식매수선택권</t>
        </is>
      </c>
      <c r="L261" s="24" t="inlineStr">
        <is>
          <t>연결재무제표 [member]</t>
        </is>
      </c>
      <c r="M261" s="24" t="inlineStr">
        <is>
          <t>제 17 기</t>
        </is>
      </c>
      <c r="N261" s="24" t="inlineStr">
        <is>
          <t>852585732.0</t>
        </is>
      </c>
      <c r="O261" s="24" t="inlineStr">
        <is>
          <t>208906352.0</t>
        </is>
      </c>
      <c r="P261" s="24" t="inlineStr">
        <is>
          <t>KRW</t>
        </is>
      </c>
      <c r="Q261" s="24" t="inlineStr">
        <is>
          <t>6</t>
        </is>
      </c>
    </row>
    <row r="262" ht="24" customHeight="1">
      <c r="A262" s="29" t="inlineStr">
        <is>
          <t>OpenDART_fnlttSinglAcntAll</t>
        </is>
      </c>
      <c r="B262" s="29" t="inlineStr">
        <is>
          <t>01021666</t>
        </is>
      </c>
      <c r="C262" s="29" t="inlineStr">
        <is>
          <t>덕산테코피아</t>
        </is>
      </c>
      <c r="D262" s="29" t="inlineStr">
        <is>
          <t>duksan</t>
        </is>
      </c>
      <c r="E262" s="29" t="inlineStr">
        <is>
          <t>317330</t>
        </is>
      </c>
      <c r="F262" s="29" t="inlineStr">
        <is>
          <t>2022</t>
        </is>
      </c>
      <c r="G262" s="29" t="inlineStr">
        <is>
          <t>CFS</t>
        </is>
      </c>
      <c r="H262" s="29" t="inlineStr">
        <is>
          <t>SCE</t>
        </is>
      </c>
      <c r="I262" s="29" t="inlineStr">
        <is>
          <t>자본변동표</t>
        </is>
      </c>
      <c r="J262" s="29" t="inlineStr">
        <is>
          <t>dart_ShareBasedPaymentTransactions</t>
        </is>
      </c>
      <c r="K262" s="29" t="inlineStr">
        <is>
          <t>주식매수선택권</t>
        </is>
      </c>
      <c r="L262" s="29" t="inlineStr">
        <is>
          <t>자본 [member]|지배기업의 소유주에게 귀속되는 자본 [member]</t>
        </is>
      </c>
      <c r="M262" s="29" t="inlineStr">
        <is>
          <t>제 17 기</t>
        </is>
      </c>
      <c r="N262" s="29" t="inlineStr">
        <is>
          <t>442191551.0</t>
        </is>
      </c>
      <c r="O262" s="29" t="inlineStr">
        <is>
          <t>208906352.0</t>
        </is>
      </c>
      <c r="P262" s="29" t="inlineStr">
        <is>
          <t>KRW</t>
        </is>
      </c>
      <c r="Q262" s="29" t="inlineStr">
        <is>
          <t>6</t>
        </is>
      </c>
    </row>
    <row r="263" ht="24" customHeight="1">
      <c r="A263" s="24" t="inlineStr">
        <is>
          <t>OpenDART_fnlttSinglAcntAll</t>
        </is>
      </c>
      <c r="B263" s="24" t="inlineStr">
        <is>
          <t>01021666</t>
        </is>
      </c>
      <c r="C263" s="24" t="inlineStr">
        <is>
          <t>덕산테코피아</t>
        </is>
      </c>
      <c r="D263" s="24" t="inlineStr">
        <is>
          <t>duksan</t>
        </is>
      </c>
      <c r="E263" s="24" t="inlineStr">
        <is>
          <t>317330</t>
        </is>
      </c>
      <c r="F263" s="24" t="inlineStr">
        <is>
          <t>2022</t>
        </is>
      </c>
      <c r="G263" s="24" t="inlineStr">
        <is>
          <t>CFS</t>
        </is>
      </c>
      <c r="H263" s="24" t="inlineStr">
        <is>
          <t>SCE</t>
        </is>
      </c>
      <c r="I263" s="24" t="inlineStr">
        <is>
          <t>자본변동표</t>
        </is>
      </c>
      <c r="J263" s="24" t="inlineStr">
        <is>
          <t>dart_TreasuryShareTransactions</t>
        </is>
      </c>
      <c r="K263" s="24" t="inlineStr">
        <is>
          <t>자기주식취득</t>
        </is>
      </c>
      <c r="L263" s="24" t="inlineStr">
        <is>
          <t>연결재무제표 [member]</t>
        </is>
      </c>
      <c r="M263" s="24" t="inlineStr">
        <is>
          <t>제 17 기</t>
        </is>
      </c>
      <c r="N263" s="24" t="inlineStr">
        <is>
          <t>-999975050.0</t>
        </is>
      </c>
      <c r="O263" s="24" t="inlineStr">
        <is>
          <t>-2999969600.0</t>
        </is>
      </c>
      <c r="P263" s="24" t="inlineStr">
        <is>
          <t>KRW</t>
        </is>
      </c>
      <c r="Q263" s="24" t="inlineStr">
        <is>
          <t>7</t>
        </is>
      </c>
    </row>
    <row r="264" ht="24" customHeight="1">
      <c r="A264" s="29" t="inlineStr">
        <is>
          <t>OpenDART_fnlttSinglAcntAll</t>
        </is>
      </c>
      <c r="B264" s="29" t="inlineStr">
        <is>
          <t>01021666</t>
        </is>
      </c>
      <c r="C264" s="29" t="inlineStr">
        <is>
          <t>덕산테코피아</t>
        </is>
      </c>
      <c r="D264" s="29" t="inlineStr">
        <is>
          <t>duksan</t>
        </is>
      </c>
      <c r="E264" s="29" t="inlineStr">
        <is>
          <t>317330</t>
        </is>
      </c>
      <c r="F264" s="29" t="inlineStr">
        <is>
          <t>2022</t>
        </is>
      </c>
      <c r="G264" s="29" t="inlineStr">
        <is>
          <t>CFS</t>
        </is>
      </c>
      <c r="H264" s="29" t="inlineStr">
        <is>
          <t>SCE</t>
        </is>
      </c>
      <c r="I264" s="29" t="inlineStr">
        <is>
          <t>자본변동표</t>
        </is>
      </c>
      <c r="J264" s="29" t="inlineStr">
        <is>
          <t>dart_TreasuryShareTransactions</t>
        </is>
      </c>
      <c r="K264" s="29" t="inlineStr">
        <is>
          <t>자기주식취득</t>
        </is>
      </c>
      <c r="L264" s="29" t="inlineStr">
        <is>
          <t>자본 [member]|지배기업의 소유주에게 귀속되는 자본 [member]</t>
        </is>
      </c>
      <c r="M264" s="29" t="inlineStr">
        <is>
          <t>제 17 기</t>
        </is>
      </c>
      <c r="N264" s="29" t="inlineStr">
        <is>
          <t>-999975050.0</t>
        </is>
      </c>
      <c r="O264" s="29" t="inlineStr">
        <is>
          <t>-2999969600.0</t>
        </is>
      </c>
      <c r="P264" s="29" t="inlineStr">
        <is>
          <t>KRW</t>
        </is>
      </c>
      <c r="Q264" s="29" t="inlineStr">
        <is>
          <t>7</t>
        </is>
      </c>
    </row>
    <row r="265" ht="24" customHeight="1">
      <c r="A265" s="24" t="inlineStr">
        <is>
          <t>OpenDART_fnlttSinglAcntAll</t>
        </is>
      </c>
      <c r="B265" s="24" t="inlineStr">
        <is>
          <t>01021666</t>
        </is>
      </c>
      <c r="C265" s="24" t="inlineStr">
        <is>
          <t>덕산테코피아</t>
        </is>
      </c>
      <c r="D265" s="24" t="inlineStr">
        <is>
          <t>duksan</t>
        </is>
      </c>
      <c r="E265" s="24" t="inlineStr">
        <is>
          <t>317330</t>
        </is>
      </c>
      <c r="F265" s="24" t="inlineStr">
        <is>
          <t>2022</t>
        </is>
      </c>
      <c r="G265" s="24" t="inlineStr">
        <is>
          <t>CFS</t>
        </is>
      </c>
      <c r="H265" s="24" t="inlineStr">
        <is>
          <t>SCE</t>
        </is>
      </c>
      <c r="I265" s="24" t="inlineStr">
        <is>
          <t>자본변동표</t>
        </is>
      </c>
      <c r="J265" s="24" t="inlineStr">
        <is>
          <t>dart_TreasuryShareTransactions</t>
        </is>
      </c>
      <c r="K265" s="24" t="inlineStr">
        <is>
          <t>자기주식취득</t>
        </is>
      </c>
      <c r="L265" s="24" t="inlineStr">
        <is>
          <t>자본 [member]|지배기업의 소유주에게 귀속되는 자본 [member]|기타자본항목</t>
        </is>
      </c>
      <c r="M265" s="24" t="inlineStr">
        <is>
          <t>제 17 기</t>
        </is>
      </c>
      <c r="N265" s="24" t="inlineStr">
        <is>
          <t>-999975050.0</t>
        </is>
      </c>
      <c r="O265" s="24" t="inlineStr">
        <is>
          <t>-2999969600.0</t>
        </is>
      </c>
      <c r="P265" s="24" t="inlineStr">
        <is>
          <t>KRW</t>
        </is>
      </c>
      <c r="Q265" s="24" t="inlineStr">
        <is>
          <t>7</t>
        </is>
      </c>
    </row>
    <row r="266" ht="24" customHeight="1">
      <c r="A266" s="29" t="inlineStr">
        <is>
          <t>OpenDART_fnlttSinglAcntAll</t>
        </is>
      </c>
      <c r="B266" s="29" t="inlineStr">
        <is>
          <t>01021666</t>
        </is>
      </c>
      <c r="C266" s="29" t="inlineStr">
        <is>
          <t>덕산테코피아</t>
        </is>
      </c>
      <c r="D266" s="29" t="inlineStr">
        <is>
          <t>duksan</t>
        </is>
      </c>
      <c r="E266" s="29" t="inlineStr">
        <is>
          <t>317330</t>
        </is>
      </c>
      <c r="F266" s="29" t="inlineStr">
        <is>
          <t>2022</t>
        </is>
      </c>
      <c r="G266" s="29" t="inlineStr">
        <is>
          <t>CFS</t>
        </is>
      </c>
      <c r="H266" s="29" t="inlineStr">
        <is>
          <t>SCE</t>
        </is>
      </c>
      <c r="I266" s="29" t="inlineStr">
        <is>
          <t>자본변동표</t>
        </is>
      </c>
      <c r="J266" s="29" t="inlineStr">
        <is>
          <t>dart_IncreaseDecreaseThroughBusinessCombinations</t>
        </is>
      </c>
      <c r="K266" s="29" t="inlineStr">
        <is>
          <t>사업결합</t>
        </is>
      </c>
      <c r="L266" s="29" t="inlineStr">
        <is>
          <t>자본 [member]|비지배지분 [member]</t>
        </is>
      </c>
      <c r="M266" s="29" t="inlineStr">
        <is>
          <t>제 17 기</t>
        </is>
      </c>
      <c r="N266" s="29" t="inlineStr">
        <is>
          <t>14637129239.0</t>
        </is>
      </c>
      <c r="O266" s="29" t="inlineStr">
        <is>
          <t>해당 없음</t>
        </is>
      </c>
      <c r="P266" s="29" t="inlineStr">
        <is>
          <t>KRW</t>
        </is>
      </c>
      <c r="Q266" s="29" t="inlineStr">
        <is>
          <t>8</t>
        </is>
      </c>
    </row>
    <row r="267" ht="24" customHeight="1">
      <c r="A267" s="24" t="inlineStr">
        <is>
          <t>OpenDART_fnlttSinglAcntAll</t>
        </is>
      </c>
      <c r="B267" s="24" t="inlineStr">
        <is>
          <t>01021666</t>
        </is>
      </c>
      <c r="C267" s="24" t="inlineStr">
        <is>
          <t>덕산테코피아</t>
        </is>
      </c>
      <c r="D267" s="24" t="inlineStr">
        <is>
          <t>duksan</t>
        </is>
      </c>
      <c r="E267" s="24" t="inlineStr">
        <is>
          <t>317330</t>
        </is>
      </c>
      <c r="F267" s="24" t="inlineStr">
        <is>
          <t>2022</t>
        </is>
      </c>
      <c r="G267" s="24" t="inlineStr">
        <is>
          <t>CFS</t>
        </is>
      </c>
      <c r="H267" s="24" t="inlineStr">
        <is>
          <t>SCE</t>
        </is>
      </c>
      <c r="I267" s="24" t="inlineStr">
        <is>
          <t>자본변동표</t>
        </is>
      </c>
      <c r="J267" s="24" t="inlineStr">
        <is>
          <t>dart_IncreaseDecreaseThroughBusinessCombinations</t>
        </is>
      </c>
      <c r="K267" s="24" t="inlineStr">
        <is>
          <t>사업결합</t>
        </is>
      </c>
      <c r="L267" s="24" t="inlineStr">
        <is>
          <t>연결재무제표 [member]</t>
        </is>
      </c>
      <c r="M267" s="24" t="inlineStr">
        <is>
          <t>제 17 기</t>
        </is>
      </c>
      <c r="N267" s="24" t="inlineStr">
        <is>
          <t>14637129239.0</t>
        </is>
      </c>
      <c r="O267" s="24" t="inlineStr">
        <is>
          <t>해당 없음</t>
        </is>
      </c>
      <c r="P267" s="24" t="inlineStr">
        <is>
          <t>KRW</t>
        </is>
      </c>
      <c r="Q267" s="24" t="inlineStr">
        <is>
          <t>8</t>
        </is>
      </c>
    </row>
    <row r="268" ht="24" customHeight="1">
      <c r="A268" s="29" t="inlineStr">
        <is>
          <t>OpenDART_fnlttSinglAcntAll</t>
        </is>
      </c>
      <c r="B268" s="29" t="inlineStr">
        <is>
          <t>01021666</t>
        </is>
      </c>
      <c r="C268" s="29" t="inlineStr">
        <is>
          <t>덕산테코피아</t>
        </is>
      </c>
      <c r="D268" s="29" t="inlineStr">
        <is>
          <t>duksan</t>
        </is>
      </c>
      <c r="E268" s="29" t="inlineStr">
        <is>
          <t>317330</t>
        </is>
      </c>
      <c r="F268" s="29" t="inlineStr">
        <is>
          <t>2022</t>
        </is>
      </c>
      <c r="G268" s="29" t="inlineStr">
        <is>
          <t>CFS</t>
        </is>
      </c>
      <c r="H268" s="29" t="inlineStr">
        <is>
          <t>SCE</t>
        </is>
      </c>
      <c r="I268" s="29" t="inlineStr">
        <is>
          <t>자본변동표</t>
        </is>
      </c>
      <c r="J268" s="29" t="inlineStr">
        <is>
          <t>ifrs-full_Equity</t>
        </is>
      </c>
      <c r="K268" s="29" t="inlineStr">
        <is>
          <t>기말자본</t>
        </is>
      </c>
      <c r="L268" s="29" t="inlineStr">
        <is>
          <t>자본 [member]|지배기업의 소유주에게 귀속되는 자본 [member]|이익잉여금 [member]</t>
        </is>
      </c>
      <c r="M268" s="29" t="inlineStr">
        <is>
          <t>제 17 기</t>
        </is>
      </c>
      <c r="N268" s="29" t="inlineStr">
        <is>
          <t>107367556668.0</t>
        </is>
      </c>
      <c r="O268" s="29" t="inlineStr">
        <is>
          <t>90614859038.0</t>
        </is>
      </c>
      <c r="P268" s="29" t="inlineStr">
        <is>
          <t>KRW</t>
        </is>
      </c>
      <c r="Q268" s="29" t="inlineStr">
        <is>
          <t>9</t>
        </is>
      </c>
    </row>
    <row r="269" ht="24" customHeight="1">
      <c r="A269" s="24" t="inlineStr">
        <is>
          <t>OpenDART_fnlttSinglAcntAll</t>
        </is>
      </c>
      <c r="B269" s="24" t="inlineStr">
        <is>
          <t>01021666</t>
        </is>
      </c>
      <c r="C269" s="24" t="inlineStr">
        <is>
          <t>덕산테코피아</t>
        </is>
      </c>
      <c r="D269" s="24" t="inlineStr">
        <is>
          <t>duksan</t>
        </is>
      </c>
      <c r="E269" s="24" t="inlineStr">
        <is>
          <t>317330</t>
        </is>
      </c>
      <c r="F269" s="24" t="inlineStr">
        <is>
          <t>2022</t>
        </is>
      </c>
      <c r="G269" s="24" t="inlineStr">
        <is>
          <t>CFS</t>
        </is>
      </c>
      <c r="H269" s="24" t="inlineStr">
        <is>
          <t>SCE</t>
        </is>
      </c>
      <c r="I269" s="24" t="inlineStr">
        <is>
          <t>자본변동표</t>
        </is>
      </c>
      <c r="J269" s="24" t="inlineStr">
        <is>
          <t>ifrs-full_Equity</t>
        </is>
      </c>
      <c r="K269" s="24" t="inlineStr">
        <is>
          <t>기말자본</t>
        </is>
      </c>
      <c r="L269" s="24" t="inlineStr">
        <is>
          <t>자본 [member]|지배기업의 소유주에게 귀속되는 자본 [member]|기타자본항목</t>
        </is>
      </c>
      <c r="M269" s="24" t="inlineStr">
        <is>
          <t>제 17 기</t>
        </is>
      </c>
      <c r="N269" s="24" t="inlineStr">
        <is>
          <t>-4409540724.0</t>
        </is>
      </c>
      <c r="O269" s="24" t="inlineStr">
        <is>
          <t>-3825475372.0</t>
        </is>
      </c>
      <c r="P269" s="24" t="inlineStr">
        <is>
          <t>KRW</t>
        </is>
      </c>
      <c r="Q269" s="24" t="inlineStr">
        <is>
          <t>9</t>
        </is>
      </c>
    </row>
    <row r="270" ht="24" customHeight="1">
      <c r="A270" s="29" t="inlineStr">
        <is>
          <t>OpenDART_fnlttSinglAcntAll</t>
        </is>
      </c>
      <c r="B270" s="29" t="inlineStr">
        <is>
          <t>01021666</t>
        </is>
      </c>
      <c r="C270" s="29" t="inlineStr">
        <is>
          <t>덕산테코피아</t>
        </is>
      </c>
      <c r="D270" s="29" t="inlineStr">
        <is>
          <t>duksan</t>
        </is>
      </c>
      <c r="E270" s="29" t="inlineStr">
        <is>
          <t>317330</t>
        </is>
      </c>
      <c r="F270" s="29" t="inlineStr">
        <is>
          <t>2022</t>
        </is>
      </c>
      <c r="G270" s="29" t="inlineStr">
        <is>
          <t>CFS</t>
        </is>
      </c>
      <c r="H270" s="29" t="inlineStr">
        <is>
          <t>SCE</t>
        </is>
      </c>
      <c r="I270" s="29" t="inlineStr">
        <is>
          <t>자본변동표</t>
        </is>
      </c>
      <c r="J270" s="29" t="inlineStr">
        <is>
          <t>ifrs-full_Equity</t>
        </is>
      </c>
      <c r="K270" s="29" t="inlineStr">
        <is>
          <t>기말자본</t>
        </is>
      </c>
      <c r="L270" s="29" t="inlineStr">
        <is>
          <t>자본 [member]|지배기업의 소유주에게 귀속되는 자본 [member]</t>
        </is>
      </c>
      <c r="M270" s="29" t="inlineStr">
        <is>
          <t>제 17 기</t>
        </is>
      </c>
      <c r="N270" s="29" t="inlineStr">
        <is>
          <t>188388701035.0</t>
        </is>
      </c>
      <c r="O270" s="29" t="inlineStr">
        <is>
          <t>172319220642.0</t>
        </is>
      </c>
      <c r="P270" s="29" t="inlineStr">
        <is>
          <t>KRW</t>
        </is>
      </c>
      <c r="Q270" s="29" t="inlineStr">
        <is>
          <t>9</t>
        </is>
      </c>
    </row>
    <row r="271" ht="24" customHeight="1">
      <c r="A271" s="24" t="inlineStr">
        <is>
          <t>OpenDART_fnlttSinglAcntAll</t>
        </is>
      </c>
      <c r="B271" s="24" t="inlineStr">
        <is>
          <t>01021666</t>
        </is>
      </c>
      <c r="C271" s="24" t="inlineStr">
        <is>
          <t>덕산테코피아</t>
        </is>
      </c>
      <c r="D271" s="24" t="inlineStr">
        <is>
          <t>duksan</t>
        </is>
      </c>
      <c r="E271" s="24" t="inlineStr">
        <is>
          <t>317330</t>
        </is>
      </c>
      <c r="F271" s="24" t="inlineStr">
        <is>
          <t>2022</t>
        </is>
      </c>
      <c r="G271" s="24" t="inlineStr">
        <is>
          <t>CFS</t>
        </is>
      </c>
      <c r="H271" s="24" t="inlineStr">
        <is>
          <t>SCE</t>
        </is>
      </c>
      <c r="I271" s="24" t="inlineStr">
        <is>
          <t>자본변동표</t>
        </is>
      </c>
      <c r="J271" s="24" t="inlineStr">
        <is>
          <t>ifrs-full_Equity</t>
        </is>
      </c>
      <c r="K271" s="24" t="inlineStr">
        <is>
          <t>기말자본</t>
        </is>
      </c>
      <c r="L271" s="24" t="inlineStr">
        <is>
          <t>자본 [member]|비지배지분 [member]</t>
        </is>
      </c>
      <c r="M271" s="24" t="inlineStr">
        <is>
          <t>제 17 기</t>
        </is>
      </c>
      <c r="N271" s="24" t="inlineStr">
        <is>
          <t>14897354380.0</t>
        </is>
      </c>
      <c r="O271" s="24" t="inlineStr">
        <is>
          <t>667724256.0</t>
        </is>
      </c>
      <c r="P271" s="24" t="inlineStr">
        <is>
          <t>KRW</t>
        </is>
      </c>
      <c r="Q271" s="24" t="inlineStr">
        <is>
          <t>9</t>
        </is>
      </c>
    </row>
    <row r="272" ht="24" customHeight="1">
      <c r="A272" s="29" t="inlineStr">
        <is>
          <t>OpenDART_fnlttSinglAcntAll</t>
        </is>
      </c>
      <c r="B272" s="29" t="inlineStr">
        <is>
          <t>01021666</t>
        </is>
      </c>
      <c r="C272" s="29" t="inlineStr">
        <is>
          <t>덕산테코피아</t>
        </is>
      </c>
      <c r="D272" s="29" t="inlineStr">
        <is>
          <t>duksan</t>
        </is>
      </c>
      <c r="E272" s="29" t="inlineStr">
        <is>
          <t>317330</t>
        </is>
      </c>
      <c r="F272" s="29" t="inlineStr">
        <is>
          <t>2022</t>
        </is>
      </c>
      <c r="G272" s="29" t="inlineStr">
        <is>
          <t>CFS</t>
        </is>
      </c>
      <c r="H272" s="29" t="inlineStr">
        <is>
          <t>SCE</t>
        </is>
      </c>
      <c r="I272" s="29" t="inlineStr">
        <is>
          <t>자본변동표</t>
        </is>
      </c>
      <c r="J272" s="29" t="inlineStr">
        <is>
          <t>ifrs-full_Equity</t>
        </is>
      </c>
      <c r="K272" s="29" t="inlineStr">
        <is>
          <t>기말자본</t>
        </is>
      </c>
      <c r="L272" s="29" t="inlineStr">
        <is>
          <t>연결재무제표 [member]</t>
        </is>
      </c>
      <c r="M272" s="29" t="inlineStr">
        <is>
          <t>제 17 기</t>
        </is>
      </c>
      <c r="N272" s="29" t="inlineStr">
        <is>
          <t>203286055415.0</t>
        </is>
      </c>
      <c r="O272" s="29" t="inlineStr">
        <is>
          <t>172986944898.0</t>
        </is>
      </c>
      <c r="P272" s="29" t="inlineStr">
        <is>
          <t>KRW</t>
        </is>
      </c>
      <c r="Q272" s="29" t="inlineStr">
        <is>
          <t>9</t>
        </is>
      </c>
    </row>
    <row r="273" ht="24" customHeight="1">
      <c r="A273" s="24" t="inlineStr">
        <is>
          <t>OpenDART_fnlttSinglAcntAll</t>
        </is>
      </c>
      <c r="B273" s="24" t="inlineStr">
        <is>
          <t>01021666</t>
        </is>
      </c>
      <c r="C273" s="24" t="inlineStr">
        <is>
          <t>덕산테코피아</t>
        </is>
      </c>
      <c r="D273" s="24" t="inlineStr">
        <is>
          <t>duksan</t>
        </is>
      </c>
      <c r="E273" s="24" t="inlineStr">
        <is>
          <t>317330</t>
        </is>
      </c>
      <c r="F273" s="24" t="inlineStr">
        <is>
          <t>2022</t>
        </is>
      </c>
      <c r="G273" s="24" t="inlineStr">
        <is>
          <t>CFS</t>
        </is>
      </c>
      <c r="H273" s="24" t="inlineStr">
        <is>
          <t>SCE</t>
        </is>
      </c>
      <c r="I273" s="24" t="inlineStr">
        <is>
          <t>자본변동표</t>
        </is>
      </c>
      <c r="J273" s="24" t="inlineStr">
        <is>
          <t>ifrs-full_Equity</t>
        </is>
      </c>
      <c r="K273" s="24" t="inlineStr">
        <is>
          <t>기말자본</t>
        </is>
      </c>
      <c r="L273" s="24" t="inlineStr">
        <is>
          <t>자본 [member]|지배기업의 소유주에게 귀속되는 자본 [member]|자본금 [member]</t>
        </is>
      </c>
      <c r="M273" s="24" t="inlineStr">
        <is>
          <t>제 17 기</t>
        </is>
      </c>
      <c r="N273" s="24" t="inlineStr">
        <is>
          <t>9188714000.0</t>
        </is>
      </c>
      <c r="O273" s="24" t="inlineStr">
        <is>
          <t>9188714000.0</t>
        </is>
      </c>
      <c r="P273" s="24" t="inlineStr">
        <is>
          <t>KRW</t>
        </is>
      </c>
      <c r="Q273" s="24" t="inlineStr">
        <is>
          <t>9</t>
        </is>
      </c>
    </row>
    <row r="274" ht="24" customHeight="1">
      <c r="A274" s="29" t="inlineStr">
        <is>
          <t>OpenDART_fnlttSinglAcntAll</t>
        </is>
      </c>
      <c r="B274" s="29" t="inlineStr">
        <is>
          <t>01021666</t>
        </is>
      </c>
      <c r="C274" s="29" t="inlineStr">
        <is>
          <t>덕산테코피아</t>
        </is>
      </c>
      <c r="D274" s="29" t="inlineStr">
        <is>
          <t>duksan</t>
        </is>
      </c>
      <c r="E274" s="29" t="inlineStr">
        <is>
          <t>317330</t>
        </is>
      </c>
      <c r="F274" s="29" t="inlineStr">
        <is>
          <t>2022</t>
        </is>
      </c>
      <c r="G274" s="29" t="inlineStr">
        <is>
          <t>CFS</t>
        </is>
      </c>
      <c r="H274" s="29" t="inlineStr">
        <is>
          <t>SCE</t>
        </is>
      </c>
      <c r="I274" s="29" t="inlineStr">
        <is>
          <t>자본변동표</t>
        </is>
      </c>
      <c r="J274" s="29" t="inlineStr">
        <is>
          <t>ifrs-full_Equity</t>
        </is>
      </c>
      <c r="K274" s="29" t="inlineStr">
        <is>
          <t>기말자본</t>
        </is>
      </c>
      <c r="L274" s="29" t="inlineStr">
        <is>
          <t>자본 [member]|지배기업의 소유주에게 귀속되는 자본 [member]|자본잉여금 [member]</t>
        </is>
      </c>
      <c r="M274" s="29" t="inlineStr">
        <is>
          <t>제 17 기</t>
        </is>
      </c>
      <c r="N274" s="29" t="inlineStr">
        <is>
          <t>76241971091.0</t>
        </is>
      </c>
      <c r="O274" s="29" t="inlineStr">
        <is>
          <t>76341122976.0</t>
        </is>
      </c>
      <c r="P274" s="29" t="inlineStr">
        <is>
          <t>KRW</t>
        </is>
      </c>
      <c r="Q274" s="29" t="inlineStr">
        <is>
          <t>9</t>
        </is>
      </c>
    </row>
    <row r="275" ht="24" customHeight="1">
      <c r="A275" s="24" t="inlineStr">
        <is>
          <t>OpenDART_fnlttSinglAcntAll</t>
        </is>
      </c>
      <c r="B275" s="24" t="inlineStr">
        <is>
          <t>01021666</t>
        </is>
      </c>
      <c r="C275" s="24" t="inlineStr">
        <is>
          <t>덕산테코피아</t>
        </is>
      </c>
      <c r="D275" s="24" t="inlineStr">
        <is>
          <t>duksan</t>
        </is>
      </c>
      <c r="E275" s="24" t="inlineStr">
        <is>
          <t>317330</t>
        </is>
      </c>
      <c r="F275" s="24" t="inlineStr">
        <is>
          <t>2023</t>
        </is>
      </c>
      <c r="G275" s="24" t="inlineStr">
        <is>
          <t>CFS</t>
        </is>
      </c>
      <c r="H275" s="24" t="inlineStr">
        <is>
          <t>BS</t>
        </is>
      </c>
      <c r="I275" s="24" t="inlineStr">
        <is>
          <t>재무상태표</t>
        </is>
      </c>
      <c r="J275" s="24" t="inlineStr">
        <is>
          <t>ifrs-full_Assets</t>
        </is>
      </c>
      <c r="K275" s="24" t="inlineStr">
        <is>
          <t>자산총계</t>
        </is>
      </c>
      <c r="L275" s="24" t="inlineStr">
        <is>
          <t>-</t>
        </is>
      </c>
      <c r="M275" s="24" t="inlineStr">
        <is>
          <t>제 18 기</t>
        </is>
      </c>
      <c r="N275" s="24" t="inlineStr">
        <is>
          <t>514367139681.0</t>
        </is>
      </c>
      <c r="O275" s="24" t="inlineStr">
        <is>
          <t>298526727044.0</t>
        </is>
      </c>
      <c r="P275" s="24" t="inlineStr">
        <is>
          <t>KRW</t>
        </is>
      </c>
      <c r="Q275" s="24" t="inlineStr">
        <is>
          <t>7</t>
        </is>
      </c>
    </row>
    <row r="276" ht="24" customHeight="1">
      <c r="A276" s="29" t="inlineStr">
        <is>
          <t>OpenDART_fnlttSinglAcntAll</t>
        </is>
      </c>
      <c r="B276" s="29" t="inlineStr">
        <is>
          <t>01021666</t>
        </is>
      </c>
      <c r="C276" s="29" t="inlineStr">
        <is>
          <t>덕산테코피아</t>
        </is>
      </c>
      <c r="D276" s="29" t="inlineStr">
        <is>
          <t>duksan</t>
        </is>
      </c>
      <c r="E276" s="29" t="inlineStr">
        <is>
          <t>317330</t>
        </is>
      </c>
      <c r="F276" s="29" t="inlineStr">
        <is>
          <t>2023</t>
        </is>
      </c>
      <c r="G276" s="29" t="inlineStr">
        <is>
          <t>CFS</t>
        </is>
      </c>
      <c r="H276" s="29" t="inlineStr">
        <is>
          <t>BS</t>
        </is>
      </c>
      <c r="I276" s="29" t="inlineStr">
        <is>
          <t>재무상태표</t>
        </is>
      </c>
      <c r="J276" s="29" t="inlineStr">
        <is>
          <t>ifrs-full_CurrentAssets</t>
        </is>
      </c>
      <c r="K276" s="29" t="inlineStr">
        <is>
          <t>유동자산</t>
        </is>
      </c>
      <c r="L276" s="29" t="inlineStr">
        <is>
          <t>-</t>
        </is>
      </c>
      <c r="M276" s="29" t="inlineStr">
        <is>
          <t>제 18 기</t>
        </is>
      </c>
      <c r="N276" s="29" t="inlineStr">
        <is>
          <t>112170658300.0</t>
        </is>
      </c>
      <c r="O276" s="29" t="inlineStr">
        <is>
          <t>71435629813.0</t>
        </is>
      </c>
      <c r="P276" s="29" t="inlineStr">
        <is>
          <t>KRW</t>
        </is>
      </c>
      <c r="Q276" s="29" t="inlineStr">
        <is>
          <t>8</t>
        </is>
      </c>
    </row>
    <row r="277" ht="24" customHeight="1">
      <c r="A277" s="24" t="inlineStr">
        <is>
          <t>OpenDART_fnlttSinglAcntAll</t>
        </is>
      </c>
      <c r="B277" s="24" t="inlineStr">
        <is>
          <t>01021666</t>
        </is>
      </c>
      <c r="C277" s="24" t="inlineStr">
        <is>
          <t>덕산테코피아</t>
        </is>
      </c>
      <c r="D277" s="24" t="inlineStr">
        <is>
          <t>duksan</t>
        </is>
      </c>
      <c r="E277" s="24" t="inlineStr">
        <is>
          <t>317330</t>
        </is>
      </c>
      <c r="F277" s="24" t="inlineStr">
        <is>
          <t>2023</t>
        </is>
      </c>
      <c r="G277" s="24" t="inlineStr">
        <is>
          <t>CFS</t>
        </is>
      </c>
      <c r="H277" s="24" t="inlineStr">
        <is>
          <t>BS</t>
        </is>
      </c>
      <c r="I277" s="24" t="inlineStr">
        <is>
          <t>재무상태표</t>
        </is>
      </c>
      <c r="J277" s="24" t="inlineStr">
        <is>
          <t>ifrs-full_CashAndCashEquivalents</t>
        </is>
      </c>
      <c r="K277" s="24" t="inlineStr">
        <is>
          <t>현금및현금성자산</t>
        </is>
      </c>
      <c r="L277" s="24" t="inlineStr">
        <is>
          <t>-</t>
        </is>
      </c>
      <c r="M277" s="24" t="inlineStr">
        <is>
          <t>제 18 기</t>
        </is>
      </c>
      <c r="N277" s="24" t="inlineStr">
        <is>
          <t>23919527042.0</t>
        </is>
      </c>
      <c r="O277" s="24" t="inlineStr">
        <is>
          <t>27763882839.0</t>
        </is>
      </c>
      <c r="P277" s="24" t="inlineStr">
        <is>
          <t>KRW</t>
        </is>
      </c>
      <c r="Q277" s="24" t="inlineStr">
        <is>
          <t>9</t>
        </is>
      </c>
    </row>
    <row r="278" ht="24" customHeight="1">
      <c r="A278" s="29" t="inlineStr">
        <is>
          <t>OpenDART_fnlttSinglAcntAll</t>
        </is>
      </c>
      <c r="B278" s="29" t="inlineStr">
        <is>
          <t>01021666</t>
        </is>
      </c>
      <c r="C278" s="29" t="inlineStr">
        <is>
          <t>덕산테코피아</t>
        </is>
      </c>
      <c r="D278" s="29" t="inlineStr">
        <is>
          <t>duksan</t>
        </is>
      </c>
      <c r="E278" s="29" t="inlineStr">
        <is>
          <t>317330</t>
        </is>
      </c>
      <c r="F278" s="29" t="inlineStr">
        <is>
          <t>2023</t>
        </is>
      </c>
      <c r="G278" s="29" t="inlineStr">
        <is>
          <t>CFS</t>
        </is>
      </c>
      <c r="H278" s="29" t="inlineStr">
        <is>
          <t>BS</t>
        </is>
      </c>
      <c r="I278" s="29" t="inlineStr">
        <is>
          <t>재무상태표</t>
        </is>
      </c>
      <c r="J278" s="29" t="inlineStr">
        <is>
          <t>ifrs-full_Inventories</t>
        </is>
      </c>
      <c r="K278" s="29" t="inlineStr">
        <is>
          <t>유동재고자산</t>
        </is>
      </c>
      <c r="L278" s="29" t="inlineStr">
        <is>
          <t>-</t>
        </is>
      </c>
      <c r="M278" s="29" t="inlineStr">
        <is>
          <t>제 18 기</t>
        </is>
      </c>
      <c r="N278" s="29" t="inlineStr">
        <is>
          <t>36967045010.0</t>
        </is>
      </c>
      <c r="O278" s="29" t="inlineStr">
        <is>
          <t>26577751000.0</t>
        </is>
      </c>
      <c r="P278" s="29" t="inlineStr">
        <is>
          <t>KRW</t>
        </is>
      </c>
      <c r="Q278" s="29" t="inlineStr">
        <is>
          <t>10</t>
        </is>
      </c>
    </row>
    <row r="279" ht="24" customHeight="1">
      <c r="A279" s="24" t="inlineStr">
        <is>
          <t>OpenDART_fnlttSinglAcntAll</t>
        </is>
      </c>
      <c r="B279" s="24" t="inlineStr">
        <is>
          <t>01021666</t>
        </is>
      </c>
      <c r="C279" s="24" t="inlineStr">
        <is>
          <t>덕산테코피아</t>
        </is>
      </c>
      <c r="D279" s="24" t="inlineStr">
        <is>
          <t>duksan</t>
        </is>
      </c>
      <c r="E279" s="24" t="inlineStr">
        <is>
          <t>317330</t>
        </is>
      </c>
      <c r="F279" s="24" t="inlineStr">
        <is>
          <t>2023</t>
        </is>
      </c>
      <c r="G279" s="24" t="inlineStr">
        <is>
          <t>CFS</t>
        </is>
      </c>
      <c r="H279" s="24" t="inlineStr">
        <is>
          <t>BS</t>
        </is>
      </c>
      <c r="I279" s="24" t="inlineStr">
        <is>
          <t>재무상태표</t>
        </is>
      </c>
      <c r="J279" s="24" t="inlineStr">
        <is>
          <t>ifrs-full_OtherCurrentAssets</t>
        </is>
      </c>
      <c r="K279" s="24" t="inlineStr">
        <is>
          <t>기타유동자산</t>
        </is>
      </c>
      <c r="L279" s="24" t="inlineStr">
        <is>
          <t>-</t>
        </is>
      </c>
      <c r="M279" s="24" t="inlineStr">
        <is>
          <t>제 18 기</t>
        </is>
      </c>
      <c r="N279" s="24" t="inlineStr">
        <is>
          <t>3313022345.0</t>
        </is>
      </c>
      <c r="O279" s="24" t="inlineStr">
        <is>
          <t>3501352784.0</t>
        </is>
      </c>
      <c r="P279" s="24" t="inlineStr">
        <is>
          <t>KRW</t>
        </is>
      </c>
      <c r="Q279" s="24" t="inlineStr">
        <is>
          <t>11</t>
        </is>
      </c>
    </row>
    <row r="280" ht="24" customHeight="1">
      <c r="A280" s="29" t="inlineStr">
        <is>
          <t>OpenDART_fnlttSinglAcntAll</t>
        </is>
      </c>
      <c r="B280" s="29" t="inlineStr">
        <is>
          <t>01021666</t>
        </is>
      </c>
      <c r="C280" s="29" t="inlineStr">
        <is>
          <t>덕산테코피아</t>
        </is>
      </c>
      <c r="D280" s="29" t="inlineStr">
        <is>
          <t>duksan</t>
        </is>
      </c>
      <c r="E280" s="29" t="inlineStr">
        <is>
          <t>317330</t>
        </is>
      </c>
      <c r="F280" s="29" t="inlineStr">
        <is>
          <t>2023</t>
        </is>
      </c>
      <c r="G280" s="29" t="inlineStr">
        <is>
          <t>CFS</t>
        </is>
      </c>
      <c r="H280" s="29" t="inlineStr">
        <is>
          <t>BS</t>
        </is>
      </c>
      <c r="I280" s="29" t="inlineStr">
        <is>
          <t>재무상태표</t>
        </is>
      </c>
      <c r="J280" s="29" t="inlineStr">
        <is>
          <t>ifrs-full_ShorttermDepositsNotClassifiedAsCashEquivalents</t>
        </is>
      </c>
      <c r="K280" s="29" t="inlineStr">
        <is>
          <t>단기금융상품</t>
        </is>
      </c>
      <c r="L280" s="29" t="inlineStr">
        <is>
          <t>-</t>
        </is>
      </c>
      <c r="M280" s="29" t="inlineStr">
        <is>
          <t>제 18 기</t>
        </is>
      </c>
      <c r="N280" s="29" t="inlineStr">
        <is>
          <t>35000024950.0</t>
        </is>
      </c>
      <c r="O280" s="29" t="inlineStr">
        <is>
          <t>24950.0</t>
        </is>
      </c>
      <c r="P280" s="29" t="inlineStr">
        <is>
          <t>KRW</t>
        </is>
      </c>
      <c r="Q280" s="29" t="inlineStr">
        <is>
          <t>12</t>
        </is>
      </c>
    </row>
    <row r="281" ht="24" customHeight="1">
      <c r="A281" s="24" t="inlineStr">
        <is>
          <t>OpenDART_fnlttSinglAcntAll</t>
        </is>
      </c>
      <c r="B281" s="24" t="inlineStr">
        <is>
          <t>01021666</t>
        </is>
      </c>
      <c r="C281" s="24" t="inlineStr">
        <is>
          <t>덕산테코피아</t>
        </is>
      </c>
      <c r="D281" s="24" t="inlineStr">
        <is>
          <t>duksan</t>
        </is>
      </c>
      <c r="E281" s="24" t="inlineStr">
        <is>
          <t>317330</t>
        </is>
      </c>
      <c r="F281" s="24" t="inlineStr">
        <is>
          <t>2023</t>
        </is>
      </c>
      <c r="G281" s="24" t="inlineStr">
        <is>
          <t>CFS</t>
        </is>
      </c>
      <c r="H281" s="24" t="inlineStr">
        <is>
          <t>BS</t>
        </is>
      </c>
      <c r="I281" s="24" t="inlineStr">
        <is>
          <t>재무상태표</t>
        </is>
      </c>
      <c r="J281" s="24" t="inlineStr">
        <is>
          <t>ifrs-full_TradeAndOtherCurrentReceivables</t>
        </is>
      </c>
      <c r="K281" s="24" t="inlineStr">
        <is>
          <t>매출채권 및 기타유동채권</t>
        </is>
      </c>
      <c r="L281" s="24" t="inlineStr">
        <is>
          <t>-</t>
        </is>
      </c>
      <c r="M281" s="24" t="inlineStr">
        <is>
          <t>제 18 기</t>
        </is>
      </c>
      <c r="N281" s="24" t="inlineStr">
        <is>
          <t>12971038953.0</t>
        </is>
      </c>
      <c r="O281" s="24" t="inlineStr">
        <is>
          <t>13592618240.0</t>
        </is>
      </c>
      <c r="P281" s="24" t="inlineStr">
        <is>
          <t>KRW</t>
        </is>
      </c>
      <c r="Q281" s="24" t="inlineStr">
        <is>
          <t>13</t>
        </is>
      </c>
    </row>
    <row r="282" ht="24" customHeight="1">
      <c r="A282" s="29" t="inlineStr">
        <is>
          <t>OpenDART_fnlttSinglAcntAll</t>
        </is>
      </c>
      <c r="B282" s="29" t="inlineStr">
        <is>
          <t>01021666</t>
        </is>
      </c>
      <c r="C282" s="29" t="inlineStr">
        <is>
          <t>덕산테코피아</t>
        </is>
      </c>
      <c r="D282" s="29" t="inlineStr">
        <is>
          <t>duksan</t>
        </is>
      </c>
      <c r="E282" s="29" t="inlineStr">
        <is>
          <t>317330</t>
        </is>
      </c>
      <c r="F282" s="29" t="inlineStr">
        <is>
          <t>2023</t>
        </is>
      </c>
      <c r="G282" s="29" t="inlineStr">
        <is>
          <t>CFS</t>
        </is>
      </c>
      <c r="H282" s="29" t="inlineStr">
        <is>
          <t>BS</t>
        </is>
      </c>
      <c r="I282" s="29" t="inlineStr">
        <is>
          <t>재무상태표</t>
        </is>
      </c>
      <c r="J282" s="29" t="inlineStr">
        <is>
          <t>ifrs-full_NoncurrentAssets</t>
        </is>
      </c>
      <c r="K282" s="29" t="inlineStr">
        <is>
          <t>비유동자산</t>
        </is>
      </c>
      <c r="L282" s="29" t="inlineStr">
        <is>
          <t>-</t>
        </is>
      </c>
      <c r="M282" s="29" t="inlineStr">
        <is>
          <t>제 18 기</t>
        </is>
      </c>
      <c r="N282" s="29" t="inlineStr">
        <is>
          <t>402196481381.0</t>
        </is>
      </c>
      <c r="O282" s="29" t="inlineStr">
        <is>
          <t>227091097231.0</t>
        </is>
      </c>
      <c r="P282" s="29" t="inlineStr">
        <is>
          <t>KRW</t>
        </is>
      </c>
      <c r="Q282" s="29" t="inlineStr">
        <is>
          <t>14</t>
        </is>
      </c>
    </row>
    <row r="283" ht="24" customHeight="1">
      <c r="A283" s="24" t="inlineStr">
        <is>
          <t>OpenDART_fnlttSinglAcntAll</t>
        </is>
      </c>
      <c r="B283" s="24" t="inlineStr">
        <is>
          <t>01021666</t>
        </is>
      </c>
      <c r="C283" s="24" t="inlineStr">
        <is>
          <t>덕산테코피아</t>
        </is>
      </c>
      <c r="D283" s="24" t="inlineStr">
        <is>
          <t>duksan</t>
        </is>
      </c>
      <c r="E283" s="24" t="inlineStr">
        <is>
          <t>317330</t>
        </is>
      </c>
      <c r="F283" s="24" t="inlineStr">
        <is>
          <t>2023</t>
        </is>
      </c>
      <c r="G283" s="24" t="inlineStr">
        <is>
          <t>CFS</t>
        </is>
      </c>
      <c r="H283" s="24" t="inlineStr">
        <is>
          <t>BS</t>
        </is>
      </c>
      <c r="I283" s="24" t="inlineStr">
        <is>
          <t>재무상태표</t>
        </is>
      </c>
      <c r="J283" s="24" t="inlineStr">
        <is>
          <t>dart_InvestedAssetForPostemploymentBenefit</t>
        </is>
      </c>
      <c r="K283" s="24" t="inlineStr">
        <is>
          <t>퇴직급여운용자산/퇴직연금운용자산</t>
        </is>
      </c>
      <c r="L283" s="24" t="inlineStr">
        <is>
          <t>-</t>
        </is>
      </c>
      <c r="M283" s="24" t="inlineStr">
        <is>
          <t>제 18 기</t>
        </is>
      </c>
      <c r="N283" s="24" t="inlineStr">
        <is>
          <t>182805067.0</t>
        </is>
      </c>
      <c r="O283" s="24" t="inlineStr">
        <is>
          <t>756470067.0</t>
        </is>
      </c>
      <c r="P283" s="24" t="inlineStr">
        <is>
          <t>KRW</t>
        </is>
      </c>
      <c r="Q283" s="24" t="inlineStr">
        <is>
          <t>15</t>
        </is>
      </c>
    </row>
    <row r="284" ht="24" customHeight="1">
      <c r="A284" s="29" t="inlineStr">
        <is>
          <t>OpenDART_fnlttSinglAcntAll</t>
        </is>
      </c>
      <c r="B284" s="29" t="inlineStr">
        <is>
          <t>01021666</t>
        </is>
      </c>
      <c r="C284" s="29" t="inlineStr">
        <is>
          <t>덕산테코피아</t>
        </is>
      </c>
      <c r="D284" s="29" t="inlineStr">
        <is>
          <t>duksan</t>
        </is>
      </c>
      <c r="E284" s="29" t="inlineStr">
        <is>
          <t>317330</t>
        </is>
      </c>
      <c r="F284" s="29" t="inlineStr">
        <is>
          <t>2023</t>
        </is>
      </c>
      <c r="G284" s="29" t="inlineStr">
        <is>
          <t>CFS</t>
        </is>
      </c>
      <c r="H284" s="29" t="inlineStr">
        <is>
          <t>BS</t>
        </is>
      </c>
      <c r="I284" s="29" t="inlineStr">
        <is>
          <t>재무상태표</t>
        </is>
      </c>
      <c r="J284" s="29" t="inlineStr">
        <is>
          <t>dart_LongTermTradeAndOtherNonCurrentReceivablesGross</t>
        </is>
      </c>
      <c r="K284" s="29" t="inlineStr">
        <is>
          <t>장기매출채권 및 기타비유동채권</t>
        </is>
      </c>
      <c r="L284" s="29" t="inlineStr">
        <is>
          <t>-</t>
        </is>
      </c>
      <c r="M284" s="29" t="inlineStr">
        <is>
          <t>제 18 기</t>
        </is>
      </c>
      <c r="N284" s="29" t="inlineStr">
        <is>
          <t>164557292.0</t>
        </is>
      </c>
      <c r="O284" s="29" t="inlineStr">
        <is>
          <t>2532172467.0</t>
        </is>
      </c>
      <c r="P284" s="29" t="inlineStr">
        <is>
          <t>KRW</t>
        </is>
      </c>
      <c r="Q284" s="29" t="inlineStr">
        <is>
          <t>16</t>
        </is>
      </c>
    </row>
    <row r="285" ht="24" customHeight="1">
      <c r="A285" s="24" t="inlineStr">
        <is>
          <t>OpenDART_fnlttSinglAcntAll</t>
        </is>
      </c>
      <c r="B285" s="24" t="inlineStr">
        <is>
          <t>01021666</t>
        </is>
      </c>
      <c r="C285" s="24" t="inlineStr">
        <is>
          <t>덕산테코피아</t>
        </is>
      </c>
      <c r="D285" s="24" t="inlineStr">
        <is>
          <t>duksan</t>
        </is>
      </c>
      <c r="E285" s="24" t="inlineStr">
        <is>
          <t>317330</t>
        </is>
      </c>
      <c r="F285" s="24" t="inlineStr">
        <is>
          <t>2023</t>
        </is>
      </c>
      <c r="G285" s="24" t="inlineStr">
        <is>
          <t>CFS</t>
        </is>
      </c>
      <c r="H285" s="24" t="inlineStr">
        <is>
          <t>BS</t>
        </is>
      </c>
      <c r="I285" s="24" t="inlineStr">
        <is>
          <t>재무상태표</t>
        </is>
      </c>
      <c r="J285" s="24" t="inlineStr">
        <is>
          <t>dart_NonCurrentFairValueFinancialAsset</t>
        </is>
      </c>
      <c r="K285" s="24" t="inlineStr">
        <is>
          <t>비유동당기손익인식금융자산</t>
        </is>
      </c>
      <c r="L285" s="24" t="inlineStr">
        <is>
          <t>-</t>
        </is>
      </c>
      <c r="M285" s="24" t="inlineStr">
        <is>
          <t>제 18 기</t>
        </is>
      </c>
      <c r="N285" s="24" t="inlineStr">
        <is>
          <t>7840816170.0</t>
        </is>
      </c>
      <c r="O285" s="24" t="inlineStr">
        <is>
          <t>7709121953.0</t>
        </is>
      </c>
      <c r="P285" s="24" t="inlineStr">
        <is>
          <t>KRW</t>
        </is>
      </c>
      <c r="Q285" s="24" t="inlineStr">
        <is>
          <t>17</t>
        </is>
      </c>
    </row>
    <row r="286" ht="24" customHeight="1">
      <c r="A286" s="29" t="inlineStr">
        <is>
          <t>OpenDART_fnlttSinglAcntAll</t>
        </is>
      </c>
      <c r="B286" s="29" t="inlineStr">
        <is>
          <t>01021666</t>
        </is>
      </c>
      <c r="C286" s="29" t="inlineStr">
        <is>
          <t>덕산테코피아</t>
        </is>
      </c>
      <c r="D286" s="29" t="inlineStr">
        <is>
          <t>duksan</t>
        </is>
      </c>
      <c r="E286" s="29" t="inlineStr">
        <is>
          <t>317330</t>
        </is>
      </c>
      <c r="F286" s="29" t="inlineStr">
        <is>
          <t>2023</t>
        </is>
      </c>
      <c r="G286" s="29" t="inlineStr">
        <is>
          <t>CFS</t>
        </is>
      </c>
      <c r="H286" s="29" t="inlineStr">
        <is>
          <t>BS</t>
        </is>
      </c>
      <c r="I286" s="29" t="inlineStr">
        <is>
          <t>재무상태표</t>
        </is>
      </c>
      <c r="J286" s="29" t="inlineStr">
        <is>
          <t>ifrs-full_DeferredTaxAssets</t>
        </is>
      </c>
      <c r="K286" s="29" t="inlineStr">
        <is>
          <t>이연법인세자산</t>
        </is>
      </c>
      <c r="L286" s="29" t="inlineStr">
        <is>
          <t>-</t>
        </is>
      </c>
      <c r="M286" s="29" t="inlineStr">
        <is>
          <t>제 18 기</t>
        </is>
      </c>
      <c r="N286" s="29" t="inlineStr">
        <is>
          <t>6937637209.0</t>
        </is>
      </c>
      <c r="O286" s="29" t="inlineStr">
        <is>
          <t>4876759262.0</t>
        </is>
      </c>
      <c r="P286" s="29" t="inlineStr">
        <is>
          <t>KRW</t>
        </is>
      </c>
      <c r="Q286" s="29" t="inlineStr">
        <is>
          <t>18</t>
        </is>
      </c>
    </row>
    <row r="287" ht="24" customHeight="1">
      <c r="A287" s="24" t="inlineStr">
        <is>
          <t>OpenDART_fnlttSinglAcntAll</t>
        </is>
      </c>
      <c r="B287" s="24" t="inlineStr">
        <is>
          <t>01021666</t>
        </is>
      </c>
      <c r="C287" s="24" t="inlineStr">
        <is>
          <t>덕산테코피아</t>
        </is>
      </c>
      <c r="D287" s="24" t="inlineStr">
        <is>
          <t>duksan</t>
        </is>
      </c>
      <c r="E287" s="24" t="inlineStr">
        <is>
          <t>317330</t>
        </is>
      </c>
      <c r="F287" s="24" t="inlineStr">
        <is>
          <t>2023</t>
        </is>
      </c>
      <c r="G287" s="24" t="inlineStr">
        <is>
          <t>CFS</t>
        </is>
      </c>
      <c r="H287" s="24" t="inlineStr">
        <is>
          <t>BS</t>
        </is>
      </c>
      <c r="I287" s="24" t="inlineStr">
        <is>
          <t>재무상태표</t>
        </is>
      </c>
      <c r="J287" s="24" t="inlineStr">
        <is>
          <t>ifrs-full_IntangibleAssetsOtherThanGoodwill</t>
        </is>
      </c>
      <c r="K287" s="24" t="inlineStr">
        <is>
          <t>영업권 이외의 무형자산</t>
        </is>
      </c>
      <c r="L287" s="24" t="inlineStr">
        <is>
          <t>-</t>
        </is>
      </c>
      <c r="M287" s="24" t="inlineStr">
        <is>
          <t>제 18 기</t>
        </is>
      </c>
      <c r="N287" s="24" t="inlineStr">
        <is>
          <t>18169662897.0</t>
        </is>
      </c>
      <c r="O287" s="24" t="inlineStr">
        <is>
          <t>19927978909.0</t>
        </is>
      </c>
      <c r="P287" s="24" t="inlineStr">
        <is>
          <t>KRW</t>
        </is>
      </c>
      <c r="Q287" s="24" t="inlineStr">
        <is>
          <t>19</t>
        </is>
      </c>
    </row>
    <row r="288" ht="24" customHeight="1">
      <c r="A288" s="29" t="inlineStr">
        <is>
          <t>OpenDART_fnlttSinglAcntAll</t>
        </is>
      </c>
      <c r="B288" s="29" t="inlineStr">
        <is>
          <t>01021666</t>
        </is>
      </c>
      <c r="C288" s="29" t="inlineStr">
        <is>
          <t>덕산테코피아</t>
        </is>
      </c>
      <c r="D288" s="29" t="inlineStr">
        <is>
          <t>duksan</t>
        </is>
      </c>
      <c r="E288" s="29" t="inlineStr">
        <is>
          <t>317330</t>
        </is>
      </c>
      <c r="F288" s="29" t="inlineStr">
        <is>
          <t>2023</t>
        </is>
      </c>
      <c r="G288" s="29" t="inlineStr">
        <is>
          <t>CFS</t>
        </is>
      </c>
      <c r="H288" s="29" t="inlineStr">
        <is>
          <t>BS</t>
        </is>
      </c>
      <c r="I288" s="29" t="inlineStr">
        <is>
          <t>재무상태표</t>
        </is>
      </c>
      <c r="J288" s="29" t="inlineStr">
        <is>
          <t>ifrs-full_PropertyPlantAndEquipment</t>
        </is>
      </c>
      <c r="K288" s="29" t="inlineStr">
        <is>
          <t>유형자산</t>
        </is>
      </c>
      <c r="L288" s="29" t="inlineStr">
        <is>
          <t>-</t>
        </is>
      </c>
      <c r="M288" s="29" t="inlineStr">
        <is>
          <t>제 18 기</t>
        </is>
      </c>
      <c r="N288" s="29" t="inlineStr">
        <is>
          <t>365437243564.0</t>
        </is>
      </c>
      <c r="O288" s="29" t="inlineStr">
        <is>
          <t>190792276923.0</t>
        </is>
      </c>
      <c r="P288" s="29" t="inlineStr">
        <is>
          <t>KRW</t>
        </is>
      </c>
      <c r="Q288" s="29" t="inlineStr">
        <is>
          <t>20</t>
        </is>
      </c>
    </row>
    <row r="289" ht="24" customHeight="1">
      <c r="A289" s="24" t="inlineStr">
        <is>
          <t>OpenDART_fnlttSinglAcntAll</t>
        </is>
      </c>
      <c r="B289" s="24" t="inlineStr">
        <is>
          <t>01021666</t>
        </is>
      </c>
      <c r="C289" s="24" t="inlineStr">
        <is>
          <t>덕산테코피아</t>
        </is>
      </c>
      <c r="D289" s="24" t="inlineStr">
        <is>
          <t>duksan</t>
        </is>
      </c>
      <c r="E289" s="24" t="inlineStr">
        <is>
          <t>317330</t>
        </is>
      </c>
      <c r="F289" s="24" t="inlineStr">
        <is>
          <t>2023</t>
        </is>
      </c>
      <c r="G289" s="24" t="inlineStr">
        <is>
          <t>CFS</t>
        </is>
      </c>
      <c r="H289" s="24" t="inlineStr">
        <is>
          <t>BS</t>
        </is>
      </c>
      <c r="I289" s="24" t="inlineStr">
        <is>
          <t>재무상태표</t>
        </is>
      </c>
      <c r="J289" s="24" t="inlineStr">
        <is>
          <t>ifrs-full_RightofuseAssets</t>
        </is>
      </c>
      <c r="K289" s="24" t="inlineStr">
        <is>
          <t>사용권자산</t>
        </is>
      </c>
      <c r="L289" s="24" t="inlineStr">
        <is>
          <t>-</t>
        </is>
      </c>
      <c r="M289" s="24" t="inlineStr">
        <is>
          <t>제 18 기</t>
        </is>
      </c>
      <c r="N289" s="24" t="inlineStr">
        <is>
          <t>3463759182.0</t>
        </is>
      </c>
      <c r="O289" s="24" t="inlineStr">
        <is>
          <t>496317650.0</t>
        </is>
      </c>
      <c r="P289" s="24" t="inlineStr">
        <is>
          <t>KRW</t>
        </is>
      </c>
      <c r="Q289" s="24" t="inlineStr">
        <is>
          <t>21</t>
        </is>
      </c>
    </row>
    <row r="290" ht="24" customHeight="1">
      <c r="A290" s="29" t="inlineStr">
        <is>
          <t>OpenDART_fnlttSinglAcntAll</t>
        </is>
      </c>
      <c r="B290" s="29" t="inlineStr">
        <is>
          <t>01021666</t>
        </is>
      </c>
      <c r="C290" s="29" t="inlineStr">
        <is>
          <t>덕산테코피아</t>
        </is>
      </c>
      <c r="D290" s="29" t="inlineStr">
        <is>
          <t>duksan</t>
        </is>
      </c>
      <c r="E290" s="29" t="inlineStr">
        <is>
          <t>317330</t>
        </is>
      </c>
      <c r="F290" s="29" t="inlineStr">
        <is>
          <t>2023</t>
        </is>
      </c>
      <c r="G290" s="29" t="inlineStr">
        <is>
          <t>CFS</t>
        </is>
      </c>
      <c r="H290" s="29" t="inlineStr">
        <is>
          <t>BS</t>
        </is>
      </c>
      <c r="I290" s="29" t="inlineStr">
        <is>
          <t>재무상태표</t>
        </is>
      </c>
      <c r="J290" s="29" t="inlineStr">
        <is>
          <t>ifrs-full_Equity</t>
        </is>
      </c>
      <c r="K290" s="29" t="inlineStr">
        <is>
          <t>자본총계</t>
        </is>
      </c>
      <c r="L290" s="29" t="inlineStr">
        <is>
          <t>-</t>
        </is>
      </c>
      <c r="M290" s="29" t="inlineStr">
        <is>
          <t>제 18 기</t>
        </is>
      </c>
      <c r="N290" s="29" t="inlineStr">
        <is>
          <t>184305539033.0</t>
        </is>
      </c>
      <c r="O290" s="29" t="inlineStr">
        <is>
          <t>203286055415.0</t>
        </is>
      </c>
      <c r="P290" s="29" t="inlineStr">
        <is>
          <t>KRW</t>
        </is>
      </c>
      <c r="Q290" s="29" t="inlineStr">
        <is>
          <t>23</t>
        </is>
      </c>
    </row>
    <row r="291" ht="24" customHeight="1">
      <c r="A291" s="24" t="inlineStr">
        <is>
          <t>OpenDART_fnlttSinglAcntAll</t>
        </is>
      </c>
      <c r="B291" s="24" t="inlineStr">
        <is>
          <t>01021666</t>
        </is>
      </c>
      <c r="C291" s="24" t="inlineStr">
        <is>
          <t>덕산테코피아</t>
        </is>
      </c>
      <c r="D291" s="24" t="inlineStr">
        <is>
          <t>duksan</t>
        </is>
      </c>
      <c r="E291" s="24" t="inlineStr">
        <is>
          <t>317330</t>
        </is>
      </c>
      <c r="F291" s="24" t="inlineStr">
        <is>
          <t>2023</t>
        </is>
      </c>
      <c r="G291" s="24" t="inlineStr">
        <is>
          <t>CFS</t>
        </is>
      </c>
      <c r="H291" s="24" t="inlineStr">
        <is>
          <t>BS</t>
        </is>
      </c>
      <c r="I291" s="24" t="inlineStr">
        <is>
          <t>재무상태표</t>
        </is>
      </c>
      <c r="J291" s="24" t="inlineStr">
        <is>
          <t>ifrs-full_EquityAttributableToOwnersOfParent</t>
        </is>
      </c>
      <c r="K291" s="24" t="inlineStr">
        <is>
          <t>지배기업의 소유주에게 귀속되는 자본</t>
        </is>
      </c>
      <c r="L291" s="24" t="inlineStr">
        <is>
          <t>-</t>
        </is>
      </c>
      <c r="M291" s="24" t="inlineStr">
        <is>
          <t>제 18 기</t>
        </is>
      </c>
      <c r="N291" s="24" t="inlineStr">
        <is>
          <t>176983785529.0</t>
        </is>
      </c>
      <c r="O291" s="24" t="inlineStr">
        <is>
          <t>188388701035.0</t>
        </is>
      </c>
      <c r="P291" s="24" t="inlineStr">
        <is>
          <t>KRW</t>
        </is>
      </c>
      <c r="Q291" s="24" t="inlineStr">
        <is>
          <t>24</t>
        </is>
      </c>
    </row>
    <row r="292" ht="24" customHeight="1">
      <c r="A292" s="29" t="inlineStr">
        <is>
          <t>OpenDART_fnlttSinglAcntAll</t>
        </is>
      </c>
      <c r="B292" s="29" t="inlineStr">
        <is>
          <t>01021666</t>
        </is>
      </c>
      <c r="C292" s="29" t="inlineStr">
        <is>
          <t>덕산테코피아</t>
        </is>
      </c>
      <c r="D292" s="29" t="inlineStr">
        <is>
          <t>duksan</t>
        </is>
      </c>
      <c r="E292" s="29" t="inlineStr">
        <is>
          <t>317330</t>
        </is>
      </c>
      <c r="F292" s="29" t="inlineStr">
        <is>
          <t>2023</t>
        </is>
      </c>
      <c r="G292" s="29" t="inlineStr">
        <is>
          <t>CFS</t>
        </is>
      </c>
      <c r="H292" s="29" t="inlineStr">
        <is>
          <t>BS</t>
        </is>
      </c>
      <c r="I292" s="29" t="inlineStr">
        <is>
          <t>재무상태표</t>
        </is>
      </c>
      <c r="J292" s="29" t="inlineStr">
        <is>
          <t>dart_CapitalSurplus</t>
        </is>
      </c>
      <c r="K292" s="29" t="inlineStr">
        <is>
          <t>자본잉여금</t>
        </is>
      </c>
      <c r="L292" s="29" t="inlineStr">
        <is>
          <t>-</t>
        </is>
      </c>
      <c r="M292" s="29" t="inlineStr">
        <is>
          <t>제 18 기</t>
        </is>
      </c>
      <c r="N292" s="29" t="inlineStr">
        <is>
          <t>72282995783.0</t>
        </is>
      </c>
      <c r="O292" s="29" t="inlineStr">
        <is>
          <t>76241971091.0</t>
        </is>
      </c>
      <c r="P292" s="29" t="inlineStr">
        <is>
          <t>KRW</t>
        </is>
      </c>
      <c r="Q292" s="29" t="inlineStr">
        <is>
          <t>25</t>
        </is>
      </c>
    </row>
    <row r="293" ht="24" customHeight="1">
      <c r="A293" s="24" t="inlineStr">
        <is>
          <t>OpenDART_fnlttSinglAcntAll</t>
        </is>
      </c>
      <c r="B293" s="24" t="inlineStr">
        <is>
          <t>01021666</t>
        </is>
      </c>
      <c r="C293" s="24" t="inlineStr">
        <is>
          <t>덕산테코피아</t>
        </is>
      </c>
      <c r="D293" s="24" t="inlineStr">
        <is>
          <t>duksan</t>
        </is>
      </c>
      <c r="E293" s="24" t="inlineStr">
        <is>
          <t>317330</t>
        </is>
      </c>
      <c r="F293" s="24" t="inlineStr">
        <is>
          <t>2023</t>
        </is>
      </c>
      <c r="G293" s="24" t="inlineStr">
        <is>
          <t>CFS</t>
        </is>
      </c>
      <c r="H293" s="24" t="inlineStr">
        <is>
          <t>BS</t>
        </is>
      </c>
      <c r="I293" s="24" t="inlineStr">
        <is>
          <t>재무상태표</t>
        </is>
      </c>
      <c r="J293" s="24" t="inlineStr">
        <is>
          <t>dart_ElementsOfOtherStockholdersEquity</t>
        </is>
      </c>
      <c r="K293" s="24" t="inlineStr">
        <is>
          <t>기타자본구성요소</t>
        </is>
      </c>
      <c r="L293" s="24" t="inlineStr">
        <is>
          <t>-</t>
        </is>
      </c>
      <c r="M293" s="24" t="inlineStr">
        <is>
          <t>제 18 기</t>
        </is>
      </c>
      <c r="N293" s="24" t="inlineStr">
        <is>
          <t>-4237979213.0</t>
        </is>
      </c>
      <c r="O293" s="24" t="inlineStr">
        <is>
          <t>-4409540724.0</t>
        </is>
      </c>
      <c r="P293" s="24" t="inlineStr">
        <is>
          <t>KRW</t>
        </is>
      </c>
      <c r="Q293" s="24" t="inlineStr">
        <is>
          <t>26</t>
        </is>
      </c>
    </row>
    <row r="294" ht="24" customHeight="1">
      <c r="A294" s="29" t="inlineStr">
        <is>
          <t>OpenDART_fnlttSinglAcntAll</t>
        </is>
      </c>
      <c r="B294" s="29" t="inlineStr">
        <is>
          <t>01021666</t>
        </is>
      </c>
      <c r="C294" s="29" t="inlineStr">
        <is>
          <t>덕산테코피아</t>
        </is>
      </c>
      <c r="D294" s="29" t="inlineStr">
        <is>
          <t>duksan</t>
        </is>
      </c>
      <c r="E294" s="29" t="inlineStr">
        <is>
          <t>317330</t>
        </is>
      </c>
      <c r="F294" s="29" t="inlineStr">
        <is>
          <t>2023</t>
        </is>
      </c>
      <c r="G294" s="29" t="inlineStr">
        <is>
          <t>CFS</t>
        </is>
      </c>
      <c r="H294" s="29" t="inlineStr">
        <is>
          <t>BS</t>
        </is>
      </c>
      <c r="I294" s="29" t="inlineStr">
        <is>
          <t>재무상태표</t>
        </is>
      </c>
      <c r="J294" s="29" t="inlineStr">
        <is>
          <t>ifrs-full_IssuedCapital</t>
        </is>
      </c>
      <c r="K294" s="29" t="inlineStr">
        <is>
          <t>자본금</t>
        </is>
      </c>
      <c r="L294" s="29" t="inlineStr">
        <is>
          <t>-</t>
        </is>
      </c>
      <c r="M294" s="29" t="inlineStr">
        <is>
          <t>제 18 기</t>
        </is>
      </c>
      <c r="N294" s="29" t="inlineStr">
        <is>
          <t>9188714000.0</t>
        </is>
      </c>
      <c r="O294" s="29" t="inlineStr">
        <is>
          <t>9188714000.0</t>
        </is>
      </c>
      <c r="P294" s="29" t="inlineStr">
        <is>
          <t>KRW</t>
        </is>
      </c>
      <c r="Q294" s="29" t="inlineStr">
        <is>
          <t>27</t>
        </is>
      </c>
    </row>
    <row r="295" ht="24" customHeight="1">
      <c r="A295" s="24" t="inlineStr">
        <is>
          <t>OpenDART_fnlttSinglAcntAll</t>
        </is>
      </c>
      <c r="B295" s="24" t="inlineStr">
        <is>
          <t>01021666</t>
        </is>
      </c>
      <c r="C295" s="24" t="inlineStr">
        <is>
          <t>덕산테코피아</t>
        </is>
      </c>
      <c r="D295" s="24" t="inlineStr">
        <is>
          <t>duksan</t>
        </is>
      </c>
      <c r="E295" s="24" t="inlineStr">
        <is>
          <t>317330</t>
        </is>
      </c>
      <c r="F295" s="24" t="inlineStr">
        <is>
          <t>2023</t>
        </is>
      </c>
      <c r="G295" s="24" t="inlineStr">
        <is>
          <t>CFS</t>
        </is>
      </c>
      <c r="H295" s="24" t="inlineStr">
        <is>
          <t>BS</t>
        </is>
      </c>
      <c r="I295" s="24" t="inlineStr">
        <is>
          <t>재무상태표</t>
        </is>
      </c>
      <c r="J295" s="24" t="inlineStr">
        <is>
          <t>ifrs-full_RetainedEarnings</t>
        </is>
      </c>
      <c r="K295" s="24" t="inlineStr">
        <is>
          <t>이익잉여금(결손금)</t>
        </is>
      </c>
      <c r="L295" s="24" t="inlineStr">
        <is>
          <t>-</t>
        </is>
      </c>
      <c r="M295" s="24" t="inlineStr">
        <is>
          <t>제 18 기</t>
        </is>
      </c>
      <c r="N295" s="24" t="inlineStr">
        <is>
          <t>99750054959.0</t>
        </is>
      </c>
      <c r="O295" s="24" t="inlineStr">
        <is>
          <t>107367556668.0</t>
        </is>
      </c>
      <c r="P295" s="24" t="inlineStr">
        <is>
          <t>KRW</t>
        </is>
      </c>
      <c r="Q295" s="24" t="inlineStr">
        <is>
          <t>28</t>
        </is>
      </c>
    </row>
    <row r="296" ht="24" customHeight="1">
      <c r="A296" s="29" t="inlineStr">
        <is>
          <t>OpenDART_fnlttSinglAcntAll</t>
        </is>
      </c>
      <c r="B296" s="29" t="inlineStr">
        <is>
          <t>01021666</t>
        </is>
      </c>
      <c r="C296" s="29" t="inlineStr">
        <is>
          <t>덕산테코피아</t>
        </is>
      </c>
      <c r="D296" s="29" t="inlineStr">
        <is>
          <t>duksan</t>
        </is>
      </c>
      <c r="E296" s="29" t="inlineStr">
        <is>
          <t>317330</t>
        </is>
      </c>
      <c r="F296" s="29" t="inlineStr">
        <is>
          <t>2023</t>
        </is>
      </c>
      <c r="G296" s="29" t="inlineStr">
        <is>
          <t>CFS</t>
        </is>
      </c>
      <c r="H296" s="29" t="inlineStr">
        <is>
          <t>BS</t>
        </is>
      </c>
      <c r="I296" s="29" t="inlineStr">
        <is>
          <t>재무상태표</t>
        </is>
      </c>
      <c r="J296" s="29" t="inlineStr">
        <is>
          <t>ifrs-full_NoncontrollingInterests</t>
        </is>
      </c>
      <c r="K296" s="29" t="inlineStr">
        <is>
          <t>비지배지분</t>
        </is>
      </c>
      <c r="L296" s="29" t="inlineStr">
        <is>
          <t>-</t>
        </is>
      </c>
      <c r="M296" s="29" t="inlineStr">
        <is>
          <t>제 18 기</t>
        </is>
      </c>
      <c r="N296" s="29" t="inlineStr">
        <is>
          <t>7321753504.0</t>
        </is>
      </c>
      <c r="O296" s="29" t="inlineStr">
        <is>
          <t>14897354380.0</t>
        </is>
      </c>
      <c r="P296" s="29" t="inlineStr">
        <is>
          <t>KRW</t>
        </is>
      </c>
      <c r="Q296" s="29" t="inlineStr">
        <is>
          <t>29</t>
        </is>
      </c>
    </row>
    <row r="297" ht="24" customHeight="1">
      <c r="A297" s="24" t="inlineStr">
        <is>
          <t>OpenDART_fnlttSinglAcntAll</t>
        </is>
      </c>
      <c r="B297" s="24" t="inlineStr">
        <is>
          <t>01021666</t>
        </is>
      </c>
      <c r="C297" s="24" t="inlineStr">
        <is>
          <t>덕산테코피아</t>
        </is>
      </c>
      <c r="D297" s="24" t="inlineStr">
        <is>
          <t>duksan</t>
        </is>
      </c>
      <c r="E297" s="24" t="inlineStr">
        <is>
          <t>317330</t>
        </is>
      </c>
      <c r="F297" s="24" t="inlineStr">
        <is>
          <t>2023</t>
        </is>
      </c>
      <c r="G297" s="24" t="inlineStr">
        <is>
          <t>CFS</t>
        </is>
      </c>
      <c r="H297" s="24" t="inlineStr">
        <is>
          <t>BS</t>
        </is>
      </c>
      <c r="I297" s="24" t="inlineStr">
        <is>
          <t>재무상태표</t>
        </is>
      </c>
      <c r="J297" s="24" t="inlineStr">
        <is>
          <t>ifrs-full_EquityAndLiabilities</t>
        </is>
      </c>
      <c r="K297" s="24" t="inlineStr">
        <is>
          <t>자본과부채총계</t>
        </is>
      </c>
      <c r="L297" s="24" t="inlineStr">
        <is>
          <t>-</t>
        </is>
      </c>
      <c r="M297" s="24" t="inlineStr">
        <is>
          <t>제 18 기</t>
        </is>
      </c>
      <c r="N297" s="24" t="inlineStr">
        <is>
          <t>514367139681.0</t>
        </is>
      </c>
      <c r="O297" s="24" t="inlineStr">
        <is>
          <t>298526727044.0</t>
        </is>
      </c>
      <c r="P297" s="24" t="inlineStr">
        <is>
          <t>KRW</t>
        </is>
      </c>
      <c r="Q297" s="24" t="inlineStr">
        <is>
          <t>30</t>
        </is>
      </c>
    </row>
    <row r="298" ht="24" customHeight="1">
      <c r="A298" s="29" t="inlineStr">
        <is>
          <t>OpenDART_fnlttSinglAcntAll</t>
        </is>
      </c>
      <c r="B298" s="29" t="inlineStr">
        <is>
          <t>01021666</t>
        </is>
      </c>
      <c r="C298" s="29" t="inlineStr">
        <is>
          <t>덕산테코피아</t>
        </is>
      </c>
      <c r="D298" s="29" t="inlineStr">
        <is>
          <t>duksan</t>
        </is>
      </c>
      <c r="E298" s="29" t="inlineStr">
        <is>
          <t>317330</t>
        </is>
      </c>
      <c r="F298" s="29" t="inlineStr">
        <is>
          <t>2023</t>
        </is>
      </c>
      <c r="G298" s="29" t="inlineStr">
        <is>
          <t>CFS</t>
        </is>
      </c>
      <c r="H298" s="29" t="inlineStr">
        <is>
          <t>BS</t>
        </is>
      </c>
      <c r="I298" s="29" t="inlineStr">
        <is>
          <t>재무상태표</t>
        </is>
      </c>
      <c r="J298" s="29" t="inlineStr">
        <is>
          <t>ifrs-full_CurrentLiabilities</t>
        </is>
      </c>
      <c r="K298" s="29" t="inlineStr">
        <is>
          <t>유동부채</t>
        </is>
      </c>
      <c r="L298" s="29" t="inlineStr">
        <is>
          <t>-</t>
        </is>
      </c>
      <c r="M298" s="29" t="inlineStr">
        <is>
          <t>제 18 기</t>
        </is>
      </c>
      <c r="N298" s="29" t="inlineStr">
        <is>
          <t>249651267192.0</t>
        </is>
      </c>
      <c r="O298" s="29" t="inlineStr">
        <is>
          <t>17199914096.0</t>
        </is>
      </c>
      <c r="P298" s="29" t="inlineStr">
        <is>
          <t>KRW</t>
        </is>
      </c>
      <c r="Q298" s="29" t="inlineStr">
        <is>
          <t>32</t>
        </is>
      </c>
    </row>
    <row r="299" ht="24" customHeight="1">
      <c r="A299" s="24" t="inlineStr">
        <is>
          <t>OpenDART_fnlttSinglAcntAll</t>
        </is>
      </c>
      <c r="B299" s="24" t="inlineStr">
        <is>
          <t>01021666</t>
        </is>
      </c>
      <c r="C299" s="24" t="inlineStr">
        <is>
          <t>덕산테코피아</t>
        </is>
      </c>
      <c r="D299" s="24" t="inlineStr">
        <is>
          <t>duksan</t>
        </is>
      </c>
      <c r="E299" s="24" t="inlineStr">
        <is>
          <t>317330</t>
        </is>
      </c>
      <c r="F299" s="24" t="inlineStr">
        <is>
          <t>2023</t>
        </is>
      </c>
      <c r="G299" s="24" t="inlineStr">
        <is>
          <t>CFS</t>
        </is>
      </c>
      <c r="H299" s="24" t="inlineStr">
        <is>
          <t>BS</t>
        </is>
      </c>
      <c r="I299" s="24" t="inlineStr">
        <is>
          <t>재무상태표</t>
        </is>
      </c>
      <c r="J299" s="24" t="inlineStr">
        <is>
          <t>dart_CurrentDerivativeLiabilities</t>
        </is>
      </c>
      <c r="K299" s="24" t="inlineStr">
        <is>
          <t>전환사채</t>
        </is>
      </c>
      <c r="L299" s="24" t="inlineStr">
        <is>
          <t>-</t>
        </is>
      </c>
      <c r="M299" s="24" t="inlineStr">
        <is>
          <t>제 18 기</t>
        </is>
      </c>
      <c r="N299" s="24" t="inlineStr">
        <is>
          <t>45098563978.0</t>
        </is>
      </c>
      <c r="O299" s="24" t="inlineStr">
        <is>
          <t>해당 없음</t>
        </is>
      </c>
      <c r="P299" s="24" t="inlineStr">
        <is>
          <t>KRW</t>
        </is>
      </c>
      <c r="Q299" s="24" t="inlineStr">
        <is>
          <t>33</t>
        </is>
      </c>
    </row>
    <row r="300" ht="24" customHeight="1">
      <c r="A300" s="29" t="inlineStr">
        <is>
          <t>OpenDART_fnlttSinglAcntAll</t>
        </is>
      </c>
      <c r="B300" s="29" t="inlineStr">
        <is>
          <t>01021666</t>
        </is>
      </c>
      <c r="C300" s="29" t="inlineStr">
        <is>
          <t>덕산테코피아</t>
        </is>
      </c>
      <c r="D300" s="29" t="inlineStr">
        <is>
          <t>duksan</t>
        </is>
      </c>
      <c r="E300" s="29" t="inlineStr">
        <is>
          <t>317330</t>
        </is>
      </c>
      <c r="F300" s="29" t="inlineStr">
        <is>
          <t>2023</t>
        </is>
      </c>
      <c r="G300" s="29" t="inlineStr">
        <is>
          <t>CFS</t>
        </is>
      </c>
      <c r="H300" s="29" t="inlineStr">
        <is>
          <t>BS</t>
        </is>
      </c>
      <c r="I300" s="29" t="inlineStr">
        <is>
          <t>재무상태표</t>
        </is>
      </c>
      <c r="J300" s="29" t="inlineStr">
        <is>
          <t>ifrs-full_CurrentTaxLiabilities</t>
        </is>
      </c>
      <c r="K300" s="29" t="inlineStr">
        <is>
          <t>당기법인세부채</t>
        </is>
      </c>
      <c r="L300" s="29" t="inlineStr">
        <is>
          <t>-</t>
        </is>
      </c>
      <c r="M300" s="29" t="inlineStr">
        <is>
          <t>제 18 기</t>
        </is>
      </c>
      <c r="N300" s="29" t="inlineStr">
        <is>
          <t>181020735.0</t>
        </is>
      </c>
      <c r="O300" s="29" t="inlineStr">
        <is>
          <t>422324157.0</t>
        </is>
      </c>
      <c r="P300" s="29" t="inlineStr">
        <is>
          <t>KRW</t>
        </is>
      </c>
      <c r="Q300" s="29" t="inlineStr">
        <is>
          <t>34</t>
        </is>
      </c>
    </row>
    <row r="301" ht="24" customHeight="1">
      <c r="A301" s="24" t="inlineStr">
        <is>
          <t>OpenDART_fnlttSinglAcntAll</t>
        </is>
      </c>
      <c r="B301" s="24" t="inlineStr">
        <is>
          <t>01021666</t>
        </is>
      </c>
      <c r="C301" s="24" t="inlineStr">
        <is>
          <t>덕산테코피아</t>
        </is>
      </c>
      <c r="D301" s="24" t="inlineStr">
        <is>
          <t>duksan</t>
        </is>
      </c>
      <c r="E301" s="24" t="inlineStr">
        <is>
          <t>317330</t>
        </is>
      </c>
      <c r="F301" s="24" t="inlineStr">
        <is>
          <t>2023</t>
        </is>
      </c>
      <c r="G301" s="24" t="inlineStr">
        <is>
          <t>CFS</t>
        </is>
      </c>
      <c r="H301" s="24" t="inlineStr">
        <is>
          <t>BS</t>
        </is>
      </c>
      <c r="I301" s="24" t="inlineStr">
        <is>
          <t>재무상태표</t>
        </is>
      </c>
      <c r="J301" s="24" t="inlineStr">
        <is>
          <t>ifrs-full_OtherCurrentLiabilities</t>
        </is>
      </c>
      <c r="K301" s="24" t="inlineStr">
        <is>
          <t>기타 유동부채</t>
        </is>
      </c>
      <c r="L301" s="24" t="inlineStr">
        <is>
          <t>-</t>
        </is>
      </c>
      <c r="M301" s="24" t="inlineStr">
        <is>
          <t>제 18 기</t>
        </is>
      </c>
      <c r="N301" s="24" t="inlineStr">
        <is>
          <t>291106957.0</t>
        </is>
      </c>
      <c r="O301" s="24" t="inlineStr">
        <is>
          <t>224398990.0</t>
        </is>
      </c>
      <c r="P301" s="24" t="inlineStr">
        <is>
          <t>KRW</t>
        </is>
      </c>
      <c r="Q301" s="24" t="inlineStr">
        <is>
          <t>35</t>
        </is>
      </c>
    </row>
    <row r="302" ht="24" customHeight="1">
      <c r="A302" s="29" t="inlineStr">
        <is>
          <t>OpenDART_fnlttSinglAcntAll</t>
        </is>
      </c>
      <c r="B302" s="29" t="inlineStr">
        <is>
          <t>01021666</t>
        </is>
      </c>
      <c r="C302" s="29" t="inlineStr">
        <is>
          <t>덕산테코피아</t>
        </is>
      </c>
      <c r="D302" s="29" t="inlineStr">
        <is>
          <t>duksan</t>
        </is>
      </c>
      <c r="E302" s="29" t="inlineStr">
        <is>
          <t>317330</t>
        </is>
      </c>
      <c r="F302" s="29" t="inlineStr">
        <is>
          <t>2023</t>
        </is>
      </c>
      <c r="G302" s="29" t="inlineStr">
        <is>
          <t>CFS</t>
        </is>
      </c>
      <c r="H302" s="29" t="inlineStr">
        <is>
          <t>BS</t>
        </is>
      </c>
      <c r="I302" s="29" t="inlineStr">
        <is>
          <t>재무상태표</t>
        </is>
      </c>
      <c r="J302" s="29" t="inlineStr">
        <is>
          <t>ifrs-full_ShorttermBorrowings</t>
        </is>
      </c>
      <c r="K302" s="29" t="inlineStr">
        <is>
          <t>단기차입금</t>
        </is>
      </c>
      <c r="L302" s="29" t="inlineStr">
        <is>
          <t>-</t>
        </is>
      </c>
      <c r="M302" s="29" t="inlineStr">
        <is>
          <t>제 18 기</t>
        </is>
      </c>
      <c r="N302" s="29" t="inlineStr">
        <is>
          <t>74728440000.0</t>
        </is>
      </c>
      <c r="O302" s="29" t="inlineStr">
        <is>
          <t>60000000.0</t>
        </is>
      </c>
      <c r="P302" s="29" t="inlineStr">
        <is>
          <t>KRW</t>
        </is>
      </c>
      <c r="Q302" s="29" t="inlineStr">
        <is>
          <t>36</t>
        </is>
      </c>
    </row>
    <row r="303" ht="24" customHeight="1">
      <c r="A303" s="24" t="inlineStr">
        <is>
          <t>OpenDART_fnlttSinglAcntAll</t>
        </is>
      </c>
      <c r="B303" s="24" t="inlineStr">
        <is>
          <t>01021666</t>
        </is>
      </c>
      <c r="C303" s="24" t="inlineStr">
        <is>
          <t>덕산테코피아</t>
        </is>
      </c>
      <c r="D303" s="24" t="inlineStr">
        <is>
          <t>duksan</t>
        </is>
      </c>
      <c r="E303" s="24" t="inlineStr">
        <is>
          <t>317330</t>
        </is>
      </c>
      <c r="F303" s="24" t="inlineStr">
        <is>
          <t>2023</t>
        </is>
      </c>
      <c r="G303" s="24" t="inlineStr">
        <is>
          <t>CFS</t>
        </is>
      </c>
      <c r="H303" s="24" t="inlineStr">
        <is>
          <t>BS</t>
        </is>
      </c>
      <c r="I303" s="24" t="inlineStr">
        <is>
          <t>재무상태표</t>
        </is>
      </c>
      <c r="J303" s="24" t="inlineStr">
        <is>
          <t>ifrs-full_TradeAndOtherCurrentPayables</t>
        </is>
      </c>
      <c r="K303" s="24" t="inlineStr">
        <is>
          <t>매입채무 및 기타유동채무</t>
        </is>
      </c>
      <c r="L303" s="24" t="inlineStr">
        <is>
          <t>-</t>
        </is>
      </c>
      <c r="M303" s="24" t="inlineStr">
        <is>
          <t>제 18 기</t>
        </is>
      </c>
      <c r="N303" s="24" t="inlineStr">
        <is>
          <t>129352135522.0</t>
        </is>
      </c>
      <c r="O303" s="24" t="inlineStr">
        <is>
          <t>16493190949.0</t>
        </is>
      </c>
      <c r="P303" s="24" t="inlineStr">
        <is>
          <t>KRW</t>
        </is>
      </c>
      <c r="Q303" s="24" t="inlineStr">
        <is>
          <t>37</t>
        </is>
      </c>
    </row>
    <row r="304" ht="24" customHeight="1">
      <c r="A304" s="29" t="inlineStr">
        <is>
          <t>OpenDART_fnlttSinglAcntAll</t>
        </is>
      </c>
      <c r="B304" s="29" t="inlineStr">
        <is>
          <t>01021666</t>
        </is>
      </c>
      <c r="C304" s="29" t="inlineStr">
        <is>
          <t>덕산테코피아</t>
        </is>
      </c>
      <c r="D304" s="29" t="inlineStr">
        <is>
          <t>duksan</t>
        </is>
      </c>
      <c r="E304" s="29" t="inlineStr">
        <is>
          <t>317330</t>
        </is>
      </c>
      <c r="F304" s="29" t="inlineStr">
        <is>
          <t>2023</t>
        </is>
      </c>
      <c r="G304" s="29" t="inlineStr">
        <is>
          <t>CFS</t>
        </is>
      </c>
      <c r="H304" s="29" t="inlineStr">
        <is>
          <t>BS</t>
        </is>
      </c>
      <c r="I304" s="29" t="inlineStr">
        <is>
          <t>재무상태표</t>
        </is>
      </c>
      <c r="J304" s="29" t="inlineStr">
        <is>
          <t>ifrs-full_Liabilities</t>
        </is>
      </c>
      <c r="K304" s="29" t="inlineStr">
        <is>
          <t>부채총계</t>
        </is>
      </c>
      <c r="L304" s="29" t="inlineStr">
        <is>
          <t>-</t>
        </is>
      </c>
      <c r="M304" s="29" t="inlineStr">
        <is>
          <t>제 18 기</t>
        </is>
      </c>
      <c r="N304" s="29" t="inlineStr">
        <is>
          <t>330061600648.0</t>
        </is>
      </c>
      <c r="O304" s="29" t="inlineStr">
        <is>
          <t>95240671629.0</t>
        </is>
      </c>
      <c r="P304" s="29" t="inlineStr">
        <is>
          <t>KRW</t>
        </is>
      </c>
      <c r="Q304" s="29" t="inlineStr">
        <is>
          <t>38</t>
        </is>
      </c>
    </row>
    <row r="305" ht="24" customHeight="1">
      <c r="A305" s="24" t="inlineStr">
        <is>
          <t>OpenDART_fnlttSinglAcntAll</t>
        </is>
      </c>
      <c r="B305" s="24" t="inlineStr">
        <is>
          <t>01021666</t>
        </is>
      </c>
      <c r="C305" s="24" t="inlineStr">
        <is>
          <t>덕산테코피아</t>
        </is>
      </c>
      <c r="D305" s="24" t="inlineStr">
        <is>
          <t>duksan</t>
        </is>
      </c>
      <c r="E305" s="24" t="inlineStr">
        <is>
          <t>317330</t>
        </is>
      </c>
      <c r="F305" s="24" t="inlineStr">
        <is>
          <t>2023</t>
        </is>
      </c>
      <c r="G305" s="24" t="inlineStr">
        <is>
          <t>CFS</t>
        </is>
      </c>
      <c r="H305" s="24" t="inlineStr">
        <is>
          <t>BS</t>
        </is>
      </c>
      <c r="I305" s="24" t="inlineStr">
        <is>
          <t>재무상태표</t>
        </is>
      </c>
      <c r="J305" s="24" t="inlineStr">
        <is>
          <t>ifrs-full_NoncurrentLiabilities</t>
        </is>
      </c>
      <c r="K305" s="24" t="inlineStr">
        <is>
          <t>비유동부채</t>
        </is>
      </c>
      <c r="L305" s="24" t="inlineStr">
        <is>
          <t>-</t>
        </is>
      </c>
      <c r="M305" s="24" t="inlineStr">
        <is>
          <t>제 18 기</t>
        </is>
      </c>
      <c r="N305" s="24" t="inlineStr">
        <is>
          <t>80410333456.0</t>
        </is>
      </c>
      <c r="O305" s="24" t="inlineStr">
        <is>
          <t>78040757533.0</t>
        </is>
      </c>
      <c r="P305" s="24" t="inlineStr">
        <is>
          <t>KRW</t>
        </is>
      </c>
      <c r="Q305" s="24" t="inlineStr">
        <is>
          <t>39</t>
        </is>
      </c>
    </row>
    <row r="306" ht="24" customHeight="1">
      <c r="A306" s="29" t="inlineStr">
        <is>
          <t>OpenDART_fnlttSinglAcntAll</t>
        </is>
      </c>
      <c r="B306" s="29" t="inlineStr">
        <is>
          <t>01021666</t>
        </is>
      </c>
      <c r="C306" s="29" t="inlineStr">
        <is>
          <t>덕산테코피아</t>
        </is>
      </c>
      <c r="D306" s="29" t="inlineStr">
        <is>
          <t>duksan</t>
        </is>
      </c>
      <c r="E306" s="29" t="inlineStr">
        <is>
          <t>317330</t>
        </is>
      </c>
      <c r="F306" s="29" t="inlineStr">
        <is>
          <t>2023</t>
        </is>
      </c>
      <c r="G306" s="29" t="inlineStr">
        <is>
          <t>CFS</t>
        </is>
      </c>
      <c r="H306" s="29" t="inlineStr">
        <is>
          <t>BS</t>
        </is>
      </c>
      <c r="I306" s="29" t="inlineStr">
        <is>
          <t>재무상태표</t>
        </is>
      </c>
      <c r="J306" s="29" t="inlineStr">
        <is>
          <t>dart_ConvertibleBonds</t>
        </is>
      </c>
      <c r="K306" s="29" t="inlineStr">
        <is>
          <t>전환사채</t>
        </is>
      </c>
      <c r="L306" s="29" t="inlineStr">
        <is>
          <t>-</t>
        </is>
      </c>
      <c r="M306" s="29" t="inlineStr">
        <is>
          <t>제 18 기</t>
        </is>
      </c>
      <c r="N306" s="29" t="inlineStr">
        <is>
          <t>해당 없음</t>
        </is>
      </c>
      <c r="O306" s="29" t="inlineStr">
        <is>
          <t>42781735075.0</t>
        </is>
      </c>
      <c r="P306" s="29" t="inlineStr">
        <is>
          <t>KRW</t>
        </is>
      </c>
      <c r="Q306" s="29" t="inlineStr">
        <is>
          <t>40</t>
        </is>
      </c>
    </row>
    <row r="307" ht="24" customHeight="1">
      <c r="A307" s="24" t="inlineStr">
        <is>
          <t>OpenDART_fnlttSinglAcntAll</t>
        </is>
      </c>
      <c r="B307" s="24" t="inlineStr">
        <is>
          <t>01021666</t>
        </is>
      </c>
      <c r="C307" s="24" t="inlineStr">
        <is>
          <t>덕산테코피아</t>
        </is>
      </c>
      <c r="D307" s="24" t="inlineStr">
        <is>
          <t>duksan</t>
        </is>
      </c>
      <c r="E307" s="24" t="inlineStr">
        <is>
          <t>317330</t>
        </is>
      </c>
      <c r="F307" s="24" t="inlineStr">
        <is>
          <t>2023</t>
        </is>
      </c>
      <c r="G307" s="24" t="inlineStr">
        <is>
          <t>CFS</t>
        </is>
      </c>
      <c r="H307" s="24" t="inlineStr">
        <is>
          <t>BS</t>
        </is>
      </c>
      <c r="I307" s="24" t="inlineStr">
        <is>
          <t>재무상태표</t>
        </is>
      </c>
      <c r="J307" s="24" t="inlineStr">
        <is>
          <t>dart_ConvertibleRedeemablePreferredStockLiabilities</t>
        </is>
      </c>
      <c r="K307" s="24" t="inlineStr">
        <is>
          <t>전환상환우선주부채</t>
        </is>
      </c>
      <c r="L307" s="24" t="inlineStr">
        <is>
          <t>-</t>
        </is>
      </c>
      <c r="M307" s="24" t="inlineStr">
        <is>
          <t>제 18 기</t>
        </is>
      </c>
      <c r="N307" s="24" t="inlineStr">
        <is>
          <t>66134569543.0</t>
        </is>
      </c>
      <c r="O307" s="24" t="inlineStr">
        <is>
          <t>해당 없음</t>
        </is>
      </c>
      <c r="P307" s="24" t="inlineStr">
        <is>
          <t>KRW</t>
        </is>
      </c>
      <c r="Q307" s="24" t="inlineStr">
        <is>
          <t>41</t>
        </is>
      </c>
    </row>
    <row r="308" ht="24" customHeight="1">
      <c r="A308" s="29" t="inlineStr">
        <is>
          <t>OpenDART_fnlttSinglAcntAll</t>
        </is>
      </c>
      <c r="B308" s="29" t="inlineStr">
        <is>
          <t>01021666</t>
        </is>
      </c>
      <c r="C308" s="29" t="inlineStr">
        <is>
          <t>덕산테코피아</t>
        </is>
      </c>
      <c r="D308" s="29" t="inlineStr">
        <is>
          <t>duksan</t>
        </is>
      </c>
      <c r="E308" s="29" t="inlineStr">
        <is>
          <t>317330</t>
        </is>
      </c>
      <c r="F308" s="29" t="inlineStr">
        <is>
          <t>2023</t>
        </is>
      </c>
      <c r="G308" s="29" t="inlineStr">
        <is>
          <t>CFS</t>
        </is>
      </c>
      <c r="H308" s="29" t="inlineStr">
        <is>
          <t>BS</t>
        </is>
      </c>
      <c r="I308" s="29" t="inlineStr">
        <is>
          <t>재무상태표</t>
        </is>
      </c>
      <c r="J308" s="29" t="inlineStr">
        <is>
          <t>dart_LongTermBorrowingsGross</t>
        </is>
      </c>
      <c r="K308" s="29" t="inlineStr">
        <is>
          <t>장기차입금</t>
        </is>
      </c>
      <c r="L308" s="29" t="inlineStr">
        <is>
          <t>-</t>
        </is>
      </c>
      <c r="M308" s="29" t="inlineStr">
        <is>
          <t>제 18 기</t>
        </is>
      </c>
      <c r="N308" s="29" t="inlineStr">
        <is>
          <t>10000000000.0</t>
        </is>
      </c>
      <c r="O308" s="29" t="inlineStr">
        <is>
          <t>26040000000.0</t>
        </is>
      </c>
      <c r="P308" s="29" t="inlineStr">
        <is>
          <t>KRW</t>
        </is>
      </c>
      <c r="Q308" s="29" t="inlineStr">
        <is>
          <t>42</t>
        </is>
      </c>
    </row>
    <row r="309" ht="24" customHeight="1">
      <c r="A309" s="24" t="inlineStr">
        <is>
          <t>OpenDART_fnlttSinglAcntAll</t>
        </is>
      </c>
      <c r="B309" s="24" t="inlineStr">
        <is>
          <t>01021666</t>
        </is>
      </c>
      <c r="C309" s="24" t="inlineStr">
        <is>
          <t>덕산테코피아</t>
        </is>
      </c>
      <c r="D309" s="24" t="inlineStr">
        <is>
          <t>duksan</t>
        </is>
      </c>
      <c r="E309" s="24" t="inlineStr">
        <is>
          <t>317330</t>
        </is>
      </c>
      <c r="F309" s="24" t="inlineStr">
        <is>
          <t>2023</t>
        </is>
      </c>
      <c r="G309" s="24" t="inlineStr">
        <is>
          <t>CFS</t>
        </is>
      </c>
      <c r="H309" s="24" t="inlineStr">
        <is>
          <t>BS</t>
        </is>
      </c>
      <c r="I309" s="24" t="inlineStr">
        <is>
          <t>재무상태표</t>
        </is>
      </c>
      <c r="J309" s="24" t="inlineStr">
        <is>
          <t>dart_LongTermTradeAndOtherNonCurrentPayables</t>
        </is>
      </c>
      <c r="K309" s="24" t="inlineStr">
        <is>
          <t>장기매입채무 및 기타비유동채무</t>
        </is>
      </c>
      <c r="L309" s="24" t="inlineStr">
        <is>
          <t>-</t>
        </is>
      </c>
      <c r="M309" s="24" t="inlineStr">
        <is>
          <t>제 18 기</t>
        </is>
      </c>
      <c r="N309" s="24" t="inlineStr">
        <is>
          <t>3401686285.0</t>
        </is>
      </c>
      <c r="O309" s="24" t="inlineStr">
        <is>
          <t>8707819784.0</t>
        </is>
      </c>
      <c r="P309" s="24" t="inlineStr">
        <is>
          <t>KRW</t>
        </is>
      </c>
      <c r="Q309" s="24" t="inlineStr">
        <is>
          <t>43</t>
        </is>
      </c>
    </row>
    <row r="310" ht="24" customHeight="1">
      <c r="A310" s="29" t="inlineStr">
        <is>
          <t>OpenDART_fnlttSinglAcntAll</t>
        </is>
      </c>
      <c r="B310" s="29" t="inlineStr">
        <is>
          <t>01021666</t>
        </is>
      </c>
      <c r="C310" s="29" t="inlineStr">
        <is>
          <t>덕산테코피아</t>
        </is>
      </c>
      <c r="D310" s="29" t="inlineStr">
        <is>
          <t>duksan</t>
        </is>
      </c>
      <c r="E310" s="29" t="inlineStr">
        <is>
          <t>317330</t>
        </is>
      </c>
      <c r="F310" s="29" t="inlineStr">
        <is>
          <t>2023</t>
        </is>
      </c>
      <c r="G310" s="29" t="inlineStr">
        <is>
          <t>CFS</t>
        </is>
      </c>
      <c r="H310" s="29" t="inlineStr">
        <is>
          <t>BS</t>
        </is>
      </c>
      <c r="I310" s="29" t="inlineStr">
        <is>
          <t>재무상태표</t>
        </is>
      </c>
      <c r="J310" s="29" t="inlineStr">
        <is>
          <t>dart_PresentValueOfDefinedBenefitObligation</t>
        </is>
      </c>
      <c r="K310" s="29" t="inlineStr">
        <is>
          <t>순확정급여부채</t>
        </is>
      </c>
      <c r="L310" s="29" t="inlineStr">
        <is>
          <t>-</t>
        </is>
      </c>
      <c r="M310" s="29" t="inlineStr">
        <is>
          <t>제 18 기</t>
        </is>
      </c>
      <c r="N310" s="29" t="inlineStr">
        <is>
          <t>470974178.0</t>
        </is>
      </c>
      <c r="O310" s="29" t="inlineStr">
        <is>
          <t>217356535.0</t>
        </is>
      </c>
      <c r="P310" s="29" t="inlineStr">
        <is>
          <t>KRW</t>
        </is>
      </c>
      <c r="Q310" s="29" t="inlineStr">
        <is>
          <t>44</t>
        </is>
      </c>
    </row>
    <row r="311" ht="24" customHeight="1">
      <c r="A311" s="24" t="inlineStr">
        <is>
          <t>OpenDART_fnlttSinglAcntAll</t>
        </is>
      </c>
      <c r="B311" s="24" t="inlineStr">
        <is>
          <t>01021666</t>
        </is>
      </c>
      <c r="C311" s="24" t="inlineStr">
        <is>
          <t>덕산테코피아</t>
        </is>
      </c>
      <c r="D311" s="24" t="inlineStr">
        <is>
          <t>duksan</t>
        </is>
      </c>
      <c r="E311" s="24" t="inlineStr">
        <is>
          <t>317330</t>
        </is>
      </c>
      <c r="F311" s="24" t="inlineStr">
        <is>
          <t>2023</t>
        </is>
      </c>
      <c r="G311" s="24" t="inlineStr">
        <is>
          <t>CFS</t>
        </is>
      </c>
      <c r="H311" s="24" t="inlineStr">
        <is>
          <t>BS</t>
        </is>
      </c>
      <c r="I311" s="24" t="inlineStr">
        <is>
          <t>재무상태표</t>
        </is>
      </c>
      <c r="J311" s="24" t="inlineStr">
        <is>
          <t>ifrs-full_DeferredTaxLiabilities</t>
        </is>
      </c>
      <c r="K311" s="24" t="inlineStr">
        <is>
          <t>이연법인세부채</t>
        </is>
      </c>
      <c r="L311" s="24" t="inlineStr">
        <is>
          <t>-</t>
        </is>
      </c>
      <c r="M311" s="24" t="inlineStr">
        <is>
          <t>제 18 기</t>
        </is>
      </c>
      <c r="N311" s="24" t="inlineStr">
        <is>
          <t>108111380.0</t>
        </is>
      </c>
      <c r="O311" s="24" t="inlineStr">
        <is>
          <t>해당 없음</t>
        </is>
      </c>
      <c r="P311" s="24" t="inlineStr">
        <is>
          <t>KRW</t>
        </is>
      </c>
      <c r="Q311" s="24" t="inlineStr">
        <is>
          <t>45</t>
        </is>
      </c>
    </row>
    <row r="312" ht="24" customHeight="1">
      <c r="A312" s="29" t="inlineStr">
        <is>
          <t>OpenDART_fnlttSinglAcntAll</t>
        </is>
      </c>
      <c r="B312" s="29" t="inlineStr">
        <is>
          <t>01021666</t>
        </is>
      </c>
      <c r="C312" s="29" t="inlineStr">
        <is>
          <t>덕산테코피아</t>
        </is>
      </c>
      <c r="D312" s="29" t="inlineStr">
        <is>
          <t>duksan</t>
        </is>
      </c>
      <c r="E312" s="29" t="inlineStr">
        <is>
          <t>317330</t>
        </is>
      </c>
      <c r="F312" s="29" t="inlineStr">
        <is>
          <t>2023</t>
        </is>
      </c>
      <c r="G312" s="29" t="inlineStr">
        <is>
          <t>CFS</t>
        </is>
      </c>
      <c r="H312" s="29" t="inlineStr">
        <is>
          <t>BS</t>
        </is>
      </c>
      <c r="I312" s="29" t="inlineStr">
        <is>
          <t>재무상태표</t>
        </is>
      </c>
      <c r="J312" s="29" t="inlineStr">
        <is>
          <t>ifrs-full_OtherNoncurrentLiabilities</t>
        </is>
      </c>
      <c r="K312" s="29" t="inlineStr">
        <is>
          <t>기타 비유동 부채</t>
        </is>
      </c>
      <c r="L312" s="29" t="inlineStr">
        <is>
          <t>-</t>
        </is>
      </c>
      <c r="M312" s="29" t="inlineStr">
        <is>
          <t>제 18 기</t>
        </is>
      </c>
      <c r="N312" s="29" t="inlineStr">
        <is>
          <t>294992070.0</t>
        </is>
      </c>
      <c r="O312" s="29" t="inlineStr">
        <is>
          <t>293846139.0</t>
        </is>
      </c>
      <c r="P312" s="29" t="inlineStr">
        <is>
          <t>KRW</t>
        </is>
      </c>
      <c r="Q312" s="29" t="inlineStr">
        <is>
          <t>46</t>
        </is>
      </c>
    </row>
    <row r="313" ht="24" customHeight="1">
      <c r="A313" s="24" t="inlineStr">
        <is>
          <t>OpenDART_fnlttSinglAcntAll</t>
        </is>
      </c>
      <c r="B313" s="24" t="inlineStr">
        <is>
          <t>01021666</t>
        </is>
      </c>
      <c r="C313" s="24" t="inlineStr">
        <is>
          <t>덕산테코피아</t>
        </is>
      </c>
      <c r="D313" s="24" t="inlineStr">
        <is>
          <t>duksan</t>
        </is>
      </c>
      <c r="E313" s="24" t="inlineStr">
        <is>
          <t>317330</t>
        </is>
      </c>
      <c r="F313" s="24" t="inlineStr">
        <is>
          <t>2023</t>
        </is>
      </c>
      <c r="G313" s="24" t="inlineStr">
        <is>
          <t>CFS</t>
        </is>
      </c>
      <c r="H313" s="24" t="inlineStr">
        <is>
          <t>CIS</t>
        </is>
      </c>
      <c r="I313" s="24" t="inlineStr">
        <is>
          <t>포괄손익계산서</t>
        </is>
      </c>
      <c r="J313" s="24" t="inlineStr">
        <is>
          <t>dart_OperatingIncomeLoss</t>
        </is>
      </c>
      <c r="K313" s="24" t="inlineStr">
        <is>
          <t>영업이익(손실)</t>
        </is>
      </c>
      <c r="L313" s="24" t="inlineStr">
        <is>
          <t>-</t>
        </is>
      </c>
      <c r="M313" s="24" t="inlineStr">
        <is>
          <t>제 18 기</t>
        </is>
      </c>
      <c r="N313" s="24" t="inlineStr">
        <is>
          <t>-6225474421.0</t>
        </is>
      </c>
      <c r="O313" s="24" t="inlineStr">
        <is>
          <t>9261039886.0</t>
        </is>
      </c>
      <c r="P313" s="24" t="inlineStr">
        <is>
          <t>KRW</t>
        </is>
      </c>
      <c r="Q313" s="24" t="inlineStr">
        <is>
          <t>6</t>
        </is>
      </c>
    </row>
    <row r="314" ht="24" customHeight="1">
      <c r="A314" s="29" t="inlineStr">
        <is>
          <t>OpenDART_fnlttSinglAcntAll</t>
        </is>
      </c>
      <c r="B314" s="29" t="inlineStr">
        <is>
          <t>01021666</t>
        </is>
      </c>
      <c r="C314" s="29" t="inlineStr">
        <is>
          <t>덕산테코피아</t>
        </is>
      </c>
      <c r="D314" s="29" t="inlineStr">
        <is>
          <t>duksan</t>
        </is>
      </c>
      <c r="E314" s="29" t="inlineStr">
        <is>
          <t>317330</t>
        </is>
      </c>
      <c r="F314" s="29" t="inlineStr">
        <is>
          <t>2023</t>
        </is>
      </c>
      <c r="G314" s="29" t="inlineStr">
        <is>
          <t>CFS</t>
        </is>
      </c>
      <c r="H314" s="29" t="inlineStr">
        <is>
          <t>CIS</t>
        </is>
      </c>
      <c r="I314" s="29" t="inlineStr">
        <is>
          <t>포괄손익계산서</t>
        </is>
      </c>
      <c r="J314" s="29" t="inlineStr">
        <is>
          <t>dart_OtherGains</t>
        </is>
      </c>
      <c r="K314" s="29" t="inlineStr">
        <is>
          <t>기타이익</t>
        </is>
      </c>
      <c r="L314" s="29" t="inlineStr">
        <is>
          <t>-</t>
        </is>
      </c>
      <c r="M314" s="29" t="inlineStr">
        <is>
          <t>제 18 기</t>
        </is>
      </c>
      <c r="N314" s="29" t="inlineStr">
        <is>
          <t>1329617888.0</t>
        </is>
      </c>
      <c r="O314" s="29" t="inlineStr">
        <is>
          <t>976951822.0</t>
        </is>
      </c>
      <c r="P314" s="29" t="inlineStr">
        <is>
          <t>KRW</t>
        </is>
      </c>
      <c r="Q314" s="29" t="inlineStr">
        <is>
          <t>7</t>
        </is>
      </c>
    </row>
    <row r="315" ht="24" customHeight="1">
      <c r="A315" s="24" t="inlineStr">
        <is>
          <t>OpenDART_fnlttSinglAcntAll</t>
        </is>
      </c>
      <c r="B315" s="24" t="inlineStr">
        <is>
          <t>01021666</t>
        </is>
      </c>
      <c r="C315" s="24" t="inlineStr">
        <is>
          <t>덕산테코피아</t>
        </is>
      </c>
      <c r="D315" s="24" t="inlineStr">
        <is>
          <t>duksan</t>
        </is>
      </c>
      <c r="E315" s="24" t="inlineStr">
        <is>
          <t>317330</t>
        </is>
      </c>
      <c r="F315" s="24" t="inlineStr">
        <is>
          <t>2023</t>
        </is>
      </c>
      <c r="G315" s="24" t="inlineStr">
        <is>
          <t>CFS</t>
        </is>
      </c>
      <c r="H315" s="24" t="inlineStr">
        <is>
          <t>CIS</t>
        </is>
      </c>
      <c r="I315" s="24" t="inlineStr">
        <is>
          <t>포괄손익계산서</t>
        </is>
      </c>
      <c r="J315" s="24" t="inlineStr">
        <is>
          <t>dart_OtherLosses</t>
        </is>
      </c>
      <c r="K315" s="24" t="inlineStr">
        <is>
          <t>기타손실</t>
        </is>
      </c>
      <c r="L315" s="24" t="inlineStr">
        <is>
          <t>-</t>
        </is>
      </c>
      <c r="M315" s="24" t="inlineStr">
        <is>
          <t>제 18 기</t>
        </is>
      </c>
      <c r="N315" s="24" t="inlineStr">
        <is>
          <t>2204436091.0</t>
        </is>
      </c>
      <c r="O315" s="24" t="inlineStr">
        <is>
          <t>523407100.0</t>
        </is>
      </c>
      <c r="P315" s="24" t="inlineStr">
        <is>
          <t>KRW</t>
        </is>
      </c>
      <c r="Q315" s="24" t="inlineStr">
        <is>
          <t>8</t>
        </is>
      </c>
    </row>
    <row r="316" ht="24" customHeight="1">
      <c r="A316" s="29" t="inlineStr">
        <is>
          <t>OpenDART_fnlttSinglAcntAll</t>
        </is>
      </c>
      <c r="B316" s="29" t="inlineStr">
        <is>
          <t>01021666</t>
        </is>
      </c>
      <c r="C316" s="29" t="inlineStr">
        <is>
          <t>덕산테코피아</t>
        </is>
      </c>
      <c r="D316" s="29" t="inlineStr">
        <is>
          <t>duksan</t>
        </is>
      </c>
      <c r="E316" s="29" t="inlineStr">
        <is>
          <t>317330</t>
        </is>
      </c>
      <c r="F316" s="29" t="inlineStr">
        <is>
          <t>2023</t>
        </is>
      </c>
      <c r="G316" s="29" t="inlineStr">
        <is>
          <t>CFS</t>
        </is>
      </c>
      <c r="H316" s="29" t="inlineStr">
        <is>
          <t>CIS</t>
        </is>
      </c>
      <c r="I316" s="29" t="inlineStr">
        <is>
          <t>포괄손익계산서</t>
        </is>
      </c>
      <c r="J316" s="29" t="inlineStr">
        <is>
          <t>dart_TotalSellingGeneralAdministrativeExpenses</t>
        </is>
      </c>
      <c r="K316" s="29" t="inlineStr">
        <is>
          <t>판매비와관리비</t>
        </is>
      </c>
      <c r="L316" s="29" t="inlineStr">
        <is>
          <t>-</t>
        </is>
      </c>
      <c r="M316" s="29" t="inlineStr">
        <is>
          <t>제 18 기</t>
        </is>
      </c>
      <c r="N316" s="29" t="inlineStr">
        <is>
          <t>37116817850.0</t>
        </is>
      </c>
      <c r="O316" s="29" t="inlineStr">
        <is>
          <t>25764156085.0</t>
        </is>
      </c>
      <c r="P316" s="29" t="inlineStr">
        <is>
          <t>KRW</t>
        </is>
      </c>
      <c r="Q316" s="29" t="inlineStr">
        <is>
          <t>9</t>
        </is>
      </c>
    </row>
    <row r="317" ht="24" customHeight="1">
      <c r="A317" s="24" t="inlineStr">
        <is>
          <t>OpenDART_fnlttSinglAcntAll</t>
        </is>
      </c>
      <c r="B317" s="24" t="inlineStr">
        <is>
          <t>01021666</t>
        </is>
      </c>
      <c r="C317" s="24" t="inlineStr">
        <is>
          <t>덕산테코피아</t>
        </is>
      </c>
      <c r="D317" s="24" t="inlineStr">
        <is>
          <t>duksan</t>
        </is>
      </c>
      <c r="E317" s="24" t="inlineStr">
        <is>
          <t>317330</t>
        </is>
      </c>
      <c r="F317" s="24" t="inlineStr">
        <is>
          <t>2023</t>
        </is>
      </c>
      <c r="G317" s="24" t="inlineStr">
        <is>
          <t>CFS</t>
        </is>
      </c>
      <c r="H317" s="24" t="inlineStr">
        <is>
          <t>CIS</t>
        </is>
      </c>
      <c r="I317" s="24" t="inlineStr">
        <is>
          <t>포괄손익계산서</t>
        </is>
      </c>
      <c r="J317" s="24" t="inlineStr">
        <is>
          <t>ifrs-full_ComprehensiveIncome</t>
        </is>
      </c>
      <c r="K317" s="24" t="inlineStr">
        <is>
          <t>총포괄손익</t>
        </is>
      </c>
      <c r="L317" s="24" t="inlineStr">
        <is>
          <t>-</t>
        </is>
      </c>
      <c r="M317" s="24" t="inlineStr">
        <is>
          <t>제 18 기</t>
        </is>
      </c>
      <c r="N317" s="24" t="inlineStr">
        <is>
          <t>-20440351192.0</t>
        </is>
      </c>
      <c r="O317" s="24" t="inlineStr">
        <is>
          <t>15701187251.0</t>
        </is>
      </c>
      <c r="P317" s="24" t="inlineStr">
        <is>
          <t>KRW</t>
        </is>
      </c>
      <c r="Q317" s="24" t="inlineStr">
        <is>
          <t>10</t>
        </is>
      </c>
    </row>
    <row r="318" ht="24" customHeight="1">
      <c r="A318" s="29" t="inlineStr">
        <is>
          <t>OpenDART_fnlttSinglAcntAll</t>
        </is>
      </c>
      <c r="B318" s="29" t="inlineStr">
        <is>
          <t>01021666</t>
        </is>
      </c>
      <c r="C318" s="29" t="inlineStr">
        <is>
          <t>덕산테코피아</t>
        </is>
      </c>
      <c r="D318" s="29" t="inlineStr">
        <is>
          <t>duksan</t>
        </is>
      </c>
      <c r="E318" s="29" t="inlineStr">
        <is>
          <t>317330</t>
        </is>
      </c>
      <c r="F318" s="29" t="inlineStr">
        <is>
          <t>2023</t>
        </is>
      </c>
      <c r="G318" s="29" t="inlineStr">
        <is>
          <t>CFS</t>
        </is>
      </c>
      <c r="H318" s="29" t="inlineStr">
        <is>
          <t>CIS</t>
        </is>
      </c>
      <c r="I318" s="29" t="inlineStr">
        <is>
          <t>포괄손익계산서</t>
        </is>
      </c>
      <c r="J318" s="29" t="inlineStr">
        <is>
          <t>ifrs-full_ComprehensiveIncomeAttributableToNoncontrollingInterests</t>
        </is>
      </c>
      <c r="K318" s="29" t="inlineStr">
        <is>
          <t>포괄손익, 비지배지분</t>
        </is>
      </c>
      <c r="L318" s="29" t="inlineStr">
        <is>
          <t>-</t>
        </is>
      </c>
      <c r="M318" s="29" t="inlineStr">
        <is>
          <t>제 18 기</t>
        </is>
      </c>
      <c r="N318" s="29" t="inlineStr">
        <is>
          <t>-12320612507.0</t>
        </is>
      </c>
      <c r="O318" s="29" t="inlineStr">
        <is>
          <t>-1025228526.0</t>
        </is>
      </c>
      <c r="P318" s="29" t="inlineStr">
        <is>
          <t>KRW</t>
        </is>
      </c>
      <c r="Q318" s="29" t="inlineStr">
        <is>
          <t>12</t>
        </is>
      </c>
    </row>
    <row r="319" ht="24" customHeight="1">
      <c r="A319" s="24" t="inlineStr">
        <is>
          <t>OpenDART_fnlttSinglAcntAll</t>
        </is>
      </c>
      <c r="B319" s="24" t="inlineStr">
        <is>
          <t>01021666</t>
        </is>
      </c>
      <c r="C319" s="24" t="inlineStr">
        <is>
          <t>덕산테코피아</t>
        </is>
      </c>
      <c r="D319" s="24" t="inlineStr">
        <is>
          <t>duksan</t>
        </is>
      </c>
      <c r="E319" s="24" t="inlineStr">
        <is>
          <t>317330</t>
        </is>
      </c>
      <c r="F319" s="24" t="inlineStr">
        <is>
          <t>2023</t>
        </is>
      </c>
      <c r="G319" s="24" t="inlineStr">
        <is>
          <t>CFS</t>
        </is>
      </c>
      <c r="H319" s="24" t="inlineStr">
        <is>
          <t>CIS</t>
        </is>
      </c>
      <c r="I319" s="24" t="inlineStr">
        <is>
          <t>포괄손익계산서</t>
        </is>
      </c>
      <c r="J319" s="24" t="inlineStr">
        <is>
          <t>ifrs-full_ComprehensiveIncomeAttributableToOwnersOfParent</t>
        </is>
      </c>
      <c r="K319" s="24" t="inlineStr">
        <is>
          <t>포괄손익, 지배기업의 소유주에게 귀속되는 지분</t>
        </is>
      </c>
      <c r="L319" s="24" t="inlineStr">
        <is>
          <t>-</t>
        </is>
      </c>
      <c r="M319" s="24" t="inlineStr">
        <is>
          <t>제 18 기</t>
        </is>
      </c>
      <c r="N319" s="24" t="inlineStr">
        <is>
          <t>-8119738685.0</t>
        </is>
      </c>
      <c r="O319" s="24" t="inlineStr">
        <is>
          <t>16726415777.0</t>
        </is>
      </c>
      <c r="P319" s="24" t="inlineStr">
        <is>
          <t>KRW</t>
        </is>
      </c>
      <c r="Q319" s="24" t="inlineStr">
        <is>
          <t>13</t>
        </is>
      </c>
    </row>
    <row r="320" ht="24" customHeight="1">
      <c r="A320" s="29" t="inlineStr">
        <is>
          <t>OpenDART_fnlttSinglAcntAll</t>
        </is>
      </c>
      <c r="B320" s="29" t="inlineStr">
        <is>
          <t>01021666</t>
        </is>
      </c>
      <c r="C320" s="29" t="inlineStr">
        <is>
          <t>덕산테코피아</t>
        </is>
      </c>
      <c r="D320" s="29" t="inlineStr">
        <is>
          <t>duksan</t>
        </is>
      </c>
      <c r="E320" s="29" t="inlineStr">
        <is>
          <t>317330</t>
        </is>
      </c>
      <c r="F320" s="29" t="inlineStr">
        <is>
          <t>2023</t>
        </is>
      </c>
      <c r="G320" s="29" t="inlineStr">
        <is>
          <t>CFS</t>
        </is>
      </c>
      <c r="H320" s="29" t="inlineStr">
        <is>
          <t>CIS</t>
        </is>
      </c>
      <c r="I320" s="29" t="inlineStr">
        <is>
          <t>포괄손익계산서</t>
        </is>
      </c>
      <c r="J320" s="29" t="inlineStr">
        <is>
          <t>ifrs-full_CostOfSales</t>
        </is>
      </c>
      <c r="K320" s="29" t="inlineStr">
        <is>
          <t>매출원가</t>
        </is>
      </c>
      <c r="L320" s="29" t="inlineStr">
        <is>
          <t>-</t>
        </is>
      </c>
      <c r="M320" s="29" t="inlineStr">
        <is>
          <t>제 18 기</t>
        </is>
      </c>
      <c r="N320" s="29" t="inlineStr">
        <is>
          <t>63185368845.0</t>
        </is>
      </c>
      <c r="O320" s="29" t="inlineStr">
        <is>
          <t>75979925094.0</t>
        </is>
      </c>
      <c r="P320" s="29" t="inlineStr">
        <is>
          <t>KRW</t>
        </is>
      </c>
      <c r="Q320" s="29" t="inlineStr">
        <is>
          <t>14</t>
        </is>
      </c>
    </row>
    <row r="321" ht="24" customHeight="1">
      <c r="A321" s="24" t="inlineStr">
        <is>
          <t>OpenDART_fnlttSinglAcntAll</t>
        </is>
      </c>
      <c r="B321" s="24" t="inlineStr">
        <is>
          <t>01021666</t>
        </is>
      </c>
      <c r="C321" s="24" t="inlineStr">
        <is>
          <t>덕산테코피아</t>
        </is>
      </c>
      <c r="D321" s="24" t="inlineStr">
        <is>
          <t>duksan</t>
        </is>
      </c>
      <c r="E321" s="24" t="inlineStr">
        <is>
          <t>317330</t>
        </is>
      </c>
      <c r="F321" s="24" t="inlineStr">
        <is>
          <t>2023</t>
        </is>
      </c>
      <c r="G321" s="24" t="inlineStr">
        <is>
          <t>CFS</t>
        </is>
      </c>
      <c r="H321" s="24" t="inlineStr">
        <is>
          <t>CIS</t>
        </is>
      </c>
      <c r="I321" s="24" t="inlineStr">
        <is>
          <t>포괄손익계산서</t>
        </is>
      </c>
      <c r="J321" s="24" t="inlineStr">
        <is>
          <t>ifrs-full_BasicEarningsLossPerShare</t>
        </is>
      </c>
      <c r="K321" s="24" t="inlineStr">
        <is>
          <t>기본주당이익(손실)</t>
        </is>
      </c>
      <c r="L321" s="24" t="inlineStr">
        <is>
          <t>-</t>
        </is>
      </c>
      <c r="M321" s="24" t="inlineStr">
        <is>
          <t>제 18 기</t>
        </is>
      </c>
      <c r="N321" s="24" t="inlineStr">
        <is>
          <t>-408.0</t>
        </is>
      </c>
      <c r="O321" s="24" t="inlineStr">
        <is>
          <t>885.0</t>
        </is>
      </c>
      <c r="P321" s="24" t="inlineStr">
        <is>
          <t>KRW</t>
        </is>
      </c>
      <c r="Q321" s="24" t="inlineStr">
        <is>
          <t>16</t>
        </is>
      </c>
    </row>
    <row r="322" ht="24" customHeight="1">
      <c r="A322" s="29" t="inlineStr">
        <is>
          <t>OpenDART_fnlttSinglAcntAll</t>
        </is>
      </c>
      <c r="B322" s="29" t="inlineStr">
        <is>
          <t>01021666</t>
        </is>
      </c>
      <c r="C322" s="29" t="inlineStr">
        <is>
          <t>덕산테코피아</t>
        </is>
      </c>
      <c r="D322" s="29" t="inlineStr">
        <is>
          <t>duksan</t>
        </is>
      </c>
      <c r="E322" s="29" t="inlineStr">
        <is>
          <t>317330</t>
        </is>
      </c>
      <c r="F322" s="29" t="inlineStr">
        <is>
          <t>2023</t>
        </is>
      </c>
      <c r="G322" s="29" t="inlineStr">
        <is>
          <t>CFS</t>
        </is>
      </c>
      <c r="H322" s="29" t="inlineStr">
        <is>
          <t>CIS</t>
        </is>
      </c>
      <c r="I322" s="29" t="inlineStr">
        <is>
          <t>포괄손익계산서</t>
        </is>
      </c>
      <c r="J322" s="29" t="inlineStr">
        <is>
          <t>ifrs-full_DilutedEarningsLossPerShare</t>
        </is>
      </c>
      <c r="K322" s="29" t="inlineStr">
        <is>
          <t>희석주당이익(손실)</t>
        </is>
      </c>
      <c r="L322" s="29" t="inlineStr">
        <is>
          <t>-</t>
        </is>
      </c>
      <c r="M322" s="29" t="inlineStr">
        <is>
          <t>제 18 기</t>
        </is>
      </c>
      <c r="N322" s="29" t="inlineStr">
        <is>
          <t>-408.0</t>
        </is>
      </c>
      <c r="O322" s="29" t="inlineStr">
        <is>
          <t>885.0</t>
        </is>
      </c>
      <c r="P322" s="29" t="inlineStr">
        <is>
          <t>KRW</t>
        </is>
      </c>
      <c r="Q322" s="29" t="inlineStr">
        <is>
          <t>17</t>
        </is>
      </c>
    </row>
    <row r="323" ht="24" customHeight="1">
      <c r="A323" s="24" t="inlineStr">
        <is>
          <t>OpenDART_fnlttSinglAcntAll</t>
        </is>
      </c>
      <c r="B323" s="24" t="inlineStr">
        <is>
          <t>01021666</t>
        </is>
      </c>
      <c r="C323" s="24" t="inlineStr">
        <is>
          <t>덕산테코피아</t>
        </is>
      </c>
      <c r="D323" s="24" t="inlineStr">
        <is>
          <t>duksan</t>
        </is>
      </c>
      <c r="E323" s="24" t="inlineStr">
        <is>
          <t>317330</t>
        </is>
      </c>
      <c r="F323" s="24" t="inlineStr">
        <is>
          <t>2023</t>
        </is>
      </c>
      <c r="G323" s="24" t="inlineStr">
        <is>
          <t>CFS</t>
        </is>
      </c>
      <c r="H323" s="24" t="inlineStr">
        <is>
          <t>CIS</t>
        </is>
      </c>
      <c r="I323" s="24" t="inlineStr">
        <is>
          <t>포괄손익계산서</t>
        </is>
      </c>
      <c r="J323" s="24" t="inlineStr">
        <is>
          <t>ifrs-full_FinanceCosts</t>
        </is>
      </c>
      <c r="K323" s="24" t="inlineStr">
        <is>
          <t>금융원가</t>
        </is>
      </c>
      <c r="L323" s="24" t="inlineStr">
        <is>
          <t>-</t>
        </is>
      </c>
      <c r="M323" s="24" t="inlineStr">
        <is>
          <t>제 18 기</t>
        </is>
      </c>
      <c r="N323" s="24" t="inlineStr">
        <is>
          <t>18109516105.0</t>
        </is>
      </c>
      <c r="O323" s="24" t="inlineStr">
        <is>
          <t>4395682610.0</t>
        </is>
      </c>
      <c r="P323" s="24" t="inlineStr">
        <is>
          <t>KRW</t>
        </is>
      </c>
      <c r="Q323" s="24" t="inlineStr">
        <is>
          <t>18</t>
        </is>
      </c>
    </row>
    <row r="324" ht="24" customHeight="1">
      <c r="A324" s="29" t="inlineStr">
        <is>
          <t>OpenDART_fnlttSinglAcntAll</t>
        </is>
      </c>
      <c r="B324" s="29" t="inlineStr">
        <is>
          <t>01021666</t>
        </is>
      </c>
      <c r="C324" s="29" t="inlineStr">
        <is>
          <t>덕산테코피아</t>
        </is>
      </c>
      <c r="D324" s="29" t="inlineStr">
        <is>
          <t>duksan</t>
        </is>
      </c>
      <c r="E324" s="29" t="inlineStr">
        <is>
          <t>317330</t>
        </is>
      </c>
      <c r="F324" s="29" t="inlineStr">
        <is>
          <t>2023</t>
        </is>
      </c>
      <c r="G324" s="29" t="inlineStr">
        <is>
          <t>CFS</t>
        </is>
      </c>
      <c r="H324" s="29" t="inlineStr">
        <is>
          <t>CIS</t>
        </is>
      </c>
      <c r="I324" s="29" t="inlineStr">
        <is>
          <t>포괄손익계산서</t>
        </is>
      </c>
      <c r="J324" s="29" t="inlineStr">
        <is>
          <t>ifrs-full_FinanceIncome</t>
        </is>
      </c>
      <c r="K324" s="29" t="inlineStr">
        <is>
          <t>금융수익</t>
        </is>
      </c>
      <c r="L324" s="29" t="inlineStr">
        <is>
          <t>-</t>
        </is>
      </c>
      <c r="M324" s="29" t="inlineStr">
        <is>
          <t>제 18 기</t>
        </is>
      </c>
      <c r="N324" s="29" t="inlineStr">
        <is>
          <t>4458211188.0</t>
        </is>
      </c>
      <c r="O324" s="29" t="inlineStr">
        <is>
          <t>7284481074.0</t>
        </is>
      </c>
      <c r="P324" s="29" t="inlineStr">
        <is>
          <t>KRW</t>
        </is>
      </c>
      <c r="Q324" s="29" t="inlineStr">
        <is>
          <t>19</t>
        </is>
      </c>
    </row>
    <row r="325" ht="24" customHeight="1">
      <c r="A325" s="24" t="inlineStr">
        <is>
          <t>OpenDART_fnlttSinglAcntAll</t>
        </is>
      </c>
      <c r="B325" s="24" t="inlineStr">
        <is>
          <t>01021666</t>
        </is>
      </c>
      <c r="C325" s="24" t="inlineStr">
        <is>
          <t>덕산테코피아</t>
        </is>
      </c>
      <c r="D325" s="24" t="inlineStr">
        <is>
          <t>duksan</t>
        </is>
      </c>
      <c r="E325" s="24" t="inlineStr">
        <is>
          <t>317330</t>
        </is>
      </c>
      <c r="F325" s="24" t="inlineStr">
        <is>
          <t>2023</t>
        </is>
      </c>
      <c r="G325" s="24" t="inlineStr">
        <is>
          <t>CFS</t>
        </is>
      </c>
      <c r="H325" s="24" t="inlineStr">
        <is>
          <t>CIS</t>
        </is>
      </c>
      <c r="I325" s="24" t="inlineStr">
        <is>
          <t>포괄손익계산서</t>
        </is>
      </c>
      <c r="J325" s="24" t="inlineStr">
        <is>
          <t>ifrs-full_GrossProfit</t>
        </is>
      </c>
      <c r="K325" s="24" t="inlineStr">
        <is>
          <t>매출총이익</t>
        </is>
      </c>
      <c r="L325" s="24" t="inlineStr">
        <is>
          <t>-</t>
        </is>
      </c>
      <c r="M325" s="24" t="inlineStr">
        <is>
          <t>제 18 기</t>
        </is>
      </c>
      <c r="N325" s="24" t="inlineStr">
        <is>
          <t>30891343429.0</t>
        </is>
      </c>
      <c r="O325" s="24" t="inlineStr">
        <is>
          <t>35025195971.0</t>
        </is>
      </c>
      <c r="P325" s="24" t="inlineStr">
        <is>
          <t>KRW</t>
        </is>
      </c>
      <c r="Q325" s="24" t="inlineStr">
        <is>
          <t>20</t>
        </is>
      </c>
    </row>
    <row r="326" ht="24" customHeight="1">
      <c r="A326" s="29" t="inlineStr">
        <is>
          <t>OpenDART_fnlttSinglAcntAll</t>
        </is>
      </c>
      <c r="B326" s="29" t="inlineStr">
        <is>
          <t>01021666</t>
        </is>
      </c>
      <c r="C326" s="29" t="inlineStr">
        <is>
          <t>덕산테코피아</t>
        </is>
      </c>
      <c r="D326" s="29" t="inlineStr">
        <is>
          <t>duksan</t>
        </is>
      </c>
      <c r="E326" s="29" t="inlineStr">
        <is>
          <t>317330</t>
        </is>
      </c>
      <c r="F326" s="29" t="inlineStr">
        <is>
          <t>2023</t>
        </is>
      </c>
      <c r="G326" s="29" t="inlineStr">
        <is>
          <t>CFS</t>
        </is>
      </c>
      <c r="H326" s="29" t="inlineStr">
        <is>
          <t>CIS</t>
        </is>
      </c>
      <c r="I326" s="29" t="inlineStr">
        <is>
          <t>포괄손익계산서</t>
        </is>
      </c>
      <c r="J326" s="29" t="inlineStr">
        <is>
          <t>ifrs-full_IncomeTaxExpenseContinuingOperations</t>
        </is>
      </c>
      <c r="K326" s="29" t="inlineStr">
        <is>
          <t>법인세비용(수익)</t>
        </is>
      </c>
      <c r="L326" s="29" t="inlineStr">
        <is>
          <t>-</t>
        </is>
      </c>
      <c r="M326" s="29" t="inlineStr">
        <is>
          <t>제 18 기</t>
        </is>
      </c>
      <c r="N326" s="29" t="inlineStr">
        <is>
          <t>-1477927868.0</t>
        </is>
      </c>
      <c r="O326" s="29" t="inlineStr">
        <is>
          <t>-2446959907.0</t>
        </is>
      </c>
      <c r="P326" s="29" t="inlineStr">
        <is>
          <t>KRW</t>
        </is>
      </c>
      <c r="Q326" s="29" t="inlineStr">
        <is>
          <t>21</t>
        </is>
      </c>
    </row>
    <row r="327" ht="24" customHeight="1">
      <c r="A327" s="24" t="inlineStr">
        <is>
          <t>OpenDART_fnlttSinglAcntAll</t>
        </is>
      </c>
      <c r="B327" s="24" t="inlineStr">
        <is>
          <t>01021666</t>
        </is>
      </c>
      <c r="C327" s="24" t="inlineStr">
        <is>
          <t>덕산테코피아</t>
        </is>
      </c>
      <c r="D327" s="24" t="inlineStr">
        <is>
          <t>duksan</t>
        </is>
      </c>
      <c r="E327" s="24" t="inlineStr">
        <is>
          <t>317330</t>
        </is>
      </c>
      <c r="F327" s="24" t="inlineStr">
        <is>
          <t>2023</t>
        </is>
      </c>
      <c r="G327" s="24" t="inlineStr">
        <is>
          <t>CFS</t>
        </is>
      </c>
      <c r="H327" s="24" t="inlineStr">
        <is>
          <t>CIS</t>
        </is>
      </c>
      <c r="I327" s="24" t="inlineStr">
        <is>
          <t>포괄손익계산서</t>
        </is>
      </c>
      <c r="J327" s="24" t="inlineStr">
        <is>
          <t>ifrs-full_OtherComprehensiveIncome</t>
        </is>
      </c>
      <c r="K327" s="24" t="inlineStr">
        <is>
          <t>기타포괄손익</t>
        </is>
      </c>
      <c r="L327" s="24" t="inlineStr">
        <is>
          <t>-</t>
        </is>
      </c>
      <c r="M327" s="24" t="inlineStr">
        <is>
          <t>제 18 기</t>
        </is>
      </c>
      <c r="N327" s="24" t="inlineStr">
        <is>
          <t>-1166681519.0</t>
        </is>
      </c>
      <c r="O327" s="24" t="inlineStr">
        <is>
          <t>650844272.0</t>
        </is>
      </c>
      <c r="P327" s="24" t="inlineStr">
        <is>
          <t>KRW</t>
        </is>
      </c>
      <c r="Q327" s="24" t="inlineStr">
        <is>
          <t>22</t>
        </is>
      </c>
    </row>
    <row r="328" ht="24" customHeight="1">
      <c r="A328" s="29" t="inlineStr">
        <is>
          <t>OpenDART_fnlttSinglAcntAll</t>
        </is>
      </c>
      <c r="B328" s="29" t="inlineStr">
        <is>
          <t>01021666</t>
        </is>
      </c>
      <c r="C328" s="29" t="inlineStr">
        <is>
          <t>덕산테코피아</t>
        </is>
      </c>
      <c r="D328" s="29" t="inlineStr">
        <is>
          <t>duksan</t>
        </is>
      </c>
      <c r="E328" s="29" t="inlineStr">
        <is>
          <t>317330</t>
        </is>
      </c>
      <c r="F328" s="29" t="inlineStr">
        <is>
          <t>2023</t>
        </is>
      </c>
      <c r="G328" s="29" t="inlineStr">
        <is>
          <t>CFS</t>
        </is>
      </c>
      <c r="H328" s="29" t="inlineStr">
        <is>
          <t>CIS</t>
        </is>
      </c>
      <c r="I328" s="29" t="inlineStr">
        <is>
          <t>포괄손익계산서</t>
        </is>
      </c>
      <c r="J328" s="29" t="inlineStr">
        <is>
          <t>ifrs-full_OtherComprehensiveIncomeThatWillBeReclassifiedToProfitOrLossNetOfTax</t>
        </is>
      </c>
      <c r="K328" s="29" t="inlineStr">
        <is>
          <t>당기손익으로 재분류될 수 있는 항목(세후기타포괄손익)</t>
        </is>
      </c>
      <c r="L328" s="29" t="inlineStr">
        <is>
          <t>-</t>
        </is>
      </c>
      <c r="M328" s="29" t="inlineStr">
        <is>
          <t>제 18 기</t>
        </is>
      </c>
      <c r="N328" s="29" t="inlineStr">
        <is>
          <t>-948340054.0</t>
        </is>
      </c>
      <c r="O328" s="29" t="inlineStr">
        <is>
          <t>-52136189.0</t>
        </is>
      </c>
      <c r="P328" s="29" t="inlineStr">
        <is>
          <t>KRW</t>
        </is>
      </c>
      <c r="Q328" s="29" t="inlineStr">
        <is>
          <t>23</t>
        </is>
      </c>
    </row>
    <row r="329" ht="24" customHeight="1">
      <c r="A329" s="24" t="inlineStr">
        <is>
          <t>OpenDART_fnlttSinglAcntAll</t>
        </is>
      </c>
      <c r="B329" s="24" t="inlineStr">
        <is>
          <t>01021666</t>
        </is>
      </c>
      <c r="C329" s="24" t="inlineStr">
        <is>
          <t>덕산테코피아</t>
        </is>
      </c>
      <c r="D329" s="24" t="inlineStr">
        <is>
          <t>duksan</t>
        </is>
      </c>
      <c r="E329" s="24" t="inlineStr">
        <is>
          <t>317330</t>
        </is>
      </c>
      <c r="F329" s="24" t="inlineStr">
        <is>
          <t>2023</t>
        </is>
      </c>
      <c r="G329" s="24" t="inlineStr">
        <is>
          <t>CFS</t>
        </is>
      </c>
      <c r="H329" s="24" t="inlineStr">
        <is>
          <t>CIS</t>
        </is>
      </c>
      <c r="I329" s="24" t="inlineStr">
        <is>
          <t>포괄손익계산서</t>
        </is>
      </c>
      <c r="J329" s="24" t="inlineStr">
        <is>
          <t>ifrs-full_GainsLossesOnExchangeDifferencesOnTranslationNetOfTax</t>
        </is>
      </c>
      <c r="K329" s="24" t="inlineStr">
        <is>
          <t>해외사업장환산외환차이(세후기타포괄손익)</t>
        </is>
      </c>
      <c r="L329" s="24" t="inlineStr">
        <is>
          <t>-</t>
        </is>
      </c>
      <c r="M329" s="24" t="inlineStr">
        <is>
          <t>제 18 기</t>
        </is>
      </c>
      <c r="N329" s="24" t="inlineStr">
        <is>
          <t>-948340054.0</t>
        </is>
      </c>
      <c r="O329" s="24" t="inlineStr">
        <is>
          <t>-52136189.0</t>
        </is>
      </c>
      <c r="P329" s="24" t="inlineStr">
        <is>
          <t>KRW</t>
        </is>
      </c>
      <c r="Q329" s="24" t="inlineStr">
        <is>
          <t>24</t>
        </is>
      </c>
    </row>
    <row r="330" ht="24" customHeight="1">
      <c r="A330" s="29" t="inlineStr">
        <is>
          <t>OpenDART_fnlttSinglAcntAll</t>
        </is>
      </c>
      <c r="B330" s="29" t="inlineStr">
        <is>
          <t>01021666</t>
        </is>
      </c>
      <c r="C330" s="29" t="inlineStr">
        <is>
          <t>덕산테코피아</t>
        </is>
      </c>
      <c r="D330" s="29" t="inlineStr">
        <is>
          <t>duksan</t>
        </is>
      </c>
      <c r="E330" s="29" t="inlineStr">
        <is>
          <t>317330</t>
        </is>
      </c>
      <c r="F330" s="29" t="inlineStr">
        <is>
          <t>2023</t>
        </is>
      </c>
      <c r="G330" s="29" t="inlineStr">
        <is>
          <t>CFS</t>
        </is>
      </c>
      <c r="H330" s="29" t="inlineStr">
        <is>
          <t>CIS</t>
        </is>
      </c>
      <c r="I330" s="29" t="inlineStr">
        <is>
          <t>포괄손익계산서</t>
        </is>
      </c>
      <c r="J330" s="29" t="inlineStr">
        <is>
          <t>ifrs-full_OtherComprehensiveIncomeThatWillNotBeReclassifiedToProfitOrLossNetOfTax</t>
        </is>
      </c>
      <c r="K330" s="29" t="inlineStr">
        <is>
          <t>당기손익으로 재분류되지 않는항목(세후기타포괄손익)</t>
        </is>
      </c>
      <c r="L330" s="29" t="inlineStr">
        <is>
          <t>-</t>
        </is>
      </c>
      <c r="M330" s="29" t="inlineStr">
        <is>
          <t>제 18 기</t>
        </is>
      </c>
      <c r="N330" s="29" t="inlineStr">
        <is>
          <t>-218341465.0</t>
        </is>
      </c>
      <c r="O330" s="29" t="inlineStr">
        <is>
          <t>702980461.0</t>
        </is>
      </c>
      <c r="P330" s="29" t="inlineStr">
        <is>
          <t>KRW</t>
        </is>
      </c>
      <c r="Q330" s="29" t="inlineStr">
        <is>
          <t>25</t>
        </is>
      </c>
    </row>
    <row r="331" ht="24" customHeight="1">
      <c r="A331" s="24" t="inlineStr">
        <is>
          <t>OpenDART_fnlttSinglAcntAll</t>
        </is>
      </c>
      <c r="B331" s="24" t="inlineStr">
        <is>
          <t>01021666</t>
        </is>
      </c>
      <c r="C331" s="24" t="inlineStr">
        <is>
          <t>덕산테코피아</t>
        </is>
      </c>
      <c r="D331" s="24" t="inlineStr">
        <is>
          <t>duksan</t>
        </is>
      </c>
      <c r="E331" s="24" t="inlineStr">
        <is>
          <t>317330</t>
        </is>
      </c>
      <c r="F331" s="24" t="inlineStr">
        <is>
          <t>2023</t>
        </is>
      </c>
      <c r="G331" s="24" t="inlineStr">
        <is>
          <t>CFS</t>
        </is>
      </c>
      <c r="H331" s="24" t="inlineStr">
        <is>
          <t>CIS</t>
        </is>
      </c>
      <c r="I331" s="24" t="inlineStr">
        <is>
          <t>포괄손익계산서</t>
        </is>
      </c>
      <c r="J331" s="24" t="inlineStr">
        <is>
          <t>ifrs-full_OtherComprehensiveIncomeNetOfTaxGainsLossesOnRemeasurementsOfDefinedBenefitPlans</t>
        </is>
      </c>
      <c r="K331" s="24" t="inlineStr">
        <is>
          <t>확정급여제도의 재측정손익(세후기타포괄손익)</t>
        </is>
      </c>
      <c r="L331" s="24" t="inlineStr">
        <is>
          <t>-</t>
        </is>
      </c>
      <c r="M331" s="24" t="inlineStr">
        <is>
          <t>제 18 기</t>
        </is>
      </c>
      <c r="N331" s="24" t="inlineStr">
        <is>
          <t>-218341465.0</t>
        </is>
      </c>
      <c r="O331" s="24" t="inlineStr">
        <is>
          <t>702980461.0</t>
        </is>
      </c>
      <c r="P331" s="24" t="inlineStr">
        <is>
          <t>KRW</t>
        </is>
      </c>
      <c r="Q331" s="24" t="inlineStr">
        <is>
          <t>26</t>
        </is>
      </c>
    </row>
    <row r="332" ht="24" customHeight="1">
      <c r="A332" s="29" t="inlineStr">
        <is>
          <t>OpenDART_fnlttSinglAcntAll</t>
        </is>
      </c>
      <c r="B332" s="29" t="inlineStr">
        <is>
          <t>01021666</t>
        </is>
      </c>
      <c r="C332" s="29" t="inlineStr">
        <is>
          <t>덕산테코피아</t>
        </is>
      </c>
      <c r="D332" s="29" t="inlineStr">
        <is>
          <t>duksan</t>
        </is>
      </c>
      <c r="E332" s="29" t="inlineStr">
        <is>
          <t>317330</t>
        </is>
      </c>
      <c r="F332" s="29" t="inlineStr">
        <is>
          <t>2023</t>
        </is>
      </c>
      <c r="G332" s="29" t="inlineStr">
        <is>
          <t>CFS</t>
        </is>
      </c>
      <c r="H332" s="29" t="inlineStr">
        <is>
          <t>CIS</t>
        </is>
      </c>
      <c r="I332" s="29" t="inlineStr">
        <is>
          <t>포괄손익계산서</t>
        </is>
      </c>
      <c r="J332" s="29" t="inlineStr">
        <is>
          <t>ifrs-full_ProfitLoss</t>
        </is>
      </c>
      <c r="K332" s="29" t="inlineStr">
        <is>
          <t>당기순이익(손실)</t>
        </is>
      </c>
      <c r="L332" s="29" t="inlineStr">
        <is>
          <t>-</t>
        </is>
      </c>
      <c r="M332" s="29" t="inlineStr">
        <is>
          <t>제 18 기</t>
        </is>
      </c>
      <c r="N332" s="29" t="inlineStr">
        <is>
          <t>-19273669673.0</t>
        </is>
      </c>
      <c r="O332" s="29" t="inlineStr">
        <is>
          <t>15050342979.0</t>
        </is>
      </c>
      <c r="P332" s="29" t="inlineStr">
        <is>
          <t>KRW</t>
        </is>
      </c>
      <c r="Q332" s="29" t="inlineStr">
        <is>
          <t>27</t>
        </is>
      </c>
    </row>
    <row r="333" ht="24" customHeight="1">
      <c r="A333" s="24" t="inlineStr">
        <is>
          <t>OpenDART_fnlttSinglAcntAll</t>
        </is>
      </c>
      <c r="B333" s="24" t="inlineStr">
        <is>
          <t>01021666</t>
        </is>
      </c>
      <c r="C333" s="24" t="inlineStr">
        <is>
          <t>덕산테코피아</t>
        </is>
      </c>
      <c r="D333" s="24" t="inlineStr">
        <is>
          <t>duksan</t>
        </is>
      </c>
      <c r="E333" s="24" t="inlineStr">
        <is>
          <t>317330</t>
        </is>
      </c>
      <c r="F333" s="24" t="inlineStr">
        <is>
          <t>2023</t>
        </is>
      </c>
      <c r="G333" s="24" t="inlineStr">
        <is>
          <t>CFS</t>
        </is>
      </c>
      <c r="H333" s="24" t="inlineStr">
        <is>
          <t>CIS</t>
        </is>
      </c>
      <c r="I333" s="24" t="inlineStr">
        <is>
          <t>포괄손익계산서</t>
        </is>
      </c>
      <c r="J333" s="24" t="inlineStr">
        <is>
          <t>ifrs-full_ProfitLossAttributableToNoncontrollingInterests</t>
        </is>
      </c>
      <c r="K333" s="24" t="inlineStr">
        <is>
          <t>비지배지분에 귀속되는 당기순이익(손실)</t>
        </is>
      </c>
      <c r="L333" s="24" t="inlineStr">
        <is>
          <t>-</t>
        </is>
      </c>
      <c r="M333" s="24" t="inlineStr">
        <is>
          <t>제 18 기</t>
        </is>
      </c>
      <c r="N333" s="24" t="inlineStr">
        <is>
          <t>-11874811234.0</t>
        </is>
      </c>
      <c r="O333" s="24" t="inlineStr">
        <is>
          <t>-1011485712.0</t>
        </is>
      </c>
      <c r="P333" s="24" t="inlineStr">
        <is>
          <t>KRW</t>
        </is>
      </c>
      <c r="Q333" s="24" t="inlineStr">
        <is>
          <t>29</t>
        </is>
      </c>
    </row>
    <row r="334" ht="24" customHeight="1">
      <c r="A334" s="29" t="inlineStr">
        <is>
          <t>OpenDART_fnlttSinglAcntAll</t>
        </is>
      </c>
      <c r="B334" s="29" t="inlineStr">
        <is>
          <t>01021666</t>
        </is>
      </c>
      <c r="C334" s="29" t="inlineStr">
        <is>
          <t>덕산테코피아</t>
        </is>
      </c>
      <c r="D334" s="29" t="inlineStr">
        <is>
          <t>duksan</t>
        </is>
      </c>
      <c r="E334" s="29" t="inlineStr">
        <is>
          <t>317330</t>
        </is>
      </c>
      <c r="F334" s="29" t="inlineStr">
        <is>
          <t>2023</t>
        </is>
      </c>
      <c r="G334" s="29" t="inlineStr">
        <is>
          <t>CFS</t>
        </is>
      </c>
      <c r="H334" s="29" t="inlineStr">
        <is>
          <t>CIS</t>
        </is>
      </c>
      <c r="I334" s="29" t="inlineStr">
        <is>
          <t>포괄손익계산서</t>
        </is>
      </c>
      <c r="J334" s="29" t="inlineStr">
        <is>
          <t>ifrs-full_ProfitLossAttributableToOwnersOfParent</t>
        </is>
      </c>
      <c r="K334" s="29" t="inlineStr">
        <is>
          <t>지배기업의 소유주에게 귀속되는 당기순이익(손실)</t>
        </is>
      </c>
      <c r="L334" s="29" t="inlineStr">
        <is>
          <t>-</t>
        </is>
      </c>
      <c r="M334" s="29" t="inlineStr">
        <is>
          <t>제 18 기</t>
        </is>
      </c>
      <c r="N334" s="29" t="inlineStr">
        <is>
          <t>-7398858439.0</t>
        </is>
      </c>
      <c r="O334" s="29" t="inlineStr">
        <is>
          <t>16061828691.0</t>
        </is>
      </c>
      <c r="P334" s="29" t="inlineStr">
        <is>
          <t>KRW</t>
        </is>
      </c>
      <c r="Q334" s="29" t="inlineStr">
        <is>
          <t>30</t>
        </is>
      </c>
    </row>
    <row r="335" ht="24" customHeight="1">
      <c r="A335" s="24" t="inlineStr">
        <is>
          <t>OpenDART_fnlttSinglAcntAll</t>
        </is>
      </c>
      <c r="B335" s="24" t="inlineStr">
        <is>
          <t>01021666</t>
        </is>
      </c>
      <c r="C335" s="24" t="inlineStr">
        <is>
          <t>덕산테코피아</t>
        </is>
      </c>
      <c r="D335" s="24" t="inlineStr">
        <is>
          <t>duksan</t>
        </is>
      </c>
      <c r="E335" s="24" t="inlineStr">
        <is>
          <t>317330</t>
        </is>
      </c>
      <c r="F335" s="24" t="inlineStr">
        <is>
          <t>2023</t>
        </is>
      </c>
      <c r="G335" s="24" t="inlineStr">
        <is>
          <t>CFS</t>
        </is>
      </c>
      <c r="H335" s="24" t="inlineStr">
        <is>
          <t>CIS</t>
        </is>
      </c>
      <c r="I335" s="24" t="inlineStr">
        <is>
          <t>포괄손익계산서</t>
        </is>
      </c>
      <c r="J335" s="24" t="inlineStr">
        <is>
          <t>ifrs-full_ProfitLossBeforeTax</t>
        </is>
      </c>
      <c r="K335" s="24" t="inlineStr">
        <is>
          <t>법인세비용차감전순이익(손실)</t>
        </is>
      </c>
      <c r="L335" s="24" t="inlineStr">
        <is>
          <t>-</t>
        </is>
      </c>
      <c r="M335" s="24" t="inlineStr">
        <is>
          <t>제 18 기</t>
        </is>
      </c>
      <c r="N335" s="24" t="inlineStr">
        <is>
          <t>-20751597541.0</t>
        </is>
      </c>
      <c r="O335" s="24" t="inlineStr">
        <is>
          <t>12603383072.0</t>
        </is>
      </c>
      <c r="P335" s="24" t="inlineStr">
        <is>
          <t>KRW</t>
        </is>
      </c>
      <c r="Q335" s="24" t="inlineStr">
        <is>
          <t>31</t>
        </is>
      </c>
    </row>
    <row r="336" ht="24" customHeight="1">
      <c r="A336" s="29" t="inlineStr">
        <is>
          <t>OpenDART_fnlttSinglAcntAll</t>
        </is>
      </c>
      <c r="B336" s="29" t="inlineStr">
        <is>
          <t>01021666</t>
        </is>
      </c>
      <c r="C336" s="29" t="inlineStr">
        <is>
          <t>덕산테코피아</t>
        </is>
      </c>
      <c r="D336" s="29" t="inlineStr">
        <is>
          <t>duksan</t>
        </is>
      </c>
      <c r="E336" s="29" t="inlineStr">
        <is>
          <t>317330</t>
        </is>
      </c>
      <c r="F336" s="29" t="inlineStr">
        <is>
          <t>2023</t>
        </is>
      </c>
      <c r="G336" s="29" t="inlineStr">
        <is>
          <t>CFS</t>
        </is>
      </c>
      <c r="H336" s="29" t="inlineStr">
        <is>
          <t>CIS</t>
        </is>
      </c>
      <c r="I336" s="29" t="inlineStr">
        <is>
          <t>포괄손익계산서</t>
        </is>
      </c>
      <c r="J336" s="29" t="inlineStr">
        <is>
          <t>ifrs-full_Revenue</t>
        </is>
      </c>
      <c r="K336" s="29" t="inlineStr">
        <is>
          <t>수익(매출액)</t>
        </is>
      </c>
      <c r="L336" s="29" t="inlineStr">
        <is>
          <t>-</t>
        </is>
      </c>
      <c r="M336" s="29" t="inlineStr">
        <is>
          <t>제 18 기</t>
        </is>
      </c>
      <c r="N336" s="29" t="inlineStr">
        <is>
          <t>94076712274.0</t>
        </is>
      </c>
      <c r="O336" s="29" t="inlineStr">
        <is>
          <t>111005121065.0</t>
        </is>
      </c>
      <c r="P336" s="29" t="inlineStr">
        <is>
          <t>KRW</t>
        </is>
      </c>
      <c r="Q336" s="29" t="inlineStr">
        <is>
          <t>32</t>
        </is>
      </c>
    </row>
    <row r="337" ht="24" customHeight="1">
      <c r="A337" s="24" t="inlineStr">
        <is>
          <t>OpenDART_fnlttSinglAcntAll</t>
        </is>
      </c>
      <c r="B337" s="24" t="inlineStr">
        <is>
          <t>01021666</t>
        </is>
      </c>
      <c r="C337" s="24" t="inlineStr">
        <is>
          <t>덕산테코피아</t>
        </is>
      </c>
      <c r="D337" s="24" t="inlineStr">
        <is>
          <t>duksan</t>
        </is>
      </c>
      <c r="E337" s="24" t="inlineStr">
        <is>
          <t>317330</t>
        </is>
      </c>
      <c r="F337" s="24" t="inlineStr">
        <is>
          <t>2023</t>
        </is>
      </c>
      <c r="G337" s="24" t="inlineStr">
        <is>
          <t>CFS</t>
        </is>
      </c>
      <c r="H337" s="24" t="inlineStr">
        <is>
          <t>CF</t>
        </is>
      </c>
      <c r="I337" s="24" t="inlineStr">
        <is>
          <t>현금흐름표</t>
        </is>
      </c>
      <c r="J337" s="24" t="inlineStr">
        <is>
          <t>dart_CashAndCashEquivalentsAtBeginningOfPeriodCf</t>
        </is>
      </c>
      <c r="K337" s="24" t="inlineStr">
        <is>
          <t>기초현금및현금성자산</t>
        </is>
      </c>
      <c r="L337" s="24" t="inlineStr">
        <is>
          <t>-</t>
        </is>
      </c>
      <c r="M337" s="24" t="inlineStr">
        <is>
          <t>제 18 기</t>
        </is>
      </c>
      <c r="N337" s="24" t="inlineStr">
        <is>
          <t>27763882839.0</t>
        </is>
      </c>
      <c r="O337" s="24" t="inlineStr">
        <is>
          <t>43329141816.0</t>
        </is>
      </c>
      <c r="P337" s="24" t="inlineStr">
        <is>
          <t>KRW</t>
        </is>
      </c>
      <c r="Q337" s="24" t="inlineStr">
        <is>
          <t>2</t>
        </is>
      </c>
    </row>
    <row r="338" ht="24" customHeight="1">
      <c r="A338" s="29" t="inlineStr">
        <is>
          <t>OpenDART_fnlttSinglAcntAll</t>
        </is>
      </c>
      <c r="B338" s="29" t="inlineStr">
        <is>
          <t>01021666</t>
        </is>
      </c>
      <c r="C338" s="29" t="inlineStr">
        <is>
          <t>덕산테코피아</t>
        </is>
      </c>
      <c r="D338" s="29" t="inlineStr">
        <is>
          <t>duksan</t>
        </is>
      </c>
      <c r="E338" s="29" t="inlineStr">
        <is>
          <t>317330</t>
        </is>
      </c>
      <c r="F338" s="29" t="inlineStr">
        <is>
          <t>2023</t>
        </is>
      </c>
      <c r="G338" s="29" t="inlineStr">
        <is>
          <t>CFS</t>
        </is>
      </c>
      <c r="H338" s="29" t="inlineStr">
        <is>
          <t>CF</t>
        </is>
      </c>
      <c r="I338" s="29" t="inlineStr">
        <is>
          <t>현금흐름표</t>
        </is>
      </c>
      <c r="J338" s="29" t="inlineStr">
        <is>
          <t>dart_CashAndCashEquivalentsAtEndOfPeriodCf</t>
        </is>
      </c>
      <c r="K338" s="29" t="inlineStr">
        <is>
          <t>기말현금및현금성자산</t>
        </is>
      </c>
      <c r="L338" s="29" t="inlineStr">
        <is>
          <t>-</t>
        </is>
      </c>
      <c r="M338" s="29" t="inlineStr">
        <is>
          <t>제 18 기</t>
        </is>
      </c>
      <c r="N338" s="29" t="inlineStr">
        <is>
          <t>23919527042.0</t>
        </is>
      </c>
      <c r="O338" s="29" t="inlineStr">
        <is>
          <t>27763882839.0</t>
        </is>
      </c>
      <c r="P338" s="29" t="inlineStr">
        <is>
          <t>KRW</t>
        </is>
      </c>
      <c r="Q338" s="29" t="inlineStr">
        <is>
          <t>3</t>
        </is>
      </c>
    </row>
    <row r="339" ht="24" customHeight="1">
      <c r="A339" s="24" t="inlineStr">
        <is>
          <t>OpenDART_fnlttSinglAcntAll</t>
        </is>
      </c>
      <c r="B339" s="24" t="inlineStr">
        <is>
          <t>01021666</t>
        </is>
      </c>
      <c r="C339" s="24" t="inlineStr">
        <is>
          <t>덕산테코피아</t>
        </is>
      </c>
      <c r="D339" s="24" t="inlineStr">
        <is>
          <t>duksan</t>
        </is>
      </c>
      <c r="E339" s="24" t="inlineStr">
        <is>
          <t>317330</t>
        </is>
      </c>
      <c r="F339" s="24" t="inlineStr">
        <is>
          <t>2023</t>
        </is>
      </c>
      <c r="G339" s="24" t="inlineStr">
        <is>
          <t>CFS</t>
        </is>
      </c>
      <c r="H339" s="24" t="inlineStr">
        <is>
          <t>CF</t>
        </is>
      </c>
      <c r="I339" s="24" t="inlineStr">
        <is>
          <t>현금흐름표</t>
        </is>
      </c>
      <c r="J339" s="24" t="inlineStr">
        <is>
          <t>ifrs-full_CashFlowsFromUsedInFinancingActivities</t>
        </is>
      </c>
      <c r="K339" s="24" t="inlineStr">
        <is>
          <t>재무활동현금흐름</t>
        </is>
      </c>
      <c r="L339" s="24" t="inlineStr">
        <is>
          <t>-</t>
        </is>
      </c>
      <c r="M339" s="24" t="inlineStr">
        <is>
          <t>제 18 기</t>
        </is>
      </c>
      <c r="N339" s="24" t="inlineStr">
        <is>
          <t>183426715676.0</t>
        </is>
      </c>
      <c r="O339" s="24" t="inlineStr">
        <is>
          <t>23565758073.0</t>
        </is>
      </c>
      <c r="P339" s="24" t="inlineStr">
        <is>
          <t>KRW</t>
        </is>
      </c>
      <c r="Q339" s="24" t="inlineStr">
        <is>
          <t>8</t>
        </is>
      </c>
    </row>
    <row r="340" ht="24" customHeight="1">
      <c r="A340" s="29" t="inlineStr">
        <is>
          <t>OpenDART_fnlttSinglAcntAll</t>
        </is>
      </c>
      <c r="B340" s="29" t="inlineStr">
        <is>
          <t>01021666</t>
        </is>
      </c>
      <c r="C340" s="29" t="inlineStr">
        <is>
          <t>덕산테코피아</t>
        </is>
      </c>
      <c r="D340" s="29" t="inlineStr">
        <is>
          <t>duksan</t>
        </is>
      </c>
      <c r="E340" s="29" t="inlineStr">
        <is>
          <t>317330</t>
        </is>
      </c>
      <c r="F340" s="29" t="inlineStr">
        <is>
          <t>2023</t>
        </is>
      </c>
      <c r="G340" s="29" t="inlineStr">
        <is>
          <t>CFS</t>
        </is>
      </c>
      <c r="H340" s="29" t="inlineStr">
        <is>
          <t>CF</t>
        </is>
      </c>
      <c r="I340" s="29" t="inlineStr">
        <is>
          <t>현금흐름표</t>
        </is>
      </c>
      <c r="J340" s="29" t="inlineStr">
        <is>
          <t>dart_AcquisitionOfTreasuryShares</t>
        </is>
      </c>
      <c r="K340" s="29" t="inlineStr">
        <is>
          <t>자기주식의 취득으로 인한 현금의 유출</t>
        </is>
      </c>
      <c r="L340" s="29" t="inlineStr">
        <is>
          <t>-</t>
        </is>
      </c>
      <c r="M340" s="29" t="inlineStr">
        <is>
          <t>제 18 기</t>
        </is>
      </c>
      <c r="N340" s="29" t="inlineStr">
        <is>
          <t>해당 없음</t>
        </is>
      </c>
      <c r="O340" s="29" t="inlineStr">
        <is>
          <t>999975050.0</t>
        </is>
      </c>
      <c r="P340" s="29" t="inlineStr">
        <is>
          <t>KRW</t>
        </is>
      </c>
      <c r="Q340" s="29" t="inlineStr">
        <is>
          <t>9</t>
        </is>
      </c>
    </row>
    <row r="341" ht="24" customHeight="1">
      <c r="A341" s="24" t="inlineStr">
        <is>
          <t>OpenDART_fnlttSinglAcntAll</t>
        </is>
      </c>
      <c r="B341" s="24" t="inlineStr">
        <is>
          <t>01021666</t>
        </is>
      </c>
      <c r="C341" s="24" t="inlineStr">
        <is>
          <t>덕산테코피아</t>
        </is>
      </c>
      <c r="D341" s="24" t="inlineStr">
        <is>
          <t>duksan</t>
        </is>
      </c>
      <c r="E341" s="24" t="inlineStr">
        <is>
          <t>317330</t>
        </is>
      </c>
      <c r="F341" s="24" t="inlineStr">
        <is>
          <t>2023</t>
        </is>
      </c>
      <c r="G341" s="24" t="inlineStr">
        <is>
          <t>CFS</t>
        </is>
      </c>
      <c r="H341" s="24" t="inlineStr">
        <is>
          <t>CF</t>
        </is>
      </c>
      <c r="I341" s="24" t="inlineStr">
        <is>
          <t>현금흐름표</t>
        </is>
      </c>
      <c r="J341" s="24" t="inlineStr">
        <is>
          <t>dart_PaymentsOfFinanceLeaseLiabilitiesClassifiedAsFinancingActivities</t>
        </is>
      </c>
      <c r="K341" s="24" t="inlineStr">
        <is>
          <t>금융리스부채의 지급</t>
        </is>
      </c>
      <c r="L341" s="24" t="inlineStr">
        <is>
          <t>-</t>
        </is>
      </c>
      <c r="M341" s="24" t="inlineStr">
        <is>
          <t>제 18 기</t>
        </is>
      </c>
      <c r="N341" s="24" t="inlineStr">
        <is>
          <t>245679724.0</t>
        </is>
      </c>
      <c r="O341" s="24" t="inlineStr">
        <is>
          <t>273435877.0</t>
        </is>
      </c>
      <c r="P341" s="24" t="inlineStr">
        <is>
          <t>KRW</t>
        </is>
      </c>
      <c r="Q341" s="24" t="inlineStr">
        <is>
          <t>10</t>
        </is>
      </c>
    </row>
    <row r="342" ht="24" customHeight="1">
      <c r="A342" s="29" t="inlineStr">
        <is>
          <t>OpenDART_fnlttSinglAcntAll</t>
        </is>
      </c>
      <c r="B342" s="29" t="inlineStr">
        <is>
          <t>01021666</t>
        </is>
      </c>
      <c r="C342" s="29" t="inlineStr">
        <is>
          <t>덕산테코피아</t>
        </is>
      </c>
      <c r="D342" s="29" t="inlineStr">
        <is>
          <t>duksan</t>
        </is>
      </c>
      <c r="E342" s="29" t="inlineStr">
        <is>
          <t>317330</t>
        </is>
      </c>
      <c r="F342" s="29" t="inlineStr">
        <is>
          <t>2023</t>
        </is>
      </c>
      <c r="G342" s="29" t="inlineStr">
        <is>
          <t>CFS</t>
        </is>
      </c>
      <c r="H342" s="29" t="inlineStr">
        <is>
          <t>CF</t>
        </is>
      </c>
      <c r="I342" s="29" t="inlineStr">
        <is>
          <t>현금흐름표</t>
        </is>
      </c>
      <c r="J342" s="29" t="inlineStr">
        <is>
          <t>dart_ProceedsFromConvertibleBonds</t>
        </is>
      </c>
      <c r="K342" s="29" t="inlineStr">
        <is>
          <t>전환사채의 증가</t>
        </is>
      </c>
      <c r="L342" s="29" t="inlineStr">
        <is>
          <t>-</t>
        </is>
      </c>
      <c r="M342" s="29" t="inlineStr">
        <is>
          <t>제 18 기</t>
        </is>
      </c>
      <c r="N342" s="29" t="inlineStr">
        <is>
          <t>해당 없음</t>
        </is>
      </c>
      <c r="O342" s="29" t="inlineStr">
        <is>
          <t>해당 없음</t>
        </is>
      </c>
      <c r="P342" s="29" t="inlineStr">
        <is>
          <t>KRW</t>
        </is>
      </c>
      <c r="Q342" s="29" t="inlineStr">
        <is>
          <t>11</t>
        </is>
      </c>
    </row>
    <row r="343" ht="24" customHeight="1">
      <c r="A343" s="24" t="inlineStr">
        <is>
          <t>OpenDART_fnlttSinglAcntAll</t>
        </is>
      </c>
      <c r="B343" s="24" t="inlineStr">
        <is>
          <t>01021666</t>
        </is>
      </c>
      <c r="C343" s="24" t="inlineStr">
        <is>
          <t>덕산테코피아</t>
        </is>
      </c>
      <c r="D343" s="24" t="inlineStr">
        <is>
          <t>duksan</t>
        </is>
      </c>
      <c r="E343" s="24" t="inlineStr">
        <is>
          <t>317330</t>
        </is>
      </c>
      <c r="F343" s="24" t="inlineStr">
        <is>
          <t>2023</t>
        </is>
      </c>
      <c r="G343" s="24" t="inlineStr">
        <is>
          <t>CFS</t>
        </is>
      </c>
      <c r="H343" s="24" t="inlineStr">
        <is>
          <t>CF</t>
        </is>
      </c>
      <c r="I343" s="24" t="inlineStr">
        <is>
          <t>현금흐름표</t>
        </is>
      </c>
      <c r="J343" s="24" t="inlineStr">
        <is>
          <t>dart_ProceedsFromIssuingConvertibleBonds</t>
        </is>
      </c>
      <c r="K343" s="24" t="inlineStr">
        <is>
          <t>상환우선주 발행</t>
        </is>
      </c>
      <c r="L343" s="24" t="inlineStr">
        <is>
          <t>-</t>
        </is>
      </c>
      <c r="M343" s="24" t="inlineStr">
        <is>
          <t>제 18 기</t>
        </is>
      </c>
      <c r="N343" s="24" t="inlineStr">
        <is>
          <t>131999795400.0</t>
        </is>
      </c>
      <c r="O343" s="24" t="inlineStr">
        <is>
          <t>해당 없음</t>
        </is>
      </c>
      <c r="P343" s="24" t="inlineStr">
        <is>
          <t>KRW</t>
        </is>
      </c>
      <c r="Q343" s="24" t="inlineStr">
        <is>
          <t>12</t>
        </is>
      </c>
    </row>
    <row r="344" ht="24" customHeight="1">
      <c r="A344" s="29" t="inlineStr">
        <is>
          <t>OpenDART_fnlttSinglAcntAll</t>
        </is>
      </c>
      <c r="B344" s="29" t="inlineStr">
        <is>
          <t>01021666</t>
        </is>
      </c>
      <c r="C344" s="29" t="inlineStr">
        <is>
          <t>덕산테코피아</t>
        </is>
      </c>
      <c r="D344" s="29" t="inlineStr">
        <is>
          <t>duksan</t>
        </is>
      </c>
      <c r="E344" s="29" t="inlineStr">
        <is>
          <t>317330</t>
        </is>
      </c>
      <c r="F344" s="29" t="inlineStr">
        <is>
          <t>2023</t>
        </is>
      </c>
      <c r="G344" s="29" t="inlineStr">
        <is>
          <t>CFS</t>
        </is>
      </c>
      <c r="H344" s="29" t="inlineStr">
        <is>
          <t>CF</t>
        </is>
      </c>
      <c r="I344" s="29" t="inlineStr">
        <is>
          <t>현금흐름표</t>
        </is>
      </c>
      <c r="J344" s="29" t="inlineStr">
        <is>
          <t>dart_ProceedsFromLongTermBorrowings</t>
        </is>
      </c>
      <c r="K344" s="29" t="inlineStr">
        <is>
          <t>장기차입금의 증가</t>
        </is>
      </c>
      <c r="L344" s="29" t="inlineStr">
        <is>
          <t>-</t>
        </is>
      </c>
      <c r="M344" s="29" t="inlineStr">
        <is>
          <t>제 18 기</t>
        </is>
      </c>
      <c r="N344" s="29" t="inlineStr">
        <is>
          <t>36805000000.0</t>
        </is>
      </c>
      <c r="O344" s="29" t="inlineStr">
        <is>
          <t>25920000000.0</t>
        </is>
      </c>
      <c r="P344" s="29" t="inlineStr">
        <is>
          <t>KRW</t>
        </is>
      </c>
      <c r="Q344" s="29" t="inlineStr">
        <is>
          <t>13</t>
        </is>
      </c>
    </row>
    <row r="345" ht="24" customHeight="1">
      <c r="A345" s="24" t="inlineStr">
        <is>
          <t>OpenDART_fnlttSinglAcntAll</t>
        </is>
      </c>
      <c r="B345" s="24" t="inlineStr">
        <is>
          <t>01021666</t>
        </is>
      </c>
      <c r="C345" s="24" t="inlineStr">
        <is>
          <t>덕산테코피아</t>
        </is>
      </c>
      <c r="D345" s="24" t="inlineStr">
        <is>
          <t>duksan</t>
        </is>
      </c>
      <c r="E345" s="24" t="inlineStr">
        <is>
          <t>317330</t>
        </is>
      </c>
      <c r="F345" s="24" t="inlineStr">
        <is>
          <t>2023</t>
        </is>
      </c>
      <c r="G345" s="24" t="inlineStr">
        <is>
          <t>CFS</t>
        </is>
      </c>
      <c r="H345" s="24" t="inlineStr">
        <is>
          <t>CF</t>
        </is>
      </c>
      <c r="I345" s="24" t="inlineStr">
        <is>
          <t>현금흐름표</t>
        </is>
      </c>
      <c r="J345" s="24" t="inlineStr">
        <is>
          <t>dart_ProceedsFromShortTermBorrowings</t>
        </is>
      </c>
      <c r="K345" s="24" t="inlineStr">
        <is>
          <t>단기차입금의 증가</t>
        </is>
      </c>
      <c r="L345" s="24" t="inlineStr">
        <is>
          <t>-</t>
        </is>
      </c>
      <c r="M345" s="24" t="inlineStr">
        <is>
          <t>제 18 기</t>
        </is>
      </c>
      <c r="N345" s="24" t="inlineStr">
        <is>
          <t>100412660000.0</t>
        </is>
      </c>
      <c r="O345" s="24" t="inlineStr">
        <is>
          <t>200000000.0</t>
        </is>
      </c>
      <c r="P345" s="24" t="inlineStr">
        <is>
          <t>KRW</t>
        </is>
      </c>
      <c r="Q345" s="24" t="inlineStr">
        <is>
          <t>14</t>
        </is>
      </c>
    </row>
    <row r="346" ht="24" customHeight="1">
      <c r="A346" s="29" t="inlineStr">
        <is>
          <t>OpenDART_fnlttSinglAcntAll</t>
        </is>
      </c>
      <c r="B346" s="29" t="inlineStr">
        <is>
          <t>01021666</t>
        </is>
      </c>
      <c r="C346" s="29" t="inlineStr">
        <is>
          <t>덕산테코피아</t>
        </is>
      </c>
      <c r="D346" s="29" t="inlineStr">
        <is>
          <t>duksan</t>
        </is>
      </c>
      <c r="E346" s="29" t="inlineStr">
        <is>
          <t>317330</t>
        </is>
      </c>
      <c r="F346" s="29" t="inlineStr">
        <is>
          <t>2023</t>
        </is>
      </c>
      <c r="G346" s="29" t="inlineStr">
        <is>
          <t>CFS</t>
        </is>
      </c>
      <c r="H346" s="29" t="inlineStr">
        <is>
          <t>CF</t>
        </is>
      </c>
      <c r="I346" s="29" t="inlineStr">
        <is>
          <t>현금흐름표</t>
        </is>
      </c>
      <c r="J346" s="29" t="inlineStr">
        <is>
          <t>dart_RepaymentsOfLongTermBorrowings</t>
        </is>
      </c>
      <c r="K346" s="29" t="inlineStr">
        <is>
          <t>장기차입금의 상환</t>
        </is>
      </c>
      <c r="L346" s="29" t="inlineStr">
        <is>
          <t>-</t>
        </is>
      </c>
      <c r="M346" s="29" t="inlineStr">
        <is>
          <t>제 18 기</t>
        </is>
      </c>
      <c r="N346" s="29" t="inlineStr">
        <is>
          <t>40805000000.0</t>
        </is>
      </c>
      <c r="O346" s="29" t="inlineStr">
        <is>
          <t>해당 없음</t>
        </is>
      </c>
      <c r="P346" s="29" t="inlineStr">
        <is>
          <t>KRW</t>
        </is>
      </c>
      <c r="Q346" s="29" t="inlineStr">
        <is>
          <t>15</t>
        </is>
      </c>
    </row>
    <row r="347" ht="24" customHeight="1">
      <c r="A347" s="24" t="inlineStr">
        <is>
          <t>OpenDART_fnlttSinglAcntAll</t>
        </is>
      </c>
      <c r="B347" s="24" t="inlineStr">
        <is>
          <t>01021666</t>
        </is>
      </c>
      <c r="C347" s="24" t="inlineStr">
        <is>
          <t>덕산테코피아</t>
        </is>
      </c>
      <c r="D347" s="24" t="inlineStr">
        <is>
          <t>duksan</t>
        </is>
      </c>
      <c r="E347" s="24" t="inlineStr">
        <is>
          <t>317330</t>
        </is>
      </c>
      <c r="F347" s="24" t="inlineStr">
        <is>
          <t>2023</t>
        </is>
      </c>
      <c r="G347" s="24" t="inlineStr">
        <is>
          <t>CFS</t>
        </is>
      </c>
      <c r="H347" s="24" t="inlineStr">
        <is>
          <t>CF</t>
        </is>
      </c>
      <c r="I347" s="24" t="inlineStr">
        <is>
          <t>현금흐름표</t>
        </is>
      </c>
      <c r="J347" s="24" t="inlineStr">
        <is>
          <t>dart_RepaymentsOfShortTermBorrowings</t>
        </is>
      </c>
      <c r="K347" s="24" t="inlineStr">
        <is>
          <t>단기차입금의 상환</t>
        </is>
      </c>
      <c r="L347" s="24" t="inlineStr">
        <is>
          <t>-</t>
        </is>
      </c>
      <c r="M347" s="24" t="inlineStr">
        <is>
          <t>제 18 기</t>
        </is>
      </c>
      <c r="N347" s="24" t="inlineStr">
        <is>
          <t>44440060000.0</t>
        </is>
      </c>
      <c r="O347" s="24" t="inlineStr">
        <is>
          <t>100000000.0</t>
        </is>
      </c>
      <c r="P347" s="24" t="inlineStr">
        <is>
          <t>KRW</t>
        </is>
      </c>
      <c r="Q347" s="24" t="inlineStr">
        <is>
          <t>16</t>
        </is>
      </c>
    </row>
    <row r="348" ht="24" customHeight="1">
      <c r="A348" s="29" t="inlineStr">
        <is>
          <t>OpenDART_fnlttSinglAcntAll</t>
        </is>
      </c>
      <c r="B348" s="29" t="inlineStr">
        <is>
          <t>01021666</t>
        </is>
      </c>
      <c r="C348" s="29" t="inlineStr">
        <is>
          <t>덕산테코피아</t>
        </is>
      </c>
      <c r="D348" s="29" t="inlineStr">
        <is>
          <t>duksan</t>
        </is>
      </c>
      <c r="E348" s="29" t="inlineStr">
        <is>
          <t>317330</t>
        </is>
      </c>
      <c r="F348" s="29" t="inlineStr">
        <is>
          <t>2023</t>
        </is>
      </c>
      <c r="G348" s="29" t="inlineStr">
        <is>
          <t>CFS</t>
        </is>
      </c>
      <c r="H348" s="29" t="inlineStr">
        <is>
          <t>CF</t>
        </is>
      </c>
      <c r="I348" s="29" t="inlineStr">
        <is>
          <t>현금흐름표</t>
        </is>
      </c>
      <c r="J348" s="29" t="inlineStr">
        <is>
          <t>ifrs-full_ProceedsFromChangesInOwnershipInterestsInSubsidiaries</t>
        </is>
      </c>
      <c r="K348" s="29" t="inlineStr">
        <is>
          <t>유상증자</t>
        </is>
      </c>
      <c r="L348" s="29" t="inlineStr">
        <is>
          <t>-</t>
        </is>
      </c>
      <c r="M348" s="29" t="inlineStr">
        <is>
          <t>제 18 기</t>
        </is>
      </c>
      <c r="N348" s="29" t="inlineStr">
        <is>
          <t>해당 없음</t>
        </is>
      </c>
      <c r="O348" s="29" t="inlineStr">
        <is>
          <t>해당 없음</t>
        </is>
      </c>
      <c r="P348" s="29" t="inlineStr">
        <is>
          <t>KRW</t>
        </is>
      </c>
      <c r="Q348" s="29" t="inlineStr">
        <is>
          <t>17</t>
        </is>
      </c>
    </row>
    <row r="349" ht="24" customHeight="1">
      <c r="A349" s="24" t="inlineStr">
        <is>
          <t>OpenDART_fnlttSinglAcntAll</t>
        </is>
      </c>
      <c r="B349" s="24" t="inlineStr">
        <is>
          <t>01021666</t>
        </is>
      </c>
      <c r="C349" s="24" t="inlineStr">
        <is>
          <t>덕산테코피아</t>
        </is>
      </c>
      <c r="D349" s="24" t="inlineStr">
        <is>
          <t>duksan</t>
        </is>
      </c>
      <c r="E349" s="24" t="inlineStr">
        <is>
          <t>317330</t>
        </is>
      </c>
      <c r="F349" s="24" t="inlineStr">
        <is>
          <t>2023</t>
        </is>
      </c>
      <c r="G349" s="24" t="inlineStr">
        <is>
          <t>CFS</t>
        </is>
      </c>
      <c r="H349" s="24" t="inlineStr">
        <is>
          <t>CF</t>
        </is>
      </c>
      <c r="I349" s="24" t="inlineStr">
        <is>
          <t>현금흐름표</t>
        </is>
      </c>
      <c r="J349" s="24" t="inlineStr">
        <is>
          <t>ifrs-full_RepaymentsOfBorrowingsClassifiedAsFinancingActivities</t>
        </is>
      </c>
      <c r="K349" s="24" t="inlineStr">
        <is>
          <t>유동성장기부채의 상환</t>
        </is>
      </c>
      <c r="L349" s="24" t="inlineStr">
        <is>
          <t>-</t>
        </is>
      </c>
      <c r="M349" s="24" t="inlineStr">
        <is>
          <t>제 18 기</t>
        </is>
      </c>
      <c r="N349" s="24" t="inlineStr">
        <is>
          <t>300000000.0</t>
        </is>
      </c>
      <c r="O349" s="24" t="inlineStr">
        <is>
          <t>1180831000.0</t>
        </is>
      </c>
      <c r="P349" s="24" t="inlineStr">
        <is>
          <t>KRW</t>
        </is>
      </c>
      <c r="Q349" s="24" t="inlineStr">
        <is>
          <t>18</t>
        </is>
      </c>
    </row>
    <row r="350" ht="24" customHeight="1">
      <c r="A350" s="29" t="inlineStr">
        <is>
          <t>OpenDART_fnlttSinglAcntAll</t>
        </is>
      </c>
      <c r="B350" s="29" t="inlineStr">
        <is>
          <t>01021666</t>
        </is>
      </c>
      <c r="C350" s="29" t="inlineStr">
        <is>
          <t>덕산테코피아</t>
        </is>
      </c>
      <c r="D350" s="29" t="inlineStr">
        <is>
          <t>duksan</t>
        </is>
      </c>
      <c r="E350" s="29" t="inlineStr">
        <is>
          <t>317330</t>
        </is>
      </c>
      <c r="F350" s="29" t="inlineStr">
        <is>
          <t>2023</t>
        </is>
      </c>
      <c r="G350" s="29" t="inlineStr">
        <is>
          <t>CFS</t>
        </is>
      </c>
      <c r="H350" s="29" t="inlineStr">
        <is>
          <t>CF</t>
        </is>
      </c>
      <c r="I350" s="29" t="inlineStr">
        <is>
          <t>현금흐름표</t>
        </is>
      </c>
      <c r="J350" s="29" t="inlineStr">
        <is>
          <t>ifrs-full_CashFlowsFromUsedInInvestingActivities</t>
        </is>
      </c>
      <c r="K350" s="29" t="inlineStr">
        <is>
          <t>투자활동현금흐름</t>
        </is>
      </c>
      <c r="L350" s="29" t="inlineStr">
        <is>
          <t>-</t>
        </is>
      </c>
      <c r="M350" s="29" t="inlineStr">
        <is>
          <t>제 18 기</t>
        </is>
      </c>
      <c r="N350" s="29" t="inlineStr">
        <is>
          <t>-175861877318.0</t>
        </is>
      </c>
      <c r="O350" s="29" t="inlineStr">
        <is>
          <t>-50682557412.0</t>
        </is>
      </c>
      <c r="P350" s="29" t="inlineStr">
        <is>
          <t>KRW</t>
        </is>
      </c>
      <c r="Q350" s="29" t="inlineStr">
        <is>
          <t>19</t>
        </is>
      </c>
    </row>
    <row r="351" ht="24" customHeight="1">
      <c r="A351" s="24" t="inlineStr">
        <is>
          <t>OpenDART_fnlttSinglAcntAll</t>
        </is>
      </c>
      <c r="B351" s="24" t="inlineStr">
        <is>
          <t>01021666</t>
        </is>
      </c>
      <c r="C351" s="24" t="inlineStr">
        <is>
          <t>덕산테코피아</t>
        </is>
      </c>
      <c r="D351" s="24" t="inlineStr">
        <is>
          <t>duksan</t>
        </is>
      </c>
      <c r="E351" s="24" t="inlineStr">
        <is>
          <t>317330</t>
        </is>
      </c>
      <c r="F351" s="24" t="inlineStr">
        <is>
          <t>2023</t>
        </is>
      </c>
      <c r="G351" s="24" t="inlineStr">
        <is>
          <t>CFS</t>
        </is>
      </c>
      <c r="H351" s="24" t="inlineStr">
        <is>
          <t>CF</t>
        </is>
      </c>
      <c r="I351" s="24" t="inlineStr">
        <is>
          <t>현금흐름표</t>
        </is>
      </c>
      <c r="J351" s="24" t="inlineStr">
        <is>
          <t>dart_DecreaseInGuaranteeDeposits</t>
        </is>
      </c>
      <c r="K351" s="24" t="inlineStr">
        <is>
          <t>임차보증금의 감소</t>
        </is>
      </c>
      <c r="L351" s="24" t="inlineStr">
        <is>
          <t>-</t>
        </is>
      </c>
      <c r="M351" s="24" t="inlineStr">
        <is>
          <t>제 18 기</t>
        </is>
      </c>
      <c r="N351" s="24" t="inlineStr">
        <is>
          <t>178000000.0</t>
        </is>
      </c>
      <c r="O351" s="24" t="inlineStr">
        <is>
          <t>114500000.0</t>
        </is>
      </c>
      <c r="P351" s="24" t="inlineStr">
        <is>
          <t>KRW</t>
        </is>
      </c>
      <c r="Q351" s="24" t="inlineStr">
        <is>
          <t>20</t>
        </is>
      </c>
    </row>
    <row r="352" ht="24" customHeight="1">
      <c r="A352" s="29" t="inlineStr">
        <is>
          <t>OpenDART_fnlttSinglAcntAll</t>
        </is>
      </c>
      <c r="B352" s="29" t="inlineStr">
        <is>
          <t>01021666</t>
        </is>
      </c>
      <c r="C352" s="29" t="inlineStr">
        <is>
          <t>덕산테코피아</t>
        </is>
      </c>
      <c r="D352" s="29" t="inlineStr">
        <is>
          <t>duksan</t>
        </is>
      </c>
      <c r="E352" s="29" t="inlineStr">
        <is>
          <t>317330</t>
        </is>
      </c>
      <c r="F352" s="29" t="inlineStr">
        <is>
          <t>2023</t>
        </is>
      </c>
      <c r="G352" s="29" t="inlineStr">
        <is>
          <t>CFS</t>
        </is>
      </c>
      <c r="H352" s="29" t="inlineStr">
        <is>
          <t>CF</t>
        </is>
      </c>
      <c r="I352" s="29" t="inlineStr">
        <is>
          <t>현금흐름표</t>
        </is>
      </c>
      <c r="J352" s="29" t="inlineStr">
        <is>
          <t>dart_DecreaseInLoans</t>
        </is>
      </c>
      <c r="K352" s="29" t="inlineStr">
        <is>
          <t>대여금의 감소</t>
        </is>
      </c>
      <c r="L352" s="29" t="inlineStr">
        <is>
          <t>-</t>
        </is>
      </c>
      <c r="M352" s="29" t="inlineStr">
        <is>
          <t>제 18 기</t>
        </is>
      </c>
      <c r="N352" s="29" t="inlineStr">
        <is>
          <t>6727580000.0</t>
        </is>
      </c>
      <c r="O352" s="29" t="inlineStr">
        <is>
          <t>720932000.0</t>
        </is>
      </c>
      <c r="P352" s="29" t="inlineStr">
        <is>
          <t>KRW</t>
        </is>
      </c>
      <c r="Q352" s="29" t="inlineStr">
        <is>
          <t>21</t>
        </is>
      </c>
    </row>
    <row r="353" ht="24" customHeight="1">
      <c r="A353" s="24" t="inlineStr">
        <is>
          <t>OpenDART_fnlttSinglAcntAll</t>
        </is>
      </c>
      <c r="B353" s="24" t="inlineStr">
        <is>
          <t>01021666</t>
        </is>
      </c>
      <c r="C353" s="24" t="inlineStr">
        <is>
          <t>덕산테코피아</t>
        </is>
      </c>
      <c r="D353" s="24" t="inlineStr">
        <is>
          <t>duksan</t>
        </is>
      </c>
      <c r="E353" s="24" t="inlineStr">
        <is>
          <t>317330</t>
        </is>
      </c>
      <c r="F353" s="24" t="inlineStr">
        <is>
          <t>2023</t>
        </is>
      </c>
      <c r="G353" s="24" t="inlineStr">
        <is>
          <t>CFS</t>
        </is>
      </c>
      <c r="H353" s="24" t="inlineStr">
        <is>
          <t>CF</t>
        </is>
      </c>
      <c r="I353" s="24" t="inlineStr">
        <is>
          <t>현금흐름표</t>
        </is>
      </c>
      <c r="J353" s="24" t="inlineStr">
        <is>
          <t>dart_IncreaseInGuaranteeDeposits</t>
        </is>
      </c>
      <c r="K353" s="24" t="inlineStr">
        <is>
          <t>임차보증금의 증가</t>
        </is>
      </c>
      <c r="L353" s="24" t="inlineStr">
        <is>
          <t>-</t>
        </is>
      </c>
      <c r="M353" s="24" t="inlineStr">
        <is>
          <t>제 18 기</t>
        </is>
      </c>
      <c r="N353" s="24" t="inlineStr">
        <is>
          <t>97400000.0</t>
        </is>
      </c>
      <c r="O353" s="24" t="inlineStr">
        <is>
          <t>43000000.0</t>
        </is>
      </c>
      <c r="P353" s="24" t="inlineStr">
        <is>
          <t>KRW</t>
        </is>
      </c>
      <c r="Q353" s="24" t="inlineStr">
        <is>
          <t>22</t>
        </is>
      </c>
    </row>
    <row r="354" ht="24" customHeight="1">
      <c r="A354" s="29" t="inlineStr">
        <is>
          <t>OpenDART_fnlttSinglAcntAll</t>
        </is>
      </c>
      <c r="B354" s="29" t="inlineStr">
        <is>
          <t>01021666</t>
        </is>
      </c>
      <c r="C354" s="29" t="inlineStr">
        <is>
          <t>덕산테코피아</t>
        </is>
      </c>
      <c r="D354" s="29" t="inlineStr">
        <is>
          <t>duksan</t>
        </is>
      </c>
      <c r="E354" s="29" t="inlineStr">
        <is>
          <t>317330</t>
        </is>
      </c>
      <c r="F354" s="29" t="inlineStr">
        <is>
          <t>2023</t>
        </is>
      </c>
      <c r="G354" s="29" t="inlineStr">
        <is>
          <t>CFS</t>
        </is>
      </c>
      <c r="H354" s="29" t="inlineStr">
        <is>
          <t>CF</t>
        </is>
      </c>
      <c r="I354" s="29" t="inlineStr">
        <is>
          <t>현금흐름표</t>
        </is>
      </c>
      <c r="J354" s="29" t="inlineStr">
        <is>
          <t>dart_IncreaseInLoans</t>
        </is>
      </c>
      <c r="K354" s="29" t="inlineStr">
        <is>
          <t>대여금의 증가</t>
        </is>
      </c>
      <c r="L354" s="29" t="inlineStr">
        <is>
          <t>-</t>
        </is>
      </c>
      <c r="M354" s="29" t="inlineStr">
        <is>
          <t>제 18 기</t>
        </is>
      </c>
      <c r="N354" s="29" t="inlineStr">
        <is>
          <t>7115000000.0</t>
        </is>
      </c>
      <c r="O354" s="29" t="inlineStr">
        <is>
          <t>130000000.0</t>
        </is>
      </c>
      <c r="P354" s="29" t="inlineStr">
        <is>
          <t>KRW</t>
        </is>
      </c>
      <c r="Q354" s="29" t="inlineStr">
        <is>
          <t>23</t>
        </is>
      </c>
    </row>
    <row r="355" ht="24" customHeight="1">
      <c r="A355" s="24" t="inlineStr">
        <is>
          <t>OpenDART_fnlttSinglAcntAll</t>
        </is>
      </c>
      <c r="B355" s="24" t="inlineStr">
        <is>
          <t>01021666</t>
        </is>
      </c>
      <c r="C355" s="24" t="inlineStr">
        <is>
          <t>덕산테코피아</t>
        </is>
      </c>
      <c r="D355" s="24" t="inlineStr">
        <is>
          <t>duksan</t>
        </is>
      </c>
      <c r="E355" s="24" t="inlineStr">
        <is>
          <t>317330</t>
        </is>
      </c>
      <c r="F355" s="24" t="inlineStr">
        <is>
          <t>2023</t>
        </is>
      </c>
      <c r="G355" s="24" t="inlineStr">
        <is>
          <t>CFS</t>
        </is>
      </c>
      <c r="H355" s="24" t="inlineStr">
        <is>
          <t>CF</t>
        </is>
      </c>
      <c r="I355" s="24" t="inlineStr">
        <is>
          <t>현금흐름표</t>
        </is>
      </c>
      <c r="J355" s="24" t="inlineStr">
        <is>
          <t>dart_ProceedsFromSalesOfFairValueFinancialAsset</t>
        </is>
      </c>
      <c r="K355" s="24" t="inlineStr">
        <is>
          <t>당기손익인식금융자산의 처분</t>
        </is>
      </c>
      <c r="L355" s="24" t="inlineStr">
        <is>
          <t>-</t>
        </is>
      </c>
      <c r="M355" s="24" t="inlineStr">
        <is>
          <t>제 18 기</t>
        </is>
      </c>
      <c r="N355" s="24" t="inlineStr">
        <is>
          <t>886837951.0</t>
        </is>
      </c>
      <c r="O355" s="24" t="inlineStr">
        <is>
          <t>8219228085.0</t>
        </is>
      </c>
      <c r="P355" s="24" t="inlineStr">
        <is>
          <t>KRW</t>
        </is>
      </c>
      <c r="Q355" s="24" t="inlineStr">
        <is>
          <t>24</t>
        </is>
      </c>
    </row>
    <row r="356" ht="24" customHeight="1">
      <c r="A356" s="29" t="inlineStr">
        <is>
          <t>OpenDART_fnlttSinglAcntAll</t>
        </is>
      </c>
      <c r="B356" s="29" t="inlineStr">
        <is>
          <t>01021666</t>
        </is>
      </c>
      <c r="C356" s="29" t="inlineStr">
        <is>
          <t>덕산테코피아</t>
        </is>
      </c>
      <c r="D356" s="29" t="inlineStr">
        <is>
          <t>duksan</t>
        </is>
      </c>
      <c r="E356" s="29" t="inlineStr">
        <is>
          <t>317330</t>
        </is>
      </c>
      <c r="F356" s="29" t="inlineStr">
        <is>
          <t>2023</t>
        </is>
      </c>
      <c r="G356" s="29" t="inlineStr">
        <is>
          <t>CFS</t>
        </is>
      </c>
      <c r="H356" s="29" t="inlineStr">
        <is>
          <t>CF</t>
        </is>
      </c>
      <c r="I356" s="29" t="inlineStr">
        <is>
          <t>현금흐름표</t>
        </is>
      </c>
      <c r="J356" s="29" t="inlineStr">
        <is>
          <t>dart_ProceedsFromSalesOfLongTermLoansAndReceivables</t>
        </is>
      </c>
      <c r="K356" s="29" t="inlineStr">
        <is>
          <t>장기대여금및수취채권의 처분</t>
        </is>
      </c>
      <c r="L356" s="29" t="inlineStr">
        <is>
          <t>-</t>
        </is>
      </c>
      <c r="M356" s="29" t="inlineStr">
        <is>
          <t>제 18 기</t>
        </is>
      </c>
      <c r="N356" s="29" t="inlineStr">
        <is>
          <t>18007699940.0</t>
        </is>
      </c>
      <c r="O356" s="29" t="inlineStr">
        <is>
          <t>해당 없음</t>
        </is>
      </c>
      <c r="P356" s="29" t="inlineStr">
        <is>
          <t>KRW</t>
        </is>
      </c>
      <c r="Q356" s="29" t="inlineStr">
        <is>
          <t>25</t>
        </is>
      </c>
    </row>
    <row r="357" ht="24" customHeight="1">
      <c r="A357" s="24" t="inlineStr">
        <is>
          <t>OpenDART_fnlttSinglAcntAll</t>
        </is>
      </c>
      <c r="B357" s="24" t="inlineStr">
        <is>
          <t>01021666</t>
        </is>
      </c>
      <c r="C357" s="24" t="inlineStr">
        <is>
          <t>덕산테코피아</t>
        </is>
      </c>
      <c r="D357" s="24" t="inlineStr">
        <is>
          <t>duksan</t>
        </is>
      </c>
      <c r="E357" s="24" t="inlineStr">
        <is>
          <t>317330</t>
        </is>
      </c>
      <c r="F357" s="24" t="inlineStr">
        <is>
          <t>2023</t>
        </is>
      </c>
      <c r="G357" s="24" t="inlineStr">
        <is>
          <t>CFS</t>
        </is>
      </c>
      <c r="H357" s="24" t="inlineStr">
        <is>
          <t>CF</t>
        </is>
      </c>
      <c r="I357" s="24" t="inlineStr">
        <is>
          <t>현금흐름표</t>
        </is>
      </c>
      <c r="J357" s="24" t="inlineStr">
        <is>
          <t>dart_ProceedsFromSalesOfShortTermFinancialInstruments</t>
        </is>
      </c>
      <c r="K357" s="24" t="inlineStr">
        <is>
          <t>단기금융상품의 처분</t>
        </is>
      </c>
      <c r="L357" s="24" t="inlineStr">
        <is>
          <t>-</t>
        </is>
      </c>
      <c r="M357" s="24" t="inlineStr">
        <is>
          <t>제 18 기</t>
        </is>
      </c>
      <c r="N357" s="24" t="inlineStr">
        <is>
          <t>140000000000.0</t>
        </is>
      </c>
      <c r="O357" s="24" t="inlineStr">
        <is>
          <t>21014323271.0</t>
        </is>
      </c>
      <c r="P357" s="24" t="inlineStr">
        <is>
          <t>KRW</t>
        </is>
      </c>
      <c r="Q357" s="24" t="inlineStr">
        <is>
          <t>26</t>
        </is>
      </c>
    </row>
    <row r="358" ht="24" customHeight="1">
      <c r="A358" s="29" t="inlineStr">
        <is>
          <t>OpenDART_fnlttSinglAcntAll</t>
        </is>
      </c>
      <c r="B358" s="29" t="inlineStr">
        <is>
          <t>01021666</t>
        </is>
      </c>
      <c r="C358" s="29" t="inlineStr">
        <is>
          <t>덕산테코피아</t>
        </is>
      </c>
      <c r="D358" s="29" t="inlineStr">
        <is>
          <t>duksan</t>
        </is>
      </c>
      <c r="E358" s="29" t="inlineStr">
        <is>
          <t>317330</t>
        </is>
      </c>
      <c r="F358" s="29" t="inlineStr">
        <is>
          <t>2023</t>
        </is>
      </c>
      <c r="G358" s="29" t="inlineStr">
        <is>
          <t>CFS</t>
        </is>
      </c>
      <c r="H358" s="29" t="inlineStr">
        <is>
          <t>CF</t>
        </is>
      </c>
      <c r="I358" s="29" t="inlineStr">
        <is>
          <t>현금흐름표</t>
        </is>
      </c>
      <c r="J358" s="29" t="inlineStr">
        <is>
          <t>dart_PurchaseOfFairValueFinancialAsset</t>
        </is>
      </c>
      <c r="K358" s="29" t="inlineStr">
        <is>
          <t>당기손익인식금융자산의 취득</t>
        </is>
      </c>
      <c r="L358" s="29" t="inlineStr">
        <is>
          <t>-</t>
        </is>
      </c>
      <c r="M358" s="29" t="inlineStr">
        <is>
          <t>제 18 기</t>
        </is>
      </c>
      <c r="N358" s="29" t="inlineStr">
        <is>
          <t>해당 없음</t>
        </is>
      </c>
      <c r="O358" s="29" t="inlineStr">
        <is>
          <t>400000000.0</t>
        </is>
      </c>
      <c r="P358" s="29" t="inlineStr">
        <is>
          <t>KRW</t>
        </is>
      </c>
      <c r="Q358" s="29" t="inlineStr">
        <is>
          <t>27</t>
        </is>
      </c>
    </row>
    <row r="359" ht="24" customHeight="1">
      <c r="A359" s="24" t="inlineStr">
        <is>
          <t>OpenDART_fnlttSinglAcntAll</t>
        </is>
      </c>
      <c r="B359" s="24" t="inlineStr">
        <is>
          <t>01021666</t>
        </is>
      </c>
      <c r="C359" s="24" t="inlineStr">
        <is>
          <t>덕산테코피아</t>
        </is>
      </c>
      <c r="D359" s="24" t="inlineStr">
        <is>
          <t>duksan</t>
        </is>
      </c>
      <c r="E359" s="24" t="inlineStr">
        <is>
          <t>317330</t>
        </is>
      </c>
      <c r="F359" s="24" t="inlineStr">
        <is>
          <t>2023</t>
        </is>
      </c>
      <c r="G359" s="24" t="inlineStr">
        <is>
          <t>CFS</t>
        </is>
      </c>
      <c r="H359" s="24" t="inlineStr">
        <is>
          <t>CF</t>
        </is>
      </c>
      <c r="I359" s="24" t="inlineStr">
        <is>
          <t>현금흐름표</t>
        </is>
      </c>
      <c r="J359" s="24" t="inlineStr">
        <is>
          <t>dart_PurchaseOfLongTermLoansAndReceivables</t>
        </is>
      </c>
      <c r="K359" s="24" t="inlineStr">
        <is>
          <t>장기대여금및수취채권의 취득</t>
        </is>
      </c>
      <c r="L359" s="24" t="inlineStr">
        <is>
          <t>-</t>
        </is>
      </c>
      <c r="M359" s="24" t="inlineStr">
        <is>
          <t>제 18 기</t>
        </is>
      </c>
      <c r="N359" s="24" t="inlineStr">
        <is>
          <t>10041800000.0</t>
        </is>
      </c>
      <c r="O359" s="24" t="inlineStr">
        <is>
          <t>147940000.0</t>
        </is>
      </c>
      <c r="P359" s="24" t="inlineStr">
        <is>
          <t>KRW</t>
        </is>
      </c>
      <c r="Q359" s="24" t="inlineStr">
        <is>
          <t>29</t>
        </is>
      </c>
    </row>
    <row r="360" ht="24" customHeight="1">
      <c r="A360" s="29" t="inlineStr">
        <is>
          <t>OpenDART_fnlttSinglAcntAll</t>
        </is>
      </c>
      <c r="B360" s="29" t="inlineStr">
        <is>
          <t>01021666</t>
        </is>
      </c>
      <c r="C360" s="29" t="inlineStr">
        <is>
          <t>덕산테코피아</t>
        </is>
      </c>
      <c r="D360" s="29" t="inlineStr">
        <is>
          <t>duksan</t>
        </is>
      </c>
      <c r="E360" s="29" t="inlineStr">
        <is>
          <t>317330</t>
        </is>
      </c>
      <c r="F360" s="29" t="inlineStr">
        <is>
          <t>2023</t>
        </is>
      </c>
      <c r="G360" s="29" t="inlineStr">
        <is>
          <t>CFS</t>
        </is>
      </c>
      <c r="H360" s="29" t="inlineStr">
        <is>
          <t>CF</t>
        </is>
      </c>
      <c r="I360" s="29" t="inlineStr">
        <is>
          <t>현금흐름표</t>
        </is>
      </c>
      <c r="J360" s="29" t="inlineStr">
        <is>
          <t>dart_PurchaseOfShortTermFinancialInstruments</t>
        </is>
      </c>
      <c r="K360" s="29" t="inlineStr">
        <is>
          <t>단기금융상품의 취득</t>
        </is>
      </c>
      <c r="L360" s="29" t="inlineStr">
        <is>
          <t>-</t>
        </is>
      </c>
      <c r="M360" s="29" t="inlineStr">
        <is>
          <t>제 18 기</t>
        </is>
      </c>
      <c r="N360" s="29" t="inlineStr">
        <is>
          <t>175000000000.0</t>
        </is>
      </c>
      <c r="O360" s="29" t="inlineStr">
        <is>
          <t>1014327621.0</t>
        </is>
      </c>
      <c r="P360" s="29" t="inlineStr">
        <is>
          <t>KRW</t>
        </is>
      </c>
      <c r="Q360" s="29" t="inlineStr">
        <is>
          <t>30</t>
        </is>
      </c>
    </row>
    <row r="361" ht="24" customHeight="1">
      <c r="A361" s="24" t="inlineStr">
        <is>
          <t>OpenDART_fnlttSinglAcntAll</t>
        </is>
      </c>
      <c r="B361" s="24" t="inlineStr">
        <is>
          <t>01021666</t>
        </is>
      </c>
      <c r="C361" s="24" t="inlineStr">
        <is>
          <t>덕산테코피아</t>
        </is>
      </c>
      <c r="D361" s="24" t="inlineStr">
        <is>
          <t>duksan</t>
        </is>
      </c>
      <c r="E361" s="24" t="inlineStr">
        <is>
          <t>317330</t>
        </is>
      </c>
      <c r="F361" s="24" t="inlineStr">
        <is>
          <t>2023</t>
        </is>
      </c>
      <c r="G361" s="24" t="inlineStr">
        <is>
          <t>CFS</t>
        </is>
      </c>
      <c r="H361" s="24" t="inlineStr">
        <is>
          <t>CF</t>
        </is>
      </c>
      <c r="I361" s="24" t="inlineStr">
        <is>
          <t>현금흐름표</t>
        </is>
      </c>
      <c r="J361" s="24" t="inlineStr">
        <is>
          <t>-표준계정코드 미사용-</t>
        </is>
      </c>
      <c r="K361" s="24" t="inlineStr">
        <is>
          <t>임대보증금의 감소</t>
        </is>
      </c>
      <c r="L361" s="24" t="inlineStr">
        <is>
          <t>-</t>
        </is>
      </c>
      <c r="M361" s="24" t="inlineStr">
        <is>
          <t>제 18 기</t>
        </is>
      </c>
      <c r="N361" s="24" t="inlineStr">
        <is>
          <t>-17500000.0</t>
        </is>
      </c>
      <c r="O361" s="24" t="inlineStr">
        <is>
          <t>해당 없음</t>
        </is>
      </c>
      <c r="P361" s="24" t="inlineStr">
        <is>
          <t>KRW</t>
        </is>
      </c>
      <c r="Q361" s="24" t="inlineStr">
        <is>
          <t>31</t>
        </is>
      </c>
    </row>
    <row r="362" ht="24" customHeight="1">
      <c r="A362" s="29" t="inlineStr">
        <is>
          <t>OpenDART_fnlttSinglAcntAll</t>
        </is>
      </c>
      <c r="B362" s="29" t="inlineStr">
        <is>
          <t>01021666</t>
        </is>
      </c>
      <c r="C362" s="29" t="inlineStr">
        <is>
          <t>덕산테코피아</t>
        </is>
      </c>
      <c r="D362" s="29" t="inlineStr">
        <is>
          <t>duksan</t>
        </is>
      </c>
      <c r="E362" s="29" t="inlineStr">
        <is>
          <t>317330</t>
        </is>
      </c>
      <c r="F362" s="29" t="inlineStr">
        <is>
          <t>2023</t>
        </is>
      </c>
      <c r="G362" s="29" t="inlineStr">
        <is>
          <t>CFS</t>
        </is>
      </c>
      <c r="H362" s="29" t="inlineStr">
        <is>
          <t>CF</t>
        </is>
      </c>
      <c r="I362" s="29" t="inlineStr">
        <is>
          <t>현금흐름표</t>
        </is>
      </c>
      <c r="J362" s="29" t="inlineStr">
        <is>
          <t>-표준계정코드 미사용-</t>
        </is>
      </c>
      <c r="K362" s="29" t="inlineStr">
        <is>
          <t>기타보증금의 증가</t>
        </is>
      </c>
      <c r="L362" s="29" t="inlineStr">
        <is>
          <t>-</t>
        </is>
      </c>
      <c r="M362" s="29" t="inlineStr">
        <is>
          <t>제 18 기</t>
        </is>
      </c>
      <c r="N362" s="29" t="inlineStr">
        <is>
          <t>-438396.0</t>
        </is>
      </c>
      <c r="O362" s="29" t="inlineStr">
        <is>
          <t>1430000.0</t>
        </is>
      </c>
      <c r="P362" s="29" t="inlineStr">
        <is>
          <t>KRW</t>
        </is>
      </c>
      <c r="Q362" s="29" t="inlineStr">
        <is>
          <t>32</t>
        </is>
      </c>
    </row>
    <row r="363" ht="24" customHeight="1">
      <c r="A363" s="24" t="inlineStr">
        <is>
          <t>OpenDART_fnlttSinglAcntAll</t>
        </is>
      </c>
      <c r="B363" s="24" t="inlineStr">
        <is>
          <t>01021666</t>
        </is>
      </c>
      <c r="C363" s="24" t="inlineStr">
        <is>
          <t>덕산테코피아</t>
        </is>
      </c>
      <c r="D363" s="24" t="inlineStr">
        <is>
          <t>duksan</t>
        </is>
      </c>
      <c r="E363" s="24" t="inlineStr">
        <is>
          <t>317330</t>
        </is>
      </c>
      <c r="F363" s="24" t="inlineStr">
        <is>
          <t>2023</t>
        </is>
      </c>
      <c r="G363" s="24" t="inlineStr">
        <is>
          <t>CFS</t>
        </is>
      </c>
      <c r="H363" s="24" t="inlineStr">
        <is>
          <t>CF</t>
        </is>
      </c>
      <c r="I363" s="24" t="inlineStr">
        <is>
          <t>현금흐름표</t>
        </is>
      </c>
      <c r="J363" s="24" t="inlineStr">
        <is>
          <t>-표준계정코드 미사용-</t>
        </is>
      </c>
      <c r="K363" s="24" t="inlineStr">
        <is>
          <t>임대보증금의 증가</t>
        </is>
      </c>
      <c r="L363" s="24" t="inlineStr">
        <is>
          <t>-</t>
        </is>
      </c>
      <c r="M363" s="24" t="inlineStr">
        <is>
          <t>제 18 기</t>
        </is>
      </c>
      <c r="N363" s="24" t="inlineStr">
        <is>
          <t>해당 없음</t>
        </is>
      </c>
      <c r="O363" s="24" t="inlineStr">
        <is>
          <t>해당 없음</t>
        </is>
      </c>
      <c r="P363" s="24" t="inlineStr">
        <is>
          <t>KRW</t>
        </is>
      </c>
      <c r="Q363" s="24" t="inlineStr">
        <is>
          <t>33</t>
        </is>
      </c>
    </row>
    <row r="364" ht="24" customHeight="1">
      <c r="A364" s="29" t="inlineStr">
        <is>
          <t>OpenDART_fnlttSinglAcntAll</t>
        </is>
      </c>
      <c r="B364" s="29" t="inlineStr">
        <is>
          <t>01021666</t>
        </is>
      </c>
      <c r="C364" s="29" t="inlineStr">
        <is>
          <t>덕산테코피아</t>
        </is>
      </c>
      <c r="D364" s="29" t="inlineStr">
        <is>
          <t>duksan</t>
        </is>
      </c>
      <c r="E364" s="29" t="inlineStr">
        <is>
          <t>317330</t>
        </is>
      </c>
      <c r="F364" s="29" t="inlineStr">
        <is>
          <t>2023</t>
        </is>
      </c>
      <c r="G364" s="29" t="inlineStr">
        <is>
          <t>CFS</t>
        </is>
      </c>
      <c r="H364" s="29" t="inlineStr">
        <is>
          <t>CF</t>
        </is>
      </c>
      <c r="I364" s="29" t="inlineStr">
        <is>
          <t>현금흐름표</t>
        </is>
      </c>
      <c r="J364" s="29" t="inlineStr">
        <is>
          <t>ifrs-full_CashAdvancesAndLoansMadeToOtherPartiesClassifiedAsInvestingActivities</t>
        </is>
      </c>
      <c r="K364" s="29" t="inlineStr">
        <is>
          <t>선급금의 증가</t>
        </is>
      </c>
      <c r="L364" s="29" t="inlineStr">
        <is>
          <t>-</t>
        </is>
      </c>
      <c r="M364" s="29" t="inlineStr">
        <is>
          <t>제 18 기</t>
        </is>
      </c>
      <c r="N364" s="29" t="inlineStr">
        <is>
          <t>해당 없음</t>
        </is>
      </c>
      <c r="O364" s="29" t="inlineStr">
        <is>
          <t>해당 없음</t>
        </is>
      </c>
      <c r="P364" s="29" t="inlineStr">
        <is>
          <t>KRW</t>
        </is>
      </c>
      <c r="Q364" s="29" t="inlineStr">
        <is>
          <t>34</t>
        </is>
      </c>
    </row>
    <row r="365" ht="24" customHeight="1">
      <c r="A365" s="24" t="inlineStr">
        <is>
          <t>OpenDART_fnlttSinglAcntAll</t>
        </is>
      </c>
      <c r="B365" s="24" t="inlineStr">
        <is>
          <t>01021666</t>
        </is>
      </c>
      <c r="C365" s="24" t="inlineStr">
        <is>
          <t>덕산테코피아</t>
        </is>
      </c>
      <c r="D365" s="24" t="inlineStr">
        <is>
          <t>duksan</t>
        </is>
      </c>
      <c r="E365" s="24" t="inlineStr">
        <is>
          <t>317330</t>
        </is>
      </c>
      <c r="F365" s="24" t="inlineStr">
        <is>
          <t>2023</t>
        </is>
      </c>
      <c r="G365" s="24" t="inlineStr">
        <is>
          <t>CFS</t>
        </is>
      </c>
      <c r="H365" s="24" t="inlineStr">
        <is>
          <t>CF</t>
        </is>
      </c>
      <c r="I365" s="24" t="inlineStr">
        <is>
          <t>현금흐름표</t>
        </is>
      </c>
      <c r="J365" s="24" t="inlineStr">
        <is>
          <t>ifrs-full_CashFlowsUsedInObtainingControlOfSubsidiariesOrOtherBusinessesClassifiedAsInvestingActivities</t>
        </is>
      </c>
      <c r="K365" s="24" t="inlineStr">
        <is>
          <t>종속기업과 기타 사업의 지배력 획득에 따른 현금흐름</t>
        </is>
      </c>
      <c r="L365" s="24" t="inlineStr">
        <is>
          <t>-</t>
        </is>
      </c>
      <c r="M365" s="24" t="inlineStr">
        <is>
          <t>제 18 기</t>
        </is>
      </c>
      <c r="N365" s="24" t="inlineStr">
        <is>
          <t>해당 없음</t>
        </is>
      </c>
      <c r="O365" s="24" t="inlineStr">
        <is>
          <t>6955464652.0</t>
        </is>
      </c>
      <c r="P365" s="24" t="inlineStr">
        <is>
          <t>KRW</t>
        </is>
      </c>
      <c r="Q365" s="24" t="inlineStr">
        <is>
          <t>35</t>
        </is>
      </c>
    </row>
    <row r="366" ht="24" customHeight="1">
      <c r="A366" s="29" t="inlineStr">
        <is>
          <t>OpenDART_fnlttSinglAcntAll</t>
        </is>
      </c>
      <c r="B366" s="29" t="inlineStr">
        <is>
          <t>01021666</t>
        </is>
      </c>
      <c r="C366" s="29" t="inlineStr">
        <is>
          <t>덕산테코피아</t>
        </is>
      </c>
      <c r="D366" s="29" t="inlineStr">
        <is>
          <t>duksan</t>
        </is>
      </c>
      <c r="E366" s="29" t="inlineStr">
        <is>
          <t>317330</t>
        </is>
      </c>
      <c r="F366" s="29" t="inlineStr">
        <is>
          <t>2023</t>
        </is>
      </c>
      <c r="G366" s="29" t="inlineStr">
        <is>
          <t>CFS</t>
        </is>
      </c>
      <c r="H366" s="29" t="inlineStr">
        <is>
          <t>CF</t>
        </is>
      </c>
      <c r="I366" s="29" t="inlineStr">
        <is>
          <t>현금흐름표</t>
        </is>
      </c>
      <c r="J366" s="29" t="inlineStr">
        <is>
          <t>ifrs-full_ProceedsFromGovernmentGrantsClassifiedAsInvestingActivities</t>
        </is>
      </c>
      <c r="K366" s="29" t="inlineStr">
        <is>
          <t>정부보조금의 수취</t>
        </is>
      </c>
      <c r="L366" s="29" t="inlineStr">
        <is>
          <t>-</t>
        </is>
      </c>
      <c r="M366" s="29" t="inlineStr">
        <is>
          <t>제 18 기</t>
        </is>
      </c>
      <c r="N366" s="29" t="inlineStr">
        <is>
          <t>해당 없음</t>
        </is>
      </c>
      <c r="O366" s="29" t="inlineStr">
        <is>
          <t>6617400000.0</t>
        </is>
      </c>
      <c r="P366" s="29" t="inlineStr">
        <is>
          <t>KRW</t>
        </is>
      </c>
      <c r="Q366" s="29" t="inlineStr">
        <is>
          <t>36</t>
        </is>
      </c>
    </row>
    <row r="367" ht="24" customHeight="1">
      <c r="A367" s="24" t="inlineStr">
        <is>
          <t>OpenDART_fnlttSinglAcntAll</t>
        </is>
      </c>
      <c r="B367" s="24" t="inlineStr">
        <is>
          <t>01021666</t>
        </is>
      </c>
      <c r="C367" s="24" t="inlineStr">
        <is>
          <t>덕산테코피아</t>
        </is>
      </c>
      <c r="D367" s="24" t="inlineStr">
        <is>
          <t>duksan</t>
        </is>
      </c>
      <c r="E367" s="24" t="inlineStr">
        <is>
          <t>317330</t>
        </is>
      </c>
      <c r="F367" s="24" t="inlineStr">
        <is>
          <t>2023</t>
        </is>
      </c>
      <c r="G367" s="24" t="inlineStr">
        <is>
          <t>CFS</t>
        </is>
      </c>
      <c r="H367" s="24" t="inlineStr">
        <is>
          <t>CF</t>
        </is>
      </c>
      <c r="I367" s="24" t="inlineStr">
        <is>
          <t>현금흐름표</t>
        </is>
      </c>
      <c r="J367" s="24" t="inlineStr">
        <is>
          <t>ifrs-full_ProceedsFromSalesOfPropertyPlantAndEquipmentClassifiedAsInvestingActivities</t>
        </is>
      </c>
      <c r="K367" s="24" t="inlineStr">
        <is>
          <t>유형자산의 처분</t>
        </is>
      </c>
      <c r="L367" s="24" t="inlineStr">
        <is>
          <t>-</t>
        </is>
      </c>
      <c r="M367" s="24" t="inlineStr">
        <is>
          <t>제 18 기</t>
        </is>
      </c>
      <c r="N367" s="24" t="inlineStr">
        <is>
          <t>636363.0</t>
        </is>
      </c>
      <c r="O367" s="24" t="inlineStr">
        <is>
          <t>950000.0</t>
        </is>
      </c>
      <c r="P367" s="24" t="inlineStr">
        <is>
          <t>KRW</t>
        </is>
      </c>
      <c r="Q367" s="24" t="inlineStr">
        <is>
          <t>37</t>
        </is>
      </c>
    </row>
    <row r="368" ht="24" customHeight="1">
      <c r="A368" s="29" t="inlineStr">
        <is>
          <t>OpenDART_fnlttSinglAcntAll</t>
        </is>
      </c>
      <c r="B368" s="29" t="inlineStr">
        <is>
          <t>01021666</t>
        </is>
      </c>
      <c r="C368" s="29" t="inlineStr">
        <is>
          <t>덕산테코피아</t>
        </is>
      </c>
      <c r="D368" s="29" t="inlineStr">
        <is>
          <t>duksan</t>
        </is>
      </c>
      <c r="E368" s="29" t="inlineStr">
        <is>
          <t>317330</t>
        </is>
      </c>
      <c r="F368" s="29" t="inlineStr">
        <is>
          <t>2023</t>
        </is>
      </c>
      <c r="G368" s="29" t="inlineStr">
        <is>
          <t>CFS</t>
        </is>
      </c>
      <c r="H368" s="29" t="inlineStr">
        <is>
          <t>CF</t>
        </is>
      </c>
      <c r="I368" s="29" t="inlineStr">
        <is>
          <t>현금흐름표</t>
        </is>
      </c>
      <c r="J368" s="29" t="inlineStr">
        <is>
          <t>ifrs-full_PurchaseOfIntangibleAssetsClassifiedAsInvestingActivities</t>
        </is>
      </c>
      <c r="K368" s="29" t="inlineStr">
        <is>
          <t>무형자산의 취득</t>
        </is>
      </c>
      <c r="L368" s="29" t="inlineStr">
        <is>
          <t>-</t>
        </is>
      </c>
      <c r="M368" s="29" t="inlineStr">
        <is>
          <t>제 18 기</t>
        </is>
      </c>
      <c r="N368" s="29" t="inlineStr">
        <is>
          <t>228253582.0</t>
        </is>
      </c>
      <c r="O368" s="29" t="inlineStr">
        <is>
          <t>88718697.0</t>
        </is>
      </c>
      <c r="P368" s="29" t="inlineStr">
        <is>
          <t>KRW</t>
        </is>
      </c>
      <c r="Q368" s="29" t="inlineStr">
        <is>
          <t>38</t>
        </is>
      </c>
    </row>
    <row r="369" ht="24" customHeight="1">
      <c r="A369" s="24" t="inlineStr">
        <is>
          <t>OpenDART_fnlttSinglAcntAll</t>
        </is>
      </c>
      <c r="B369" s="24" t="inlineStr">
        <is>
          <t>01021666</t>
        </is>
      </c>
      <c r="C369" s="24" t="inlineStr">
        <is>
          <t>덕산테코피아</t>
        </is>
      </c>
      <c r="D369" s="24" t="inlineStr">
        <is>
          <t>duksan</t>
        </is>
      </c>
      <c r="E369" s="24" t="inlineStr">
        <is>
          <t>317330</t>
        </is>
      </c>
      <c r="F369" s="24" t="inlineStr">
        <is>
          <t>2023</t>
        </is>
      </c>
      <c r="G369" s="24" t="inlineStr">
        <is>
          <t>CFS</t>
        </is>
      </c>
      <c r="H369" s="24" t="inlineStr">
        <is>
          <t>CF</t>
        </is>
      </c>
      <c r="I369" s="24" t="inlineStr">
        <is>
          <t>현금흐름표</t>
        </is>
      </c>
      <c r="J369" s="24" t="inlineStr">
        <is>
          <t>ifrs-full_PurchaseOfPropertyPlantAndEquipmentClassifiedAsInvestingActivities</t>
        </is>
      </c>
      <c r="K369" s="24" t="inlineStr">
        <is>
          <t>유형자산의 취득</t>
        </is>
      </c>
      <c r="L369" s="24" t="inlineStr">
        <is>
          <t>-</t>
        </is>
      </c>
      <c r="M369" s="24" t="inlineStr">
        <is>
          <t>제 18 기</t>
        </is>
      </c>
      <c r="N369" s="24" t="inlineStr">
        <is>
          <t>149162239594.0</t>
        </is>
      </c>
      <c r="O369" s="24" t="inlineStr">
        <is>
          <t>78591869798.0</t>
        </is>
      </c>
      <c r="P369" s="24" t="inlineStr">
        <is>
          <t>KRW</t>
        </is>
      </c>
      <c r="Q369" s="24" t="inlineStr">
        <is>
          <t>39</t>
        </is>
      </c>
    </row>
    <row r="370" ht="24" customHeight="1">
      <c r="A370" s="29" t="inlineStr">
        <is>
          <t>OpenDART_fnlttSinglAcntAll</t>
        </is>
      </c>
      <c r="B370" s="29" t="inlineStr">
        <is>
          <t>01021666</t>
        </is>
      </c>
      <c r="C370" s="29" t="inlineStr">
        <is>
          <t>덕산테코피아</t>
        </is>
      </c>
      <c r="D370" s="29" t="inlineStr">
        <is>
          <t>duksan</t>
        </is>
      </c>
      <c r="E370" s="29" t="inlineStr">
        <is>
          <t>317330</t>
        </is>
      </c>
      <c r="F370" s="29" t="inlineStr">
        <is>
          <t>2023</t>
        </is>
      </c>
      <c r="G370" s="29" t="inlineStr">
        <is>
          <t>CFS</t>
        </is>
      </c>
      <c r="H370" s="29" t="inlineStr">
        <is>
          <t>CF</t>
        </is>
      </c>
      <c r="I370" s="29" t="inlineStr">
        <is>
          <t>현금흐름표</t>
        </is>
      </c>
      <c r="J370" s="29" t="inlineStr">
        <is>
          <t>ifrs-full_CashFlowsFromUsedInOperatingActivities</t>
        </is>
      </c>
      <c r="K370" s="29" t="inlineStr">
        <is>
          <t>영업활동현금흐름</t>
        </is>
      </c>
      <c r="L370" s="29" t="inlineStr">
        <is>
          <t>-</t>
        </is>
      </c>
      <c r="M370" s="29" t="inlineStr">
        <is>
          <t>제 18 기</t>
        </is>
      </c>
      <c r="N370" s="29" t="inlineStr">
        <is>
          <t>-7827102760.0</t>
        </is>
      </c>
      <c r="O370" s="29" t="inlineStr">
        <is>
          <t>12253509090.0</t>
        </is>
      </c>
      <c r="P370" s="29" t="inlineStr">
        <is>
          <t>KRW</t>
        </is>
      </c>
      <c r="Q370" s="29" t="inlineStr">
        <is>
          <t>40</t>
        </is>
      </c>
    </row>
    <row r="371" ht="24" customHeight="1">
      <c r="A371" s="24" t="inlineStr">
        <is>
          <t>OpenDART_fnlttSinglAcntAll</t>
        </is>
      </c>
      <c r="B371" s="24" t="inlineStr">
        <is>
          <t>01021666</t>
        </is>
      </c>
      <c r="C371" s="24" t="inlineStr">
        <is>
          <t>덕산테코피아</t>
        </is>
      </c>
      <c r="D371" s="24" t="inlineStr">
        <is>
          <t>duksan</t>
        </is>
      </c>
      <c r="E371" s="24" t="inlineStr">
        <is>
          <t>317330</t>
        </is>
      </c>
      <c r="F371" s="24" t="inlineStr">
        <is>
          <t>2023</t>
        </is>
      </c>
      <c r="G371" s="24" t="inlineStr">
        <is>
          <t>CFS</t>
        </is>
      </c>
      <c r="H371" s="24" t="inlineStr">
        <is>
          <t>CF</t>
        </is>
      </c>
      <c r="I371" s="24" t="inlineStr">
        <is>
          <t>현금흐름표</t>
        </is>
      </c>
      <c r="J371" s="24" t="inlineStr">
        <is>
          <t>dart_AdjustmentsForAssetsLiabilitiesOfOperatingActivities</t>
        </is>
      </c>
      <c r="K371" s="24" t="inlineStr">
        <is>
          <t>영업활동으로 인한 자산 부채의 변동</t>
        </is>
      </c>
      <c r="L371" s="24" t="inlineStr">
        <is>
          <t>-</t>
        </is>
      </c>
      <c r="M371" s="24" t="inlineStr">
        <is>
          <t>제 18 기</t>
        </is>
      </c>
      <c r="N371" s="24" t="inlineStr">
        <is>
          <t>-22671519052.0</t>
        </is>
      </c>
      <c r="O371" s="24" t="inlineStr">
        <is>
          <t>-10379354147.0</t>
        </is>
      </c>
      <c r="P371" s="24" t="inlineStr">
        <is>
          <t>KRW</t>
        </is>
      </c>
      <c r="Q371" s="24" t="inlineStr">
        <is>
          <t>41</t>
        </is>
      </c>
    </row>
    <row r="372" ht="24" customHeight="1">
      <c r="A372" s="29" t="inlineStr">
        <is>
          <t>OpenDART_fnlttSinglAcntAll</t>
        </is>
      </c>
      <c r="B372" s="29" t="inlineStr">
        <is>
          <t>01021666</t>
        </is>
      </c>
      <c r="C372" s="29" t="inlineStr">
        <is>
          <t>덕산테코피아</t>
        </is>
      </c>
      <c r="D372" s="29" t="inlineStr">
        <is>
          <t>duksan</t>
        </is>
      </c>
      <c r="E372" s="29" t="inlineStr">
        <is>
          <t>317330</t>
        </is>
      </c>
      <c r="F372" s="29" t="inlineStr">
        <is>
          <t>2023</t>
        </is>
      </c>
      <c r="G372" s="29" t="inlineStr">
        <is>
          <t>CFS</t>
        </is>
      </c>
      <c r="H372" s="29" t="inlineStr">
        <is>
          <t>CF</t>
        </is>
      </c>
      <c r="I372" s="29" t="inlineStr">
        <is>
          <t>현금흐름표</t>
        </is>
      </c>
      <c r="J372" s="29" t="inlineStr">
        <is>
          <t>ifrs-full_AdjustmentsForReconcileProfitLoss</t>
        </is>
      </c>
      <c r="K372" s="29" t="inlineStr">
        <is>
          <t>당기순이익조정을 위한 가감</t>
        </is>
      </c>
      <c r="L372" s="29" t="inlineStr">
        <is>
          <t>-</t>
        </is>
      </c>
      <c r="M372" s="29" t="inlineStr">
        <is>
          <t>제 18 기</t>
        </is>
      </c>
      <c r="N372" s="29" t="inlineStr">
        <is>
          <t>34689323266.0</t>
        </is>
      </c>
      <c r="O372" s="29" t="inlineStr">
        <is>
          <t>9816305854.0</t>
        </is>
      </c>
      <c r="P372" s="29" t="inlineStr">
        <is>
          <t>KRW</t>
        </is>
      </c>
      <c r="Q372" s="29" t="inlineStr">
        <is>
          <t>42</t>
        </is>
      </c>
    </row>
    <row r="373" ht="24" customHeight="1">
      <c r="A373" s="24" t="inlineStr">
        <is>
          <t>OpenDART_fnlttSinglAcntAll</t>
        </is>
      </c>
      <c r="B373" s="24" t="inlineStr">
        <is>
          <t>01021666</t>
        </is>
      </c>
      <c r="C373" s="24" t="inlineStr">
        <is>
          <t>덕산테코피아</t>
        </is>
      </c>
      <c r="D373" s="24" t="inlineStr">
        <is>
          <t>duksan</t>
        </is>
      </c>
      <c r="E373" s="24" t="inlineStr">
        <is>
          <t>317330</t>
        </is>
      </c>
      <c r="F373" s="24" t="inlineStr">
        <is>
          <t>2023</t>
        </is>
      </c>
      <c r="G373" s="24" t="inlineStr">
        <is>
          <t>CFS</t>
        </is>
      </c>
      <c r="H373" s="24" t="inlineStr">
        <is>
          <t>CF</t>
        </is>
      </c>
      <c r="I373" s="24" t="inlineStr">
        <is>
          <t>현금흐름표</t>
        </is>
      </c>
      <c r="J373" s="24" t="inlineStr">
        <is>
          <t>ifrs-full_IncomeTaxesPaidRefundClassifiedAsOperatingActivities</t>
        </is>
      </c>
      <c r="K373" s="24" t="inlineStr">
        <is>
          <t>법인세환급(납부)</t>
        </is>
      </c>
      <c r="L373" s="24" t="inlineStr">
        <is>
          <t>-</t>
        </is>
      </c>
      <c r="M373" s="24" t="inlineStr">
        <is>
          <t>제 18 기</t>
        </is>
      </c>
      <c r="N373" s="24" t="inlineStr">
        <is>
          <t>430869000.0</t>
        </is>
      </c>
      <c r="O373" s="24" t="inlineStr">
        <is>
          <t>2708488470.0</t>
        </is>
      </c>
      <c r="P373" s="24" t="inlineStr">
        <is>
          <t>KRW</t>
        </is>
      </c>
      <c r="Q373" s="24" t="inlineStr">
        <is>
          <t>43</t>
        </is>
      </c>
    </row>
    <row r="374" ht="24" customHeight="1">
      <c r="A374" s="29" t="inlineStr">
        <is>
          <t>OpenDART_fnlttSinglAcntAll</t>
        </is>
      </c>
      <c r="B374" s="29" t="inlineStr">
        <is>
          <t>01021666</t>
        </is>
      </c>
      <c r="C374" s="29" t="inlineStr">
        <is>
          <t>덕산테코피아</t>
        </is>
      </c>
      <c r="D374" s="29" t="inlineStr">
        <is>
          <t>duksan</t>
        </is>
      </c>
      <c r="E374" s="29" t="inlineStr">
        <is>
          <t>317330</t>
        </is>
      </c>
      <c r="F374" s="29" t="inlineStr">
        <is>
          <t>2023</t>
        </is>
      </c>
      <c r="G374" s="29" t="inlineStr">
        <is>
          <t>CFS</t>
        </is>
      </c>
      <c r="H374" s="29" t="inlineStr">
        <is>
          <t>CF</t>
        </is>
      </c>
      <c r="I374" s="29" t="inlineStr">
        <is>
          <t>현금흐름표</t>
        </is>
      </c>
      <c r="J374" s="29" t="inlineStr">
        <is>
          <t>ifrs-full_InterestPaidClassifiedAsOperatingActivities</t>
        </is>
      </c>
      <c r="K374" s="29" t="inlineStr">
        <is>
          <t>이자지급(영업)</t>
        </is>
      </c>
      <c r="L374" s="29" t="inlineStr">
        <is>
          <t>-</t>
        </is>
      </c>
      <c r="M374" s="29" t="inlineStr">
        <is>
          <t>제 18 기</t>
        </is>
      </c>
      <c r="N374" s="29" t="inlineStr">
        <is>
          <t>2329832171.0</t>
        </is>
      </c>
      <c r="O374" s="29" t="inlineStr">
        <is>
          <t>25177663.0</t>
        </is>
      </c>
      <c r="P374" s="29" t="inlineStr">
        <is>
          <t>KRW</t>
        </is>
      </c>
      <c r="Q374" s="29" t="inlineStr">
        <is>
          <t>44</t>
        </is>
      </c>
    </row>
    <row r="375" ht="24" customHeight="1">
      <c r="A375" s="24" t="inlineStr">
        <is>
          <t>OpenDART_fnlttSinglAcntAll</t>
        </is>
      </c>
      <c r="B375" s="24" t="inlineStr">
        <is>
          <t>01021666</t>
        </is>
      </c>
      <c r="C375" s="24" t="inlineStr">
        <is>
          <t>덕산테코피아</t>
        </is>
      </c>
      <c r="D375" s="24" t="inlineStr">
        <is>
          <t>duksan</t>
        </is>
      </c>
      <c r="E375" s="24" t="inlineStr">
        <is>
          <t>317330</t>
        </is>
      </c>
      <c r="F375" s="24" t="inlineStr">
        <is>
          <t>2023</t>
        </is>
      </c>
      <c r="G375" s="24" t="inlineStr">
        <is>
          <t>CFS</t>
        </is>
      </c>
      <c r="H375" s="24" t="inlineStr">
        <is>
          <t>CF</t>
        </is>
      </c>
      <c r="I375" s="24" t="inlineStr">
        <is>
          <t>현금흐름표</t>
        </is>
      </c>
      <c r="J375" s="24" t="inlineStr">
        <is>
          <t>ifrs-full_InterestReceivedClassifiedAsOperatingActivities</t>
        </is>
      </c>
      <c r="K375" s="24" t="inlineStr">
        <is>
          <t>이자수취</t>
        </is>
      </c>
      <c r="L375" s="24" t="inlineStr">
        <is>
          <t>-</t>
        </is>
      </c>
      <c r="M375" s="24" t="inlineStr">
        <is>
          <t>제 18 기</t>
        </is>
      </c>
      <c r="N375" s="24" t="inlineStr">
        <is>
          <t>2189463870.0</t>
        </is>
      </c>
      <c r="O375" s="24" t="inlineStr">
        <is>
          <t>499880537.0</t>
        </is>
      </c>
      <c r="P375" s="24" t="inlineStr">
        <is>
          <t>KRW</t>
        </is>
      </c>
      <c r="Q375" s="24" t="inlineStr">
        <is>
          <t>45</t>
        </is>
      </c>
    </row>
    <row r="376" ht="24" customHeight="1">
      <c r="A376" s="29" t="inlineStr">
        <is>
          <t>OpenDART_fnlttSinglAcntAll</t>
        </is>
      </c>
      <c r="B376" s="29" t="inlineStr">
        <is>
          <t>01021666</t>
        </is>
      </c>
      <c r="C376" s="29" t="inlineStr">
        <is>
          <t>덕산테코피아</t>
        </is>
      </c>
      <c r="D376" s="29" t="inlineStr">
        <is>
          <t>duksan</t>
        </is>
      </c>
      <c r="E376" s="29" t="inlineStr">
        <is>
          <t>317330</t>
        </is>
      </c>
      <c r="F376" s="29" t="inlineStr">
        <is>
          <t>2023</t>
        </is>
      </c>
      <c r="G376" s="29" t="inlineStr">
        <is>
          <t>CFS</t>
        </is>
      </c>
      <c r="H376" s="29" t="inlineStr">
        <is>
          <t>CF</t>
        </is>
      </c>
      <c r="I376" s="29" t="inlineStr">
        <is>
          <t>현금흐름표</t>
        </is>
      </c>
      <c r="J376" s="29" t="inlineStr">
        <is>
          <t>ifrs-full_ProfitLoss</t>
        </is>
      </c>
      <c r="K376" s="29" t="inlineStr">
        <is>
          <t>당기순이익(손실)</t>
        </is>
      </c>
      <c r="L376" s="29" t="inlineStr">
        <is>
          <t>-</t>
        </is>
      </c>
      <c r="M376" s="29" t="inlineStr">
        <is>
          <t>제 18 기</t>
        </is>
      </c>
      <c r="N376" s="29" t="inlineStr">
        <is>
          <t>-19273669673.0</t>
        </is>
      </c>
      <c r="O376" s="29" t="inlineStr">
        <is>
          <t>15050342979.0</t>
        </is>
      </c>
      <c r="P376" s="29" t="inlineStr">
        <is>
          <t>KRW</t>
        </is>
      </c>
      <c r="Q376" s="29" t="inlineStr">
        <is>
          <t>46</t>
        </is>
      </c>
    </row>
    <row r="377" ht="24" customHeight="1">
      <c r="A377" s="24" t="inlineStr">
        <is>
          <t>OpenDART_fnlttSinglAcntAll</t>
        </is>
      </c>
      <c r="B377" s="24" t="inlineStr">
        <is>
          <t>01021666</t>
        </is>
      </c>
      <c r="C377" s="24" t="inlineStr">
        <is>
          <t>덕산테코피아</t>
        </is>
      </c>
      <c r="D377" s="24" t="inlineStr">
        <is>
          <t>duksan</t>
        </is>
      </c>
      <c r="E377" s="24" t="inlineStr">
        <is>
          <t>317330</t>
        </is>
      </c>
      <c r="F377" s="24" t="inlineStr">
        <is>
          <t>2023</t>
        </is>
      </c>
      <c r="G377" s="24" t="inlineStr">
        <is>
          <t>CFS</t>
        </is>
      </c>
      <c r="H377" s="24" t="inlineStr">
        <is>
          <t>CF</t>
        </is>
      </c>
      <c r="I377" s="24" t="inlineStr">
        <is>
          <t>현금흐름표</t>
        </is>
      </c>
      <c r="J377" s="24" t="inlineStr">
        <is>
          <t>ifrs-full_EffectOfExchangeRateChangesOnCashAndCashEquivalents</t>
        </is>
      </c>
      <c r="K377" s="24" t="inlineStr">
        <is>
          <t>현금및현금성자산에 대한 환율변동효과</t>
        </is>
      </c>
      <c r="L377" s="24" t="inlineStr">
        <is>
          <t>-</t>
        </is>
      </c>
      <c r="M377" s="24" t="inlineStr">
        <is>
          <t>제 18 기</t>
        </is>
      </c>
      <c r="N377" s="24" t="inlineStr">
        <is>
          <t>-3582091395.0</t>
        </is>
      </c>
      <c r="O377" s="24" t="inlineStr">
        <is>
          <t>-701968728.0</t>
        </is>
      </c>
      <c r="P377" s="24" t="inlineStr">
        <is>
          <t>KRW</t>
        </is>
      </c>
      <c r="Q377" s="24" t="inlineStr">
        <is>
          <t>47</t>
        </is>
      </c>
    </row>
    <row r="378" ht="24" customHeight="1">
      <c r="A378" s="29" t="inlineStr">
        <is>
          <t>OpenDART_fnlttSinglAcntAll</t>
        </is>
      </c>
      <c r="B378" s="29" t="inlineStr">
        <is>
          <t>01021666</t>
        </is>
      </c>
      <c r="C378" s="29" t="inlineStr">
        <is>
          <t>덕산테코피아</t>
        </is>
      </c>
      <c r="D378" s="29" t="inlineStr">
        <is>
          <t>duksan</t>
        </is>
      </c>
      <c r="E378" s="29" t="inlineStr">
        <is>
          <t>317330</t>
        </is>
      </c>
      <c r="F378" s="29" t="inlineStr">
        <is>
          <t>2023</t>
        </is>
      </c>
      <c r="G378" s="29" t="inlineStr">
        <is>
          <t>CFS</t>
        </is>
      </c>
      <c r="H378" s="29" t="inlineStr">
        <is>
          <t>CF</t>
        </is>
      </c>
      <c r="I378" s="29" t="inlineStr">
        <is>
          <t>현금흐름표</t>
        </is>
      </c>
      <c r="J378" s="29" t="inlineStr">
        <is>
          <t>ifrs-full_IncreaseDecreaseInCashAndCashEquivalents</t>
        </is>
      </c>
      <c r="K378" s="29" t="inlineStr">
        <is>
          <t>현금및현금성자산의순증가(감소)</t>
        </is>
      </c>
      <c r="L378" s="29" t="inlineStr">
        <is>
          <t>-</t>
        </is>
      </c>
      <c r="M378" s="29" t="inlineStr">
        <is>
          <t>제 18 기</t>
        </is>
      </c>
      <c r="N378" s="29" t="inlineStr">
        <is>
          <t>-3844355797.0</t>
        </is>
      </c>
      <c r="O378" s="29" t="inlineStr">
        <is>
          <t>-15565258977.0</t>
        </is>
      </c>
      <c r="P378" s="29" t="inlineStr">
        <is>
          <t>KRW</t>
        </is>
      </c>
      <c r="Q378" s="29" t="inlineStr">
        <is>
          <t>48</t>
        </is>
      </c>
    </row>
    <row r="379" ht="24" customHeight="1">
      <c r="A379" s="24" t="inlineStr">
        <is>
          <t>OpenDART_fnlttSinglAcntAll</t>
        </is>
      </c>
      <c r="B379" s="24" t="inlineStr">
        <is>
          <t>01021666</t>
        </is>
      </c>
      <c r="C379" s="24" t="inlineStr">
        <is>
          <t>덕산테코피아</t>
        </is>
      </c>
      <c r="D379" s="24" t="inlineStr">
        <is>
          <t>duksan</t>
        </is>
      </c>
      <c r="E379" s="24" t="inlineStr">
        <is>
          <t>317330</t>
        </is>
      </c>
      <c r="F379" s="24" t="inlineStr">
        <is>
          <t>2023</t>
        </is>
      </c>
      <c r="G379" s="24" t="inlineStr">
        <is>
          <t>CFS</t>
        </is>
      </c>
      <c r="H379" s="24" t="inlineStr">
        <is>
          <t>SCE</t>
        </is>
      </c>
      <c r="I379" s="24" t="inlineStr">
        <is>
          <t>자본변동표</t>
        </is>
      </c>
      <c r="J379" s="24" t="inlineStr">
        <is>
          <t>dart_EquityAtBeginningOfPeriod</t>
        </is>
      </c>
      <c r="K379" s="24" t="inlineStr">
        <is>
          <t>기초자본</t>
        </is>
      </c>
      <c r="L379" s="24" t="inlineStr">
        <is>
          <t>연결재무제표 [member]</t>
        </is>
      </c>
      <c r="M379" s="24" t="inlineStr">
        <is>
          <t>제 18 기</t>
        </is>
      </c>
      <c r="N379" s="24" t="inlineStr">
        <is>
          <t>203286055415.0</t>
        </is>
      </c>
      <c r="O379" s="24" t="inlineStr">
        <is>
          <t>172986944898.0</t>
        </is>
      </c>
      <c r="P379" s="24" t="inlineStr">
        <is>
          <t>KRW</t>
        </is>
      </c>
      <c r="Q379" s="24" t="inlineStr">
        <is>
          <t>3</t>
        </is>
      </c>
    </row>
    <row r="380" ht="24" customHeight="1">
      <c r="A380" s="29" t="inlineStr">
        <is>
          <t>OpenDART_fnlttSinglAcntAll</t>
        </is>
      </c>
      <c r="B380" s="29" t="inlineStr">
        <is>
          <t>01021666</t>
        </is>
      </c>
      <c r="C380" s="29" t="inlineStr">
        <is>
          <t>덕산테코피아</t>
        </is>
      </c>
      <c r="D380" s="29" t="inlineStr">
        <is>
          <t>duksan</t>
        </is>
      </c>
      <c r="E380" s="29" t="inlineStr">
        <is>
          <t>317330</t>
        </is>
      </c>
      <c r="F380" s="29" t="inlineStr">
        <is>
          <t>2023</t>
        </is>
      </c>
      <c r="G380" s="29" t="inlineStr">
        <is>
          <t>CFS</t>
        </is>
      </c>
      <c r="H380" s="29" t="inlineStr">
        <is>
          <t>SCE</t>
        </is>
      </c>
      <c r="I380" s="29" t="inlineStr">
        <is>
          <t>자본변동표</t>
        </is>
      </c>
      <c r="J380" s="29" t="inlineStr">
        <is>
          <t>dart_EquityAtBeginningOfPeriod</t>
        </is>
      </c>
      <c r="K380" s="29" t="inlineStr">
        <is>
          <t>기초자본</t>
        </is>
      </c>
      <c r="L380" s="29" t="inlineStr">
        <is>
          <t>자본 [구성요소]|비지배지분 [구성요소]</t>
        </is>
      </c>
      <c r="M380" s="29" t="inlineStr">
        <is>
          <t>제 18 기</t>
        </is>
      </c>
      <c r="N380" s="29" t="inlineStr">
        <is>
          <t>14897354380.0</t>
        </is>
      </c>
      <c r="O380" s="29" t="inlineStr">
        <is>
          <t>667724256.0</t>
        </is>
      </c>
      <c r="P380" s="29" t="inlineStr">
        <is>
          <t>KRW</t>
        </is>
      </c>
      <c r="Q380" s="29" t="inlineStr">
        <is>
          <t>3</t>
        </is>
      </c>
    </row>
    <row r="381" ht="24" customHeight="1">
      <c r="A381" s="24" t="inlineStr">
        <is>
          <t>OpenDART_fnlttSinglAcntAll</t>
        </is>
      </c>
      <c r="B381" s="24" t="inlineStr">
        <is>
          <t>01021666</t>
        </is>
      </c>
      <c r="C381" s="24" t="inlineStr">
        <is>
          <t>덕산테코피아</t>
        </is>
      </c>
      <c r="D381" s="24" t="inlineStr">
        <is>
          <t>duksan</t>
        </is>
      </c>
      <c r="E381" s="24" t="inlineStr">
        <is>
          <t>317330</t>
        </is>
      </c>
      <c r="F381" s="24" t="inlineStr">
        <is>
          <t>2023</t>
        </is>
      </c>
      <c r="G381" s="24" t="inlineStr">
        <is>
          <t>CFS</t>
        </is>
      </c>
      <c r="H381" s="24" t="inlineStr">
        <is>
          <t>SCE</t>
        </is>
      </c>
      <c r="I381" s="24" t="inlineStr">
        <is>
          <t>자본변동표</t>
        </is>
      </c>
      <c r="J381" s="24" t="inlineStr">
        <is>
          <t>dart_EquityAtBeginningOfPeriod</t>
        </is>
      </c>
      <c r="K381" s="24" t="inlineStr">
        <is>
          <t>기초자본</t>
        </is>
      </c>
      <c r="L381" s="24" t="inlineStr">
        <is>
          <t>자본 [구성요소]|지배기업의 소유주에게 귀속되는 지분 [구성요소]</t>
        </is>
      </c>
      <c r="M381" s="24" t="inlineStr">
        <is>
          <t>제 18 기</t>
        </is>
      </c>
      <c r="N381" s="24" t="inlineStr">
        <is>
          <t>188388701035.0</t>
        </is>
      </c>
      <c r="O381" s="24" t="inlineStr">
        <is>
          <t>172319220642.0</t>
        </is>
      </c>
      <c r="P381" s="24" t="inlineStr">
        <is>
          <t>KRW</t>
        </is>
      </c>
      <c r="Q381" s="24" t="inlineStr">
        <is>
          <t>3</t>
        </is>
      </c>
    </row>
    <row r="382" ht="24" customHeight="1">
      <c r="A382" s="29" t="inlineStr">
        <is>
          <t>OpenDART_fnlttSinglAcntAll</t>
        </is>
      </c>
      <c r="B382" s="29" t="inlineStr">
        <is>
          <t>01021666</t>
        </is>
      </c>
      <c r="C382" s="29" t="inlineStr">
        <is>
          <t>덕산테코피아</t>
        </is>
      </c>
      <c r="D382" s="29" t="inlineStr">
        <is>
          <t>duksan</t>
        </is>
      </c>
      <c r="E382" s="29" t="inlineStr">
        <is>
          <t>317330</t>
        </is>
      </c>
      <c r="F382" s="29" t="inlineStr">
        <is>
          <t>2023</t>
        </is>
      </c>
      <c r="G382" s="29" t="inlineStr">
        <is>
          <t>CFS</t>
        </is>
      </c>
      <c r="H382" s="29" t="inlineStr">
        <is>
          <t>SCE</t>
        </is>
      </c>
      <c r="I382" s="29" t="inlineStr">
        <is>
          <t>자본변동표</t>
        </is>
      </c>
      <c r="J382" s="29" t="inlineStr">
        <is>
          <t>dart_EquityAtBeginningOfPeriod</t>
        </is>
      </c>
      <c r="K382" s="29" t="inlineStr">
        <is>
          <t>기초자본</t>
        </is>
      </c>
      <c r="L382" s="29" t="inlineStr">
        <is>
          <t>자본 [구성요소]|지배기업의 소유주에게 귀속되는 지분 [구성요소]|기타자본구성요소 [구성요소]</t>
        </is>
      </c>
      <c r="M382" s="29" t="inlineStr">
        <is>
          <t>제 18 기</t>
        </is>
      </c>
      <c r="N382" s="29" t="inlineStr">
        <is>
          <t>-4409540724.0</t>
        </is>
      </c>
      <c r="O382" s="29" t="inlineStr">
        <is>
          <t>-3825475372.0</t>
        </is>
      </c>
      <c r="P382" s="29" t="inlineStr">
        <is>
          <t>KRW</t>
        </is>
      </c>
      <c r="Q382" s="29" t="inlineStr">
        <is>
          <t>3</t>
        </is>
      </c>
    </row>
    <row r="383" ht="24" customHeight="1">
      <c r="A383" s="24" t="inlineStr">
        <is>
          <t>OpenDART_fnlttSinglAcntAll</t>
        </is>
      </c>
      <c r="B383" s="24" t="inlineStr">
        <is>
          <t>01021666</t>
        </is>
      </c>
      <c r="C383" s="24" t="inlineStr">
        <is>
          <t>덕산테코피아</t>
        </is>
      </c>
      <c r="D383" s="24" t="inlineStr">
        <is>
          <t>duksan</t>
        </is>
      </c>
      <c r="E383" s="24" t="inlineStr">
        <is>
          <t>317330</t>
        </is>
      </c>
      <c r="F383" s="24" t="inlineStr">
        <is>
          <t>2023</t>
        </is>
      </c>
      <c r="G383" s="24" t="inlineStr">
        <is>
          <t>CFS</t>
        </is>
      </c>
      <c r="H383" s="24" t="inlineStr">
        <is>
          <t>SCE</t>
        </is>
      </c>
      <c r="I383" s="24" t="inlineStr">
        <is>
          <t>자본변동표</t>
        </is>
      </c>
      <c r="J383" s="24" t="inlineStr">
        <is>
          <t>dart_EquityAtBeginningOfPeriod</t>
        </is>
      </c>
      <c r="K383" s="24" t="inlineStr">
        <is>
          <t>기초자본</t>
        </is>
      </c>
      <c r="L383" s="24" t="inlineStr">
        <is>
          <t>자본 [구성요소]|지배기업의 소유주에게 귀속되는 지분 [구성요소]|이익잉여금 [구성요소]</t>
        </is>
      </c>
      <c r="M383" s="24" t="inlineStr">
        <is>
          <t>제 18 기</t>
        </is>
      </c>
      <c r="N383" s="24" t="inlineStr">
        <is>
          <t>107367556668.0</t>
        </is>
      </c>
      <c r="O383" s="24" t="inlineStr">
        <is>
          <t>90614859038.0</t>
        </is>
      </c>
      <c r="P383" s="24" t="inlineStr">
        <is>
          <t>KRW</t>
        </is>
      </c>
      <c r="Q383" s="24" t="inlineStr">
        <is>
          <t>3</t>
        </is>
      </c>
    </row>
    <row r="384" ht="24" customHeight="1">
      <c r="A384" s="29" t="inlineStr">
        <is>
          <t>OpenDART_fnlttSinglAcntAll</t>
        </is>
      </c>
      <c r="B384" s="29" t="inlineStr">
        <is>
          <t>01021666</t>
        </is>
      </c>
      <c r="C384" s="29" t="inlineStr">
        <is>
          <t>덕산테코피아</t>
        </is>
      </c>
      <c r="D384" s="29" t="inlineStr">
        <is>
          <t>duksan</t>
        </is>
      </c>
      <c r="E384" s="29" t="inlineStr">
        <is>
          <t>317330</t>
        </is>
      </c>
      <c r="F384" s="29" t="inlineStr">
        <is>
          <t>2023</t>
        </is>
      </c>
      <c r="G384" s="29" t="inlineStr">
        <is>
          <t>CFS</t>
        </is>
      </c>
      <c r="H384" s="29" t="inlineStr">
        <is>
          <t>SCE</t>
        </is>
      </c>
      <c r="I384" s="29" t="inlineStr">
        <is>
          <t>자본변동표</t>
        </is>
      </c>
      <c r="J384" s="29" t="inlineStr">
        <is>
          <t>dart_EquityAtBeginningOfPeriod</t>
        </is>
      </c>
      <c r="K384" s="29" t="inlineStr">
        <is>
          <t>기초자본</t>
        </is>
      </c>
      <c r="L384" s="29" t="inlineStr">
        <is>
          <t>자본 [구성요소]|지배기업의 소유주에게 귀속되는 지분 [구성요소]|자본금 [구성요소]</t>
        </is>
      </c>
      <c r="M384" s="29" t="inlineStr">
        <is>
          <t>제 18 기</t>
        </is>
      </c>
      <c r="N384" s="29" t="inlineStr">
        <is>
          <t>9188714000.0</t>
        </is>
      </c>
      <c r="O384" s="29" t="inlineStr">
        <is>
          <t>9188714000.0</t>
        </is>
      </c>
      <c r="P384" s="29" t="inlineStr">
        <is>
          <t>KRW</t>
        </is>
      </c>
      <c r="Q384" s="29" t="inlineStr">
        <is>
          <t>3</t>
        </is>
      </c>
    </row>
    <row r="385" ht="24" customHeight="1">
      <c r="A385" s="24" t="inlineStr">
        <is>
          <t>OpenDART_fnlttSinglAcntAll</t>
        </is>
      </c>
      <c r="B385" s="24" t="inlineStr">
        <is>
          <t>01021666</t>
        </is>
      </c>
      <c r="C385" s="24" t="inlineStr">
        <is>
          <t>덕산테코피아</t>
        </is>
      </c>
      <c r="D385" s="24" t="inlineStr">
        <is>
          <t>duksan</t>
        </is>
      </c>
      <c r="E385" s="24" t="inlineStr">
        <is>
          <t>317330</t>
        </is>
      </c>
      <c r="F385" s="24" t="inlineStr">
        <is>
          <t>2023</t>
        </is>
      </c>
      <c r="G385" s="24" t="inlineStr">
        <is>
          <t>CFS</t>
        </is>
      </c>
      <c r="H385" s="24" t="inlineStr">
        <is>
          <t>SCE</t>
        </is>
      </c>
      <c r="I385" s="24" t="inlineStr">
        <is>
          <t>자본변동표</t>
        </is>
      </c>
      <c r="J385" s="24" t="inlineStr">
        <is>
          <t>dart_EquityAtBeginningOfPeriod</t>
        </is>
      </c>
      <c r="K385" s="24" t="inlineStr">
        <is>
          <t>기초자본</t>
        </is>
      </c>
      <c r="L385" s="24" t="inlineStr">
        <is>
          <t>자본 [구성요소]|지배기업의 소유주에게 귀속되는 지분 [구성요소]|자본잉여금 [구성요소]</t>
        </is>
      </c>
      <c r="M385" s="24" t="inlineStr">
        <is>
          <t>제 18 기</t>
        </is>
      </c>
      <c r="N385" s="24" t="inlineStr">
        <is>
          <t>76241971091.0</t>
        </is>
      </c>
      <c r="O385" s="24" t="inlineStr">
        <is>
          <t>76341122976.0</t>
        </is>
      </c>
      <c r="P385" s="24" t="inlineStr">
        <is>
          <t>KRW</t>
        </is>
      </c>
      <c r="Q385" s="24" t="inlineStr">
        <is>
          <t>3</t>
        </is>
      </c>
    </row>
    <row r="386" ht="24" customHeight="1">
      <c r="A386" s="29" t="inlineStr">
        <is>
          <t>OpenDART_fnlttSinglAcntAll</t>
        </is>
      </c>
      <c r="B386" s="29" t="inlineStr">
        <is>
          <t>01021666</t>
        </is>
      </c>
      <c r="C386" s="29" t="inlineStr">
        <is>
          <t>덕산테코피아</t>
        </is>
      </c>
      <c r="D386" s="29" t="inlineStr">
        <is>
          <t>duksan</t>
        </is>
      </c>
      <c r="E386" s="29" t="inlineStr">
        <is>
          <t>317330</t>
        </is>
      </c>
      <c r="F386" s="29" t="inlineStr">
        <is>
          <t>2023</t>
        </is>
      </c>
      <c r="G386" s="29" t="inlineStr">
        <is>
          <t>CFS</t>
        </is>
      </c>
      <c r="H386" s="29" t="inlineStr">
        <is>
          <t>SCE</t>
        </is>
      </c>
      <c r="I386" s="29" t="inlineStr">
        <is>
          <t>자본변동표</t>
        </is>
      </c>
      <c r="J386" s="29" t="inlineStr">
        <is>
          <t>dart_IncreaseDecreaseThroughBusinessCombinations</t>
        </is>
      </c>
      <c r="K386" s="29" t="inlineStr">
        <is>
          <t>사업결합</t>
        </is>
      </c>
      <c r="L386" s="29" t="inlineStr">
        <is>
          <t>연결재무제표 [member]</t>
        </is>
      </c>
      <c r="M386" s="29" t="inlineStr">
        <is>
          <t>제 18 기</t>
        </is>
      </c>
      <c r="N386" s="29" t="inlineStr">
        <is>
          <t>0.0</t>
        </is>
      </c>
      <c r="O386" s="29" t="inlineStr">
        <is>
          <t>14637129239.0</t>
        </is>
      </c>
      <c r="P386" s="29" t="inlineStr">
        <is>
          <t>KRW</t>
        </is>
      </c>
      <c r="Q386" s="29" t="inlineStr">
        <is>
          <t>4</t>
        </is>
      </c>
    </row>
    <row r="387" ht="24" customHeight="1">
      <c r="A387" s="24" t="inlineStr">
        <is>
          <t>OpenDART_fnlttSinglAcntAll</t>
        </is>
      </c>
      <c r="B387" s="24" t="inlineStr">
        <is>
          <t>01021666</t>
        </is>
      </c>
      <c r="C387" s="24" t="inlineStr">
        <is>
          <t>덕산테코피아</t>
        </is>
      </c>
      <c r="D387" s="24" t="inlineStr">
        <is>
          <t>duksan</t>
        </is>
      </c>
      <c r="E387" s="24" t="inlineStr">
        <is>
          <t>317330</t>
        </is>
      </c>
      <c r="F387" s="24" t="inlineStr">
        <is>
          <t>2023</t>
        </is>
      </c>
      <c r="G387" s="24" t="inlineStr">
        <is>
          <t>CFS</t>
        </is>
      </c>
      <c r="H387" s="24" t="inlineStr">
        <is>
          <t>SCE</t>
        </is>
      </c>
      <c r="I387" s="24" t="inlineStr">
        <is>
          <t>자본변동표</t>
        </is>
      </c>
      <c r="J387" s="24" t="inlineStr">
        <is>
          <t>dart_IncreaseDecreaseThroughBusinessCombinations</t>
        </is>
      </c>
      <c r="K387" s="24" t="inlineStr">
        <is>
          <t>사업결합</t>
        </is>
      </c>
      <c r="L387" s="24" t="inlineStr">
        <is>
          <t>자본 [구성요소]|비지배지분 [구성요소]</t>
        </is>
      </c>
      <c r="M387" s="24" t="inlineStr">
        <is>
          <t>제 18 기</t>
        </is>
      </c>
      <c r="N387" s="24" t="inlineStr">
        <is>
          <t>해당 없음</t>
        </is>
      </c>
      <c r="O387" s="24" t="inlineStr">
        <is>
          <t>14637129239.0</t>
        </is>
      </c>
      <c r="P387" s="24" t="inlineStr">
        <is>
          <t>KRW</t>
        </is>
      </c>
      <c r="Q387" s="24" t="inlineStr">
        <is>
          <t>4</t>
        </is>
      </c>
    </row>
    <row r="388" ht="24" customHeight="1">
      <c r="A388" s="29" t="inlineStr">
        <is>
          <t>OpenDART_fnlttSinglAcntAll</t>
        </is>
      </c>
      <c r="B388" s="29" t="inlineStr">
        <is>
          <t>01021666</t>
        </is>
      </c>
      <c r="C388" s="29" t="inlineStr">
        <is>
          <t>덕산테코피아</t>
        </is>
      </c>
      <c r="D388" s="29" t="inlineStr">
        <is>
          <t>duksan</t>
        </is>
      </c>
      <c r="E388" s="29" t="inlineStr">
        <is>
          <t>317330</t>
        </is>
      </c>
      <c r="F388" s="29" t="inlineStr">
        <is>
          <t>2023</t>
        </is>
      </c>
      <c r="G388" s="29" t="inlineStr">
        <is>
          <t>CFS</t>
        </is>
      </c>
      <c r="H388" s="29" t="inlineStr">
        <is>
          <t>SCE</t>
        </is>
      </c>
      <c r="I388" s="29" t="inlineStr">
        <is>
          <t>자본변동표</t>
        </is>
      </c>
      <c r="J388" s="29" t="inlineStr">
        <is>
          <t>dart_IncreaseDecreaseThroughBusinessCombinations</t>
        </is>
      </c>
      <c r="K388" s="29" t="inlineStr">
        <is>
          <t>사업결합</t>
        </is>
      </c>
      <c r="L388" s="29" t="inlineStr">
        <is>
          <t>자본 [구성요소]|지배기업의 소유주에게 귀속되는 지분 [구성요소]</t>
        </is>
      </c>
      <c r="M388" s="29" t="inlineStr">
        <is>
          <t>제 18 기</t>
        </is>
      </c>
      <c r="N388" s="29" t="inlineStr">
        <is>
          <t>0.0</t>
        </is>
      </c>
      <c r="O388" s="29" t="inlineStr">
        <is>
          <t>해당 없음</t>
        </is>
      </c>
      <c r="P388" s="29" t="inlineStr">
        <is>
          <t>KRW</t>
        </is>
      </c>
      <c r="Q388" s="29" t="inlineStr">
        <is>
          <t>4</t>
        </is>
      </c>
    </row>
    <row r="389" ht="24" customHeight="1">
      <c r="A389" s="24" t="inlineStr">
        <is>
          <t>OpenDART_fnlttSinglAcntAll</t>
        </is>
      </c>
      <c r="B389" s="24" t="inlineStr">
        <is>
          <t>01021666</t>
        </is>
      </c>
      <c r="C389" s="24" t="inlineStr">
        <is>
          <t>덕산테코피아</t>
        </is>
      </c>
      <c r="D389" s="24" t="inlineStr">
        <is>
          <t>duksan</t>
        </is>
      </c>
      <c r="E389" s="24" t="inlineStr">
        <is>
          <t>317330</t>
        </is>
      </c>
      <c r="F389" s="24" t="inlineStr">
        <is>
          <t>2023</t>
        </is>
      </c>
      <c r="G389" s="24" t="inlineStr">
        <is>
          <t>CFS</t>
        </is>
      </c>
      <c r="H389" s="24" t="inlineStr">
        <is>
          <t>SCE</t>
        </is>
      </c>
      <c r="I389" s="24" t="inlineStr">
        <is>
          <t>자본변동표</t>
        </is>
      </c>
      <c r="J389" s="24" t="inlineStr">
        <is>
          <t>dart_TreasuryShareTransactions</t>
        </is>
      </c>
      <c r="K389" s="24" t="inlineStr">
        <is>
          <t>자기주식취득</t>
        </is>
      </c>
      <c r="L389" s="24" t="inlineStr">
        <is>
          <t>연결재무제표 [member]</t>
        </is>
      </c>
      <c r="M389" s="24" t="inlineStr">
        <is>
          <t>제 18 기</t>
        </is>
      </c>
      <c r="N389" s="24" t="inlineStr">
        <is>
          <t>0.0</t>
        </is>
      </c>
      <c r="O389" s="24" t="inlineStr">
        <is>
          <t>-999975050.0</t>
        </is>
      </c>
      <c r="P389" s="24" t="inlineStr">
        <is>
          <t>KRW</t>
        </is>
      </c>
      <c r="Q389" s="24" t="inlineStr">
        <is>
          <t>5</t>
        </is>
      </c>
    </row>
    <row r="390" ht="24" customHeight="1">
      <c r="A390" s="29" t="inlineStr">
        <is>
          <t>OpenDART_fnlttSinglAcntAll</t>
        </is>
      </c>
      <c r="B390" s="29" t="inlineStr">
        <is>
          <t>01021666</t>
        </is>
      </c>
      <c r="C390" s="29" t="inlineStr">
        <is>
          <t>덕산테코피아</t>
        </is>
      </c>
      <c r="D390" s="29" t="inlineStr">
        <is>
          <t>duksan</t>
        </is>
      </c>
      <c r="E390" s="29" t="inlineStr">
        <is>
          <t>317330</t>
        </is>
      </c>
      <c r="F390" s="29" t="inlineStr">
        <is>
          <t>2023</t>
        </is>
      </c>
      <c r="G390" s="29" t="inlineStr">
        <is>
          <t>CFS</t>
        </is>
      </c>
      <c r="H390" s="29" t="inlineStr">
        <is>
          <t>SCE</t>
        </is>
      </c>
      <c r="I390" s="29" t="inlineStr">
        <is>
          <t>자본변동표</t>
        </is>
      </c>
      <c r="J390" s="29" t="inlineStr">
        <is>
          <t>dart_TreasuryShareTransactions</t>
        </is>
      </c>
      <c r="K390" s="29" t="inlineStr">
        <is>
          <t>자기주식취득</t>
        </is>
      </c>
      <c r="L390" s="29" t="inlineStr">
        <is>
          <t>자본 [구성요소]|지배기업의 소유주에게 귀속되는 지분 [구성요소]</t>
        </is>
      </c>
      <c r="M390" s="29" t="inlineStr">
        <is>
          <t>제 18 기</t>
        </is>
      </c>
      <c r="N390" s="29" t="inlineStr">
        <is>
          <t>0.0</t>
        </is>
      </c>
      <c r="O390" s="29" t="inlineStr">
        <is>
          <t>-999975050.0</t>
        </is>
      </c>
      <c r="P390" s="29" t="inlineStr">
        <is>
          <t>KRW</t>
        </is>
      </c>
      <c r="Q390" s="29" t="inlineStr">
        <is>
          <t>5</t>
        </is>
      </c>
    </row>
    <row r="391" ht="24" customHeight="1">
      <c r="A391" s="24" t="inlineStr">
        <is>
          <t>OpenDART_fnlttSinglAcntAll</t>
        </is>
      </c>
      <c r="B391" s="24" t="inlineStr">
        <is>
          <t>01021666</t>
        </is>
      </c>
      <c r="C391" s="24" t="inlineStr">
        <is>
          <t>덕산테코피아</t>
        </is>
      </c>
      <c r="D391" s="24" t="inlineStr">
        <is>
          <t>duksan</t>
        </is>
      </c>
      <c r="E391" s="24" t="inlineStr">
        <is>
          <t>317330</t>
        </is>
      </c>
      <c r="F391" s="24" t="inlineStr">
        <is>
          <t>2023</t>
        </is>
      </c>
      <c r="G391" s="24" t="inlineStr">
        <is>
          <t>CFS</t>
        </is>
      </c>
      <c r="H391" s="24" t="inlineStr">
        <is>
          <t>SCE</t>
        </is>
      </c>
      <c r="I391" s="24" t="inlineStr">
        <is>
          <t>자본변동표</t>
        </is>
      </c>
      <c r="J391" s="24" t="inlineStr">
        <is>
          <t>dart_TreasuryShareTransactions</t>
        </is>
      </c>
      <c r="K391" s="24" t="inlineStr">
        <is>
          <t>자기주식취득</t>
        </is>
      </c>
      <c r="L391" s="24" t="inlineStr">
        <is>
          <t>자본 [구성요소]|지배기업의 소유주에게 귀속되는 지분 [구성요소]|기타자본구성요소 [구성요소]</t>
        </is>
      </c>
      <c r="M391" s="24" t="inlineStr">
        <is>
          <t>제 18 기</t>
        </is>
      </c>
      <c r="N391" s="24" t="inlineStr">
        <is>
          <t>해당 없음</t>
        </is>
      </c>
      <c r="O391" s="24" t="inlineStr">
        <is>
          <t>-999975050.0</t>
        </is>
      </c>
      <c r="P391" s="24" t="inlineStr">
        <is>
          <t>KRW</t>
        </is>
      </c>
      <c r="Q391" s="24" t="inlineStr">
        <is>
          <t>5</t>
        </is>
      </c>
    </row>
    <row r="392" ht="24" customHeight="1">
      <c r="A392" s="29" t="inlineStr">
        <is>
          <t>OpenDART_fnlttSinglAcntAll</t>
        </is>
      </c>
      <c r="B392" s="29" t="inlineStr">
        <is>
          <t>01021666</t>
        </is>
      </c>
      <c r="C392" s="29" t="inlineStr">
        <is>
          <t>덕산테코피아</t>
        </is>
      </c>
      <c r="D392" s="29" t="inlineStr">
        <is>
          <t>duksan</t>
        </is>
      </c>
      <c r="E392" s="29" t="inlineStr">
        <is>
          <t>317330</t>
        </is>
      </c>
      <c r="F392" s="29" t="inlineStr">
        <is>
          <t>2023</t>
        </is>
      </c>
      <c r="G392" s="29" t="inlineStr">
        <is>
          <t>CFS</t>
        </is>
      </c>
      <c r="H392" s="29" t="inlineStr">
        <is>
          <t>SCE</t>
        </is>
      </c>
      <c r="I392" s="29" t="inlineStr">
        <is>
          <t>자본변동표</t>
        </is>
      </c>
      <c r="J392" s="29" t="inlineStr">
        <is>
          <t>-표준계정코드 미사용-</t>
        </is>
      </c>
      <c r="K392" s="29" t="inlineStr">
        <is>
          <t>유상증자</t>
        </is>
      </c>
      <c r="L392" s="29" t="inlineStr">
        <is>
          <t>자본 [구성요소]|지배기업의 소유주에게 귀속되는 지분 [구성요소]|자본잉여금 [구성요소]</t>
        </is>
      </c>
      <c r="M392" s="29" t="inlineStr">
        <is>
          <t>제 18 기</t>
        </is>
      </c>
      <c r="N392" s="29" t="inlineStr">
        <is>
          <t>-4259412348.0</t>
        </is>
      </c>
      <c r="O392" s="29" t="inlineStr">
        <is>
          <t>-99151885.0</t>
        </is>
      </c>
      <c r="P392" s="29" t="inlineStr">
        <is>
          <t>KRW</t>
        </is>
      </c>
      <c r="Q392" s="29" t="inlineStr">
        <is>
          <t>6</t>
        </is>
      </c>
    </row>
    <row r="393" ht="24" customHeight="1">
      <c r="A393" s="24" t="inlineStr">
        <is>
          <t>OpenDART_fnlttSinglAcntAll</t>
        </is>
      </c>
      <c r="B393" s="24" t="inlineStr">
        <is>
          <t>01021666</t>
        </is>
      </c>
      <c r="C393" s="24" t="inlineStr">
        <is>
          <t>덕산테코피아</t>
        </is>
      </c>
      <c r="D393" s="24" t="inlineStr">
        <is>
          <t>duksan</t>
        </is>
      </c>
      <c r="E393" s="24" t="inlineStr">
        <is>
          <t>317330</t>
        </is>
      </c>
      <c r="F393" s="24" t="inlineStr">
        <is>
          <t>2023</t>
        </is>
      </c>
      <c r="G393" s="24" t="inlineStr">
        <is>
          <t>CFS</t>
        </is>
      </c>
      <c r="H393" s="24" t="inlineStr">
        <is>
          <t>SCE</t>
        </is>
      </c>
      <c r="I393" s="24" t="inlineStr">
        <is>
          <t>자본변동표</t>
        </is>
      </c>
      <c r="J393" s="24" t="inlineStr">
        <is>
          <t>-표준계정코드 미사용-</t>
        </is>
      </c>
      <c r="K393" s="24" t="inlineStr">
        <is>
          <t>유상증자</t>
        </is>
      </c>
      <c r="L393" s="24" t="inlineStr">
        <is>
          <t>자본 [구성요소]|지배기업의 소유주에게 귀속되는 지분 [구성요소]</t>
        </is>
      </c>
      <c r="M393" s="24" t="inlineStr">
        <is>
          <t>제 18 기</t>
        </is>
      </c>
      <c r="N393" s="24" t="inlineStr">
        <is>
          <t>-4259412348.0</t>
        </is>
      </c>
      <c r="O393" s="24" t="inlineStr">
        <is>
          <t>-99151885.0</t>
        </is>
      </c>
      <c r="P393" s="24" t="inlineStr">
        <is>
          <t>KRW</t>
        </is>
      </c>
      <c r="Q393" s="24" t="inlineStr">
        <is>
          <t>6</t>
        </is>
      </c>
    </row>
    <row r="394" ht="24" customHeight="1">
      <c r="A394" s="29" t="inlineStr">
        <is>
          <t>OpenDART_fnlttSinglAcntAll</t>
        </is>
      </c>
      <c r="B394" s="29" t="inlineStr">
        <is>
          <t>01021666</t>
        </is>
      </c>
      <c r="C394" s="29" t="inlineStr">
        <is>
          <t>덕산테코피아</t>
        </is>
      </c>
      <c r="D394" s="29" t="inlineStr">
        <is>
          <t>duksan</t>
        </is>
      </c>
      <c r="E394" s="29" t="inlineStr">
        <is>
          <t>317330</t>
        </is>
      </c>
      <c r="F394" s="29" t="inlineStr">
        <is>
          <t>2023</t>
        </is>
      </c>
      <c r="G394" s="29" t="inlineStr">
        <is>
          <t>CFS</t>
        </is>
      </c>
      <c r="H394" s="29" t="inlineStr">
        <is>
          <t>SCE</t>
        </is>
      </c>
      <c r="I394" s="29" t="inlineStr">
        <is>
          <t>자본변동표</t>
        </is>
      </c>
      <c r="J394" s="29" t="inlineStr">
        <is>
          <t>-표준계정코드 미사용-</t>
        </is>
      </c>
      <c r="K394" s="29" t="inlineStr">
        <is>
          <t>유상증자</t>
        </is>
      </c>
      <c r="L394" s="29" t="inlineStr">
        <is>
          <t>자본 [구성요소]|비지배지분 [구성요소]</t>
        </is>
      </c>
      <c r="M394" s="29" t="inlineStr">
        <is>
          <t>제 18 기</t>
        </is>
      </c>
      <c r="N394" s="29" t="inlineStr">
        <is>
          <t>4256896478.0</t>
        </is>
      </c>
      <c r="O394" s="29" t="inlineStr">
        <is>
          <t>98366795.0</t>
        </is>
      </c>
      <c r="P394" s="29" t="inlineStr">
        <is>
          <t>KRW</t>
        </is>
      </c>
      <c r="Q394" s="29" t="inlineStr">
        <is>
          <t>6</t>
        </is>
      </c>
    </row>
    <row r="395" ht="24" customHeight="1">
      <c r="A395" s="24" t="inlineStr">
        <is>
          <t>OpenDART_fnlttSinglAcntAll</t>
        </is>
      </c>
      <c r="B395" s="24" t="inlineStr">
        <is>
          <t>01021666</t>
        </is>
      </c>
      <c r="C395" s="24" t="inlineStr">
        <is>
          <t>덕산테코피아</t>
        </is>
      </c>
      <c r="D395" s="24" t="inlineStr">
        <is>
          <t>duksan</t>
        </is>
      </c>
      <c r="E395" s="24" t="inlineStr">
        <is>
          <t>317330</t>
        </is>
      </c>
      <c r="F395" s="24" t="inlineStr">
        <is>
          <t>2023</t>
        </is>
      </c>
      <c r="G395" s="24" t="inlineStr">
        <is>
          <t>CFS</t>
        </is>
      </c>
      <c r="H395" s="24" t="inlineStr">
        <is>
          <t>SCE</t>
        </is>
      </c>
      <c r="I395" s="24" t="inlineStr">
        <is>
          <t>자본변동표</t>
        </is>
      </c>
      <c r="J395" s="24" t="inlineStr">
        <is>
          <t>-표준계정코드 미사용-</t>
        </is>
      </c>
      <c r="K395" s="24" t="inlineStr">
        <is>
          <t>유상증자</t>
        </is>
      </c>
      <c r="L395" s="24" t="inlineStr">
        <is>
          <t>연결재무제표 [member]</t>
        </is>
      </c>
      <c r="M395" s="24" t="inlineStr">
        <is>
          <t>제 18 기</t>
        </is>
      </c>
      <c r="N395" s="24" t="inlineStr">
        <is>
          <t>-2515870.0</t>
        </is>
      </c>
      <c r="O395" s="24" t="inlineStr">
        <is>
          <t>-785090.0</t>
        </is>
      </c>
      <c r="P395" s="24" t="inlineStr">
        <is>
          <t>KRW</t>
        </is>
      </c>
      <c r="Q395" s="24" t="inlineStr">
        <is>
          <t>6</t>
        </is>
      </c>
    </row>
    <row r="396" ht="24" customHeight="1">
      <c r="A396" s="29" t="inlineStr">
        <is>
          <t>OpenDART_fnlttSinglAcntAll</t>
        </is>
      </c>
      <c r="B396" s="29" t="inlineStr">
        <is>
          <t>01021666</t>
        </is>
      </c>
      <c r="C396" s="29" t="inlineStr">
        <is>
          <t>덕산테코피아</t>
        </is>
      </c>
      <c r="D396" s="29" t="inlineStr">
        <is>
          <t>duksan</t>
        </is>
      </c>
      <c r="E396" s="29" t="inlineStr">
        <is>
          <t>317330</t>
        </is>
      </c>
      <c r="F396" s="29" t="inlineStr">
        <is>
          <t>2023</t>
        </is>
      </c>
      <c r="G396" s="29" t="inlineStr">
        <is>
          <t>CFS</t>
        </is>
      </c>
      <c r="H396" s="29" t="inlineStr">
        <is>
          <t>SCE</t>
        </is>
      </c>
      <c r="I396" s="29" t="inlineStr">
        <is>
          <t>자본변동표</t>
        </is>
      </c>
      <c r="J396" s="29" t="inlineStr">
        <is>
          <t>ifrs-full_Equity</t>
        </is>
      </c>
      <c r="K396" s="29" t="inlineStr">
        <is>
          <t>자본총계</t>
        </is>
      </c>
      <c r="L396" s="29" t="inlineStr">
        <is>
          <t>자본 [구성요소]|지배기업의 소유주에게 귀속되는 지분 [구성요소]|자본잉여금 [구성요소]</t>
        </is>
      </c>
      <c r="M396" s="29" t="inlineStr">
        <is>
          <t>제 18 기</t>
        </is>
      </c>
      <c r="N396" s="29" t="inlineStr">
        <is>
          <t>72282995783.0</t>
        </is>
      </c>
      <c r="O396" s="29" t="inlineStr">
        <is>
          <t>76241971091.0</t>
        </is>
      </c>
      <c r="P396" s="29" t="inlineStr">
        <is>
          <t>KRW</t>
        </is>
      </c>
      <c r="Q396" s="29" t="inlineStr">
        <is>
          <t>7</t>
        </is>
      </c>
    </row>
    <row r="397" ht="24" customHeight="1">
      <c r="A397" s="24" t="inlineStr">
        <is>
          <t>OpenDART_fnlttSinglAcntAll</t>
        </is>
      </c>
      <c r="B397" s="24" t="inlineStr">
        <is>
          <t>01021666</t>
        </is>
      </c>
      <c r="C397" s="24" t="inlineStr">
        <is>
          <t>덕산테코피아</t>
        </is>
      </c>
      <c r="D397" s="24" t="inlineStr">
        <is>
          <t>duksan</t>
        </is>
      </c>
      <c r="E397" s="24" t="inlineStr">
        <is>
          <t>317330</t>
        </is>
      </c>
      <c r="F397" s="24" t="inlineStr">
        <is>
          <t>2023</t>
        </is>
      </c>
      <c r="G397" s="24" t="inlineStr">
        <is>
          <t>CFS</t>
        </is>
      </c>
      <c r="H397" s="24" t="inlineStr">
        <is>
          <t>SCE</t>
        </is>
      </c>
      <c r="I397" s="24" t="inlineStr">
        <is>
          <t>자본변동표</t>
        </is>
      </c>
      <c r="J397" s="24" t="inlineStr">
        <is>
          <t>ifrs-full_Equity</t>
        </is>
      </c>
      <c r="K397" s="24" t="inlineStr">
        <is>
          <t>자본총계</t>
        </is>
      </c>
      <c r="L397" s="24" t="inlineStr">
        <is>
          <t>자본 [구성요소]|지배기업의 소유주에게 귀속되는 지분 [구성요소]|기타자본구성요소 [구성요소]</t>
        </is>
      </c>
      <c r="M397" s="24" t="inlineStr">
        <is>
          <t>제 18 기</t>
        </is>
      </c>
      <c r="N397" s="24" t="inlineStr">
        <is>
          <t>-4237979213.0</t>
        </is>
      </c>
      <c r="O397" s="24" t="inlineStr">
        <is>
          <t>-4409540724.0</t>
        </is>
      </c>
      <c r="P397" s="24" t="inlineStr">
        <is>
          <t>KRW</t>
        </is>
      </c>
      <c r="Q397" s="24" t="inlineStr">
        <is>
          <t>7</t>
        </is>
      </c>
    </row>
    <row r="398" ht="24" customHeight="1">
      <c r="A398" s="29" t="inlineStr">
        <is>
          <t>OpenDART_fnlttSinglAcntAll</t>
        </is>
      </c>
      <c r="B398" s="29" t="inlineStr">
        <is>
          <t>01021666</t>
        </is>
      </c>
      <c r="C398" s="29" t="inlineStr">
        <is>
          <t>덕산테코피아</t>
        </is>
      </c>
      <c r="D398" s="29" t="inlineStr">
        <is>
          <t>duksan</t>
        </is>
      </c>
      <c r="E398" s="29" t="inlineStr">
        <is>
          <t>317330</t>
        </is>
      </c>
      <c r="F398" s="29" t="inlineStr">
        <is>
          <t>2023</t>
        </is>
      </c>
      <c r="G398" s="29" t="inlineStr">
        <is>
          <t>CFS</t>
        </is>
      </c>
      <c r="H398" s="29" t="inlineStr">
        <is>
          <t>SCE</t>
        </is>
      </c>
      <c r="I398" s="29" t="inlineStr">
        <is>
          <t>자본변동표</t>
        </is>
      </c>
      <c r="J398" s="29" t="inlineStr">
        <is>
          <t>ifrs-full_Equity</t>
        </is>
      </c>
      <c r="K398" s="29" t="inlineStr">
        <is>
          <t>자본총계</t>
        </is>
      </c>
      <c r="L398" s="29" t="inlineStr">
        <is>
          <t>자본 [구성요소]|지배기업의 소유주에게 귀속되는 지분 [구성요소]</t>
        </is>
      </c>
      <c r="M398" s="29" t="inlineStr">
        <is>
          <t>제 18 기</t>
        </is>
      </c>
      <c r="N398" s="29" t="inlineStr">
        <is>
          <t>176983785529.0</t>
        </is>
      </c>
      <c r="O398" s="29" t="inlineStr">
        <is>
          <t>188388701035.0</t>
        </is>
      </c>
      <c r="P398" s="29" t="inlineStr">
        <is>
          <t>KRW</t>
        </is>
      </c>
      <c r="Q398" s="29" t="inlineStr">
        <is>
          <t>7</t>
        </is>
      </c>
    </row>
    <row r="399" ht="24" customHeight="1">
      <c r="A399" s="24" t="inlineStr">
        <is>
          <t>OpenDART_fnlttSinglAcntAll</t>
        </is>
      </c>
      <c r="B399" s="24" t="inlineStr">
        <is>
          <t>01021666</t>
        </is>
      </c>
      <c r="C399" s="24" t="inlineStr">
        <is>
          <t>덕산테코피아</t>
        </is>
      </c>
      <c r="D399" s="24" t="inlineStr">
        <is>
          <t>duksan</t>
        </is>
      </c>
      <c r="E399" s="24" t="inlineStr">
        <is>
          <t>317330</t>
        </is>
      </c>
      <c r="F399" s="24" t="inlineStr">
        <is>
          <t>2023</t>
        </is>
      </c>
      <c r="G399" s="24" t="inlineStr">
        <is>
          <t>CFS</t>
        </is>
      </c>
      <c r="H399" s="24" t="inlineStr">
        <is>
          <t>SCE</t>
        </is>
      </c>
      <c r="I399" s="24" t="inlineStr">
        <is>
          <t>자본변동표</t>
        </is>
      </c>
      <c r="J399" s="24" t="inlineStr">
        <is>
          <t>ifrs-full_Equity</t>
        </is>
      </c>
      <c r="K399" s="24" t="inlineStr">
        <is>
          <t>자본총계</t>
        </is>
      </c>
      <c r="L399" s="24" t="inlineStr">
        <is>
          <t>자본 [구성요소]|비지배지분 [구성요소]</t>
        </is>
      </c>
      <c r="M399" s="24" t="inlineStr">
        <is>
          <t>제 18 기</t>
        </is>
      </c>
      <c r="N399" s="24" t="inlineStr">
        <is>
          <t>7321753504.0</t>
        </is>
      </c>
      <c r="O399" s="24" t="inlineStr">
        <is>
          <t>14897354380.0</t>
        </is>
      </c>
      <c r="P399" s="24" t="inlineStr">
        <is>
          <t>KRW</t>
        </is>
      </c>
      <c r="Q399" s="24" t="inlineStr">
        <is>
          <t>7</t>
        </is>
      </c>
    </row>
    <row r="400" ht="24" customHeight="1">
      <c r="A400" s="29" t="inlineStr">
        <is>
          <t>OpenDART_fnlttSinglAcntAll</t>
        </is>
      </c>
      <c r="B400" s="29" t="inlineStr">
        <is>
          <t>01021666</t>
        </is>
      </c>
      <c r="C400" s="29" t="inlineStr">
        <is>
          <t>덕산테코피아</t>
        </is>
      </c>
      <c r="D400" s="29" t="inlineStr">
        <is>
          <t>duksan</t>
        </is>
      </c>
      <c r="E400" s="29" t="inlineStr">
        <is>
          <t>317330</t>
        </is>
      </c>
      <c r="F400" s="29" t="inlineStr">
        <is>
          <t>2023</t>
        </is>
      </c>
      <c r="G400" s="29" t="inlineStr">
        <is>
          <t>CFS</t>
        </is>
      </c>
      <c r="H400" s="29" t="inlineStr">
        <is>
          <t>SCE</t>
        </is>
      </c>
      <c r="I400" s="29" t="inlineStr">
        <is>
          <t>자본변동표</t>
        </is>
      </c>
      <c r="J400" s="29" t="inlineStr">
        <is>
          <t>ifrs-full_Equity</t>
        </is>
      </c>
      <c r="K400" s="29" t="inlineStr">
        <is>
          <t>자본총계</t>
        </is>
      </c>
      <c r="L400" s="29" t="inlineStr">
        <is>
          <t>연결재무제표 [member]</t>
        </is>
      </c>
      <c r="M400" s="29" t="inlineStr">
        <is>
          <t>제 18 기</t>
        </is>
      </c>
      <c r="N400" s="29" t="inlineStr">
        <is>
          <t>184305539033.0</t>
        </is>
      </c>
      <c r="O400" s="29" t="inlineStr">
        <is>
          <t>203286055415.0</t>
        </is>
      </c>
      <c r="P400" s="29" t="inlineStr">
        <is>
          <t>KRW</t>
        </is>
      </c>
      <c r="Q400" s="29" t="inlineStr">
        <is>
          <t>7</t>
        </is>
      </c>
    </row>
    <row r="401" ht="24" customHeight="1">
      <c r="A401" s="24" t="inlineStr">
        <is>
          <t>OpenDART_fnlttSinglAcntAll</t>
        </is>
      </c>
      <c r="B401" s="24" t="inlineStr">
        <is>
          <t>01021666</t>
        </is>
      </c>
      <c r="C401" s="24" t="inlineStr">
        <is>
          <t>덕산테코피아</t>
        </is>
      </c>
      <c r="D401" s="24" t="inlineStr">
        <is>
          <t>duksan</t>
        </is>
      </c>
      <c r="E401" s="24" t="inlineStr">
        <is>
          <t>317330</t>
        </is>
      </c>
      <c r="F401" s="24" t="inlineStr">
        <is>
          <t>2023</t>
        </is>
      </c>
      <c r="G401" s="24" t="inlineStr">
        <is>
          <t>CFS</t>
        </is>
      </c>
      <c r="H401" s="24" t="inlineStr">
        <is>
          <t>SCE</t>
        </is>
      </c>
      <c r="I401" s="24" t="inlineStr">
        <is>
          <t>자본변동표</t>
        </is>
      </c>
      <c r="J401" s="24" t="inlineStr">
        <is>
          <t>ifrs-full_Equity</t>
        </is>
      </c>
      <c r="K401" s="24" t="inlineStr">
        <is>
          <t>자본총계</t>
        </is>
      </c>
      <c r="L401" s="24" t="inlineStr">
        <is>
          <t>자본 [구성요소]|지배기업의 소유주에게 귀속되는 지분 [구성요소]|자본금 [구성요소]</t>
        </is>
      </c>
      <c r="M401" s="24" t="inlineStr">
        <is>
          <t>제 18 기</t>
        </is>
      </c>
      <c r="N401" s="24" t="inlineStr">
        <is>
          <t>9188714000.0</t>
        </is>
      </c>
      <c r="O401" s="24" t="inlineStr">
        <is>
          <t>9188714000.0</t>
        </is>
      </c>
      <c r="P401" s="24" t="inlineStr">
        <is>
          <t>KRW</t>
        </is>
      </c>
      <c r="Q401" s="24" t="inlineStr">
        <is>
          <t>7</t>
        </is>
      </c>
    </row>
    <row r="402" ht="24" customHeight="1">
      <c r="A402" s="29" t="inlineStr">
        <is>
          <t>OpenDART_fnlttSinglAcntAll</t>
        </is>
      </c>
      <c r="B402" s="29" t="inlineStr">
        <is>
          <t>01021666</t>
        </is>
      </c>
      <c r="C402" s="29" t="inlineStr">
        <is>
          <t>덕산테코피아</t>
        </is>
      </c>
      <c r="D402" s="29" t="inlineStr">
        <is>
          <t>duksan</t>
        </is>
      </c>
      <c r="E402" s="29" t="inlineStr">
        <is>
          <t>317330</t>
        </is>
      </c>
      <c r="F402" s="29" t="inlineStr">
        <is>
          <t>2023</t>
        </is>
      </c>
      <c r="G402" s="29" t="inlineStr">
        <is>
          <t>CFS</t>
        </is>
      </c>
      <c r="H402" s="29" t="inlineStr">
        <is>
          <t>SCE</t>
        </is>
      </c>
      <c r="I402" s="29" t="inlineStr">
        <is>
          <t>자본변동표</t>
        </is>
      </c>
      <c r="J402" s="29" t="inlineStr">
        <is>
          <t>ifrs-full_Equity</t>
        </is>
      </c>
      <c r="K402" s="29" t="inlineStr">
        <is>
          <t>자본총계</t>
        </is>
      </c>
      <c r="L402" s="29" t="inlineStr">
        <is>
          <t>자본 [구성요소]|지배기업의 소유주에게 귀속되는 지분 [구성요소]|이익잉여금 [구성요소]</t>
        </is>
      </c>
      <c r="M402" s="29" t="inlineStr">
        <is>
          <t>제 18 기</t>
        </is>
      </c>
      <c r="N402" s="29" t="inlineStr">
        <is>
          <t>99750054959.0</t>
        </is>
      </c>
      <c r="O402" s="29" t="inlineStr">
        <is>
          <t>107367556668.0</t>
        </is>
      </c>
      <c r="P402" s="29" t="inlineStr">
        <is>
          <t>KRW</t>
        </is>
      </c>
      <c r="Q402" s="29" t="inlineStr">
        <is>
          <t>7</t>
        </is>
      </c>
    </row>
    <row r="403" ht="24" customHeight="1">
      <c r="A403" s="24" t="inlineStr">
        <is>
          <t>OpenDART_fnlttSinglAcntAll</t>
        </is>
      </c>
      <c r="B403" s="24" t="inlineStr">
        <is>
          <t>01021666</t>
        </is>
      </c>
      <c r="C403" s="24" t="inlineStr">
        <is>
          <t>덕산테코피아</t>
        </is>
      </c>
      <c r="D403" s="24" t="inlineStr">
        <is>
          <t>duksan</t>
        </is>
      </c>
      <c r="E403" s="24" t="inlineStr">
        <is>
          <t>317330</t>
        </is>
      </c>
      <c r="F403" s="24" t="inlineStr">
        <is>
          <t>2023</t>
        </is>
      </c>
      <c r="G403" s="24" t="inlineStr">
        <is>
          <t>CFS</t>
        </is>
      </c>
      <c r="H403" s="24" t="inlineStr">
        <is>
          <t>SCE</t>
        </is>
      </c>
      <c r="I403" s="24" t="inlineStr">
        <is>
          <t>자본변동표</t>
        </is>
      </c>
      <c r="J403" s="24" t="inlineStr">
        <is>
          <t>ifrs-full_IncreaseDecreaseThroughSharebasedPaymentTransactions</t>
        </is>
      </c>
      <c r="K403" s="24" t="inlineStr">
        <is>
          <t>주식매수선택권</t>
        </is>
      </c>
      <c r="L403" s="24" t="inlineStr">
        <is>
          <t>연결재무제표 [member]</t>
        </is>
      </c>
      <c r="M403" s="24" t="inlineStr">
        <is>
          <t>제 18 기</t>
        </is>
      </c>
      <c r="N403" s="24" t="inlineStr">
        <is>
          <t>1462350680.0</t>
        </is>
      </c>
      <c r="O403" s="24" t="inlineStr">
        <is>
          <t>852585732.0</t>
        </is>
      </c>
      <c r="P403" s="24" t="inlineStr">
        <is>
          <t>KRW</t>
        </is>
      </c>
      <c r="Q403" s="24" t="inlineStr">
        <is>
          <t>8</t>
        </is>
      </c>
    </row>
    <row r="404" ht="24" customHeight="1">
      <c r="A404" s="29" t="inlineStr">
        <is>
          <t>OpenDART_fnlttSinglAcntAll</t>
        </is>
      </c>
      <c r="B404" s="29" t="inlineStr">
        <is>
          <t>01021666</t>
        </is>
      </c>
      <c r="C404" s="29" t="inlineStr">
        <is>
          <t>덕산테코피아</t>
        </is>
      </c>
      <c r="D404" s="29" t="inlineStr">
        <is>
          <t>duksan</t>
        </is>
      </c>
      <c r="E404" s="29" t="inlineStr">
        <is>
          <t>317330</t>
        </is>
      </c>
      <c r="F404" s="29" t="inlineStr">
        <is>
          <t>2023</t>
        </is>
      </c>
      <c r="G404" s="29" t="inlineStr">
        <is>
          <t>CFS</t>
        </is>
      </c>
      <c r="H404" s="29" t="inlineStr">
        <is>
          <t>SCE</t>
        </is>
      </c>
      <c r="I404" s="29" t="inlineStr">
        <is>
          <t>자본변동표</t>
        </is>
      </c>
      <c r="J404" s="29" t="inlineStr">
        <is>
          <t>ifrs-full_IncreaseDecreaseThroughSharebasedPaymentTransactions</t>
        </is>
      </c>
      <c r="K404" s="29" t="inlineStr">
        <is>
          <t>주식매수선택권</t>
        </is>
      </c>
      <c r="L404" s="29" t="inlineStr">
        <is>
          <t>자본 [구성요소]|비지배지분 [구성요소]</t>
        </is>
      </c>
      <c r="M404" s="29" t="inlineStr">
        <is>
          <t>제 18 기</t>
        </is>
      </c>
      <c r="N404" s="29" t="inlineStr">
        <is>
          <t>488115153.0</t>
        </is>
      </c>
      <c r="O404" s="29" t="inlineStr">
        <is>
          <t>410394181.0</t>
        </is>
      </c>
      <c r="P404" s="29" t="inlineStr">
        <is>
          <t>KRW</t>
        </is>
      </c>
      <c r="Q404" s="29" t="inlineStr">
        <is>
          <t>8</t>
        </is>
      </c>
    </row>
    <row r="405" ht="24" customHeight="1">
      <c r="A405" s="24" t="inlineStr">
        <is>
          <t>OpenDART_fnlttSinglAcntAll</t>
        </is>
      </c>
      <c r="B405" s="24" t="inlineStr">
        <is>
          <t>01021666</t>
        </is>
      </c>
      <c r="C405" s="24" t="inlineStr">
        <is>
          <t>덕산테코피아</t>
        </is>
      </c>
      <c r="D405" s="24" t="inlineStr">
        <is>
          <t>duksan</t>
        </is>
      </c>
      <c r="E405" s="24" t="inlineStr">
        <is>
          <t>317330</t>
        </is>
      </c>
      <c r="F405" s="24" t="inlineStr">
        <is>
          <t>2023</t>
        </is>
      </c>
      <c r="G405" s="24" t="inlineStr">
        <is>
          <t>CFS</t>
        </is>
      </c>
      <c r="H405" s="24" t="inlineStr">
        <is>
          <t>SCE</t>
        </is>
      </c>
      <c r="I405" s="24" t="inlineStr">
        <is>
          <t>자본변동표</t>
        </is>
      </c>
      <c r="J405" s="24" t="inlineStr">
        <is>
          <t>ifrs-full_IncreaseDecreaseThroughSharebasedPaymentTransactions</t>
        </is>
      </c>
      <c r="K405" s="24" t="inlineStr">
        <is>
          <t>주식매수선택권</t>
        </is>
      </c>
      <c r="L405" s="24" t="inlineStr">
        <is>
          <t>자본 [구성요소]|지배기업의 소유주에게 귀속되는 지분 [구성요소]</t>
        </is>
      </c>
      <c r="M405" s="24" t="inlineStr">
        <is>
          <t>제 18 기</t>
        </is>
      </c>
      <c r="N405" s="24" t="inlineStr">
        <is>
          <t>974235527.0</t>
        </is>
      </c>
      <c r="O405" s="24" t="inlineStr">
        <is>
          <t>442191551.0</t>
        </is>
      </c>
      <c r="P405" s="24" t="inlineStr">
        <is>
          <t>KRW</t>
        </is>
      </c>
      <c r="Q405" s="24" t="inlineStr">
        <is>
          <t>8</t>
        </is>
      </c>
    </row>
    <row r="406" ht="24" customHeight="1">
      <c r="A406" s="29" t="inlineStr">
        <is>
          <t>OpenDART_fnlttSinglAcntAll</t>
        </is>
      </c>
      <c r="B406" s="29" t="inlineStr">
        <is>
          <t>01021666</t>
        </is>
      </c>
      <c r="C406" s="29" t="inlineStr">
        <is>
          <t>덕산테코피아</t>
        </is>
      </c>
      <c r="D406" s="29" t="inlineStr">
        <is>
          <t>duksan</t>
        </is>
      </c>
      <c r="E406" s="29" t="inlineStr">
        <is>
          <t>317330</t>
        </is>
      </c>
      <c r="F406" s="29" t="inlineStr">
        <is>
          <t>2023</t>
        </is>
      </c>
      <c r="G406" s="29" t="inlineStr">
        <is>
          <t>CFS</t>
        </is>
      </c>
      <c r="H406" s="29" t="inlineStr">
        <is>
          <t>SCE</t>
        </is>
      </c>
      <c r="I406" s="29" t="inlineStr">
        <is>
          <t>자본변동표</t>
        </is>
      </c>
      <c r="J406" s="29" t="inlineStr">
        <is>
          <t>ifrs-full_IncreaseDecreaseThroughSharebasedPaymentTransactions</t>
        </is>
      </c>
      <c r="K406" s="29" t="inlineStr">
        <is>
          <t>주식매수선택권</t>
        </is>
      </c>
      <c r="L406" s="29" t="inlineStr">
        <is>
          <t>자본 [구성요소]|지배기업의 소유주에게 귀속되는 지분 [구성요소]|기타자본구성요소 [구성요소]</t>
        </is>
      </c>
      <c r="M406" s="29" t="inlineStr">
        <is>
          <t>제 18 기</t>
        </is>
      </c>
      <c r="N406" s="29" t="inlineStr">
        <is>
          <t>673798487.0</t>
        </is>
      </c>
      <c r="O406" s="29" t="inlineStr">
        <is>
          <t>442191551.0</t>
        </is>
      </c>
      <c r="P406" s="29" t="inlineStr">
        <is>
          <t>KRW</t>
        </is>
      </c>
      <c r="Q406" s="29" t="inlineStr">
        <is>
          <t>8</t>
        </is>
      </c>
    </row>
    <row r="407" ht="24" customHeight="1">
      <c r="A407" s="24" t="inlineStr">
        <is>
          <t>OpenDART_fnlttSinglAcntAll</t>
        </is>
      </c>
      <c r="B407" s="24" t="inlineStr">
        <is>
          <t>01021666</t>
        </is>
      </c>
      <c r="C407" s="24" t="inlineStr">
        <is>
          <t>덕산테코피아</t>
        </is>
      </c>
      <c r="D407" s="24" t="inlineStr">
        <is>
          <t>duksan</t>
        </is>
      </c>
      <c r="E407" s="24" t="inlineStr">
        <is>
          <t>317330</t>
        </is>
      </c>
      <c r="F407" s="24" t="inlineStr">
        <is>
          <t>2023</t>
        </is>
      </c>
      <c r="G407" s="24" t="inlineStr">
        <is>
          <t>CFS</t>
        </is>
      </c>
      <c r="H407" s="24" t="inlineStr">
        <is>
          <t>SCE</t>
        </is>
      </c>
      <c r="I407" s="24" t="inlineStr">
        <is>
          <t>자본변동표</t>
        </is>
      </c>
      <c r="J407" s="24" t="inlineStr">
        <is>
          <t>ifrs-full_IncreaseDecreaseThroughSharebasedPaymentTransactions</t>
        </is>
      </c>
      <c r="K407" s="24" t="inlineStr">
        <is>
          <t>주식매수선택권</t>
        </is>
      </c>
      <c r="L407" s="24" t="inlineStr">
        <is>
          <t>자본 [구성요소]|지배기업의 소유주에게 귀속되는 지분 [구성요소]|자본잉여금 [구성요소]</t>
        </is>
      </c>
      <c r="M407" s="24" t="inlineStr">
        <is>
          <t>제 18 기</t>
        </is>
      </c>
      <c r="N407" s="24" t="inlineStr">
        <is>
          <t>300437040.0</t>
        </is>
      </c>
      <c r="O407" s="24" t="inlineStr">
        <is>
          <t>해당 없음</t>
        </is>
      </c>
      <c r="P407" s="24" t="inlineStr">
        <is>
          <t>KRW</t>
        </is>
      </c>
      <c r="Q407" s="24" t="inlineStr">
        <is>
          <t>8</t>
        </is>
      </c>
    </row>
    <row r="408" ht="24" customHeight="1">
      <c r="A408" s="29" t="inlineStr">
        <is>
          <t>OpenDART_fnlttSinglAcntAll</t>
        </is>
      </c>
      <c r="B408" s="29" t="inlineStr">
        <is>
          <t>01021666</t>
        </is>
      </c>
      <c r="C408" s="29" t="inlineStr">
        <is>
          <t>덕산테코피아</t>
        </is>
      </c>
      <c r="D408" s="29" t="inlineStr">
        <is>
          <t>duksan</t>
        </is>
      </c>
      <c r="E408" s="29" t="inlineStr">
        <is>
          <t>317330</t>
        </is>
      </c>
      <c r="F408" s="29" t="inlineStr">
        <is>
          <t>2023</t>
        </is>
      </c>
      <c r="G408" s="29" t="inlineStr">
        <is>
          <t>CFS</t>
        </is>
      </c>
      <c r="H408" s="29" t="inlineStr">
        <is>
          <t>SCE</t>
        </is>
      </c>
      <c r="I408" s="29" t="inlineStr">
        <is>
          <t>자본변동표</t>
        </is>
      </c>
      <c r="J408" s="29" t="inlineStr">
        <is>
          <t>ifrs-full_OtherComprehensiveIncome</t>
        </is>
      </c>
      <c r="K408" s="29" t="inlineStr">
        <is>
          <t>기타포괄손익</t>
        </is>
      </c>
      <c r="L408" s="29" t="inlineStr">
        <is>
          <t>연결재무제표 [member]</t>
        </is>
      </c>
      <c r="M408" s="29" t="inlineStr">
        <is>
          <t>제 18 기</t>
        </is>
      </c>
      <c r="N408" s="29" t="inlineStr">
        <is>
          <t>-1166681519.0</t>
        </is>
      </c>
      <c r="O408" s="29" t="inlineStr">
        <is>
          <t>650844272.0</t>
        </is>
      </c>
      <c r="P408" s="29" t="inlineStr">
        <is>
          <t>KRW</t>
        </is>
      </c>
      <c r="Q408" s="29" t="inlineStr">
        <is>
          <t>9</t>
        </is>
      </c>
    </row>
    <row r="409" ht="24" customHeight="1">
      <c r="A409" s="24" t="inlineStr">
        <is>
          <t>OpenDART_fnlttSinglAcntAll</t>
        </is>
      </c>
      <c r="B409" s="24" t="inlineStr">
        <is>
          <t>01021666</t>
        </is>
      </c>
      <c r="C409" s="24" t="inlineStr">
        <is>
          <t>덕산테코피아</t>
        </is>
      </c>
      <c r="D409" s="24" t="inlineStr">
        <is>
          <t>duksan</t>
        </is>
      </c>
      <c r="E409" s="24" t="inlineStr">
        <is>
          <t>317330</t>
        </is>
      </c>
      <c r="F409" s="24" t="inlineStr">
        <is>
          <t>2023</t>
        </is>
      </c>
      <c r="G409" s="24" t="inlineStr">
        <is>
          <t>CFS</t>
        </is>
      </c>
      <c r="H409" s="24" t="inlineStr">
        <is>
          <t>SCE</t>
        </is>
      </c>
      <c r="I409" s="24" t="inlineStr">
        <is>
          <t>자본변동표</t>
        </is>
      </c>
      <c r="J409" s="24" t="inlineStr">
        <is>
          <t>-표준계정코드 미사용-</t>
        </is>
      </c>
      <c r="K409" s="24" t="inlineStr">
        <is>
          <t>해외사업환산손익</t>
        </is>
      </c>
      <c r="L409" s="24" t="inlineStr">
        <is>
          <t>자본 [구성요소]|비지배지분 [구성요소]</t>
        </is>
      </c>
      <c r="M409" s="24" t="inlineStr">
        <is>
          <t>제 18 기</t>
        </is>
      </c>
      <c r="N409" s="24" t="inlineStr">
        <is>
          <t>-446103078.0</t>
        </is>
      </c>
      <c r="O409" s="24" t="inlineStr">
        <is>
          <t>-25854336.0</t>
        </is>
      </c>
      <c r="P409" s="24" t="inlineStr">
        <is>
          <t>KRW</t>
        </is>
      </c>
      <c r="Q409" s="24" t="inlineStr">
        <is>
          <t>10</t>
        </is>
      </c>
    </row>
    <row r="410" ht="24" customHeight="1">
      <c r="A410" s="29" t="inlineStr">
        <is>
          <t>OpenDART_fnlttSinglAcntAll</t>
        </is>
      </c>
      <c r="B410" s="29" t="inlineStr">
        <is>
          <t>01021666</t>
        </is>
      </c>
      <c r="C410" s="29" t="inlineStr">
        <is>
          <t>덕산테코피아</t>
        </is>
      </c>
      <c r="D410" s="29" t="inlineStr">
        <is>
          <t>duksan</t>
        </is>
      </c>
      <c r="E410" s="29" t="inlineStr">
        <is>
          <t>317330</t>
        </is>
      </c>
      <c r="F410" s="29" t="inlineStr">
        <is>
          <t>2023</t>
        </is>
      </c>
      <c r="G410" s="29" t="inlineStr">
        <is>
          <t>CFS</t>
        </is>
      </c>
      <c r="H410" s="29" t="inlineStr">
        <is>
          <t>SCE</t>
        </is>
      </c>
      <c r="I410" s="29" t="inlineStr">
        <is>
          <t>자본변동표</t>
        </is>
      </c>
      <c r="J410" s="29" t="inlineStr">
        <is>
          <t>-표준계정코드 미사용-</t>
        </is>
      </c>
      <c r="K410" s="29" t="inlineStr">
        <is>
          <t>해외사업환산손익</t>
        </is>
      </c>
      <c r="L410" s="29" t="inlineStr">
        <is>
          <t>연결재무제표 [member]</t>
        </is>
      </c>
      <c r="M410" s="29" t="inlineStr">
        <is>
          <t>제 18 기</t>
        </is>
      </c>
      <c r="N410" s="29" t="inlineStr">
        <is>
          <t>-948340054.0</t>
        </is>
      </c>
      <c r="O410" s="29" t="inlineStr">
        <is>
          <t>-52136189.0</t>
        </is>
      </c>
      <c r="P410" s="29" t="inlineStr">
        <is>
          <t>KRW</t>
        </is>
      </c>
      <c r="Q410" s="29" t="inlineStr">
        <is>
          <t>10</t>
        </is>
      </c>
    </row>
    <row r="411" ht="24" customHeight="1">
      <c r="A411" s="24" t="inlineStr">
        <is>
          <t>OpenDART_fnlttSinglAcntAll</t>
        </is>
      </c>
      <c r="B411" s="24" t="inlineStr">
        <is>
          <t>01021666</t>
        </is>
      </c>
      <c r="C411" s="24" t="inlineStr">
        <is>
          <t>덕산테코피아</t>
        </is>
      </c>
      <c r="D411" s="24" t="inlineStr">
        <is>
          <t>duksan</t>
        </is>
      </c>
      <c r="E411" s="24" t="inlineStr">
        <is>
          <t>317330</t>
        </is>
      </c>
      <c r="F411" s="24" t="inlineStr">
        <is>
          <t>2023</t>
        </is>
      </c>
      <c r="G411" s="24" t="inlineStr">
        <is>
          <t>CFS</t>
        </is>
      </c>
      <c r="H411" s="24" t="inlineStr">
        <is>
          <t>SCE</t>
        </is>
      </c>
      <c r="I411" s="24" t="inlineStr">
        <is>
          <t>자본변동표</t>
        </is>
      </c>
      <c r="J411" s="24" t="inlineStr">
        <is>
          <t>-표준계정코드 미사용-</t>
        </is>
      </c>
      <c r="K411" s="24" t="inlineStr">
        <is>
          <t>해외사업환산손익</t>
        </is>
      </c>
      <c r="L411" s="24" t="inlineStr">
        <is>
          <t>자본 [구성요소]|지배기업의 소유주에게 귀속되는 지분 [구성요소]</t>
        </is>
      </c>
      <c r="M411" s="24" t="inlineStr">
        <is>
          <t>제 18 기</t>
        </is>
      </c>
      <c r="N411" s="24" t="inlineStr">
        <is>
          <t>-502236976.0</t>
        </is>
      </c>
      <c r="O411" s="24" t="inlineStr">
        <is>
          <t>-26281853.0</t>
        </is>
      </c>
      <c r="P411" s="24" t="inlineStr">
        <is>
          <t>KRW</t>
        </is>
      </c>
      <c r="Q411" s="24" t="inlineStr">
        <is>
          <t>10</t>
        </is>
      </c>
    </row>
    <row r="412" ht="24" customHeight="1">
      <c r="A412" s="29" t="inlineStr">
        <is>
          <t>OpenDART_fnlttSinglAcntAll</t>
        </is>
      </c>
      <c r="B412" s="29" t="inlineStr">
        <is>
          <t>01021666</t>
        </is>
      </c>
      <c r="C412" s="29" t="inlineStr">
        <is>
          <t>덕산테코피아</t>
        </is>
      </c>
      <c r="D412" s="29" t="inlineStr">
        <is>
          <t>duksan</t>
        </is>
      </c>
      <c r="E412" s="29" t="inlineStr">
        <is>
          <t>317330</t>
        </is>
      </c>
      <c r="F412" s="29" t="inlineStr">
        <is>
          <t>2023</t>
        </is>
      </c>
      <c r="G412" s="29" t="inlineStr">
        <is>
          <t>CFS</t>
        </is>
      </c>
      <c r="H412" s="29" t="inlineStr">
        <is>
          <t>SCE</t>
        </is>
      </c>
      <c r="I412" s="29" t="inlineStr">
        <is>
          <t>자본변동표</t>
        </is>
      </c>
      <c r="J412" s="29" t="inlineStr">
        <is>
          <t>-표준계정코드 미사용-</t>
        </is>
      </c>
      <c r="K412" s="29" t="inlineStr">
        <is>
          <t>해외사업환산손익</t>
        </is>
      </c>
      <c r="L412" s="29" t="inlineStr">
        <is>
          <t>자본 [구성요소]|지배기업의 소유주에게 귀속되는 지분 [구성요소]|기타자본구성요소 [구성요소]</t>
        </is>
      </c>
      <c r="M412" s="29" t="inlineStr">
        <is>
          <t>제 18 기</t>
        </is>
      </c>
      <c r="N412" s="29" t="inlineStr">
        <is>
          <t>-502236976.0</t>
        </is>
      </c>
      <c r="O412" s="29" t="inlineStr">
        <is>
          <t>-26281853.0</t>
        </is>
      </c>
      <c r="P412" s="29" t="inlineStr">
        <is>
          <t>KRW</t>
        </is>
      </c>
      <c r="Q412" s="29" t="inlineStr">
        <is>
          <t>10</t>
        </is>
      </c>
    </row>
    <row r="413" ht="24" customHeight="1">
      <c r="A413" s="24" t="inlineStr">
        <is>
          <t>OpenDART_fnlttSinglAcntAll</t>
        </is>
      </c>
      <c r="B413" s="24" t="inlineStr">
        <is>
          <t>01021666</t>
        </is>
      </c>
      <c r="C413" s="24" t="inlineStr">
        <is>
          <t>덕산테코피아</t>
        </is>
      </c>
      <c r="D413" s="24" t="inlineStr">
        <is>
          <t>duksan</t>
        </is>
      </c>
      <c r="E413" s="24" t="inlineStr">
        <is>
          <t>317330</t>
        </is>
      </c>
      <c r="F413" s="24" t="inlineStr">
        <is>
          <t>2023</t>
        </is>
      </c>
      <c r="G413" s="24" t="inlineStr">
        <is>
          <t>CFS</t>
        </is>
      </c>
      <c r="H413" s="24" t="inlineStr">
        <is>
          <t>SCE</t>
        </is>
      </c>
      <c r="I413" s="24" t="inlineStr">
        <is>
          <t>자본변동표</t>
        </is>
      </c>
      <c r="J413" s="24" t="inlineStr">
        <is>
          <t>-표준계정코드 미사용-</t>
        </is>
      </c>
      <c r="K413" s="24" t="inlineStr">
        <is>
          <t>순확정급여부채의 재측정요소</t>
        </is>
      </c>
      <c r="L413" s="24" t="inlineStr">
        <is>
          <t>연결재무제표 [member]</t>
        </is>
      </c>
      <c r="M413" s="24" t="inlineStr">
        <is>
          <t>제 18 기</t>
        </is>
      </c>
      <c r="N413" s="24" t="inlineStr">
        <is>
          <t>-218341465.0</t>
        </is>
      </c>
      <c r="O413" s="24" t="inlineStr">
        <is>
          <t>702980461.0</t>
        </is>
      </c>
      <c r="P413" s="24" t="inlineStr">
        <is>
          <t>KRW</t>
        </is>
      </c>
      <c r="Q413" s="24" t="inlineStr">
        <is>
          <t>11</t>
        </is>
      </c>
    </row>
    <row r="414" ht="24" customHeight="1">
      <c r="A414" s="29" t="inlineStr">
        <is>
          <t>OpenDART_fnlttSinglAcntAll</t>
        </is>
      </c>
      <c r="B414" s="29" t="inlineStr">
        <is>
          <t>01021666</t>
        </is>
      </c>
      <c r="C414" s="29" t="inlineStr">
        <is>
          <t>덕산테코피아</t>
        </is>
      </c>
      <c r="D414" s="29" t="inlineStr">
        <is>
          <t>duksan</t>
        </is>
      </c>
      <c r="E414" s="29" t="inlineStr">
        <is>
          <t>317330</t>
        </is>
      </c>
      <c r="F414" s="29" t="inlineStr">
        <is>
          <t>2023</t>
        </is>
      </c>
      <c r="G414" s="29" t="inlineStr">
        <is>
          <t>CFS</t>
        </is>
      </c>
      <c r="H414" s="29" t="inlineStr">
        <is>
          <t>SCE</t>
        </is>
      </c>
      <c r="I414" s="29" t="inlineStr">
        <is>
          <t>자본변동표</t>
        </is>
      </c>
      <c r="J414" s="29" t="inlineStr">
        <is>
          <t>-표준계정코드 미사용-</t>
        </is>
      </c>
      <c r="K414" s="29" t="inlineStr">
        <is>
          <t>순확정급여부채의 재측정요소</t>
        </is>
      </c>
      <c r="L414" s="29" t="inlineStr">
        <is>
          <t>자본 [구성요소]|비지배지분 [구성요소]</t>
        </is>
      </c>
      <c r="M414" s="29" t="inlineStr">
        <is>
          <t>제 18 기</t>
        </is>
      </c>
      <c r="N414" s="29" t="inlineStr">
        <is>
          <t>301805.0</t>
        </is>
      </c>
      <c r="O414" s="29" t="inlineStr">
        <is>
          <t>12111522.0</t>
        </is>
      </c>
      <c r="P414" s="29" t="inlineStr">
        <is>
          <t>KRW</t>
        </is>
      </c>
      <c r="Q414" s="29" t="inlineStr">
        <is>
          <t>11</t>
        </is>
      </c>
    </row>
    <row r="415" ht="24" customHeight="1">
      <c r="A415" s="24" t="inlineStr">
        <is>
          <t>OpenDART_fnlttSinglAcntAll</t>
        </is>
      </c>
      <c r="B415" s="24" t="inlineStr">
        <is>
          <t>01021666</t>
        </is>
      </c>
      <c r="C415" s="24" t="inlineStr">
        <is>
          <t>덕산테코피아</t>
        </is>
      </c>
      <c r="D415" s="24" t="inlineStr">
        <is>
          <t>duksan</t>
        </is>
      </c>
      <c r="E415" s="24" t="inlineStr">
        <is>
          <t>317330</t>
        </is>
      </c>
      <c r="F415" s="24" t="inlineStr">
        <is>
          <t>2023</t>
        </is>
      </c>
      <c r="G415" s="24" t="inlineStr">
        <is>
          <t>CFS</t>
        </is>
      </c>
      <c r="H415" s="24" t="inlineStr">
        <is>
          <t>SCE</t>
        </is>
      </c>
      <c r="I415" s="24" t="inlineStr">
        <is>
          <t>자본변동표</t>
        </is>
      </c>
      <c r="J415" s="24" t="inlineStr">
        <is>
          <t>-표준계정코드 미사용-</t>
        </is>
      </c>
      <c r="K415" s="24" t="inlineStr">
        <is>
          <t>순확정급여부채의 재측정요소</t>
        </is>
      </c>
      <c r="L415" s="24" t="inlineStr">
        <is>
          <t>자본 [구성요소]|지배기업의 소유주에게 귀속되는 지분 [구성요소]</t>
        </is>
      </c>
      <c r="M415" s="24" t="inlineStr">
        <is>
          <t>제 18 기</t>
        </is>
      </c>
      <c r="N415" s="24" t="inlineStr">
        <is>
          <t>-218643270.0</t>
        </is>
      </c>
      <c r="O415" s="24" t="inlineStr">
        <is>
          <t>690868939.0</t>
        </is>
      </c>
      <c r="P415" s="24" t="inlineStr">
        <is>
          <t>KRW</t>
        </is>
      </c>
      <c r="Q415" s="24" t="inlineStr">
        <is>
          <t>11</t>
        </is>
      </c>
    </row>
    <row r="416" ht="24" customHeight="1">
      <c r="A416" s="29" t="inlineStr">
        <is>
          <t>OpenDART_fnlttSinglAcntAll</t>
        </is>
      </c>
      <c r="B416" s="29" t="inlineStr">
        <is>
          <t>01021666</t>
        </is>
      </c>
      <c r="C416" s="29" t="inlineStr">
        <is>
          <t>덕산테코피아</t>
        </is>
      </c>
      <c r="D416" s="29" t="inlineStr">
        <is>
          <t>duksan</t>
        </is>
      </c>
      <c r="E416" s="29" t="inlineStr">
        <is>
          <t>317330</t>
        </is>
      </c>
      <c r="F416" s="29" t="inlineStr">
        <is>
          <t>2023</t>
        </is>
      </c>
      <c r="G416" s="29" t="inlineStr">
        <is>
          <t>CFS</t>
        </is>
      </c>
      <c r="H416" s="29" t="inlineStr">
        <is>
          <t>SCE</t>
        </is>
      </c>
      <c r="I416" s="29" t="inlineStr">
        <is>
          <t>자본변동표</t>
        </is>
      </c>
      <c r="J416" s="29" t="inlineStr">
        <is>
          <t>-표준계정코드 미사용-</t>
        </is>
      </c>
      <c r="K416" s="29" t="inlineStr">
        <is>
          <t>순확정급여부채의 재측정요소</t>
        </is>
      </c>
      <c r="L416" s="29" t="inlineStr">
        <is>
          <t>자본 [구성요소]|지배기업의 소유주에게 귀속되는 지분 [구성요소]|이익잉여금 [구성요소]</t>
        </is>
      </c>
      <c r="M416" s="29" t="inlineStr">
        <is>
          <t>제 18 기</t>
        </is>
      </c>
      <c r="N416" s="29" t="inlineStr">
        <is>
          <t>-218643270.0</t>
        </is>
      </c>
      <c r="O416" s="29" t="inlineStr">
        <is>
          <t>690868939.0</t>
        </is>
      </c>
      <c r="P416" s="29" t="inlineStr">
        <is>
          <t>KRW</t>
        </is>
      </c>
      <c r="Q416" s="29" t="inlineStr">
        <is>
          <t>11</t>
        </is>
      </c>
    </row>
    <row r="417" ht="24" customHeight="1">
      <c r="A417" s="24" t="inlineStr">
        <is>
          <t>OpenDART_fnlttSinglAcntAll</t>
        </is>
      </c>
      <c r="B417" s="24" t="inlineStr">
        <is>
          <t>01021666</t>
        </is>
      </c>
      <c r="C417" s="24" t="inlineStr">
        <is>
          <t>덕산테코피아</t>
        </is>
      </c>
      <c r="D417" s="24" t="inlineStr">
        <is>
          <t>duksan</t>
        </is>
      </c>
      <c r="E417" s="24" t="inlineStr">
        <is>
          <t>317330</t>
        </is>
      </c>
      <c r="F417" s="24" t="inlineStr">
        <is>
          <t>2023</t>
        </is>
      </c>
      <c r="G417" s="24" t="inlineStr">
        <is>
          <t>CFS</t>
        </is>
      </c>
      <c r="H417" s="24" t="inlineStr">
        <is>
          <t>SCE</t>
        </is>
      </c>
      <c r="I417" s="24" t="inlineStr">
        <is>
          <t>자본변동표</t>
        </is>
      </c>
      <c r="J417" s="24" t="inlineStr">
        <is>
          <t>ifrs-full_ProfitLoss</t>
        </is>
      </c>
      <c r="K417" s="24" t="inlineStr">
        <is>
          <t>당기순이익(손실)</t>
        </is>
      </c>
      <c r="L417" s="24" t="inlineStr">
        <is>
          <t>자본 [구성요소]|지배기업의 소유주에게 귀속되는 지분 [구성요소]|이익잉여금 [구성요소]</t>
        </is>
      </c>
      <c r="M417" s="24" t="inlineStr">
        <is>
          <t>제 18 기</t>
        </is>
      </c>
      <c r="N417" s="24" t="inlineStr">
        <is>
          <t>-7398858439.0</t>
        </is>
      </c>
      <c r="O417" s="24" t="inlineStr">
        <is>
          <t>16061828691.0</t>
        </is>
      </c>
      <c r="P417" s="24" t="inlineStr">
        <is>
          <t>KRW</t>
        </is>
      </c>
      <c r="Q417" s="24" t="inlineStr">
        <is>
          <t>12</t>
        </is>
      </c>
    </row>
    <row r="418" ht="24" customHeight="1">
      <c r="A418" s="29" t="inlineStr">
        <is>
          <t>OpenDART_fnlttSinglAcntAll</t>
        </is>
      </c>
      <c r="B418" s="29" t="inlineStr">
        <is>
          <t>01021666</t>
        </is>
      </c>
      <c r="C418" s="29" t="inlineStr">
        <is>
          <t>덕산테코피아</t>
        </is>
      </c>
      <c r="D418" s="29" t="inlineStr">
        <is>
          <t>duksan</t>
        </is>
      </c>
      <c r="E418" s="29" t="inlineStr">
        <is>
          <t>317330</t>
        </is>
      </c>
      <c r="F418" s="29" t="inlineStr">
        <is>
          <t>2023</t>
        </is>
      </c>
      <c r="G418" s="29" t="inlineStr">
        <is>
          <t>CFS</t>
        </is>
      </c>
      <c r="H418" s="29" t="inlineStr">
        <is>
          <t>SCE</t>
        </is>
      </c>
      <c r="I418" s="29" t="inlineStr">
        <is>
          <t>자본변동표</t>
        </is>
      </c>
      <c r="J418" s="29" t="inlineStr">
        <is>
          <t>ifrs-full_ProfitLoss</t>
        </is>
      </c>
      <c r="K418" s="29" t="inlineStr">
        <is>
          <t>당기순이익(손실)</t>
        </is>
      </c>
      <c r="L418" s="29" t="inlineStr">
        <is>
          <t>자본 [구성요소]|지배기업의 소유주에게 귀속되는 지분 [구성요소]</t>
        </is>
      </c>
      <c r="M418" s="29" t="inlineStr">
        <is>
          <t>제 18 기</t>
        </is>
      </c>
      <c r="N418" s="29" t="inlineStr">
        <is>
          <t>-7398858439.0</t>
        </is>
      </c>
      <c r="O418" s="29" t="inlineStr">
        <is>
          <t>16061828691.0</t>
        </is>
      </c>
      <c r="P418" s="29" t="inlineStr">
        <is>
          <t>KRW</t>
        </is>
      </c>
      <c r="Q418" s="29" t="inlineStr">
        <is>
          <t>12</t>
        </is>
      </c>
    </row>
    <row r="419" ht="24" customHeight="1">
      <c r="A419" s="24" t="inlineStr">
        <is>
          <t>OpenDART_fnlttSinglAcntAll</t>
        </is>
      </c>
      <c r="B419" s="24" t="inlineStr">
        <is>
          <t>01021666</t>
        </is>
      </c>
      <c r="C419" s="24" t="inlineStr">
        <is>
          <t>덕산테코피아</t>
        </is>
      </c>
      <c r="D419" s="24" t="inlineStr">
        <is>
          <t>duksan</t>
        </is>
      </c>
      <c r="E419" s="24" t="inlineStr">
        <is>
          <t>317330</t>
        </is>
      </c>
      <c r="F419" s="24" t="inlineStr">
        <is>
          <t>2023</t>
        </is>
      </c>
      <c r="G419" s="24" t="inlineStr">
        <is>
          <t>CFS</t>
        </is>
      </c>
      <c r="H419" s="24" t="inlineStr">
        <is>
          <t>SCE</t>
        </is>
      </c>
      <c r="I419" s="24" t="inlineStr">
        <is>
          <t>자본변동표</t>
        </is>
      </c>
      <c r="J419" s="24" t="inlineStr">
        <is>
          <t>ifrs-full_ProfitLoss</t>
        </is>
      </c>
      <c r="K419" s="24" t="inlineStr">
        <is>
          <t>당기순이익(손실)</t>
        </is>
      </c>
      <c r="L419" s="24" t="inlineStr">
        <is>
          <t>자본 [구성요소]|비지배지분 [구성요소]</t>
        </is>
      </c>
      <c r="M419" s="24" t="inlineStr">
        <is>
          <t>제 18 기</t>
        </is>
      </c>
      <c r="N419" s="24" t="inlineStr">
        <is>
          <t>-11874811234.0</t>
        </is>
      </c>
      <c r="O419" s="24" t="inlineStr">
        <is>
          <t>-1011485712.0</t>
        </is>
      </c>
      <c r="P419" s="24" t="inlineStr">
        <is>
          <t>KRW</t>
        </is>
      </c>
      <c r="Q419" s="24" t="inlineStr">
        <is>
          <t>12</t>
        </is>
      </c>
    </row>
    <row r="420" ht="24" customHeight="1">
      <c r="A420" s="29" t="inlineStr">
        <is>
          <t>OpenDART_fnlttSinglAcntAll</t>
        </is>
      </c>
      <c r="B420" s="29" t="inlineStr">
        <is>
          <t>01021666</t>
        </is>
      </c>
      <c r="C420" s="29" t="inlineStr">
        <is>
          <t>덕산테코피아</t>
        </is>
      </c>
      <c r="D420" s="29" t="inlineStr">
        <is>
          <t>duksan</t>
        </is>
      </c>
      <c r="E420" s="29" t="inlineStr">
        <is>
          <t>317330</t>
        </is>
      </c>
      <c r="F420" s="29" t="inlineStr">
        <is>
          <t>2023</t>
        </is>
      </c>
      <c r="G420" s="29" t="inlineStr">
        <is>
          <t>CFS</t>
        </is>
      </c>
      <c r="H420" s="29" t="inlineStr">
        <is>
          <t>SCE</t>
        </is>
      </c>
      <c r="I420" s="29" t="inlineStr">
        <is>
          <t>자본변동표</t>
        </is>
      </c>
      <c r="J420" s="29" t="inlineStr">
        <is>
          <t>ifrs-full_ProfitLoss</t>
        </is>
      </c>
      <c r="K420" s="29" t="inlineStr">
        <is>
          <t>당기순이익(손실)</t>
        </is>
      </c>
      <c r="L420" s="29" t="inlineStr">
        <is>
          <t>연결재무제표 [member]</t>
        </is>
      </c>
      <c r="M420" s="29" t="inlineStr">
        <is>
          <t>제 18 기</t>
        </is>
      </c>
      <c r="N420" s="29" t="inlineStr">
        <is>
          <t>-19273669673.0</t>
        </is>
      </c>
      <c r="O420" s="29" t="inlineStr">
        <is>
          <t>15050342979.0</t>
        </is>
      </c>
      <c r="P420" s="29" t="inlineStr">
        <is>
          <t>KRW</t>
        </is>
      </c>
      <c r="Q420" s="29" t="inlineStr">
        <is>
          <t>12</t>
        </is>
      </c>
    </row>
    <row r="421" ht="24" customHeight="1">
      <c r="A421" s="24" t="inlineStr">
        <is>
          <t>OpenDART_fnlttSinglAcntAll</t>
        </is>
      </c>
      <c r="B421" s="24" t="inlineStr">
        <is>
          <t>01021666</t>
        </is>
      </c>
      <c r="C421" s="24" t="inlineStr">
        <is>
          <t>덕산테코피아</t>
        </is>
      </c>
      <c r="D421" s="24" t="inlineStr">
        <is>
          <t>duksan</t>
        </is>
      </c>
      <c r="E421" s="24" t="inlineStr">
        <is>
          <t>317330</t>
        </is>
      </c>
      <c r="F421" s="24" t="inlineStr">
        <is>
          <t>2024</t>
        </is>
      </c>
      <c r="G421" s="24" t="inlineStr">
        <is>
          <t>CFS</t>
        </is>
      </c>
      <c r="H421" s="24" t="inlineStr">
        <is>
          <t>BS</t>
        </is>
      </c>
      <c r="I421" s="24" t="inlineStr">
        <is>
          <t>재무상태표</t>
        </is>
      </c>
      <c r="J421" s="24" t="inlineStr">
        <is>
          <t>ifrs-full_Assets</t>
        </is>
      </c>
      <c r="K421" s="24" t="inlineStr">
        <is>
          <t>자산총계</t>
        </is>
      </c>
      <c r="L421" s="24" t="inlineStr">
        <is>
          <t>-</t>
        </is>
      </c>
      <c r="M421" s="24" t="inlineStr">
        <is>
          <t>제 19 기</t>
        </is>
      </c>
      <c r="N421" s="24" t="inlineStr">
        <is>
          <t>662991271479.0</t>
        </is>
      </c>
      <c r="O421" s="24" t="inlineStr">
        <is>
          <t>514367139681.0</t>
        </is>
      </c>
      <c r="P421" s="24" t="inlineStr">
        <is>
          <t>KRW</t>
        </is>
      </c>
      <c r="Q421" s="24" t="inlineStr">
        <is>
          <t>7</t>
        </is>
      </c>
    </row>
    <row r="422" ht="24" customHeight="1">
      <c r="A422" s="29" t="inlineStr">
        <is>
          <t>OpenDART_fnlttSinglAcntAll</t>
        </is>
      </c>
      <c r="B422" s="29" t="inlineStr">
        <is>
          <t>01021666</t>
        </is>
      </c>
      <c r="C422" s="29" t="inlineStr">
        <is>
          <t>덕산테코피아</t>
        </is>
      </c>
      <c r="D422" s="29" t="inlineStr">
        <is>
          <t>duksan</t>
        </is>
      </c>
      <c r="E422" s="29" t="inlineStr">
        <is>
          <t>317330</t>
        </is>
      </c>
      <c r="F422" s="29" t="inlineStr">
        <is>
          <t>2024</t>
        </is>
      </c>
      <c r="G422" s="29" t="inlineStr">
        <is>
          <t>CFS</t>
        </is>
      </c>
      <c r="H422" s="29" t="inlineStr">
        <is>
          <t>BS</t>
        </is>
      </c>
      <c r="I422" s="29" t="inlineStr">
        <is>
          <t>재무상태표</t>
        </is>
      </c>
      <c r="J422" s="29" t="inlineStr">
        <is>
          <t>ifrs-full_CurrentAssets</t>
        </is>
      </c>
      <c r="K422" s="29" t="inlineStr">
        <is>
          <t>유동자산</t>
        </is>
      </c>
      <c r="L422" s="29" t="inlineStr">
        <is>
          <t>-</t>
        </is>
      </c>
      <c r="M422" s="29" t="inlineStr">
        <is>
          <t>제 19 기</t>
        </is>
      </c>
      <c r="N422" s="29" t="inlineStr">
        <is>
          <t>173538936995.0</t>
        </is>
      </c>
      <c r="O422" s="29" t="inlineStr">
        <is>
          <t>112170658300.0</t>
        </is>
      </c>
      <c r="P422" s="29" t="inlineStr">
        <is>
          <t>KRW</t>
        </is>
      </c>
      <c r="Q422" s="29" t="inlineStr">
        <is>
          <t>8</t>
        </is>
      </c>
    </row>
    <row r="423" ht="24" customHeight="1">
      <c r="A423" s="24" t="inlineStr">
        <is>
          <t>OpenDART_fnlttSinglAcntAll</t>
        </is>
      </c>
      <c r="B423" s="24" t="inlineStr">
        <is>
          <t>01021666</t>
        </is>
      </c>
      <c r="C423" s="24" t="inlineStr">
        <is>
          <t>덕산테코피아</t>
        </is>
      </c>
      <c r="D423" s="24" t="inlineStr">
        <is>
          <t>duksan</t>
        </is>
      </c>
      <c r="E423" s="24" t="inlineStr">
        <is>
          <t>317330</t>
        </is>
      </c>
      <c r="F423" s="24" t="inlineStr">
        <is>
          <t>2024</t>
        </is>
      </c>
      <c r="G423" s="24" t="inlineStr">
        <is>
          <t>CFS</t>
        </is>
      </c>
      <c r="H423" s="24" t="inlineStr">
        <is>
          <t>BS</t>
        </is>
      </c>
      <c r="I423" s="24" t="inlineStr">
        <is>
          <t>재무상태표</t>
        </is>
      </c>
      <c r="J423" s="24" t="inlineStr">
        <is>
          <t>ifrs-full_CashAndCashEquivalents</t>
        </is>
      </c>
      <c r="K423" s="24" t="inlineStr">
        <is>
          <t>현금및현금성자산</t>
        </is>
      </c>
      <c r="L423" s="24" t="inlineStr">
        <is>
          <t>-</t>
        </is>
      </c>
      <c r="M423" s="24" t="inlineStr">
        <is>
          <t>제 19 기</t>
        </is>
      </c>
      <c r="N423" s="24" t="inlineStr">
        <is>
          <t>20247056068.0</t>
        </is>
      </c>
      <c r="O423" s="24" t="inlineStr">
        <is>
          <t>23919527042.0</t>
        </is>
      </c>
      <c r="P423" s="24" t="inlineStr">
        <is>
          <t>KRW</t>
        </is>
      </c>
      <c r="Q423" s="24" t="inlineStr">
        <is>
          <t>9</t>
        </is>
      </c>
    </row>
    <row r="424" ht="24" customHeight="1">
      <c r="A424" s="29" t="inlineStr">
        <is>
          <t>OpenDART_fnlttSinglAcntAll</t>
        </is>
      </c>
      <c r="B424" s="29" t="inlineStr">
        <is>
          <t>01021666</t>
        </is>
      </c>
      <c r="C424" s="29" t="inlineStr">
        <is>
          <t>덕산테코피아</t>
        </is>
      </c>
      <c r="D424" s="29" t="inlineStr">
        <is>
          <t>duksan</t>
        </is>
      </c>
      <c r="E424" s="29" t="inlineStr">
        <is>
          <t>317330</t>
        </is>
      </c>
      <c r="F424" s="29" t="inlineStr">
        <is>
          <t>2024</t>
        </is>
      </c>
      <c r="G424" s="29" t="inlineStr">
        <is>
          <t>CFS</t>
        </is>
      </c>
      <c r="H424" s="29" t="inlineStr">
        <is>
          <t>BS</t>
        </is>
      </c>
      <c r="I424" s="29" t="inlineStr">
        <is>
          <t>재무상태표</t>
        </is>
      </c>
      <c r="J424" s="29" t="inlineStr">
        <is>
          <t>ifrs-full_CurrentFinancialAssetsAtFairValueThroughProfitOrLossMandatorilyMeasuredAtFairValue</t>
        </is>
      </c>
      <c r="K424" s="29" t="inlineStr">
        <is>
          <t>유동 당기손익인식금융자산</t>
        </is>
      </c>
      <c r="L424" s="29" t="inlineStr">
        <is>
          <t>-</t>
        </is>
      </c>
      <c r="M424" s="29" t="inlineStr">
        <is>
          <t>제 19 기</t>
        </is>
      </c>
      <c r="N424" s="29" t="inlineStr">
        <is>
          <t>3047836461.0</t>
        </is>
      </c>
      <c r="O424" s="29" t="inlineStr">
        <is>
          <t>해당 없음</t>
        </is>
      </c>
      <c r="P424" s="29" t="inlineStr">
        <is>
          <t>KRW</t>
        </is>
      </c>
      <c r="Q424" s="29" t="inlineStr">
        <is>
          <t>10</t>
        </is>
      </c>
    </row>
    <row r="425" ht="24" customHeight="1">
      <c r="A425" s="24" t="inlineStr">
        <is>
          <t>OpenDART_fnlttSinglAcntAll</t>
        </is>
      </c>
      <c r="B425" s="24" t="inlineStr">
        <is>
          <t>01021666</t>
        </is>
      </c>
      <c r="C425" s="24" t="inlineStr">
        <is>
          <t>덕산테코피아</t>
        </is>
      </c>
      <c r="D425" s="24" t="inlineStr">
        <is>
          <t>duksan</t>
        </is>
      </c>
      <c r="E425" s="24" t="inlineStr">
        <is>
          <t>317330</t>
        </is>
      </c>
      <c r="F425" s="24" t="inlineStr">
        <is>
          <t>2024</t>
        </is>
      </c>
      <c r="G425" s="24" t="inlineStr">
        <is>
          <t>CFS</t>
        </is>
      </c>
      <c r="H425" s="24" t="inlineStr">
        <is>
          <t>BS</t>
        </is>
      </c>
      <c r="I425" s="24" t="inlineStr">
        <is>
          <t>재무상태표</t>
        </is>
      </c>
      <c r="J425" s="24" t="inlineStr">
        <is>
          <t>ifrs-full_Inventories</t>
        </is>
      </c>
      <c r="K425" s="24" t="inlineStr">
        <is>
          <t>유동재고자산</t>
        </is>
      </c>
      <c r="L425" s="24" t="inlineStr">
        <is>
          <t>-</t>
        </is>
      </c>
      <c r="M425" s="24" t="inlineStr">
        <is>
          <t>제 19 기</t>
        </is>
      </c>
      <c r="N425" s="24" t="inlineStr">
        <is>
          <t>28811775578.0</t>
        </is>
      </c>
      <c r="O425" s="24" t="inlineStr">
        <is>
          <t>36967045010.0</t>
        </is>
      </c>
      <c r="P425" s="24" t="inlineStr">
        <is>
          <t>KRW</t>
        </is>
      </c>
      <c r="Q425" s="24" t="inlineStr">
        <is>
          <t>11</t>
        </is>
      </c>
    </row>
    <row r="426" ht="24" customHeight="1">
      <c r="A426" s="29" t="inlineStr">
        <is>
          <t>OpenDART_fnlttSinglAcntAll</t>
        </is>
      </c>
      <c r="B426" s="29" t="inlineStr">
        <is>
          <t>01021666</t>
        </is>
      </c>
      <c r="C426" s="29" t="inlineStr">
        <is>
          <t>덕산테코피아</t>
        </is>
      </c>
      <c r="D426" s="29" t="inlineStr">
        <is>
          <t>duksan</t>
        </is>
      </c>
      <c r="E426" s="29" t="inlineStr">
        <is>
          <t>317330</t>
        </is>
      </c>
      <c r="F426" s="29" t="inlineStr">
        <is>
          <t>2024</t>
        </is>
      </c>
      <c r="G426" s="29" t="inlineStr">
        <is>
          <t>CFS</t>
        </is>
      </c>
      <c r="H426" s="29" t="inlineStr">
        <is>
          <t>BS</t>
        </is>
      </c>
      <c r="I426" s="29" t="inlineStr">
        <is>
          <t>재무상태표</t>
        </is>
      </c>
      <c r="J426" s="29" t="inlineStr">
        <is>
          <t>ifrs-full_OtherCurrentAssets</t>
        </is>
      </c>
      <c r="K426" s="29" t="inlineStr">
        <is>
          <t>기타유동자산</t>
        </is>
      </c>
      <c r="L426" s="29" t="inlineStr">
        <is>
          <t>-</t>
        </is>
      </c>
      <c r="M426" s="29" t="inlineStr">
        <is>
          <t>제 19 기</t>
        </is>
      </c>
      <c r="N426" s="29" t="inlineStr">
        <is>
          <t>4634388216.0</t>
        </is>
      </c>
      <c r="O426" s="29" t="inlineStr">
        <is>
          <t>3313022345.0</t>
        </is>
      </c>
      <c r="P426" s="29" t="inlineStr">
        <is>
          <t>KRW</t>
        </is>
      </c>
      <c r="Q426" s="29" t="inlineStr">
        <is>
          <t>12</t>
        </is>
      </c>
    </row>
    <row r="427" ht="24" customHeight="1">
      <c r="A427" s="24" t="inlineStr">
        <is>
          <t>OpenDART_fnlttSinglAcntAll</t>
        </is>
      </c>
      <c r="B427" s="24" t="inlineStr">
        <is>
          <t>01021666</t>
        </is>
      </c>
      <c r="C427" s="24" t="inlineStr">
        <is>
          <t>덕산테코피아</t>
        </is>
      </c>
      <c r="D427" s="24" t="inlineStr">
        <is>
          <t>duksan</t>
        </is>
      </c>
      <c r="E427" s="24" t="inlineStr">
        <is>
          <t>317330</t>
        </is>
      </c>
      <c r="F427" s="24" t="inlineStr">
        <is>
          <t>2024</t>
        </is>
      </c>
      <c r="G427" s="24" t="inlineStr">
        <is>
          <t>CFS</t>
        </is>
      </c>
      <c r="H427" s="24" t="inlineStr">
        <is>
          <t>BS</t>
        </is>
      </c>
      <c r="I427" s="24" t="inlineStr">
        <is>
          <t>재무상태표</t>
        </is>
      </c>
      <c r="J427" s="24" t="inlineStr">
        <is>
          <t>ifrs-full_ShorttermDepositsNotClassifiedAsCashEquivalents</t>
        </is>
      </c>
      <c r="K427" s="24" t="inlineStr">
        <is>
          <t>단기금융상품</t>
        </is>
      </c>
      <c r="L427" s="24" t="inlineStr">
        <is>
          <t>-</t>
        </is>
      </c>
      <c r="M427" s="24" t="inlineStr">
        <is>
          <t>제 19 기</t>
        </is>
      </c>
      <c r="N427" s="24" t="inlineStr">
        <is>
          <t>109000000000.0</t>
        </is>
      </c>
      <c r="O427" s="24" t="inlineStr">
        <is>
          <t>35000024950.0</t>
        </is>
      </c>
      <c r="P427" s="24" t="inlineStr">
        <is>
          <t>KRW</t>
        </is>
      </c>
      <c r="Q427" s="24" t="inlineStr">
        <is>
          <t>13</t>
        </is>
      </c>
    </row>
    <row r="428" ht="24" customHeight="1">
      <c r="A428" s="29" t="inlineStr">
        <is>
          <t>OpenDART_fnlttSinglAcntAll</t>
        </is>
      </c>
      <c r="B428" s="29" t="inlineStr">
        <is>
          <t>01021666</t>
        </is>
      </c>
      <c r="C428" s="29" t="inlineStr">
        <is>
          <t>덕산테코피아</t>
        </is>
      </c>
      <c r="D428" s="29" t="inlineStr">
        <is>
          <t>duksan</t>
        </is>
      </c>
      <c r="E428" s="29" t="inlineStr">
        <is>
          <t>317330</t>
        </is>
      </c>
      <c r="F428" s="29" t="inlineStr">
        <is>
          <t>2024</t>
        </is>
      </c>
      <c r="G428" s="29" t="inlineStr">
        <is>
          <t>CFS</t>
        </is>
      </c>
      <c r="H428" s="29" t="inlineStr">
        <is>
          <t>BS</t>
        </is>
      </c>
      <c r="I428" s="29" t="inlineStr">
        <is>
          <t>재무상태표</t>
        </is>
      </c>
      <c r="J428" s="29" t="inlineStr">
        <is>
          <t>ifrs-full_TradeAndOtherCurrentReceivables</t>
        </is>
      </c>
      <c r="K428" s="29" t="inlineStr">
        <is>
          <t>매출채권 및 기타유동채권</t>
        </is>
      </c>
      <c r="L428" s="29" t="inlineStr">
        <is>
          <t>-</t>
        </is>
      </c>
      <c r="M428" s="29" t="inlineStr">
        <is>
          <t>제 19 기</t>
        </is>
      </c>
      <c r="N428" s="29" t="inlineStr">
        <is>
          <t>7797880672.0</t>
        </is>
      </c>
      <c r="O428" s="29" t="inlineStr">
        <is>
          <t>12971038953.0</t>
        </is>
      </c>
      <c r="P428" s="29" t="inlineStr">
        <is>
          <t>KRW</t>
        </is>
      </c>
      <c r="Q428" s="29" t="inlineStr">
        <is>
          <t>14</t>
        </is>
      </c>
    </row>
    <row r="429" ht="24" customHeight="1">
      <c r="A429" s="24" t="inlineStr">
        <is>
          <t>OpenDART_fnlttSinglAcntAll</t>
        </is>
      </c>
      <c r="B429" s="24" t="inlineStr">
        <is>
          <t>01021666</t>
        </is>
      </c>
      <c r="C429" s="24" t="inlineStr">
        <is>
          <t>덕산테코피아</t>
        </is>
      </c>
      <c r="D429" s="24" t="inlineStr">
        <is>
          <t>duksan</t>
        </is>
      </c>
      <c r="E429" s="24" t="inlineStr">
        <is>
          <t>317330</t>
        </is>
      </c>
      <c r="F429" s="24" t="inlineStr">
        <is>
          <t>2024</t>
        </is>
      </c>
      <c r="G429" s="24" t="inlineStr">
        <is>
          <t>CFS</t>
        </is>
      </c>
      <c r="H429" s="24" t="inlineStr">
        <is>
          <t>BS</t>
        </is>
      </c>
      <c r="I429" s="24" t="inlineStr">
        <is>
          <t>재무상태표</t>
        </is>
      </c>
      <c r="J429" s="24" t="inlineStr">
        <is>
          <t>ifrs-full_NoncurrentAssets</t>
        </is>
      </c>
      <c r="K429" s="24" t="inlineStr">
        <is>
          <t>비유동자산</t>
        </is>
      </c>
      <c r="L429" s="24" t="inlineStr">
        <is>
          <t>-</t>
        </is>
      </c>
      <c r="M429" s="24" t="inlineStr">
        <is>
          <t>제 19 기</t>
        </is>
      </c>
      <c r="N429" s="24" t="inlineStr">
        <is>
          <t>489452334484.0</t>
        </is>
      </c>
      <c r="O429" s="24" t="inlineStr">
        <is>
          <t>402196481381.0</t>
        </is>
      </c>
      <c r="P429" s="24" t="inlineStr">
        <is>
          <t>KRW</t>
        </is>
      </c>
      <c r="Q429" s="24" t="inlineStr">
        <is>
          <t>15</t>
        </is>
      </c>
    </row>
    <row r="430" ht="24" customHeight="1">
      <c r="A430" s="29" t="inlineStr">
        <is>
          <t>OpenDART_fnlttSinglAcntAll</t>
        </is>
      </c>
      <c r="B430" s="29" t="inlineStr">
        <is>
          <t>01021666</t>
        </is>
      </c>
      <c r="C430" s="29" t="inlineStr">
        <is>
          <t>덕산테코피아</t>
        </is>
      </c>
      <c r="D430" s="29" t="inlineStr">
        <is>
          <t>duksan</t>
        </is>
      </c>
      <c r="E430" s="29" t="inlineStr">
        <is>
          <t>317330</t>
        </is>
      </c>
      <c r="F430" s="29" t="inlineStr">
        <is>
          <t>2024</t>
        </is>
      </c>
      <c r="G430" s="29" t="inlineStr">
        <is>
          <t>CFS</t>
        </is>
      </c>
      <c r="H430" s="29" t="inlineStr">
        <is>
          <t>BS</t>
        </is>
      </c>
      <c r="I430" s="29" t="inlineStr">
        <is>
          <t>재무상태표</t>
        </is>
      </c>
      <c r="J430" s="29" t="inlineStr">
        <is>
          <t>dart_InvestedAssetForPostemploymentBenefit</t>
        </is>
      </c>
      <c r="K430" s="29" t="inlineStr">
        <is>
          <t>퇴직급여운용자산/퇴직연금운용자산</t>
        </is>
      </c>
      <c r="L430" s="29" t="inlineStr">
        <is>
          <t>-</t>
        </is>
      </c>
      <c r="M430" s="29" t="inlineStr">
        <is>
          <t>제 19 기</t>
        </is>
      </c>
      <c r="N430" s="29" t="inlineStr">
        <is>
          <t>해당 없음</t>
        </is>
      </c>
      <c r="O430" s="29" t="inlineStr">
        <is>
          <t>182805067.0</t>
        </is>
      </c>
      <c r="P430" s="29" t="inlineStr">
        <is>
          <t>KRW</t>
        </is>
      </c>
      <c r="Q430" s="29" t="inlineStr">
        <is>
          <t>16</t>
        </is>
      </c>
    </row>
    <row r="431" ht="24" customHeight="1">
      <c r="A431" s="24" t="inlineStr">
        <is>
          <t>OpenDART_fnlttSinglAcntAll</t>
        </is>
      </c>
      <c r="B431" s="24" t="inlineStr">
        <is>
          <t>01021666</t>
        </is>
      </c>
      <c r="C431" s="24" t="inlineStr">
        <is>
          <t>덕산테코피아</t>
        </is>
      </c>
      <c r="D431" s="24" t="inlineStr">
        <is>
          <t>duksan</t>
        </is>
      </c>
      <c r="E431" s="24" t="inlineStr">
        <is>
          <t>317330</t>
        </is>
      </c>
      <c r="F431" s="24" t="inlineStr">
        <is>
          <t>2024</t>
        </is>
      </c>
      <c r="G431" s="24" t="inlineStr">
        <is>
          <t>CFS</t>
        </is>
      </c>
      <c r="H431" s="24" t="inlineStr">
        <is>
          <t>BS</t>
        </is>
      </c>
      <c r="I431" s="24" t="inlineStr">
        <is>
          <t>재무상태표</t>
        </is>
      </c>
      <c r="J431" s="24" t="inlineStr">
        <is>
          <t>dart_LongTermTradeAndOtherNonCurrentReceivablesGross</t>
        </is>
      </c>
      <c r="K431" s="24" t="inlineStr">
        <is>
          <t>장기매출채권 및 기타비유동채권</t>
        </is>
      </c>
      <c r="L431" s="24" t="inlineStr">
        <is>
          <t>-</t>
        </is>
      </c>
      <c r="M431" s="24" t="inlineStr">
        <is>
          <t>제 19 기</t>
        </is>
      </c>
      <c r="N431" s="24" t="inlineStr">
        <is>
          <t>328160100.0</t>
        </is>
      </c>
      <c r="O431" s="24" t="inlineStr">
        <is>
          <t>164557292.0</t>
        </is>
      </c>
      <c r="P431" s="24" t="inlineStr">
        <is>
          <t>KRW</t>
        </is>
      </c>
      <c r="Q431" s="24" t="inlineStr">
        <is>
          <t>17</t>
        </is>
      </c>
    </row>
    <row r="432" ht="24" customHeight="1">
      <c r="A432" s="29" t="inlineStr">
        <is>
          <t>OpenDART_fnlttSinglAcntAll</t>
        </is>
      </c>
      <c r="B432" s="29" t="inlineStr">
        <is>
          <t>01021666</t>
        </is>
      </c>
      <c r="C432" s="29" t="inlineStr">
        <is>
          <t>덕산테코피아</t>
        </is>
      </c>
      <c r="D432" s="29" t="inlineStr">
        <is>
          <t>duksan</t>
        </is>
      </c>
      <c r="E432" s="29" t="inlineStr">
        <is>
          <t>317330</t>
        </is>
      </c>
      <c r="F432" s="29" t="inlineStr">
        <is>
          <t>2024</t>
        </is>
      </c>
      <c r="G432" s="29" t="inlineStr">
        <is>
          <t>CFS</t>
        </is>
      </c>
      <c r="H432" s="29" t="inlineStr">
        <is>
          <t>BS</t>
        </is>
      </c>
      <c r="I432" s="29" t="inlineStr">
        <is>
          <t>재무상태표</t>
        </is>
      </c>
      <c r="J432" s="29" t="inlineStr">
        <is>
          <t>dart_NonCurrentFairValueFinancialAsset</t>
        </is>
      </c>
      <c r="K432" s="29" t="inlineStr">
        <is>
          <t>비유동당기손익인식금융자산</t>
        </is>
      </c>
      <c r="L432" s="29" t="inlineStr">
        <is>
          <t>-</t>
        </is>
      </c>
      <c r="M432" s="29" t="inlineStr">
        <is>
          <t>제 19 기</t>
        </is>
      </c>
      <c r="N432" s="29" t="inlineStr">
        <is>
          <t>7175554993.0</t>
        </is>
      </c>
      <c r="O432" s="29" t="inlineStr">
        <is>
          <t>7840816170.0</t>
        </is>
      </c>
      <c r="P432" s="29" t="inlineStr">
        <is>
          <t>KRW</t>
        </is>
      </c>
      <c r="Q432" s="29" t="inlineStr">
        <is>
          <t>18</t>
        </is>
      </c>
    </row>
    <row r="433" ht="24" customHeight="1">
      <c r="A433" s="24" t="inlineStr">
        <is>
          <t>OpenDART_fnlttSinglAcntAll</t>
        </is>
      </c>
      <c r="B433" s="24" t="inlineStr">
        <is>
          <t>01021666</t>
        </is>
      </c>
      <c r="C433" s="24" t="inlineStr">
        <is>
          <t>덕산테코피아</t>
        </is>
      </c>
      <c r="D433" s="24" t="inlineStr">
        <is>
          <t>duksan</t>
        </is>
      </c>
      <c r="E433" s="24" t="inlineStr">
        <is>
          <t>317330</t>
        </is>
      </c>
      <c r="F433" s="24" t="inlineStr">
        <is>
          <t>2024</t>
        </is>
      </c>
      <c r="G433" s="24" t="inlineStr">
        <is>
          <t>CFS</t>
        </is>
      </c>
      <c r="H433" s="24" t="inlineStr">
        <is>
          <t>BS</t>
        </is>
      </c>
      <c r="I433" s="24" t="inlineStr">
        <is>
          <t>재무상태표</t>
        </is>
      </c>
      <c r="J433" s="24" t="inlineStr">
        <is>
          <t>ifrs-full_DeferredTaxAssets</t>
        </is>
      </c>
      <c r="K433" s="24" t="inlineStr">
        <is>
          <t>이연법인세자산</t>
        </is>
      </c>
      <c r="L433" s="24" t="inlineStr">
        <is>
          <t>-</t>
        </is>
      </c>
      <c r="M433" s="24" t="inlineStr">
        <is>
          <t>제 19 기</t>
        </is>
      </c>
      <c r="N433" s="24" t="inlineStr">
        <is>
          <t>6854156791.0</t>
        </is>
      </c>
      <c r="O433" s="24" t="inlineStr">
        <is>
          <t>6937637209.0</t>
        </is>
      </c>
      <c r="P433" s="24" t="inlineStr">
        <is>
          <t>KRW</t>
        </is>
      </c>
      <c r="Q433" s="24" t="inlineStr">
        <is>
          <t>19</t>
        </is>
      </c>
    </row>
    <row r="434" ht="24" customHeight="1">
      <c r="A434" s="29" t="inlineStr">
        <is>
          <t>OpenDART_fnlttSinglAcntAll</t>
        </is>
      </c>
      <c r="B434" s="29" t="inlineStr">
        <is>
          <t>01021666</t>
        </is>
      </c>
      <c r="C434" s="29" t="inlineStr">
        <is>
          <t>덕산테코피아</t>
        </is>
      </c>
      <c r="D434" s="29" t="inlineStr">
        <is>
          <t>duksan</t>
        </is>
      </c>
      <c r="E434" s="29" t="inlineStr">
        <is>
          <t>317330</t>
        </is>
      </c>
      <c r="F434" s="29" t="inlineStr">
        <is>
          <t>2024</t>
        </is>
      </c>
      <c r="G434" s="29" t="inlineStr">
        <is>
          <t>CFS</t>
        </is>
      </c>
      <c r="H434" s="29" t="inlineStr">
        <is>
          <t>BS</t>
        </is>
      </c>
      <c r="I434" s="29" t="inlineStr">
        <is>
          <t>재무상태표</t>
        </is>
      </c>
      <c r="J434" s="29" t="inlineStr">
        <is>
          <t>ifrs-full_IntangibleAssetsOtherThanGoodwill</t>
        </is>
      </c>
      <c r="K434" s="29" t="inlineStr">
        <is>
          <t>영업권 이외의 무형자산</t>
        </is>
      </c>
      <c r="L434" s="29" t="inlineStr">
        <is>
          <t>-</t>
        </is>
      </c>
      <c r="M434" s="29" t="inlineStr">
        <is>
          <t>제 19 기</t>
        </is>
      </c>
      <c r="N434" s="29" t="inlineStr">
        <is>
          <t>19158391190.0</t>
        </is>
      </c>
      <c r="O434" s="29" t="inlineStr">
        <is>
          <t>18169662897.0</t>
        </is>
      </c>
      <c r="P434" s="29" t="inlineStr">
        <is>
          <t>KRW</t>
        </is>
      </c>
      <c r="Q434" s="29" t="inlineStr">
        <is>
          <t>20</t>
        </is>
      </c>
    </row>
    <row r="435" ht="24" customHeight="1">
      <c r="A435" s="24" t="inlineStr">
        <is>
          <t>OpenDART_fnlttSinglAcntAll</t>
        </is>
      </c>
      <c r="B435" s="24" t="inlineStr">
        <is>
          <t>01021666</t>
        </is>
      </c>
      <c r="C435" s="24" t="inlineStr">
        <is>
          <t>덕산테코피아</t>
        </is>
      </c>
      <c r="D435" s="24" t="inlineStr">
        <is>
          <t>duksan</t>
        </is>
      </c>
      <c r="E435" s="24" t="inlineStr">
        <is>
          <t>317330</t>
        </is>
      </c>
      <c r="F435" s="24" t="inlineStr">
        <is>
          <t>2024</t>
        </is>
      </c>
      <c r="G435" s="24" t="inlineStr">
        <is>
          <t>CFS</t>
        </is>
      </c>
      <c r="H435" s="24" t="inlineStr">
        <is>
          <t>BS</t>
        </is>
      </c>
      <c r="I435" s="24" t="inlineStr">
        <is>
          <t>재무상태표</t>
        </is>
      </c>
      <c r="J435" s="24" t="inlineStr">
        <is>
          <t>ifrs-full_PropertyPlantAndEquipment</t>
        </is>
      </c>
      <c r="K435" s="24" t="inlineStr">
        <is>
          <t>유형자산</t>
        </is>
      </c>
      <c r="L435" s="24" t="inlineStr">
        <is>
          <t>-</t>
        </is>
      </c>
      <c r="M435" s="24" t="inlineStr">
        <is>
          <t>제 19 기</t>
        </is>
      </c>
      <c r="N435" s="24" t="inlineStr">
        <is>
          <t>451930176735.0</t>
        </is>
      </c>
      <c r="O435" s="24" t="inlineStr">
        <is>
          <t>365437243564.0</t>
        </is>
      </c>
      <c r="P435" s="24" t="inlineStr">
        <is>
          <t>KRW</t>
        </is>
      </c>
      <c r="Q435" s="24" t="inlineStr">
        <is>
          <t>21</t>
        </is>
      </c>
    </row>
    <row r="436" ht="24" customHeight="1">
      <c r="A436" s="29" t="inlineStr">
        <is>
          <t>OpenDART_fnlttSinglAcntAll</t>
        </is>
      </c>
      <c r="B436" s="29" t="inlineStr">
        <is>
          <t>01021666</t>
        </is>
      </c>
      <c r="C436" s="29" t="inlineStr">
        <is>
          <t>덕산테코피아</t>
        </is>
      </c>
      <c r="D436" s="29" t="inlineStr">
        <is>
          <t>duksan</t>
        </is>
      </c>
      <c r="E436" s="29" t="inlineStr">
        <is>
          <t>317330</t>
        </is>
      </c>
      <c r="F436" s="29" t="inlineStr">
        <is>
          <t>2024</t>
        </is>
      </c>
      <c r="G436" s="29" t="inlineStr">
        <is>
          <t>CFS</t>
        </is>
      </c>
      <c r="H436" s="29" t="inlineStr">
        <is>
          <t>BS</t>
        </is>
      </c>
      <c r="I436" s="29" t="inlineStr">
        <is>
          <t>재무상태표</t>
        </is>
      </c>
      <c r="J436" s="29" t="inlineStr">
        <is>
          <t>ifrs-full_RightofuseAssets</t>
        </is>
      </c>
      <c r="K436" s="29" t="inlineStr">
        <is>
          <t>사용권자산</t>
        </is>
      </c>
      <c r="L436" s="29" t="inlineStr">
        <is>
          <t>-</t>
        </is>
      </c>
      <c r="M436" s="29" t="inlineStr">
        <is>
          <t>제 19 기</t>
        </is>
      </c>
      <c r="N436" s="29" t="inlineStr">
        <is>
          <t>4005894675.0</t>
        </is>
      </c>
      <c r="O436" s="29" t="inlineStr">
        <is>
          <t>3463759182.0</t>
        </is>
      </c>
      <c r="P436" s="29" t="inlineStr">
        <is>
          <t>KRW</t>
        </is>
      </c>
      <c r="Q436" s="29" t="inlineStr">
        <is>
          <t>22</t>
        </is>
      </c>
    </row>
    <row r="437" ht="24" customHeight="1">
      <c r="A437" s="24" t="inlineStr">
        <is>
          <t>OpenDART_fnlttSinglAcntAll</t>
        </is>
      </c>
      <c r="B437" s="24" t="inlineStr">
        <is>
          <t>01021666</t>
        </is>
      </c>
      <c r="C437" s="24" t="inlineStr">
        <is>
          <t>덕산테코피아</t>
        </is>
      </c>
      <c r="D437" s="24" t="inlineStr">
        <is>
          <t>duksan</t>
        </is>
      </c>
      <c r="E437" s="24" t="inlineStr">
        <is>
          <t>317330</t>
        </is>
      </c>
      <c r="F437" s="24" t="inlineStr">
        <is>
          <t>2024</t>
        </is>
      </c>
      <c r="G437" s="24" t="inlineStr">
        <is>
          <t>CFS</t>
        </is>
      </c>
      <c r="H437" s="24" t="inlineStr">
        <is>
          <t>BS</t>
        </is>
      </c>
      <c r="I437" s="24" t="inlineStr">
        <is>
          <t>재무상태표</t>
        </is>
      </c>
      <c r="J437" s="24" t="inlineStr">
        <is>
          <t>ifrs-full_Equity</t>
        </is>
      </c>
      <c r="K437" s="24" t="inlineStr">
        <is>
          <t>자본총계</t>
        </is>
      </c>
      <c r="L437" s="24" t="inlineStr">
        <is>
          <t>-</t>
        </is>
      </c>
      <c r="M437" s="24" t="inlineStr">
        <is>
          <t>제 19 기</t>
        </is>
      </c>
      <c r="N437" s="24" t="inlineStr">
        <is>
          <t>205743613594.0</t>
        </is>
      </c>
      <c r="O437" s="24" t="inlineStr">
        <is>
          <t>184305539033.0</t>
        </is>
      </c>
      <c r="P437" s="24" t="inlineStr">
        <is>
          <t>KRW</t>
        </is>
      </c>
      <c r="Q437" s="24" t="inlineStr">
        <is>
          <t>24</t>
        </is>
      </c>
    </row>
    <row r="438" ht="24" customHeight="1">
      <c r="A438" s="29" t="inlineStr">
        <is>
          <t>OpenDART_fnlttSinglAcntAll</t>
        </is>
      </c>
      <c r="B438" s="29" t="inlineStr">
        <is>
          <t>01021666</t>
        </is>
      </c>
      <c r="C438" s="29" t="inlineStr">
        <is>
          <t>덕산테코피아</t>
        </is>
      </c>
      <c r="D438" s="29" t="inlineStr">
        <is>
          <t>duksan</t>
        </is>
      </c>
      <c r="E438" s="29" t="inlineStr">
        <is>
          <t>317330</t>
        </is>
      </c>
      <c r="F438" s="29" t="inlineStr">
        <is>
          <t>2024</t>
        </is>
      </c>
      <c r="G438" s="29" t="inlineStr">
        <is>
          <t>CFS</t>
        </is>
      </c>
      <c r="H438" s="29" t="inlineStr">
        <is>
          <t>BS</t>
        </is>
      </c>
      <c r="I438" s="29" t="inlineStr">
        <is>
          <t>재무상태표</t>
        </is>
      </c>
      <c r="J438" s="29" t="inlineStr">
        <is>
          <t>ifrs-full_EquityAttributableToOwnersOfParent</t>
        </is>
      </c>
      <c r="K438" s="29" t="inlineStr">
        <is>
          <t>지배기업의 소유주에게 귀속되는 자본</t>
        </is>
      </c>
      <c r="L438" s="29" t="inlineStr">
        <is>
          <t>-</t>
        </is>
      </c>
      <c r="M438" s="29" t="inlineStr">
        <is>
          <t>제 19 기</t>
        </is>
      </c>
      <c r="N438" s="29" t="inlineStr">
        <is>
          <t>198243689578.0</t>
        </is>
      </c>
      <c r="O438" s="29" t="inlineStr">
        <is>
          <t>176983785529.0</t>
        </is>
      </c>
      <c r="P438" s="29" t="inlineStr">
        <is>
          <t>KRW</t>
        </is>
      </c>
      <c r="Q438" s="29" t="inlineStr">
        <is>
          <t>25</t>
        </is>
      </c>
    </row>
    <row r="439" ht="24" customHeight="1">
      <c r="A439" s="24" t="inlineStr">
        <is>
          <t>OpenDART_fnlttSinglAcntAll</t>
        </is>
      </c>
      <c r="B439" s="24" t="inlineStr">
        <is>
          <t>01021666</t>
        </is>
      </c>
      <c r="C439" s="24" t="inlineStr">
        <is>
          <t>덕산테코피아</t>
        </is>
      </c>
      <c r="D439" s="24" t="inlineStr">
        <is>
          <t>duksan</t>
        </is>
      </c>
      <c r="E439" s="24" t="inlineStr">
        <is>
          <t>317330</t>
        </is>
      </c>
      <c r="F439" s="24" t="inlineStr">
        <is>
          <t>2024</t>
        </is>
      </c>
      <c r="G439" s="24" t="inlineStr">
        <is>
          <t>CFS</t>
        </is>
      </c>
      <c r="H439" s="24" t="inlineStr">
        <is>
          <t>BS</t>
        </is>
      </c>
      <c r="I439" s="24" t="inlineStr">
        <is>
          <t>재무상태표</t>
        </is>
      </c>
      <c r="J439" s="24" t="inlineStr">
        <is>
          <t>dart_CapitalSurplus</t>
        </is>
      </c>
      <c r="K439" s="24" t="inlineStr">
        <is>
          <t>자본잉여금</t>
        </is>
      </c>
      <c r="L439" s="24" t="inlineStr">
        <is>
          <t>-</t>
        </is>
      </c>
      <c r="M439" s="24" t="inlineStr">
        <is>
          <t>제 19 기</t>
        </is>
      </c>
      <c r="N439" s="24" t="inlineStr">
        <is>
          <t>142153611695.0</t>
        </is>
      </c>
      <c r="O439" s="24" t="inlineStr">
        <is>
          <t>72282995783.0</t>
        </is>
      </c>
      <c r="P439" s="24" t="inlineStr">
        <is>
          <t>KRW</t>
        </is>
      </c>
      <c r="Q439" s="24" t="inlineStr">
        <is>
          <t>26</t>
        </is>
      </c>
    </row>
    <row r="440" ht="24" customHeight="1">
      <c r="A440" s="29" t="inlineStr">
        <is>
          <t>OpenDART_fnlttSinglAcntAll</t>
        </is>
      </c>
      <c r="B440" s="29" t="inlineStr">
        <is>
          <t>01021666</t>
        </is>
      </c>
      <c r="C440" s="29" t="inlineStr">
        <is>
          <t>덕산테코피아</t>
        </is>
      </c>
      <c r="D440" s="29" t="inlineStr">
        <is>
          <t>duksan</t>
        </is>
      </c>
      <c r="E440" s="29" t="inlineStr">
        <is>
          <t>317330</t>
        </is>
      </c>
      <c r="F440" s="29" t="inlineStr">
        <is>
          <t>2024</t>
        </is>
      </c>
      <c r="G440" s="29" t="inlineStr">
        <is>
          <t>CFS</t>
        </is>
      </c>
      <c r="H440" s="29" t="inlineStr">
        <is>
          <t>BS</t>
        </is>
      </c>
      <c r="I440" s="29" t="inlineStr">
        <is>
          <t>재무상태표</t>
        </is>
      </c>
      <c r="J440" s="29" t="inlineStr">
        <is>
          <t>dart_ElementsOfOtherStockholdersEquity</t>
        </is>
      </c>
      <c r="K440" s="29" t="inlineStr">
        <is>
          <t>기타자본구성요소</t>
        </is>
      </c>
      <c r="L440" s="29" t="inlineStr">
        <is>
          <t>-</t>
        </is>
      </c>
      <c r="M440" s="29" t="inlineStr">
        <is>
          <t>제 19 기</t>
        </is>
      </c>
      <c r="N440" s="29" t="inlineStr">
        <is>
          <t>-435013087.0</t>
        </is>
      </c>
      <c r="O440" s="29" t="inlineStr">
        <is>
          <t>-4237979213.0</t>
        </is>
      </c>
      <c r="P440" s="29" t="inlineStr">
        <is>
          <t>KRW</t>
        </is>
      </c>
      <c r="Q440" s="29" t="inlineStr">
        <is>
          <t>27</t>
        </is>
      </c>
    </row>
    <row r="441" ht="24" customHeight="1">
      <c r="A441" s="24" t="inlineStr">
        <is>
          <t>OpenDART_fnlttSinglAcntAll</t>
        </is>
      </c>
      <c r="B441" s="24" t="inlineStr">
        <is>
          <t>01021666</t>
        </is>
      </c>
      <c r="C441" s="24" t="inlineStr">
        <is>
          <t>덕산테코피아</t>
        </is>
      </c>
      <c r="D441" s="24" t="inlineStr">
        <is>
          <t>duksan</t>
        </is>
      </c>
      <c r="E441" s="24" t="inlineStr">
        <is>
          <t>317330</t>
        </is>
      </c>
      <c r="F441" s="24" t="inlineStr">
        <is>
          <t>2024</t>
        </is>
      </c>
      <c r="G441" s="24" t="inlineStr">
        <is>
          <t>CFS</t>
        </is>
      </c>
      <c r="H441" s="24" t="inlineStr">
        <is>
          <t>BS</t>
        </is>
      </c>
      <c r="I441" s="24" t="inlineStr">
        <is>
          <t>재무상태표</t>
        </is>
      </c>
      <c r="J441" s="24" t="inlineStr">
        <is>
          <t>ifrs-full_IssuedCapital</t>
        </is>
      </c>
      <c r="K441" s="24" t="inlineStr">
        <is>
          <t>자본금</t>
        </is>
      </c>
      <c r="L441" s="24" t="inlineStr">
        <is>
          <t>-</t>
        </is>
      </c>
      <c r="M441" s="24" t="inlineStr">
        <is>
          <t>제 19 기</t>
        </is>
      </c>
      <c r="N441" s="24" t="inlineStr">
        <is>
          <t>10238292000.0</t>
        </is>
      </c>
      <c r="O441" s="24" t="inlineStr">
        <is>
          <t>9188714000.0</t>
        </is>
      </c>
      <c r="P441" s="24" t="inlineStr">
        <is>
          <t>KRW</t>
        </is>
      </c>
      <c r="Q441" s="24" t="inlineStr">
        <is>
          <t>28</t>
        </is>
      </c>
    </row>
    <row r="442" ht="24" customHeight="1">
      <c r="A442" s="29" t="inlineStr">
        <is>
          <t>OpenDART_fnlttSinglAcntAll</t>
        </is>
      </c>
      <c r="B442" s="29" t="inlineStr">
        <is>
          <t>01021666</t>
        </is>
      </c>
      <c r="C442" s="29" t="inlineStr">
        <is>
          <t>덕산테코피아</t>
        </is>
      </c>
      <c r="D442" s="29" t="inlineStr">
        <is>
          <t>duksan</t>
        </is>
      </c>
      <c r="E442" s="29" t="inlineStr">
        <is>
          <t>317330</t>
        </is>
      </c>
      <c r="F442" s="29" t="inlineStr">
        <is>
          <t>2024</t>
        </is>
      </c>
      <c r="G442" s="29" t="inlineStr">
        <is>
          <t>CFS</t>
        </is>
      </c>
      <c r="H442" s="29" t="inlineStr">
        <is>
          <t>BS</t>
        </is>
      </c>
      <c r="I442" s="29" t="inlineStr">
        <is>
          <t>재무상태표</t>
        </is>
      </c>
      <c r="J442" s="29" t="inlineStr">
        <is>
          <t>ifrs-full_RetainedEarnings</t>
        </is>
      </c>
      <c r="K442" s="29" t="inlineStr">
        <is>
          <t>이익잉여금(결손금)</t>
        </is>
      </c>
      <c r="L442" s="29" t="inlineStr">
        <is>
          <t>-</t>
        </is>
      </c>
      <c r="M442" s="29" t="inlineStr">
        <is>
          <t>제 19 기</t>
        </is>
      </c>
      <c r="N442" s="29" t="inlineStr">
        <is>
          <t>46286798970.0</t>
        </is>
      </c>
      <c r="O442" s="29" t="inlineStr">
        <is>
          <t>99750054959.0</t>
        </is>
      </c>
      <c r="P442" s="29" t="inlineStr">
        <is>
          <t>KRW</t>
        </is>
      </c>
      <c r="Q442" s="29" t="inlineStr">
        <is>
          <t>29</t>
        </is>
      </c>
    </row>
    <row r="443" ht="24" customHeight="1">
      <c r="A443" s="24" t="inlineStr">
        <is>
          <t>OpenDART_fnlttSinglAcntAll</t>
        </is>
      </c>
      <c r="B443" s="24" t="inlineStr">
        <is>
          <t>01021666</t>
        </is>
      </c>
      <c r="C443" s="24" t="inlineStr">
        <is>
          <t>덕산테코피아</t>
        </is>
      </c>
      <c r="D443" s="24" t="inlineStr">
        <is>
          <t>duksan</t>
        </is>
      </c>
      <c r="E443" s="24" t="inlineStr">
        <is>
          <t>317330</t>
        </is>
      </c>
      <c r="F443" s="24" t="inlineStr">
        <is>
          <t>2024</t>
        </is>
      </c>
      <c r="G443" s="24" t="inlineStr">
        <is>
          <t>CFS</t>
        </is>
      </c>
      <c r="H443" s="24" t="inlineStr">
        <is>
          <t>BS</t>
        </is>
      </c>
      <c r="I443" s="24" t="inlineStr">
        <is>
          <t>재무상태표</t>
        </is>
      </c>
      <c r="J443" s="24" t="inlineStr">
        <is>
          <t>ifrs-full_NoncontrollingInterests</t>
        </is>
      </c>
      <c r="K443" s="24" t="inlineStr">
        <is>
          <t>비지배지분</t>
        </is>
      </c>
      <c r="L443" s="24" t="inlineStr">
        <is>
          <t>-</t>
        </is>
      </c>
      <c r="M443" s="24" t="inlineStr">
        <is>
          <t>제 19 기</t>
        </is>
      </c>
      <c r="N443" s="24" t="inlineStr">
        <is>
          <t>7499924016.0</t>
        </is>
      </c>
      <c r="O443" s="24" t="inlineStr">
        <is>
          <t>7321753504.0</t>
        </is>
      </c>
      <c r="P443" s="24" t="inlineStr">
        <is>
          <t>KRW</t>
        </is>
      </c>
      <c r="Q443" s="24" t="inlineStr">
        <is>
          <t>30</t>
        </is>
      </c>
    </row>
    <row r="444" ht="24" customHeight="1">
      <c r="A444" s="29" t="inlineStr">
        <is>
          <t>OpenDART_fnlttSinglAcntAll</t>
        </is>
      </c>
      <c r="B444" s="29" t="inlineStr">
        <is>
          <t>01021666</t>
        </is>
      </c>
      <c r="C444" s="29" t="inlineStr">
        <is>
          <t>덕산테코피아</t>
        </is>
      </c>
      <c r="D444" s="29" t="inlineStr">
        <is>
          <t>duksan</t>
        </is>
      </c>
      <c r="E444" s="29" t="inlineStr">
        <is>
          <t>317330</t>
        </is>
      </c>
      <c r="F444" s="29" t="inlineStr">
        <is>
          <t>2024</t>
        </is>
      </c>
      <c r="G444" s="29" t="inlineStr">
        <is>
          <t>CFS</t>
        </is>
      </c>
      <c r="H444" s="29" t="inlineStr">
        <is>
          <t>BS</t>
        </is>
      </c>
      <c r="I444" s="29" t="inlineStr">
        <is>
          <t>재무상태표</t>
        </is>
      </c>
      <c r="J444" s="29" t="inlineStr">
        <is>
          <t>ifrs-full_EquityAndLiabilities</t>
        </is>
      </c>
      <c r="K444" s="29" t="inlineStr">
        <is>
          <t>자본과부채총계</t>
        </is>
      </c>
      <c r="L444" s="29" t="inlineStr">
        <is>
          <t>-</t>
        </is>
      </c>
      <c r="M444" s="29" t="inlineStr">
        <is>
          <t>제 19 기</t>
        </is>
      </c>
      <c r="N444" s="29" t="inlineStr">
        <is>
          <t>662991271479.0</t>
        </is>
      </c>
      <c r="O444" s="29" t="inlineStr">
        <is>
          <t>514367139681.0</t>
        </is>
      </c>
      <c r="P444" s="29" t="inlineStr">
        <is>
          <t>KRW</t>
        </is>
      </c>
      <c r="Q444" s="29" t="inlineStr">
        <is>
          <t>31</t>
        </is>
      </c>
    </row>
    <row r="445" ht="24" customHeight="1">
      <c r="A445" s="24" t="inlineStr">
        <is>
          <t>OpenDART_fnlttSinglAcntAll</t>
        </is>
      </c>
      <c r="B445" s="24" t="inlineStr">
        <is>
          <t>01021666</t>
        </is>
      </c>
      <c r="C445" s="24" t="inlineStr">
        <is>
          <t>덕산테코피아</t>
        </is>
      </c>
      <c r="D445" s="24" t="inlineStr">
        <is>
          <t>duksan</t>
        </is>
      </c>
      <c r="E445" s="24" t="inlineStr">
        <is>
          <t>317330</t>
        </is>
      </c>
      <c r="F445" s="24" t="inlineStr">
        <is>
          <t>2024</t>
        </is>
      </c>
      <c r="G445" s="24" t="inlineStr">
        <is>
          <t>CFS</t>
        </is>
      </c>
      <c r="H445" s="24" t="inlineStr">
        <is>
          <t>BS</t>
        </is>
      </c>
      <c r="I445" s="24" t="inlineStr">
        <is>
          <t>재무상태표</t>
        </is>
      </c>
      <c r="J445" s="24" t="inlineStr">
        <is>
          <t>ifrs-full_CurrentLiabilities</t>
        </is>
      </c>
      <c r="K445" s="24" t="inlineStr">
        <is>
          <t>유동부채</t>
        </is>
      </c>
      <c r="L445" s="24" t="inlineStr">
        <is>
          <t>-</t>
        </is>
      </c>
      <c r="M445" s="24" t="inlineStr">
        <is>
          <t>제 19 기</t>
        </is>
      </c>
      <c r="N445" s="24" t="inlineStr">
        <is>
          <t>338096388841.0</t>
        </is>
      </c>
      <c r="O445" s="24" t="inlineStr">
        <is>
          <t>249651267192.0</t>
        </is>
      </c>
      <c r="P445" s="24" t="inlineStr">
        <is>
          <t>KRW</t>
        </is>
      </c>
      <c r="Q445" s="24" t="inlineStr">
        <is>
          <t>33</t>
        </is>
      </c>
    </row>
    <row r="446" ht="24" customHeight="1">
      <c r="A446" s="29" t="inlineStr">
        <is>
          <t>OpenDART_fnlttSinglAcntAll</t>
        </is>
      </c>
      <c r="B446" s="29" t="inlineStr">
        <is>
          <t>01021666</t>
        </is>
      </c>
      <c r="C446" s="29" t="inlineStr">
        <is>
          <t>덕산테코피아</t>
        </is>
      </c>
      <c r="D446" s="29" t="inlineStr">
        <is>
          <t>duksan</t>
        </is>
      </c>
      <c r="E446" s="29" t="inlineStr">
        <is>
          <t>317330</t>
        </is>
      </c>
      <c r="F446" s="29" t="inlineStr">
        <is>
          <t>2024</t>
        </is>
      </c>
      <c r="G446" s="29" t="inlineStr">
        <is>
          <t>CFS</t>
        </is>
      </c>
      <c r="H446" s="29" t="inlineStr">
        <is>
          <t>BS</t>
        </is>
      </c>
      <c r="I446" s="29" t="inlineStr">
        <is>
          <t>재무상태표</t>
        </is>
      </c>
      <c r="J446" s="29" t="inlineStr">
        <is>
          <t>dart_CurrentPortionOfConvertibleBonds</t>
        </is>
      </c>
      <c r="K446" s="29" t="inlineStr">
        <is>
          <t>전환사채</t>
        </is>
      </c>
      <c r="L446" s="29" t="inlineStr">
        <is>
          <t>-</t>
        </is>
      </c>
      <c r="M446" s="29" t="inlineStr">
        <is>
          <t>제 19 기</t>
        </is>
      </c>
      <c r="N446" s="29" t="inlineStr">
        <is>
          <t>해당 없음</t>
        </is>
      </c>
      <c r="O446" s="29" t="inlineStr">
        <is>
          <t>45098563978.0</t>
        </is>
      </c>
      <c r="P446" s="29" t="inlineStr">
        <is>
          <t>KRW</t>
        </is>
      </c>
      <c r="Q446" s="29" t="inlineStr">
        <is>
          <t>34</t>
        </is>
      </c>
    </row>
    <row r="447" ht="24" customHeight="1">
      <c r="A447" s="24" t="inlineStr">
        <is>
          <t>OpenDART_fnlttSinglAcntAll</t>
        </is>
      </c>
      <c r="B447" s="24" t="inlineStr">
        <is>
          <t>01021666</t>
        </is>
      </c>
      <c r="C447" s="24" t="inlineStr">
        <is>
          <t>덕산테코피아</t>
        </is>
      </c>
      <c r="D447" s="24" t="inlineStr">
        <is>
          <t>duksan</t>
        </is>
      </c>
      <c r="E447" s="24" t="inlineStr">
        <is>
          <t>317330</t>
        </is>
      </c>
      <c r="F447" s="24" t="inlineStr">
        <is>
          <t>2024</t>
        </is>
      </c>
      <c r="G447" s="24" t="inlineStr">
        <is>
          <t>CFS</t>
        </is>
      </c>
      <c r="H447" s="24" t="inlineStr">
        <is>
          <t>BS</t>
        </is>
      </c>
      <c r="I447" s="24" t="inlineStr">
        <is>
          <t>재무상태표</t>
        </is>
      </c>
      <c r="J447" s="24" t="inlineStr">
        <is>
          <t>ifrs-full_CurrentTaxLiabilities</t>
        </is>
      </c>
      <c r="K447" s="24" t="inlineStr">
        <is>
          <t>당기법인세부채</t>
        </is>
      </c>
      <c r="L447" s="24" t="inlineStr">
        <is>
          <t>-</t>
        </is>
      </c>
      <c r="M447" s="24" t="inlineStr">
        <is>
          <t>제 19 기</t>
        </is>
      </c>
      <c r="N447" s="24" t="inlineStr">
        <is>
          <t>282714760.0</t>
        </is>
      </c>
      <c r="O447" s="24" t="inlineStr">
        <is>
          <t>181020735.0</t>
        </is>
      </c>
      <c r="P447" s="24" t="inlineStr">
        <is>
          <t>KRW</t>
        </is>
      </c>
      <c r="Q447" s="24" t="inlineStr">
        <is>
          <t>35</t>
        </is>
      </c>
    </row>
    <row r="448" ht="24" customHeight="1">
      <c r="A448" s="29" t="inlineStr">
        <is>
          <t>OpenDART_fnlttSinglAcntAll</t>
        </is>
      </c>
      <c r="B448" s="29" t="inlineStr">
        <is>
          <t>01021666</t>
        </is>
      </c>
      <c r="C448" s="29" t="inlineStr">
        <is>
          <t>덕산테코피아</t>
        </is>
      </c>
      <c r="D448" s="29" t="inlineStr">
        <is>
          <t>duksan</t>
        </is>
      </c>
      <c r="E448" s="29" t="inlineStr">
        <is>
          <t>317330</t>
        </is>
      </c>
      <c r="F448" s="29" t="inlineStr">
        <is>
          <t>2024</t>
        </is>
      </c>
      <c r="G448" s="29" t="inlineStr">
        <is>
          <t>CFS</t>
        </is>
      </c>
      <c r="H448" s="29" t="inlineStr">
        <is>
          <t>BS</t>
        </is>
      </c>
      <c r="I448" s="29" t="inlineStr">
        <is>
          <t>재무상태표</t>
        </is>
      </c>
      <c r="J448" s="29" t="inlineStr">
        <is>
          <t>ifrs-full_OtherCurrentLiabilities</t>
        </is>
      </c>
      <c r="K448" s="29" t="inlineStr">
        <is>
          <t>기타 유동부채</t>
        </is>
      </c>
      <c r="L448" s="29" t="inlineStr">
        <is>
          <t>-</t>
        </is>
      </c>
      <c r="M448" s="29" t="inlineStr">
        <is>
          <t>제 19 기</t>
        </is>
      </c>
      <c r="N448" s="29" t="inlineStr">
        <is>
          <t>1137680540.0</t>
        </is>
      </c>
      <c r="O448" s="29" t="inlineStr">
        <is>
          <t>291106957.0</t>
        </is>
      </c>
      <c r="P448" s="29" t="inlineStr">
        <is>
          <t>KRW</t>
        </is>
      </c>
      <c r="Q448" s="29" t="inlineStr">
        <is>
          <t>36</t>
        </is>
      </c>
    </row>
    <row r="449" ht="24" customHeight="1">
      <c r="A449" s="24" t="inlineStr">
        <is>
          <t>OpenDART_fnlttSinglAcntAll</t>
        </is>
      </c>
      <c r="B449" s="24" t="inlineStr">
        <is>
          <t>01021666</t>
        </is>
      </c>
      <c r="C449" s="24" t="inlineStr">
        <is>
          <t>덕산테코피아</t>
        </is>
      </c>
      <c r="D449" s="24" t="inlineStr">
        <is>
          <t>duksan</t>
        </is>
      </c>
      <c r="E449" s="24" t="inlineStr">
        <is>
          <t>317330</t>
        </is>
      </c>
      <c r="F449" s="24" t="inlineStr">
        <is>
          <t>2024</t>
        </is>
      </c>
      <c r="G449" s="24" t="inlineStr">
        <is>
          <t>CFS</t>
        </is>
      </c>
      <c r="H449" s="24" t="inlineStr">
        <is>
          <t>BS</t>
        </is>
      </c>
      <c r="I449" s="24" t="inlineStr">
        <is>
          <t>재무상태표</t>
        </is>
      </c>
      <c r="J449" s="24" t="inlineStr">
        <is>
          <t>ifrs-full_ShorttermBorrowings</t>
        </is>
      </c>
      <c r="K449" s="24" t="inlineStr">
        <is>
          <t>단기차입금</t>
        </is>
      </c>
      <c r="L449" s="24" t="inlineStr">
        <is>
          <t>-</t>
        </is>
      </c>
      <c r="M449" s="24" t="inlineStr">
        <is>
          <t>제 19 기</t>
        </is>
      </c>
      <c r="N449" s="24" t="inlineStr">
        <is>
          <t>151279040000.0</t>
        </is>
      </c>
      <c r="O449" s="24" t="inlineStr">
        <is>
          <t>74728440000.0</t>
        </is>
      </c>
      <c r="P449" s="24" t="inlineStr">
        <is>
          <t>KRW</t>
        </is>
      </c>
      <c r="Q449" s="24" t="inlineStr">
        <is>
          <t>37</t>
        </is>
      </c>
    </row>
    <row r="450" ht="24" customHeight="1">
      <c r="A450" s="29" t="inlineStr">
        <is>
          <t>OpenDART_fnlttSinglAcntAll</t>
        </is>
      </c>
      <c r="B450" s="29" t="inlineStr">
        <is>
          <t>01021666</t>
        </is>
      </c>
      <c r="C450" s="29" t="inlineStr">
        <is>
          <t>덕산테코피아</t>
        </is>
      </c>
      <c r="D450" s="29" t="inlineStr">
        <is>
          <t>duksan</t>
        </is>
      </c>
      <c r="E450" s="29" t="inlineStr">
        <is>
          <t>317330</t>
        </is>
      </c>
      <c r="F450" s="29" t="inlineStr">
        <is>
          <t>2024</t>
        </is>
      </c>
      <c r="G450" s="29" t="inlineStr">
        <is>
          <t>CFS</t>
        </is>
      </c>
      <c r="H450" s="29" t="inlineStr">
        <is>
          <t>BS</t>
        </is>
      </c>
      <c r="I450" s="29" t="inlineStr">
        <is>
          <t>재무상태표</t>
        </is>
      </c>
      <c r="J450" s="29" t="inlineStr">
        <is>
          <t>ifrs-full_TradeAndOtherCurrentPayables</t>
        </is>
      </c>
      <c r="K450" s="29" t="inlineStr">
        <is>
          <t>매입채무 및 기타유동채무</t>
        </is>
      </c>
      <c r="L450" s="29" t="inlineStr">
        <is>
          <t>-</t>
        </is>
      </c>
      <c r="M450" s="29" t="inlineStr">
        <is>
          <t>제 19 기</t>
        </is>
      </c>
      <c r="N450" s="29" t="inlineStr">
        <is>
          <t>185396953541.0</t>
        </is>
      </c>
      <c r="O450" s="29" t="inlineStr">
        <is>
          <t>129352135522.0</t>
        </is>
      </c>
      <c r="P450" s="29" t="inlineStr">
        <is>
          <t>KRW</t>
        </is>
      </c>
      <c r="Q450" s="29" t="inlineStr">
        <is>
          <t>38</t>
        </is>
      </c>
    </row>
    <row r="451" ht="24" customHeight="1">
      <c r="A451" s="24" t="inlineStr">
        <is>
          <t>OpenDART_fnlttSinglAcntAll</t>
        </is>
      </c>
      <c r="B451" s="24" t="inlineStr">
        <is>
          <t>01021666</t>
        </is>
      </c>
      <c r="C451" s="24" t="inlineStr">
        <is>
          <t>덕산테코피아</t>
        </is>
      </c>
      <c r="D451" s="24" t="inlineStr">
        <is>
          <t>duksan</t>
        </is>
      </c>
      <c r="E451" s="24" t="inlineStr">
        <is>
          <t>317330</t>
        </is>
      </c>
      <c r="F451" s="24" t="inlineStr">
        <is>
          <t>2024</t>
        </is>
      </c>
      <c r="G451" s="24" t="inlineStr">
        <is>
          <t>CFS</t>
        </is>
      </c>
      <c r="H451" s="24" t="inlineStr">
        <is>
          <t>BS</t>
        </is>
      </c>
      <c r="I451" s="24" t="inlineStr">
        <is>
          <t>재무상태표</t>
        </is>
      </c>
      <c r="J451" s="24" t="inlineStr">
        <is>
          <t>ifrs-full_Liabilities</t>
        </is>
      </c>
      <c r="K451" s="24" t="inlineStr">
        <is>
          <t>부채총계</t>
        </is>
      </c>
      <c r="L451" s="24" t="inlineStr">
        <is>
          <t>-</t>
        </is>
      </c>
      <c r="M451" s="24" t="inlineStr">
        <is>
          <t>제 19 기</t>
        </is>
      </c>
      <c r="N451" s="24" t="inlineStr">
        <is>
          <t>457247657885.0</t>
        </is>
      </c>
      <c r="O451" s="24" t="inlineStr">
        <is>
          <t>330061600648.0</t>
        </is>
      </c>
      <c r="P451" s="24" t="inlineStr">
        <is>
          <t>KRW</t>
        </is>
      </c>
      <c r="Q451" s="24" t="inlineStr">
        <is>
          <t>39</t>
        </is>
      </c>
    </row>
    <row r="452" ht="24" customHeight="1">
      <c r="A452" s="29" t="inlineStr">
        <is>
          <t>OpenDART_fnlttSinglAcntAll</t>
        </is>
      </c>
      <c r="B452" s="29" t="inlineStr">
        <is>
          <t>01021666</t>
        </is>
      </c>
      <c r="C452" s="29" t="inlineStr">
        <is>
          <t>덕산테코피아</t>
        </is>
      </c>
      <c r="D452" s="29" t="inlineStr">
        <is>
          <t>duksan</t>
        </is>
      </c>
      <c r="E452" s="29" t="inlineStr">
        <is>
          <t>317330</t>
        </is>
      </c>
      <c r="F452" s="29" t="inlineStr">
        <is>
          <t>2024</t>
        </is>
      </c>
      <c r="G452" s="29" t="inlineStr">
        <is>
          <t>CFS</t>
        </is>
      </c>
      <c r="H452" s="29" t="inlineStr">
        <is>
          <t>BS</t>
        </is>
      </c>
      <c r="I452" s="29" t="inlineStr">
        <is>
          <t>재무상태표</t>
        </is>
      </c>
      <c r="J452" s="29" t="inlineStr">
        <is>
          <t>ifrs-full_NoncurrentLiabilities</t>
        </is>
      </c>
      <c r="K452" s="29" t="inlineStr">
        <is>
          <t>비유동부채</t>
        </is>
      </c>
      <c r="L452" s="29" t="inlineStr">
        <is>
          <t>-</t>
        </is>
      </c>
      <c r="M452" s="29" t="inlineStr">
        <is>
          <t>제 19 기</t>
        </is>
      </c>
      <c r="N452" s="29" t="inlineStr">
        <is>
          <t>119151269044.0</t>
        </is>
      </c>
      <c r="O452" s="29" t="inlineStr">
        <is>
          <t>80410333456.0</t>
        </is>
      </c>
      <c r="P452" s="29" t="inlineStr">
        <is>
          <t>KRW</t>
        </is>
      </c>
      <c r="Q452" s="29" t="inlineStr">
        <is>
          <t>40</t>
        </is>
      </c>
    </row>
    <row r="453" ht="24" customHeight="1">
      <c r="A453" s="24" t="inlineStr">
        <is>
          <t>OpenDART_fnlttSinglAcntAll</t>
        </is>
      </c>
      <c r="B453" s="24" t="inlineStr">
        <is>
          <t>01021666</t>
        </is>
      </c>
      <c r="C453" s="24" t="inlineStr">
        <is>
          <t>덕산테코피아</t>
        </is>
      </c>
      <c r="D453" s="24" t="inlineStr">
        <is>
          <t>duksan</t>
        </is>
      </c>
      <c r="E453" s="24" t="inlineStr">
        <is>
          <t>317330</t>
        </is>
      </c>
      <c r="F453" s="24" t="inlineStr">
        <is>
          <t>2024</t>
        </is>
      </c>
      <c r="G453" s="24" t="inlineStr">
        <is>
          <t>CFS</t>
        </is>
      </c>
      <c r="H453" s="24" t="inlineStr">
        <is>
          <t>BS</t>
        </is>
      </c>
      <c r="I453" s="24" t="inlineStr">
        <is>
          <t>재무상태표</t>
        </is>
      </c>
      <c r="J453" s="24" t="inlineStr">
        <is>
          <t>dart_ConvertibleBonds</t>
        </is>
      </c>
      <c r="K453" s="24" t="inlineStr">
        <is>
          <t>전환사채</t>
        </is>
      </c>
      <c r="L453" s="24" t="inlineStr">
        <is>
          <t>-</t>
        </is>
      </c>
      <c r="M453" s="24" t="inlineStr">
        <is>
          <t>제 19 기</t>
        </is>
      </c>
      <c r="N453" s="24" t="inlineStr">
        <is>
          <t>해당 없음</t>
        </is>
      </c>
      <c r="O453" s="24" t="inlineStr">
        <is>
          <t>해당 없음</t>
        </is>
      </c>
      <c r="P453" s="24" t="inlineStr">
        <is>
          <t>KRW</t>
        </is>
      </c>
      <c r="Q453" s="24" t="inlineStr">
        <is>
          <t>41</t>
        </is>
      </c>
    </row>
    <row r="454" ht="24" customHeight="1">
      <c r="A454" s="29" t="inlineStr">
        <is>
          <t>OpenDART_fnlttSinglAcntAll</t>
        </is>
      </c>
      <c r="B454" s="29" t="inlineStr">
        <is>
          <t>01021666</t>
        </is>
      </c>
      <c r="C454" s="29" t="inlineStr">
        <is>
          <t>덕산테코피아</t>
        </is>
      </c>
      <c r="D454" s="29" t="inlineStr">
        <is>
          <t>duksan</t>
        </is>
      </c>
      <c r="E454" s="29" t="inlineStr">
        <is>
          <t>317330</t>
        </is>
      </c>
      <c r="F454" s="29" t="inlineStr">
        <is>
          <t>2024</t>
        </is>
      </c>
      <c r="G454" s="29" t="inlineStr">
        <is>
          <t>CFS</t>
        </is>
      </c>
      <c r="H454" s="29" t="inlineStr">
        <is>
          <t>BS</t>
        </is>
      </c>
      <c r="I454" s="29" t="inlineStr">
        <is>
          <t>재무상태표</t>
        </is>
      </c>
      <c r="J454" s="29" t="inlineStr">
        <is>
          <t>dart_ConvertibleRedeemablePreferredStockLiabilities</t>
        </is>
      </c>
      <c r="K454" s="29" t="inlineStr">
        <is>
          <t>전환상환우선주부채</t>
        </is>
      </c>
      <c r="L454" s="29" t="inlineStr">
        <is>
          <t>-</t>
        </is>
      </c>
      <c r="M454" s="29" t="inlineStr">
        <is>
          <t>제 19 기</t>
        </is>
      </c>
      <c r="N454" s="29" t="inlineStr">
        <is>
          <t>96851761679.0</t>
        </is>
      </c>
      <c r="O454" s="29" t="inlineStr">
        <is>
          <t>66134569543.0</t>
        </is>
      </c>
      <c r="P454" s="29" t="inlineStr">
        <is>
          <t>KRW</t>
        </is>
      </c>
      <c r="Q454" s="29" t="inlineStr">
        <is>
          <t>42</t>
        </is>
      </c>
    </row>
    <row r="455" ht="24" customHeight="1">
      <c r="A455" s="24" t="inlineStr">
        <is>
          <t>OpenDART_fnlttSinglAcntAll</t>
        </is>
      </c>
      <c r="B455" s="24" t="inlineStr">
        <is>
          <t>01021666</t>
        </is>
      </c>
      <c r="C455" s="24" t="inlineStr">
        <is>
          <t>덕산테코피아</t>
        </is>
      </c>
      <c r="D455" s="24" t="inlineStr">
        <is>
          <t>duksan</t>
        </is>
      </c>
      <c r="E455" s="24" t="inlineStr">
        <is>
          <t>317330</t>
        </is>
      </c>
      <c r="F455" s="24" t="inlineStr">
        <is>
          <t>2024</t>
        </is>
      </c>
      <c r="G455" s="24" t="inlineStr">
        <is>
          <t>CFS</t>
        </is>
      </c>
      <c r="H455" s="24" t="inlineStr">
        <is>
          <t>BS</t>
        </is>
      </c>
      <c r="I455" s="24" t="inlineStr">
        <is>
          <t>재무상태표</t>
        </is>
      </c>
      <c r="J455" s="24" t="inlineStr">
        <is>
          <t>dart_LongTermBorrowingsGross</t>
        </is>
      </c>
      <c r="K455" s="24" t="inlineStr">
        <is>
          <t>장기차입금</t>
        </is>
      </c>
      <c r="L455" s="24" t="inlineStr">
        <is>
          <t>-</t>
        </is>
      </c>
      <c r="M455" s="24" t="inlineStr">
        <is>
          <t>제 19 기</t>
        </is>
      </c>
      <c r="N455" s="24" t="inlineStr">
        <is>
          <t>15214080000.0</t>
        </is>
      </c>
      <c r="O455" s="24" t="inlineStr">
        <is>
          <t>10000000000.0</t>
        </is>
      </c>
      <c r="P455" s="24" t="inlineStr">
        <is>
          <t>KRW</t>
        </is>
      </c>
      <c r="Q455" s="24" t="inlineStr">
        <is>
          <t>43</t>
        </is>
      </c>
    </row>
    <row r="456" ht="24" customHeight="1">
      <c r="A456" s="29" t="inlineStr">
        <is>
          <t>OpenDART_fnlttSinglAcntAll</t>
        </is>
      </c>
      <c r="B456" s="29" t="inlineStr">
        <is>
          <t>01021666</t>
        </is>
      </c>
      <c r="C456" s="29" t="inlineStr">
        <is>
          <t>덕산테코피아</t>
        </is>
      </c>
      <c r="D456" s="29" t="inlineStr">
        <is>
          <t>duksan</t>
        </is>
      </c>
      <c r="E456" s="29" t="inlineStr">
        <is>
          <t>317330</t>
        </is>
      </c>
      <c r="F456" s="29" t="inlineStr">
        <is>
          <t>2024</t>
        </is>
      </c>
      <c r="G456" s="29" t="inlineStr">
        <is>
          <t>CFS</t>
        </is>
      </c>
      <c r="H456" s="29" t="inlineStr">
        <is>
          <t>BS</t>
        </is>
      </c>
      <c r="I456" s="29" t="inlineStr">
        <is>
          <t>재무상태표</t>
        </is>
      </c>
      <c r="J456" s="29" t="inlineStr">
        <is>
          <t>dart_LongTermTradeAndOtherNonCurrentPayables</t>
        </is>
      </c>
      <c r="K456" s="29" t="inlineStr">
        <is>
          <t>장기매입채무 및 기타비유동채무</t>
        </is>
      </c>
      <c r="L456" s="29" t="inlineStr">
        <is>
          <t>-</t>
        </is>
      </c>
      <c r="M456" s="29" t="inlineStr">
        <is>
          <t>제 19 기</t>
        </is>
      </c>
      <c r="N456" s="29" t="inlineStr">
        <is>
          <t>4104678204.0</t>
        </is>
      </c>
      <c r="O456" s="29" t="inlineStr">
        <is>
          <t>3401686285.0</t>
        </is>
      </c>
      <c r="P456" s="29" t="inlineStr">
        <is>
          <t>KRW</t>
        </is>
      </c>
      <c r="Q456" s="29" t="inlineStr">
        <is>
          <t>44</t>
        </is>
      </c>
    </row>
    <row r="457" ht="24" customHeight="1">
      <c r="A457" s="24" t="inlineStr">
        <is>
          <t>OpenDART_fnlttSinglAcntAll</t>
        </is>
      </c>
      <c r="B457" s="24" t="inlineStr">
        <is>
          <t>01021666</t>
        </is>
      </c>
      <c r="C457" s="24" t="inlineStr">
        <is>
          <t>덕산테코피아</t>
        </is>
      </c>
      <c r="D457" s="24" t="inlineStr">
        <is>
          <t>duksan</t>
        </is>
      </c>
      <c r="E457" s="24" t="inlineStr">
        <is>
          <t>317330</t>
        </is>
      </c>
      <c r="F457" s="24" t="inlineStr">
        <is>
          <t>2024</t>
        </is>
      </c>
      <c r="G457" s="24" t="inlineStr">
        <is>
          <t>CFS</t>
        </is>
      </c>
      <c r="H457" s="24" t="inlineStr">
        <is>
          <t>BS</t>
        </is>
      </c>
      <c r="I457" s="24" t="inlineStr">
        <is>
          <t>재무상태표</t>
        </is>
      </c>
      <c r="J457" s="24" t="inlineStr">
        <is>
          <t>dart_PresentValueOfDefinedBenefitObligation</t>
        </is>
      </c>
      <c r="K457" s="24" t="inlineStr">
        <is>
          <t>순확정급여부채</t>
        </is>
      </c>
      <c r="L457" s="24" t="inlineStr">
        <is>
          <t>-</t>
        </is>
      </c>
      <c r="M457" s="24" t="inlineStr">
        <is>
          <t>제 19 기</t>
        </is>
      </c>
      <c r="N457" s="24" t="inlineStr">
        <is>
          <t>1719249403.0</t>
        </is>
      </c>
      <c r="O457" s="24" t="inlineStr">
        <is>
          <t>470974178.0</t>
        </is>
      </c>
      <c r="P457" s="24" t="inlineStr">
        <is>
          <t>KRW</t>
        </is>
      </c>
      <c r="Q457" s="24" t="inlineStr">
        <is>
          <t>45</t>
        </is>
      </c>
    </row>
    <row r="458" ht="24" customHeight="1">
      <c r="A458" s="29" t="inlineStr">
        <is>
          <t>OpenDART_fnlttSinglAcntAll</t>
        </is>
      </c>
      <c r="B458" s="29" t="inlineStr">
        <is>
          <t>01021666</t>
        </is>
      </c>
      <c r="C458" s="29" t="inlineStr">
        <is>
          <t>덕산테코피아</t>
        </is>
      </c>
      <c r="D458" s="29" t="inlineStr">
        <is>
          <t>duksan</t>
        </is>
      </c>
      <c r="E458" s="29" t="inlineStr">
        <is>
          <t>317330</t>
        </is>
      </c>
      <c r="F458" s="29" t="inlineStr">
        <is>
          <t>2024</t>
        </is>
      </c>
      <c r="G458" s="29" t="inlineStr">
        <is>
          <t>CFS</t>
        </is>
      </c>
      <c r="H458" s="29" t="inlineStr">
        <is>
          <t>BS</t>
        </is>
      </c>
      <c r="I458" s="29" t="inlineStr">
        <is>
          <t>재무상태표</t>
        </is>
      </c>
      <c r="J458" s="29" t="inlineStr">
        <is>
          <t>ifrs-full_DeferredTaxLiabilities</t>
        </is>
      </c>
      <c r="K458" s="29" t="inlineStr">
        <is>
          <t>이연법인세부채</t>
        </is>
      </c>
      <c r="L458" s="29" t="inlineStr">
        <is>
          <t>-</t>
        </is>
      </c>
      <c r="M458" s="29" t="inlineStr">
        <is>
          <t>제 19 기</t>
        </is>
      </c>
      <c r="N458" s="29" t="inlineStr">
        <is>
          <t>907025513.0</t>
        </is>
      </c>
      <c r="O458" s="29" t="inlineStr">
        <is>
          <t>108111380.0</t>
        </is>
      </c>
      <c r="P458" s="29" t="inlineStr">
        <is>
          <t>KRW</t>
        </is>
      </c>
      <c r="Q458" s="29" t="inlineStr">
        <is>
          <t>46</t>
        </is>
      </c>
    </row>
    <row r="459" ht="24" customHeight="1">
      <c r="A459" s="24" t="inlineStr">
        <is>
          <t>OpenDART_fnlttSinglAcntAll</t>
        </is>
      </c>
      <c r="B459" s="24" t="inlineStr">
        <is>
          <t>01021666</t>
        </is>
      </c>
      <c r="C459" s="24" t="inlineStr">
        <is>
          <t>덕산테코피아</t>
        </is>
      </c>
      <c r="D459" s="24" t="inlineStr">
        <is>
          <t>duksan</t>
        </is>
      </c>
      <c r="E459" s="24" t="inlineStr">
        <is>
          <t>317330</t>
        </is>
      </c>
      <c r="F459" s="24" t="inlineStr">
        <is>
          <t>2024</t>
        </is>
      </c>
      <c r="G459" s="24" t="inlineStr">
        <is>
          <t>CFS</t>
        </is>
      </c>
      <c r="H459" s="24" t="inlineStr">
        <is>
          <t>BS</t>
        </is>
      </c>
      <c r="I459" s="24" t="inlineStr">
        <is>
          <t>재무상태표</t>
        </is>
      </c>
      <c r="J459" s="24" t="inlineStr">
        <is>
          <t>ifrs-full_OtherNoncurrentLiabilities</t>
        </is>
      </c>
      <c r="K459" s="24" t="inlineStr">
        <is>
          <t>기타 비유동 부채</t>
        </is>
      </c>
      <c r="L459" s="24" t="inlineStr">
        <is>
          <t>-</t>
        </is>
      </c>
      <c r="M459" s="24" t="inlineStr">
        <is>
          <t>제 19 기</t>
        </is>
      </c>
      <c r="N459" s="24" t="inlineStr">
        <is>
          <t>354474245.0</t>
        </is>
      </c>
      <c r="O459" s="24" t="inlineStr">
        <is>
          <t>294992070.0</t>
        </is>
      </c>
      <c r="P459" s="24" t="inlineStr">
        <is>
          <t>KRW</t>
        </is>
      </c>
      <c r="Q459" s="24" t="inlineStr">
        <is>
          <t>47</t>
        </is>
      </c>
    </row>
    <row r="460" ht="24" customHeight="1">
      <c r="A460" s="29" t="inlineStr">
        <is>
          <t>OpenDART_fnlttSinglAcntAll</t>
        </is>
      </c>
      <c r="B460" s="29" t="inlineStr">
        <is>
          <t>01021666</t>
        </is>
      </c>
      <c r="C460" s="29" t="inlineStr">
        <is>
          <t>덕산테코피아</t>
        </is>
      </c>
      <c r="D460" s="29" t="inlineStr">
        <is>
          <t>duksan</t>
        </is>
      </c>
      <c r="E460" s="29" t="inlineStr">
        <is>
          <t>317330</t>
        </is>
      </c>
      <c r="F460" s="29" t="inlineStr">
        <is>
          <t>2024</t>
        </is>
      </c>
      <c r="G460" s="29" t="inlineStr">
        <is>
          <t>CFS</t>
        </is>
      </c>
      <c r="H460" s="29" t="inlineStr">
        <is>
          <t>CIS</t>
        </is>
      </c>
      <c r="I460" s="29" t="inlineStr">
        <is>
          <t>포괄손익계산서</t>
        </is>
      </c>
      <c r="J460" s="29" t="inlineStr">
        <is>
          <t>dart_OperatingIncomeLoss</t>
        </is>
      </c>
      <c r="K460" s="29" t="inlineStr">
        <is>
          <t>영업이익(손실)</t>
        </is>
      </c>
      <c r="L460" s="29" t="inlineStr">
        <is>
          <t>-</t>
        </is>
      </c>
      <c r="M460" s="29" t="inlineStr">
        <is>
          <t>제 19 기</t>
        </is>
      </c>
      <c r="N460" s="29" t="inlineStr">
        <is>
          <t>-30219465064.0</t>
        </is>
      </c>
      <c r="O460" s="29" t="inlineStr">
        <is>
          <t>-6225474421.0</t>
        </is>
      </c>
      <c r="P460" s="29" t="inlineStr">
        <is>
          <t>KRW</t>
        </is>
      </c>
      <c r="Q460" s="29" t="inlineStr">
        <is>
          <t>6</t>
        </is>
      </c>
    </row>
    <row r="461" ht="24" customHeight="1">
      <c r="A461" s="24" t="inlineStr">
        <is>
          <t>OpenDART_fnlttSinglAcntAll</t>
        </is>
      </c>
      <c r="B461" s="24" t="inlineStr">
        <is>
          <t>01021666</t>
        </is>
      </c>
      <c r="C461" s="24" t="inlineStr">
        <is>
          <t>덕산테코피아</t>
        </is>
      </c>
      <c r="D461" s="24" t="inlineStr">
        <is>
          <t>duksan</t>
        </is>
      </c>
      <c r="E461" s="24" t="inlineStr">
        <is>
          <t>317330</t>
        </is>
      </c>
      <c r="F461" s="24" t="inlineStr">
        <is>
          <t>2024</t>
        </is>
      </c>
      <c r="G461" s="24" t="inlineStr">
        <is>
          <t>CFS</t>
        </is>
      </c>
      <c r="H461" s="24" t="inlineStr">
        <is>
          <t>CIS</t>
        </is>
      </c>
      <c r="I461" s="24" t="inlineStr">
        <is>
          <t>포괄손익계산서</t>
        </is>
      </c>
      <c r="J461" s="24" t="inlineStr">
        <is>
          <t>dart_OtherGains</t>
        </is>
      </c>
      <c r="K461" s="24" t="inlineStr">
        <is>
          <t>기타이익</t>
        </is>
      </c>
      <c r="L461" s="24" t="inlineStr">
        <is>
          <t>-</t>
        </is>
      </c>
      <c r="M461" s="24" t="inlineStr">
        <is>
          <t>제 19 기</t>
        </is>
      </c>
      <c r="N461" s="24" t="inlineStr">
        <is>
          <t>18214228461.0</t>
        </is>
      </c>
      <c r="O461" s="24" t="inlineStr">
        <is>
          <t>1329617888.0</t>
        </is>
      </c>
      <c r="P461" s="24" t="inlineStr">
        <is>
          <t>KRW</t>
        </is>
      </c>
      <c r="Q461" s="24" t="inlineStr">
        <is>
          <t>7</t>
        </is>
      </c>
    </row>
    <row r="462" ht="24" customHeight="1">
      <c r="A462" s="29" t="inlineStr">
        <is>
          <t>OpenDART_fnlttSinglAcntAll</t>
        </is>
      </c>
      <c r="B462" s="29" t="inlineStr">
        <is>
          <t>01021666</t>
        </is>
      </c>
      <c r="C462" s="29" t="inlineStr">
        <is>
          <t>덕산테코피아</t>
        </is>
      </c>
      <c r="D462" s="29" t="inlineStr">
        <is>
          <t>duksan</t>
        </is>
      </c>
      <c r="E462" s="29" t="inlineStr">
        <is>
          <t>317330</t>
        </is>
      </c>
      <c r="F462" s="29" t="inlineStr">
        <is>
          <t>2024</t>
        </is>
      </c>
      <c r="G462" s="29" t="inlineStr">
        <is>
          <t>CFS</t>
        </is>
      </c>
      <c r="H462" s="29" t="inlineStr">
        <is>
          <t>CIS</t>
        </is>
      </c>
      <c r="I462" s="29" t="inlineStr">
        <is>
          <t>포괄손익계산서</t>
        </is>
      </c>
      <c r="J462" s="29" t="inlineStr">
        <is>
          <t>dart_OtherLosses</t>
        </is>
      </c>
      <c r="K462" s="29" t="inlineStr">
        <is>
          <t>기타손실</t>
        </is>
      </c>
      <c r="L462" s="29" t="inlineStr">
        <is>
          <t>-</t>
        </is>
      </c>
      <c r="M462" s="29" t="inlineStr">
        <is>
          <t>제 19 기</t>
        </is>
      </c>
      <c r="N462" s="29" t="inlineStr">
        <is>
          <t>484698045.0</t>
        </is>
      </c>
      <c r="O462" s="29" t="inlineStr">
        <is>
          <t>2204436091.0</t>
        </is>
      </c>
      <c r="P462" s="29" t="inlineStr">
        <is>
          <t>KRW</t>
        </is>
      </c>
      <c r="Q462" s="29" t="inlineStr">
        <is>
          <t>8</t>
        </is>
      </c>
    </row>
    <row r="463" ht="24" customHeight="1">
      <c r="A463" s="24" t="inlineStr">
        <is>
          <t>OpenDART_fnlttSinglAcntAll</t>
        </is>
      </c>
      <c r="B463" s="24" t="inlineStr">
        <is>
          <t>01021666</t>
        </is>
      </c>
      <c r="C463" s="24" t="inlineStr">
        <is>
          <t>덕산테코피아</t>
        </is>
      </c>
      <c r="D463" s="24" t="inlineStr">
        <is>
          <t>duksan</t>
        </is>
      </c>
      <c r="E463" s="24" t="inlineStr">
        <is>
          <t>317330</t>
        </is>
      </c>
      <c r="F463" s="24" t="inlineStr">
        <is>
          <t>2024</t>
        </is>
      </c>
      <c r="G463" s="24" t="inlineStr">
        <is>
          <t>CFS</t>
        </is>
      </c>
      <c r="H463" s="24" t="inlineStr">
        <is>
          <t>CIS</t>
        </is>
      </c>
      <c r="I463" s="24" t="inlineStr">
        <is>
          <t>포괄손익계산서</t>
        </is>
      </c>
      <c r="J463" s="24" t="inlineStr">
        <is>
          <t>dart_TotalSellingGeneralAdministrativeExpenses</t>
        </is>
      </c>
      <c r="K463" s="24" t="inlineStr">
        <is>
          <t>판매비와관리비</t>
        </is>
      </c>
      <c r="L463" s="24" t="inlineStr">
        <is>
          <t>-</t>
        </is>
      </c>
      <c r="M463" s="24" t="inlineStr">
        <is>
          <t>제 19 기</t>
        </is>
      </c>
      <c r="N463" s="24" t="inlineStr">
        <is>
          <t>43449108614.0</t>
        </is>
      </c>
      <c r="O463" s="24" t="inlineStr">
        <is>
          <t>37116817850.0</t>
        </is>
      </c>
      <c r="P463" s="24" t="inlineStr">
        <is>
          <t>KRW</t>
        </is>
      </c>
      <c r="Q463" s="24" t="inlineStr">
        <is>
          <t>9</t>
        </is>
      </c>
    </row>
    <row r="464" ht="24" customHeight="1">
      <c r="A464" s="29" t="inlineStr">
        <is>
          <t>OpenDART_fnlttSinglAcntAll</t>
        </is>
      </c>
      <c r="B464" s="29" t="inlineStr">
        <is>
          <t>01021666</t>
        </is>
      </c>
      <c r="C464" s="29" t="inlineStr">
        <is>
          <t>덕산테코피아</t>
        </is>
      </c>
      <c r="D464" s="29" t="inlineStr">
        <is>
          <t>duksan</t>
        </is>
      </c>
      <c r="E464" s="29" t="inlineStr">
        <is>
          <t>317330</t>
        </is>
      </c>
      <c r="F464" s="29" t="inlineStr">
        <is>
          <t>2024</t>
        </is>
      </c>
      <c r="G464" s="29" t="inlineStr">
        <is>
          <t>CFS</t>
        </is>
      </c>
      <c r="H464" s="29" t="inlineStr">
        <is>
          <t>CIS</t>
        </is>
      </c>
      <c r="I464" s="29" t="inlineStr">
        <is>
          <t>포괄손익계산서</t>
        </is>
      </c>
      <c r="J464" s="29" t="inlineStr">
        <is>
          <t>ifrs-full_ComprehensiveIncome</t>
        </is>
      </c>
      <c r="K464" s="29" t="inlineStr">
        <is>
          <t>총포괄손익</t>
        </is>
      </c>
      <c r="L464" s="29" t="inlineStr">
        <is>
          <t>-</t>
        </is>
      </c>
      <c r="M464" s="29" t="inlineStr">
        <is>
          <t>제 19 기</t>
        </is>
      </c>
      <c r="N464" s="29" t="inlineStr">
        <is>
          <t>-74803665844.0</t>
        </is>
      </c>
      <c r="O464" s="29" t="inlineStr">
        <is>
          <t>-20440351192.0</t>
        </is>
      </c>
      <c r="P464" s="29" t="inlineStr">
        <is>
          <t>KRW</t>
        </is>
      </c>
      <c r="Q464" s="29" t="inlineStr">
        <is>
          <t>10</t>
        </is>
      </c>
    </row>
    <row r="465" ht="24" customHeight="1">
      <c r="A465" s="24" t="inlineStr">
        <is>
          <t>OpenDART_fnlttSinglAcntAll</t>
        </is>
      </c>
      <c r="B465" s="24" t="inlineStr">
        <is>
          <t>01021666</t>
        </is>
      </c>
      <c r="C465" s="24" t="inlineStr">
        <is>
          <t>덕산테코피아</t>
        </is>
      </c>
      <c r="D465" s="24" t="inlineStr">
        <is>
          <t>duksan</t>
        </is>
      </c>
      <c r="E465" s="24" t="inlineStr">
        <is>
          <t>317330</t>
        </is>
      </c>
      <c r="F465" s="24" t="inlineStr">
        <is>
          <t>2024</t>
        </is>
      </c>
      <c r="G465" s="24" t="inlineStr">
        <is>
          <t>CFS</t>
        </is>
      </c>
      <c r="H465" s="24" t="inlineStr">
        <is>
          <t>CIS</t>
        </is>
      </c>
      <c r="I465" s="24" t="inlineStr">
        <is>
          <t>포괄손익계산서</t>
        </is>
      </c>
      <c r="J465" s="24" t="inlineStr">
        <is>
          <t>ifrs-full_ComprehensiveIncomeAttributableToNoncontrollingInterests</t>
        </is>
      </c>
      <c r="K465" s="24" t="inlineStr">
        <is>
          <t>포괄손익, 비지배지분</t>
        </is>
      </c>
      <c r="L465" s="24" t="inlineStr">
        <is>
          <t>-</t>
        </is>
      </c>
      <c r="M465" s="24" t="inlineStr">
        <is>
          <t>제 19 기</t>
        </is>
      </c>
      <c r="N465" s="24" t="inlineStr">
        <is>
          <t>-20053147446.0</t>
        </is>
      </c>
      <c r="O465" s="24" t="inlineStr">
        <is>
          <t>-12320612507.0</t>
        </is>
      </c>
      <c r="P465" s="24" t="inlineStr">
        <is>
          <t>KRW</t>
        </is>
      </c>
      <c r="Q465" s="24" t="inlineStr">
        <is>
          <t>12</t>
        </is>
      </c>
    </row>
    <row r="466" ht="24" customHeight="1">
      <c r="A466" s="29" t="inlineStr">
        <is>
          <t>OpenDART_fnlttSinglAcntAll</t>
        </is>
      </c>
      <c r="B466" s="29" t="inlineStr">
        <is>
          <t>01021666</t>
        </is>
      </c>
      <c r="C466" s="29" t="inlineStr">
        <is>
          <t>덕산테코피아</t>
        </is>
      </c>
      <c r="D466" s="29" t="inlineStr">
        <is>
          <t>duksan</t>
        </is>
      </c>
      <c r="E466" s="29" t="inlineStr">
        <is>
          <t>317330</t>
        </is>
      </c>
      <c r="F466" s="29" t="inlineStr">
        <is>
          <t>2024</t>
        </is>
      </c>
      <c r="G466" s="29" t="inlineStr">
        <is>
          <t>CFS</t>
        </is>
      </c>
      <c r="H466" s="29" t="inlineStr">
        <is>
          <t>CIS</t>
        </is>
      </c>
      <c r="I466" s="29" t="inlineStr">
        <is>
          <t>포괄손익계산서</t>
        </is>
      </c>
      <c r="J466" s="29" t="inlineStr">
        <is>
          <t>ifrs-full_ComprehensiveIncomeAttributableToOwnersOfParent</t>
        </is>
      </c>
      <c r="K466" s="29" t="inlineStr">
        <is>
          <t>포괄손익, 지배기업의 소유주에게 귀속되는 지분</t>
        </is>
      </c>
      <c r="L466" s="29" t="inlineStr">
        <is>
          <t>-</t>
        </is>
      </c>
      <c r="M466" s="29" t="inlineStr">
        <is>
          <t>제 19 기</t>
        </is>
      </c>
      <c r="N466" s="29" t="inlineStr">
        <is>
          <t>-54750518398.0</t>
        </is>
      </c>
      <c r="O466" s="29" t="inlineStr">
        <is>
          <t>-8119738685.0</t>
        </is>
      </c>
      <c r="P466" s="29" t="inlineStr">
        <is>
          <t>KRW</t>
        </is>
      </c>
      <c r="Q466" s="29" t="inlineStr">
        <is>
          <t>13</t>
        </is>
      </c>
    </row>
    <row r="467" ht="24" customHeight="1">
      <c r="A467" s="24" t="inlineStr">
        <is>
          <t>OpenDART_fnlttSinglAcntAll</t>
        </is>
      </c>
      <c r="B467" s="24" t="inlineStr">
        <is>
          <t>01021666</t>
        </is>
      </c>
      <c r="C467" s="24" t="inlineStr">
        <is>
          <t>덕산테코피아</t>
        </is>
      </c>
      <c r="D467" s="24" t="inlineStr">
        <is>
          <t>duksan</t>
        </is>
      </c>
      <c r="E467" s="24" t="inlineStr">
        <is>
          <t>317330</t>
        </is>
      </c>
      <c r="F467" s="24" t="inlineStr">
        <is>
          <t>2024</t>
        </is>
      </c>
      <c r="G467" s="24" t="inlineStr">
        <is>
          <t>CFS</t>
        </is>
      </c>
      <c r="H467" s="24" t="inlineStr">
        <is>
          <t>CIS</t>
        </is>
      </c>
      <c r="I467" s="24" t="inlineStr">
        <is>
          <t>포괄손익계산서</t>
        </is>
      </c>
      <c r="J467" s="24" t="inlineStr">
        <is>
          <t>ifrs-full_CostOfSales</t>
        </is>
      </c>
      <c r="K467" s="24" t="inlineStr">
        <is>
          <t>매출원가</t>
        </is>
      </c>
      <c r="L467" s="24" t="inlineStr">
        <is>
          <t>-</t>
        </is>
      </c>
      <c r="M467" s="24" t="inlineStr">
        <is>
          <t>제 19 기</t>
        </is>
      </c>
      <c r="N467" s="24" t="inlineStr">
        <is>
          <t>86464787962.0</t>
        </is>
      </c>
      <c r="O467" s="24" t="inlineStr">
        <is>
          <t>63185368845.0</t>
        </is>
      </c>
      <c r="P467" s="24" t="inlineStr">
        <is>
          <t>KRW</t>
        </is>
      </c>
      <c r="Q467" s="24" t="inlineStr">
        <is>
          <t>14</t>
        </is>
      </c>
    </row>
    <row r="468" ht="24" customHeight="1">
      <c r="A468" s="29" t="inlineStr">
        <is>
          <t>OpenDART_fnlttSinglAcntAll</t>
        </is>
      </c>
      <c r="B468" s="29" t="inlineStr">
        <is>
          <t>01021666</t>
        </is>
      </c>
      <c r="C468" s="29" t="inlineStr">
        <is>
          <t>덕산테코피아</t>
        </is>
      </c>
      <c r="D468" s="29" t="inlineStr">
        <is>
          <t>duksan</t>
        </is>
      </c>
      <c r="E468" s="29" t="inlineStr">
        <is>
          <t>317330</t>
        </is>
      </c>
      <c r="F468" s="29" t="inlineStr">
        <is>
          <t>2024</t>
        </is>
      </c>
      <c r="G468" s="29" t="inlineStr">
        <is>
          <t>CFS</t>
        </is>
      </c>
      <c r="H468" s="29" t="inlineStr">
        <is>
          <t>CIS</t>
        </is>
      </c>
      <c r="I468" s="29" t="inlineStr">
        <is>
          <t>포괄손익계산서</t>
        </is>
      </c>
      <c r="J468" s="29" t="inlineStr">
        <is>
          <t>ifrs-full_BasicEarningsLossPerShare</t>
        </is>
      </c>
      <c r="K468" s="29" t="inlineStr">
        <is>
          <t>기본주당이익(손실)</t>
        </is>
      </c>
      <c r="L468" s="29" t="inlineStr">
        <is>
          <t>-</t>
        </is>
      </c>
      <c r="M468" s="29" t="inlineStr">
        <is>
          <t>제 19 기</t>
        </is>
      </c>
      <c r="N468" s="29" t="inlineStr">
        <is>
          <t>-2692.0</t>
        </is>
      </c>
      <c r="O468" s="29" t="inlineStr">
        <is>
          <t>-408.0</t>
        </is>
      </c>
      <c r="P468" s="29" t="inlineStr">
        <is>
          <t>KRW</t>
        </is>
      </c>
      <c r="Q468" s="29" t="inlineStr">
        <is>
          <t>16</t>
        </is>
      </c>
    </row>
    <row r="469" ht="24" customHeight="1">
      <c r="A469" s="24" t="inlineStr">
        <is>
          <t>OpenDART_fnlttSinglAcntAll</t>
        </is>
      </c>
      <c r="B469" s="24" t="inlineStr">
        <is>
          <t>01021666</t>
        </is>
      </c>
      <c r="C469" s="24" t="inlineStr">
        <is>
          <t>덕산테코피아</t>
        </is>
      </c>
      <c r="D469" s="24" t="inlineStr">
        <is>
          <t>duksan</t>
        </is>
      </c>
      <c r="E469" s="24" t="inlineStr">
        <is>
          <t>317330</t>
        </is>
      </c>
      <c r="F469" s="24" t="inlineStr">
        <is>
          <t>2024</t>
        </is>
      </c>
      <c r="G469" s="24" t="inlineStr">
        <is>
          <t>CFS</t>
        </is>
      </c>
      <c r="H469" s="24" t="inlineStr">
        <is>
          <t>CIS</t>
        </is>
      </c>
      <c r="I469" s="24" t="inlineStr">
        <is>
          <t>포괄손익계산서</t>
        </is>
      </c>
      <c r="J469" s="24" t="inlineStr">
        <is>
          <t>ifrs-full_DilutedEarningsLossPerShare</t>
        </is>
      </c>
      <c r="K469" s="24" t="inlineStr">
        <is>
          <t>희석주당이익(손실)</t>
        </is>
      </c>
      <c r="L469" s="24" t="inlineStr">
        <is>
          <t>-</t>
        </is>
      </c>
      <c r="M469" s="24" t="inlineStr">
        <is>
          <t>제 19 기</t>
        </is>
      </c>
      <c r="N469" s="24" t="inlineStr">
        <is>
          <t>-2692.0</t>
        </is>
      </c>
      <c r="O469" s="24" t="inlineStr">
        <is>
          <t>-408.0</t>
        </is>
      </c>
      <c r="P469" s="24" t="inlineStr">
        <is>
          <t>KRW</t>
        </is>
      </c>
      <c r="Q469" s="24" t="inlineStr">
        <is>
          <t>17</t>
        </is>
      </c>
    </row>
    <row r="470" ht="24" customHeight="1">
      <c r="A470" s="29" t="inlineStr">
        <is>
          <t>OpenDART_fnlttSinglAcntAll</t>
        </is>
      </c>
      <c r="B470" s="29" t="inlineStr">
        <is>
          <t>01021666</t>
        </is>
      </c>
      <c r="C470" s="29" t="inlineStr">
        <is>
          <t>덕산테코피아</t>
        </is>
      </c>
      <c r="D470" s="29" t="inlineStr">
        <is>
          <t>duksan</t>
        </is>
      </c>
      <c r="E470" s="29" t="inlineStr">
        <is>
          <t>317330</t>
        </is>
      </c>
      <c r="F470" s="29" t="inlineStr">
        <is>
          <t>2024</t>
        </is>
      </c>
      <c r="G470" s="29" t="inlineStr">
        <is>
          <t>CFS</t>
        </is>
      </c>
      <c r="H470" s="29" t="inlineStr">
        <is>
          <t>CIS</t>
        </is>
      </c>
      <c r="I470" s="29" t="inlineStr">
        <is>
          <t>포괄손익계산서</t>
        </is>
      </c>
      <c r="J470" s="29" t="inlineStr">
        <is>
          <t>ifrs-full_FinanceCosts</t>
        </is>
      </c>
      <c r="K470" s="29" t="inlineStr">
        <is>
          <t>금융원가</t>
        </is>
      </c>
      <c r="L470" s="29" t="inlineStr">
        <is>
          <t>-</t>
        </is>
      </c>
      <c r="M470" s="29" t="inlineStr">
        <is>
          <t>제 19 기</t>
        </is>
      </c>
      <c r="N470" s="29" t="inlineStr">
        <is>
          <t>82799666612.0</t>
        </is>
      </c>
      <c r="O470" s="29" t="inlineStr">
        <is>
          <t>18109516105.0</t>
        </is>
      </c>
      <c r="P470" s="29" t="inlineStr">
        <is>
          <t>KRW</t>
        </is>
      </c>
      <c r="Q470" s="29" t="inlineStr">
        <is>
          <t>18</t>
        </is>
      </c>
    </row>
    <row r="471" ht="24" customHeight="1">
      <c r="A471" s="24" t="inlineStr">
        <is>
          <t>OpenDART_fnlttSinglAcntAll</t>
        </is>
      </c>
      <c r="B471" s="24" t="inlineStr">
        <is>
          <t>01021666</t>
        </is>
      </c>
      <c r="C471" s="24" t="inlineStr">
        <is>
          <t>덕산테코피아</t>
        </is>
      </c>
      <c r="D471" s="24" t="inlineStr">
        <is>
          <t>duksan</t>
        </is>
      </c>
      <c r="E471" s="24" t="inlineStr">
        <is>
          <t>317330</t>
        </is>
      </c>
      <c r="F471" s="24" t="inlineStr">
        <is>
          <t>2024</t>
        </is>
      </c>
      <c r="G471" s="24" t="inlineStr">
        <is>
          <t>CFS</t>
        </is>
      </c>
      <c r="H471" s="24" t="inlineStr">
        <is>
          <t>CIS</t>
        </is>
      </c>
      <c r="I471" s="24" t="inlineStr">
        <is>
          <t>포괄손익계산서</t>
        </is>
      </c>
      <c r="J471" s="24" t="inlineStr">
        <is>
          <t>ifrs-full_FinanceIncome</t>
        </is>
      </c>
      <c r="K471" s="24" t="inlineStr">
        <is>
          <t>금융수익</t>
        </is>
      </c>
      <c r="L471" s="24" t="inlineStr">
        <is>
          <t>-</t>
        </is>
      </c>
      <c r="M471" s="24" t="inlineStr">
        <is>
          <t>제 19 기</t>
        </is>
      </c>
      <c r="N471" s="24" t="inlineStr">
        <is>
          <t>22776532351.0</t>
        </is>
      </c>
      <c r="O471" s="24" t="inlineStr">
        <is>
          <t>4458211188.0</t>
        </is>
      </c>
      <c r="P471" s="24" t="inlineStr">
        <is>
          <t>KRW</t>
        </is>
      </c>
      <c r="Q471" s="24" t="inlineStr">
        <is>
          <t>19</t>
        </is>
      </c>
    </row>
    <row r="472" ht="24" customHeight="1">
      <c r="A472" s="29" t="inlineStr">
        <is>
          <t>OpenDART_fnlttSinglAcntAll</t>
        </is>
      </c>
      <c r="B472" s="29" t="inlineStr">
        <is>
          <t>01021666</t>
        </is>
      </c>
      <c r="C472" s="29" t="inlineStr">
        <is>
          <t>덕산테코피아</t>
        </is>
      </c>
      <c r="D472" s="29" t="inlineStr">
        <is>
          <t>duksan</t>
        </is>
      </c>
      <c r="E472" s="29" t="inlineStr">
        <is>
          <t>317330</t>
        </is>
      </c>
      <c r="F472" s="29" t="inlineStr">
        <is>
          <t>2024</t>
        </is>
      </c>
      <c r="G472" s="29" t="inlineStr">
        <is>
          <t>CFS</t>
        </is>
      </c>
      <c r="H472" s="29" t="inlineStr">
        <is>
          <t>CIS</t>
        </is>
      </c>
      <c r="I472" s="29" t="inlineStr">
        <is>
          <t>포괄손익계산서</t>
        </is>
      </c>
      <c r="J472" s="29" t="inlineStr">
        <is>
          <t>ifrs-full_GrossProfit</t>
        </is>
      </c>
      <c r="K472" s="29" t="inlineStr">
        <is>
          <t>매출총이익</t>
        </is>
      </c>
      <c r="L472" s="29" t="inlineStr">
        <is>
          <t>-</t>
        </is>
      </c>
      <c r="M472" s="29" t="inlineStr">
        <is>
          <t>제 19 기</t>
        </is>
      </c>
      <c r="N472" s="29" t="inlineStr">
        <is>
          <t>13229643550.0</t>
        </is>
      </c>
      <c r="O472" s="29" t="inlineStr">
        <is>
          <t>30891343429.0</t>
        </is>
      </c>
      <c r="P472" s="29" t="inlineStr">
        <is>
          <t>KRW</t>
        </is>
      </c>
      <c r="Q472" s="29" t="inlineStr">
        <is>
          <t>20</t>
        </is>
      </c>
    </row>
    <row r="473" ht="24" customHeight="1">
      <c r="A473" s="24" t="inlineStr">
        <is>
          <t>OpenDART_fnlttSinglAcntAll</t>
        </is>
      </c>
      <c r="B473" s="24" t="inlineStr">
        <is>
          <t>01021666</t>
        </is>
      </c>
      <c r="C473" s="24" t="inlineStr">
        <is>
          <t>덕산테코피아</t>
        </is>
      </c>
      <c r="D473" s="24" t="inlineStr">
        <is>
          <t>duksan</t>
        </is>
      </c>
      <c r="E473" s="24" t="inlineStr">
        <is>
          <t>317330</t>
        </is>
      </c>
      <c r="F473" s="24" t="inlineStr">
        <is>
          <t>2024</t>
        </is>
      </c>
      <c r="G473" s="24" t="inlineStr">
        <is>
          <t>CFS</t>
        </is>
      </c>
      <c r="H473" s="24" t="inlineStr">
        <is>
          <t>CIS</t>
        </is>
      </c>
      <c r="I473" s="24" t="inlineStr">
        <is>
          <t>포괄손익계산서</t>
        </is>
      </c>
      <c r="J473" s="24" t="inlineStr">
        <is>
          <t>ifrs-full_IncomeTaxExpenseContinuingOperations</t>
        </is>
      </c>
      <c r="K473" s="24" t="inlineStr">
        <is>
          <t>법인세비용(수익)</t>
        </is>
      </c>
      <c r="L473" s="24" t="inlineStr">
        <is>
          <t>-</t>
        </is>
      </c>
      <c r="M473" s="24" t="inlineStr">
        <is>
          <t>제 19 기</t>
        </is>
      </c>
      <c r="N473" s="24" t="inlineStr">
        <is>
          <t>66080209.0</t>
        </is>
      </c>
      <c r="O473" s="24" t="inlineStr">
        <is>
          <t>-1477927868.0</t>
        </is>
      </c>
      <c r="P473" s="24" t="inlineStr">
        <is>
          <t>KRW</t>
        </is>
      </c>
      <c r="Q473" s="24" t="inlineStr">
        <is>
          <t>21</t>
        </is>
      </c>
    </row>
    <row r="474" ht="24" customHeight="1">
      <c r="A474" s="29" t="inlineStr">
        <is>
          <t>OpenDART_fnlttSinglAcntAll</t>
        </is>
      </c>
      <c r="B474" s="29" t="inlineStr">
        <is>
          <t>01021666</t>
        </is>
      </c>
      <c r="C474" s="29" t="inlineStr">
        <is>
          <t>덕산테코피아</t>
        </is>
      </c>
      <c r="D474" s="29" t="inlineStr">
        <is>
          <t>duksan</t>
        </is>
      </c>
      <c r="E474" s="29" t="inlineStr">
        <is>
          <t>317330</t>
        </is>
      </c>
      <c r="F474" s="29" t="inlineStr">
        <is>
          <t>2024</t>
        </is>
      </c>
      <c r="G474" s="29" t="inlineStr">
        <is>
          <t>CFS</t>
        </is>
      </c>
      <c r="H474" s="29" t="inlineStr">
        <is>
          <t>CIS</t>
        </is>
      </c>
      <c r="I474" s="29" t="inlineStr">
        <is>
          <t>포괄손익계산서</t>
        </is>
      </c>
      <c r="J474" s="29" t="inlineStr">
        <is>
          <t>ifrs-full_OtherComprehensiveIncome</t>
        </is>
      </c>
      <c r="K474" s="29" t="inlineStr">
        <is>
          <t>기타포괄손익</t>
        </is>
      </c>
      <c r="L474" s="29" t="inlineStr">
        <is>
          <t>-</t>
        </is>
      </c>
      <c r="M474" s="29" t="inlineStr">
        <is>
          <t>제 19 기</t>
        </is>
      </c>
      <c r="N474" s="29" t="inlineStr">
        <is>
          <t>-2224516726.0</t>
        </is>
      </c>
      <c r="O474" s="29" t="inlineStr">
        <is>
          <t>-1166681519.0</t>
        </is>
      </c>
      <c r="P474" s="29" t="inlineStr">
        <is>
          <t>KRW</t>
        </is>
      </c>
      <c r="Q474" s="29" t="inlineStr">
        <is>
          <t>22</t>
        </is>
      </c>
    </row>
    <row r="475" ht="24" customHeight="1">
      <c r="A475" s="24" t="inlineStr">
        <is>
          <t>OpenDART_fnlttSinglAcntAll</t>
        </is>
      </c>
      <c r="B475" s="24" t="inlineStr">
        <is>
          <t>01021666</t>
        </is>
      </c>
      <c r="C475" s="24" t="inlineStr">
        <is>
          <t>덕산테코피아</t>
        </is>
      </c>
      <c r="D475" s="24" t="inlineStr">
        <is>
          <t>duksan</t>
        </is>
      </c>
      <c r="E475" s="24" t="inlineStr">
        <is>
          <t>317330</t>
        </is>
      </c>
      <c r="F475" s="24" t="inlineStr">
        <is>
          <t>2024</t>
        </is>
      </c>
      <c r="G475" s="24" t="inlineStr">
        <is>
          <t>CFS</t>
        </is>
      </c>
      <c r="H475" s="24" t="inlineStr">
        <is>
          <t>CIS</t>
        </is>
      </c>
      <c r="I475" s="24" t="inlineStr">
        <is>
          <t>포괄손익계산서</t>
        </is>
      </c>
      <c r="J475" s="24" t="inlineStr">
        <is>
          <t>ifrs-full_OtherComprehensiveIncomeThatWillBeReclassifiedToProfitOrLossNetOfTax</t>
        </is>
      </c>
      <c r="K475" s="24" t="inlineStr">
        <is>
          <t>당기손익으로 재분류될 수 있는 항목(세후기타포괄손익)</t>
        </is>
      </c>
      <c r="L475" s="24" t="inlineStr">
        <is>
          <t>-</t>
        </is>
      </c>
      <c r="M475" s="24" t="inlineStr">
        <is>
          <t>제 19 기</t>
        </is>
      </c>
      <c r="N475" s="24" t="inlineStr">
        <is>
          <t>-1854004565.0</t>
        </is>
      </c>
      <c r="O475" s="24" t="inlineStr">
        <is>
          <t>-948340054.0</t>
        </is>
      </c>
      <c r="P475" s="24" t="inlineStr">
        <is>
          <t>KRW</t>
        </is>
      </c>
      <c r="Q475" s="24" t="inlineStr">
        <is>
          <t>23</t>
        </is>
      </c>
    </row>
    <row r="476" ht="24" customHeight="1">
      <c r="A476" s="29" t="inlineStr">
        <is>
          <t>OpenDART_fnlttSinglAcntAll</t>
        </is>
      </c>
      <c r="B476" s="29" t="inlineStr">
        <is>
          <t>01021666</t>
        </is>
      </c>
      <c r="C476" s="29" t="inlineStr">
        <is>
          <t>덕산테코피아</t>
        </is>
      </c>
      <c r="D476" s="29" t="inlineStr">
        <is>
          <t>duksan</t>
        </is>
      </c>
      <c r="E476" s="29" t="inlineStr">
        <is>
          <t>317330</t>
        </is>
      </c>
      <c r="F476" s="29" t="inlineStr">
        <is>
          <t>2024</t>
        </is>
      </c>
      <c r="G476" s="29" t="inlineStr">
        <is>
          <t>CFS</t>
        </is>
      </c>
      <c r="H476" s="29" t="inlineStr">
        <is>
          <t>CIS</t>
        </is>
      </c>
      <c r="I476" s="29" t="inlineStr">
        <is>
          <t>포괄손익계산서</t>
        </is>
      </c>
      <c r="J476" s="29" t="inlineStr">
        <is>
          <t>ifrs-full_GainsLossesOnExchangeDifferencesOnTranslationNetOfTax</t>
        </is>
      </c>
      <c r="K476" s="29" t="inlineStr">
        <is>
          <t>해외사업장환산손익</t>
        </is>
      </c>
      <c r="L476" s="29" t="inlineStr">
        <is>
          <t>-</t>
        </is>
      </c>
      <c r="M476" s="29" t="inlineStr">
        <is>
          <t>제 19 기</t>
        </is>
      </c>
      <c r="N476" s="29" t="inlineStr">
        <is>
          <t>-1854004565.0</t>
        </is>
      </c>
      <c r="O476" s="29" t="inlineStr">
        <is>
          <t>-948340054.0</t>
        </is>
      </c>
      <c r="P476" s="29" t="inlineStr">
        <is>
          <t>KRW</t>
        </is>
      </c>
      <c r="Q476" s="29" t="inlineStr">
        <is>
          <t>24</t>
        </is>
      </c>
    </row>
    <row r="477" ht="24" customHeight="1">
      <c r="A477" s="24" t="inlineStr">
        <is>
          <t>OpenDART_fnlttSinglAcntAll</t>
        </is>
      </c>
      <c r="B477" s="24" t="inlineStr">
        <is>
          <t>01021666</t>
        </is>
      </c>
      <c r="C477" s="24" t="inlineStr">
        <is>
          <t>덕산테코피아</t>
        </is>
      </c>
      <c r="D477" s="24" t="inlineStr">
        <is>
          <t>duksan</t>
        </is>
      </c>
      <c r="E477" s="24" t="inlineStr">
        <is>
          <t>317330</t>
        </is>
      </c>
      <c r="F477" s="24" t="inlineStr">
        <is>
          <t>2024</t>
        </is>
      </c>
      <c r="G477" s="24" t="inlineStr">
        <is>
          <t>CFS</t>
        </is>
      </c>
      <c r="H477" s="24" t="inlineStr">
        <is>
          <t>CIS</t>
        </is>
      </c>
      <c r="I477" s="24" t="inlineStr">
        <is>
          <t>포괄손익계산서</t>
        </is>
      </c>
      <c r="J477" s="24" t="inlineStr">
        <is>
          <t>ifrs-full_OtherComprehensiveIncomeThatWillNotBeReclassifiedToProfitOrLossNetOfTax</t>
        </is>
      </c>
      <c r="K477" s="24" t="inlineStr">
        <is>
          <t>당기손익으로 재분류되지 않는항목(세후기타포괄손익)</t>
        </is>
      </c>
      <c r="L477" s="24" t="inlineStr">
        <is>
          <t>-</t>
        </is>
      </c>
      <c r="M477" s="24" t="inlineStr">
        <is>
          <t>제 19 기</t>
        </is>
      </c>
      <c r="N477" s="24" t="inlineStr">
        <is>
          <t>-370512161.0</t>
        </is>
      </c>
      <c r="O477" s="24" t="inlineStr">
        <is>
          <t>-218341465.0</t>
        </is>
      </c>
      <c r="P477" s="24" t="inlineStr">
        <is>
          <t>KRW</t>
        </is>
      </c>
      <c r="Q477" s="24" t="inlineStr">
        <is>
          <t>25</t>
        </is>
      </c>
    </row>
    <row r="478" ht="24" customHeight="1">
      <c r="A478" s="29" t="inlineStr">
        <is>
          <t>OpenDART_fnlttSinglAcntAll</t>
        </is>
      </c>
      <c r="B478" s="29" t="inlineStr">
        <is>
          <t>01021666</t>
        </is>
      </c>
      <c r="C478" s="29" t="inlineStr">
        <is>
          <t>덕산테코피아</t>
        </is>
      </c>
      <c r="D478" s="29" t="inlineStr">
        <is>
          <t>duksan</t>
        </is>
      </c>
      <c r="E478" s="29" t="inlineStr">
        <is>
          <t>317330</t>
        </is>
      </c>
      <c r="F478" s="29" t="inlineStr">
        <is>
          <t>2024</t>
        </is>
      </c>
      <c r="G478" s="29" t="inlineStr">
        <is>
          <t>CFS</t>
        </is>
      </c>
      <c r="H478" s="29" t="inlineStr">
        <is>
          <t>CIS</t>
        </is>
      </c>
      <c r="I478" s="29" t="inlineStr">
        <is>
          <t>포괄손익계산서</t>
        </is>
      </c>
      <c r="J478" s="29" t="inlineStr">
        <is>
          <t>ifrs-full_OtherComprehensiveIncomeNetOfTaxGainsLossesOnRemeasurementsOfDefinedBenefitPlans</t>
        </is>
      </c>
      <c r="K478" s="29" t="inlineStr">
        <is>
          <t>확정급여제도의 재측정손익(세후기타포괄손익)</t>
        </is>
      </c>
      <c r="L478" s="29" t="inlineStr">
        <is>
          <t>-</t>
        </is>
      </c>
      <c r="M478" s="29" t="inlineStr">
        <is>
          <t>제 19 기</t>
        </is>
      </c>
      <c r="N478" s="29" t="inlineStr">
        <is>
          <t>-370512161.0</t>
        </is>
      </c>
      <c r="O478" s="29" t="inlineStr">
        <is>
          <t>-218341465.0</t>
        </is>
      </c>
      <c r="P478" s="29" t="inlineStr">
        <is>
          <t>KRW</t>
        </is>
      </c>
      <c r="Q478" s="29" t="inlineStr">
        <is>
          <t>26</t>
        </is>
      </c>
    </row>
    <row r="479" ht="24" customHeight="1">
      <c r="A479" s="24" t="inlineStr">
        <is>
          <t>OpenDART_fnlttSinglAcntAll</t>
        </is>
      </c>
      <c r="B479" s="24" t="inlineStr">
        <is>
          <t>01021666</t>
        </is>
      </c>
      <c r="C479" s="24" t="inlineStr">
        <is>
          <t>덕산테코피아</t>
        </is>
      </c>
      <c r="D479" s="24" t="inlineStr">
        <is>
          <t>duksan</t>
        </is>
      </c>
      <c r="E479" s="24" t="inlineStr">
        <is>
          <t>317330</t>
        </is>
      </c>
      <c r="F479" s="24" t="inlineStr">
        <is>
          <t>2024</t>
        </is>
      </c>
      <c r="G479" s="24" t="inlineStr">
        <is>
          <t>CFS</t>
        </is>
      </c>
      <c r="H479" s="24" t="inlineStr">
        <is>
          <t>CIS</t>
        </is>
      </c>
      <c r="I479" s="24" t="inlineStr">
        <is>
          <t>포괄손익계산서</t>
        </is>
      </c>
      <c r="J479" s="24" t="inlineStr">
        <is>
          <t>ifrs-full_ProfitLoss</t>
        </is>
      </c>
      <c r="K479" s="24" t="inlineStr">
        <is>
          <t>당기순이익(손실)</t>
        </is>
      </c>
      <c r="L479" s="24" t="inlineStr">
        <is>
          <t>-</t>
        </is>
      </c>
      <c r="M479" s="24" t="inlineStr">
        <is>
          <t>제 19 기</t>
        </is>
      </c>
      <c r="N479" s="24" t="inlineStr">
        <is>
          <t>-72579149118.0</t>
        </is>
      </c>
      <c r="O479" s="24" t="inlineStr">
        <is>
          <t>-19273669673.0</t>
        </is>
      </c>
      <c r="P479" s="24" t="inlineStr">
        <is>
          <t>KRW</t>
        </is>
      </c>
      <c r="Q479" s="24" t="inlineStr">
        <is>
          <t>27</t>
        </is>
      </c>
    </row>
    <row r="480" ht="24" customHeight="1">
      <c r="A480" s="29" t="inlineStr">
        <is>
          <t>OpenDART_fnlttSinglAcntAll</t>
        </is>
      </c>
      <c r="B480" s="29" t="inlineStr">
        <is>
          <t>01021666</t>
        </is>
      </c>
      <c r="C480" s="29" t="inlineStr">
        <is>
          <t>덕산테코피아</t>
        </is>
      </c>
      <c r="D480" s="29" t="inlineStr">
        <is>
          <t>duksan</t>
        </is>
      </c>
      <c r="E480" s="29" t="inlineStr">
        <is>
          <t>317330</t>
        </is>
      </c>
      <c r="F480" s="29" t="inlineStr">
        <is>
          <t>2024</t>
        </is>
      </c>
      <c r="G480" s="29" t="inlineStr">
        <is>
          <t>CFS</t>
        </is>
      </c>
      <c r="H480" s="29" t="inlineStr">
        <is>
          <t>CIS</t>
        </is>
      </c>
      <c r="I480" s="29" t="inlineStr">
        <is>
          <t>포괄손익계산서</t>
        </is>
      </c>
      <c r="J480" s="29" t="inlineStr">
        <is>
          <t>ifrs-full_ProfitLossAttributableToNoncontrollingInterests</t>
        </is>
      </c>
      <c r="K480" s="29" t="inlineStr">
        <is>
          <t>비지배지분에 귀속되는 당기순이익(손실)</t>
        </is>
      </c>
      <c r="L480" s="29" t="inlineStr">
        <is>
          <t>-</t>
        </is>
      </c>
      <c r="M480" s="29" t="inlineStr">
        <is>
          <t>제 19 기</t>
        </is>
      </c>
      <c r="N480" s="29" t="inlineStr">
        <is>
          <t>-19484903087.0</t>
        </is>
      </c>
      <c r="O480" s="29" t="inlineStr">
        <is>
          <t>-11874811234.0</t>
        </is>
      </c>
      <c r="P480" s="29" t="inlineStr">
        <is>
          <t>KRW</t>
        </is>
      </c>
      <c r="Q480" s="29" t="inlineStr">
        <is>
          <t>29</t>
        </is>
      </c>
    </row>
    <row r="481" ht="24" customHeight="1">
      <c r="A481" s="24" t="inlineStr">
        <is>
          <t>OpenDART_fnlttSinglAcntAll</t>
        </is>
      </c>
      <c r="B481" s="24" t="inlineStr">
        <is>
          <t>01021666</t>
        </is>
      </c>
      <c r="C481" s="24" t="inlineStr">
        <is>
          <t>덕산테코피아</t>
        </is>
      </c>
      <c r="D481" s="24" t="inlineStr">
        <is>
          <t>duksan</t>
        </is>
      </c>
      <c r="E481" s="24" t="inlineStr">
        <is>
          <t>317330</t>
        </is>
      </c>
      <c r="F481" s="24" t="inlineStr">
        <is>
          <t>2024</t>
        </is>
      </c>
      <c r="G481" s="24" t="inlineStr">
        <is>
          <t>CFS</t>
        </is>
      </c>
      <c r="H481" s="24" t="inlineStr">
        <is>
          <t>CIS</t>
        </is>
      </c>
      <c r="I481" s="24" t="inlineStr">
        <is>
          <t>포괄손익계산서</t>
        </is>
      </c>
      <c r="J481" s="24" t="inlineStr">
        <is>
          <t>ifrs-full_ProfitLossAttributableToOwnersOfParent</t>
        </is>
      </c>
      <c r="K481" s="24" t="inlineStr">
        <is>
          <t>지배기업의 소유주에게 귀속되는 당기순이익(손실)</t>
        </is>
      </c>
      <c r="L481" s="24" t="inlineStr">
        <is>
          <t>-</t>
        </is>
      </c>
      <c r="M481" s="24" t="inlineStr">
        <is>
          <t>제 19 기</t>
        </is>
      </c>
      <c r="N481" s="24" t="inlineStr">
        <is>
          <t>-53094246031.0</t>
        </is>
      </c>
      <c r="O481" s="24" t="inlineStr">
        <is>
          <t>-7398858439.0</t>
        </is>
      </c>
      <c r="P481" s="24" t="inlineStr">
        <is>
          <t>KRW</t>
        </is>
      </c>
      <c r="Q481" s="24" t="inlineStr">
        <is>
          <t>30</t>
        </is>
      </c>
    </row>
    <row r="482" ht="24" customHeight="1">
      <c r="A482" s="29" t="inlineStr">
        <is>
          <t>OpenDART_fnlttSinglAcntAll</t>
        </is>
      </c>
      <c r="B482" s="29" t="inlineStr">
        <is>
          <t>01021666</t>
        </is>
      </c>
      <c r="C482" s="29" t="inlineStr">
        <is>
          <t>덕산테코피아</t>
        </is>
      </c>
      <c r="D482" s="29" t="inlineStr">
        <is>
          <t>duksan</t>
        </is>
      </c>
      <c r="E482" s="29" t="inlineStr">
        <is>
          <t>317330</t>
        </is>
      </c>
      <c r="F482" s="29" t="inlineStr">
        <is>
          <t>2024</t>
        </is>
      </c>
      <c r="G482" s="29" t="inlineStr">
        <is>
          <t>CFS</t>
        </is>
      </c>
      <c r="H482" s="29" t="inlineStr">
        <is>
          <t>CIS</t>
        </is>
      </c>
      <c r="I482" s="29" t="inlineStr">
        <is>
          <t>포괄손익계산서</t>
        </is>
      </c>
      <c r="J482" s="29" t="inlineStr">
        <is>
          <t>ifrs-full_ProfitLossBeforeTax</t>
        </is>
      </c>
      <c r="K482" s="29" t="inlineStr">
        <is>
          <t>법인세비용차감전순이익(손실)</t>
        </is>
      </c>
      <c r="L482" s="29" t="inlineStr">
        <is>
          <t>-</t>
        </is>
      </c>
      <c r="M482" s="29" t="inlineStr">
        <is>
          <t>제 19 기</t>
        </is>
      </c>
      <c r="N482" s="29" t="inlineStr">
        <is>
          <t>-72513068909.0</t>
        </is>
      </c>
      <c r="O482" s="29" t="inlineStr">
        <is>
          <t>-20751597541.0</t>
        </is>
      </c>
      <c r="P482" s="29" t="inlineStr">
        <is>
          <t>KRW</t>
        </is>
      </c>
      <c r="Q482" s="29" t="inlineStr">
        <is>
          <t>31</t>
        </is>
      </c>
    </row>
    <row r="483" ht="24" customHeight="1">
      <c r="A483" s="24" t="inlineStr">
        <is>
          <t>OpenDART_fnlttSinglAcntAll</t>
        </is>
      </c>
      <c r="B483" s="24" t="inlineStr">
        <is>
          <t>01021666</t>
        </is>
      </c>
      <c r="C483" s="24" t="inlineStr">
        <is>
          <t>덕산테코피아</t>
        </is>
      </c>
      <c r="D483" s="24" t="inlineStr">
        <is>
          <t>duksan</t>
        </is>
      </c>
      <c r="E483" s="24" t="inlineStr">
        <is>
          <t>317330</t>
        </is>
      </c>
      <c r="F483" s="24" t="inlineStr">
        <is>
          <t>2024</t>
        </is>
      </c>
      <c r="G483" s="24" t="inlineStr">
        <is>
          <t>CFS</t>
        </is>
      </c>
      <c r="H483" s="24" t="inlineStr">
        <is>
          <t>CIS</t>
        </is>
      </c>
      <c r="I483" s="24" t="inlineStr">
        <is>
          <t>포괄손익계산서</t>
        </is>
      </c>
      <c r="J483" s="24" t="inlineStr">
        <is>
          <t>ifrs-full_Revenue</t>
        </is>
      </c>
      <c r="K483" s="24" t="inlineStr">
        <is>
          <t>수익(매출액)</t>
        </is>
      </c>
      <c r="L483" s="24" t="inlineStr">
        <is>
          <t>-</t>
        </is>
      </c>
      <c r="M483" s="24" t="inlineStr">
        <is>
          <t>제 19 기</t>
        </is>
      </c>
      <c r="N483" s="24" t="inlineStr">
        <is>
          <t>99694431512.0</t>
        </is>
      </c>
      <c r="O483" s="24" t="inlineStr">
        <is>
          <t>94076712274.0</t>
        </is>
      </c>
      <c r="P483" s="24" t="inlineStr">
        <is>
          <t>KRW</t>
        </is>
      </c>
      <c r="Q483" s="24" t="inlineStr">
        <is>
          <t>32</t>
        </is>
      </c>
    </row>
    <row r="484" ht="24" customHeight="1">
      <c r="A484" s="29" t="inlineStr">
        <is>
          <t>OpenDART_fnlttSinglAcntAll</t>
        </is>
      </c>
      <c r="B484" s="29" t="inlineStr">
        <is>
          <t>01021666</t>
        </is>
      </c>
      <c r="C484" s="29" t="inlineStr">
        <is>
          <t>덕산테코피아</t>
        </is>
      </c>
      <c r="D484" s="29" t="inlineStr">
        <is>
          <t>duksan</t>
        </is>
      </c>
      <c r="E484" s="29" t="inlineStr">
        <is>
          <t>317330</t>
        </is>
      </c>
      <c r="F484" s="29" t="inlineStr">
        <is>
          <t>2024</t>
        </is>
      </c>
      <c r="G484" s="29" t="inlineStr">
        <is>
          <t>CFS</t>
        </is>
      </c>
      <c r="H484" s="29" t="inlineStr">
        <is>
          <t>CF</t>
        </is>
      </c>
      <c r="I484" s="29" t="inlineStr">
        <is>
          <t>현금흐름표</t>
        </is>
      </c>
      <c r="J484" s="29" t="inlineStr">
        <is>
          <t>dart_CashAndCashEquivalentsAtBeginningOfPeriodCf</t>
        </is>
      </c>
      <c r="K484" s="29" t="inlineStr">
        <is>
          <t>기초현금및현금성자산</t>
        </is>
      </c>
      <c r="L484" s="29" t="inlineStr">
        <is>
          <t>-</t>
        </is>
      </c>
      <c r="M484" s="29" t="inlineStr">
        <is>
          <t>제 19 기</t>
        </is>
      </c>
      <c r="N484" s="29" t="inlineStr">
        <is>
          <t>23919527042.0</t>
        </is>
      </c>
      <c r="O484" s="29" t="inlineStr">
        <is>
          <t>27763882839.0</t>
        </is>
      </c>
      <c r="P484" s="29" t="inlineStr">
        <is>
          <t>KRW</t>
        </is>
      </c>
      <c r="Q484" s="29" t="inlineStr">
        <is>
          <t>2</t>
        </is>
      </c>
    </row>
    <row r="485" ht="24" customHeight="1">
      <c r="A485" s="24" t="inlineStr">
        <is>
          <t>OpenDART_fnlttSinglAcntAll</t>
        </is>
      </c>
      <c r="B485" s="24" t="inlineStr">
        <is>
          <t>01021666</t>
        </is>
      </c>
      <c r="C485" s="24" t="inlineStr">
        <is>
          <t>덕산테코피아</t>
        </is>
      </c>
      <c r="D485" s="24" t="inlineStr">
        <is>
          <t>duksan</t>
        </is>
      </c>
      <c r="E485" s="24" t="inlineStr">
        <is>
          <t>317330</t>
        </is>
      </c>
      <c r="F485" s="24" t="inlineStr">
        <is>
          <t>2024</t>
        </is>
      </c>
      <c r="G485" s="24" t="inlineStr">
        <is>
          <t>CFS</t>
        </is>
      </c>
      <c r="H485" s="24" t="inlineStr">
        <is>
          <t>CF</t>
        </is>
      </c>
      <c r="I485" s="24" t="inlineStr">
        <is>
          <t>현금흐름표</t>
        </is>
      </c>
      <c r="J485" s="24" t="inlineStr">
        <is>
          <t>dart_CashAndCashEquivalentsAtEndOfPeriodCf</t>
        </is>
      </c>
      <c r="K485" s="24" t="inlineStr">
        <is>
          <t>기말현금및현금성자산</t>
        </is>
      </c>
      <c r="L485" s="24" t="inlineStr">
        <is>
          <t>-</t>
        </is>
      </c>
      <c r="M485" s="24" t="inlineStr">
        <is>
          <t>제 19 기</t>
        </is>
      </c>
      <c r="N485" s="24" t="inlineStr">
        <is>
          <t>20247056068.0</t>
        </is>
      </c>
      <c r="O485" s="24" t="inlineStr">
        <is>
          <t>23919527042.0</t>
        </is>
      </c>
      <c r="P485" s="24" t="inlineStr">
        <is>
          <t>KRW</t>
        </is>
      </c>
      <c r="Q485" s="24" t="inlineStr">
        <is>
          <t>3</t>
        </is>
      </c>
    </row>
    <row r="486" ht="24" customHeight="1">
      <c r="A486" s="29" t="inlineStr">
        <is>
          <t>OpenDART_fnlttSinglAcntAll</t>
        </is>
      </c>
      <c r="B486" s="29" t="inlineStr">
        <is>
          <t>01021666</t>
        </is>
      </c>
      <c r="C486" s="29" t="inlineStr">
        <is>
          <t>덕산테코피아</t>
        </is>
      </c>
      <c r="D486" s="29" t="inlineStr">
        <is>
          <t>duksan</t>
        </is>
      </c>
      <c r="E486" s="29" t="inlineStr">
        <is>
          <t>317330</t>
        </is>
      </c>
      <c r="F486" s="29" t="inlineStr">
        <is>
          <t>2024</t>
        </is>
      </c>
      <c r="G486" s="29" t="inlineStr">
        <is>
          <t>CFS</t>
        </is>
      </c>
      <c r="H486" s="29" t="inlineStr">
        <is>
          <t>CF</t>
        </is>
      </c>
      <c r="I486" s="29" t="inlineStr">
        <is>
          <t>현금흐름표</t>
        </is>
      </c>
      <c r="J486" s="29" t="inlineStr">
        <is>
          <t>ifrs-full_CashFlowsFromUsedInFinancingActivities</t>
        </is>
      </c>
      <c r="K486" s="29" t="inlineStr">
        <is>
          <t>재무활동현금흐름</t>
        </is>
      </c>
      <c r="L486" s="29" t="inlineStr">
        <is>
          <t>-</t>
        </is>
      </c>
      <c r="M486" s="29" t="inlineStr">
        <is>
          <t>제 19 기</t>
        </is>
      </c>
      <c r="N486" s="29" t="inlineStr">
        <is>
          <t>164863888984.0</t>
        </is>
      </c>
      <c r="O486" s="29" t="inlineStr">
        <is>
          <t>183426715676.0</t>
        </is>
      </c>
      <c r="P486" s="29" t="inlineStr">
        <is>
          <t>KRW</t>
        </is>
      </c>
      <c r="Q486" s="29" t="inlineStr">
        <is>
          <t>8</t>
        </is>
      </c>
    </row>
    <row r="487" ht="24" customHeight="1">
      <c r="A487" s="24" t="inlineStr">
        <is>
          <t>OpenDART_fnlttSinglAcntAll</t>
        </is>
      </c>
      <c r="B487" s="24" t="inlineStr">
        <is>
          <t>01021666</t>
        </is>
      </c>
      <c r="C487" s="24" t="inlineStr">
        <is>
          <t>덕산테코피아</t>
        </is>
      </c>
      <c r="D487" s="24" t="inlineStr">
        <is>
          <t>duksan</t>
        </is>
      </c>
      <c r="E487" s="24" t="inlineStr">
        <is>
          <t>317330</t>
        </is>
      </c>
      <c r="F487" s="24" t="inlineStr">
        <is>
          <t>2024</t>
        </is>
      </c>
      <c r="G487" s="24" t="inlineStr">
        <is>
          <t>CFS</t>
        </is>
      </c>
      <c r="H487" s="24" t="inlineStr">
        <is>
          <t>CF</t>
        </is>
      </c>
      <c r="I487" s="24" t="inlineStr">
        <is>
          <t>현금흐름표</t>
        </is>
      </c>
      <c r="J487" s="24" t="inlineStr">
        <is>
          <t>dart_AcquisitionOfTreasuryShares</t>
        </is>
      </c>
      <c r="K487" s="24" t="inlineStr">
        <is>
          <t>자기주식의 취득으로 인한 현금의 유출</t>
        </is>
      </c>
      <c r="L487" s="24" t="inlineStr">
        <is>
          <t>-</t>
        </is>
      </c>
      <c r="M487" s="24" t="inlineStr">
        <is>
          <t>제 19 기</t>
        </is>
      </c>
      <c r="N487" s="24" t="inlineStr">
        <is>
          <t>해당 없음</t>
        </is>
      </c>
      <c r="O487" s="24" t="inlineStr">
        <is>
          <t>해당 없음</t>
        </is>
      </c>
      <c r="P487" s="24" t="inlineStr">
        <is>
          <t>KRW</t>
        </is>
      </c>
      <c r="Q487" s="24" t="inlineStr">
        <is>
          <t>9</t>
        </is>
      </c>
    </row>
    <row r="488" ht="24" customHeight="1">
      <c r="A488" s="29" t="inlineStr">
        <is>
          <t>OpenDART_fnlttSinglAcntAll</t>
        </is>
      </c>
      <c r="B488" s="29" t="inlineStr">
        <is>
          <t>01021666</t>
        </is>
      </c>
      <c r="C488" s="29" t="inlineStr">
        <is>
          <t>덕산테코피아</t>
        </is>
      </c>
      <c r="D488" s="29" t="inlineStr">
        <is>
          <t>duksan</t>
        </is>
      </c>
      <c r="E488" s="29" t="inlineStr">
        <is>
          <t>317330</t>
        </is>
      </c>
      <c r="F488" s="29" t="inlineStr">
        <is>
          <t>2024</t>
        </is>
      </c>
      <c r="G488" s="29" t="inlineStr">
        <is>
          <t>CFS</t>
        </is>
      </c>
      <c r="H488" s="29" t="inlineStr">
        <is>
          <t>CF</t>
        </is>
      </c>
      <c r="I488" s="29" t="inlineStr">
        <is>
          <t>현금흐름표</t>
        </is>
      </c>
      <c r="J488" s="29" t="inlineStr">
        <is>
          <t>dart_DispositionOfTreasuryShares</t>
        </is>
      </c>
      <c r="K488" s="29" t="inlineStr">
        <is>
          <t>자기주식의 처분</t>
        </is>
      </c>
      <c r="L488" s="29" t="inlineStr">
        <is>
          <t>-</t>
        </is>
      </c>
      <c r="M488" s="29" t="inlineStr">
        <is>
          <t>제 19 기</t>
        </is>
      </c>
      <c r="N488" s="29" t="inlineStr">
        <is>
          <t>9943537364.0</t>
        </is>
      </c>
      <c r="O488" s="29" t="inlineStr">
        <is>
          <t>해당 없음</t>
        </is>
      </c>
      <c r="P488" s="29" t="inlineStr">
        <is>
          <t>KRW</t>
        </is>
      </c>
      <c r="Q488" s="29" t="inlineStr">
        <is>
          <t>10</t>
        </is>
      </c>
    </row>
    <row r="489" ht="24" customHeight="1">
      <c r="A489" s="24" t="inlineStr">
        <is>
          <t>OpenDART_fnlttSinglAcntAll</t>
        </is>
      </c>
      <c r="B489" s="24" t="inlineStr">
        <is>
          <t>01021666</t>
        </is>
      </c>
      <c r="C489" s="24" t="inlineStr">
        <is>
          <t>덕산테코피아</t>
        </is>
      </c>
      <c r="D489" s="24" t="inlineStr">
        <is>
          <t>duksan</t>
        </is>
      </c>
      <c r="E489" s="24" t="inlineStr">
        <is>
          <t>317330</t>
        </is>
      </c>
      <c r="F489" s="24" t="inlineStr">
        <is>
          <t>2024</t>
        </is>
      </c>
      <c r="G489" s="24" t="inlineStr">
        <is>
          <t>CFS</t>
        </is>
      </c>
      <c r="H489" s="24" t="inlineStr">
        <is>
          <t>CF</t>
        </is>
      </c>
      <c r="I489" s="24" t="inlineStr">
        <is>
          <t>현금흐름표</t>
        </is>
      </c>
      <c r="J489" s="24" t="inlineStr">
        <is>
          <t>dart_PaymentsOfFinanceLeaseLiabilitiesClassifiedAsFinancingActivities</t>
        </is>
      </c>
      <c r="K489" s="24" t="inlineStr">
        <is>
          <t>금융리스부채의 지급</t>
        </is>
      </c>
      <c r="L489" s="24" t="inlineStr">
        <is>
          <t>-</t>
        </is>
      </c>
      <c r="M489" s="24" t="inlineStr">
        <is>
          <t>제 19 기</t>
        </is>
      </c>
      <c r="N489" s="24" t="inlineStr">
        <is>
          <t>298379076.0</t>
        </is>
      </c>
      <c r="O489" s="24" t="inlineStr">
        <is>
          <t>245679724.0</t>
        </is>
      </c>
      <c r="P489" s="24" t="inlineStr">
        <is>
          <t>KRW</t>
        </is>
      </c>
      <c r="Q489" s="24" t="inlineStr">
        <is>
          <t>11</t>
        </is>
      </c>
    </row>
    <row r="490" ht="24" customHeight="1">
      <c r="A490" s="29" t="inlineStr">
        <is>
          <t>OpenDART_fnlttSinglAcntAll</t>
        </is>
      </c>
      <c r="B490" s="29" t="inlineStr">
        <is>
          <t>01021666</t>
        </is>
      </c>
      <c r="C490" s="29" t="inlineStr">
        <is>
          <t>덕산테코피아</t>
        </is>
      </c>
      <c r="D490" s="29" t="inlineStr">
        <is>
          <t>duksan</t>
        </is>
      </c>
      <c r="E490" s="29" t="inlineStr">
        <is>
          <t>317330</t>
        </is>
      </c>
      <c r="F490" s="29" t="inlineStr">
        <is>
          <t>2024</t>
        </is>
      </c>
      <c r="G490" s="29" t="inlineStr">
        <is>
          <t>CFS</t>
        </is>
      </c>
      <c r="H490" s="29" t="inlineStr">
        <is>
          <t>CF</t>
        </is>
      </c>
      <c r="I490" s="29" t="inlineStr">
        <is>
          <t>현금흐름표</t>
        </is>
      </c>
      <c r="J490" s="29" t="inlineStr">
        <is>
          <t>dart_ProceedsFromConvertibleBonds</t>
        </is>
      </c>
      <c r="K490" s="29" t="inlineStr">
        <is>
          <t>전환사채의 증가</t>
        </is>
      </c>
      <c r="L490" s="29" t="inlineStr">
        <is>
          <t>-</t>
        </is>
      </c>
      <c r="M490" s="29" t="inlineStr">
        <is>
          <t>제 19 기</t>
        </is>
      </c>
      <c r="N490" s="29" t="inlineStr">
        <is>
          <t>39159210946.0</t>
        </is>
      </c>
      <c r="O490" s="29" t="inlineStr">
        <is>
          <t>해당 없음</t>
        </is>
      </c>
      <c r="P490" s="29" t="inlineStr">
        <is>
          <t>KRW</t>
        </is>
      </c>
      <c r="Q490" s="29" t="inlineStr">
        <is>
          <t>12</t>
        </is>
      </c>
    </row>
    <row r="491" ht="24" customHeight="1">
      <c r="A491" s="24" t="inlineStr">
        <is>
          <t>OpenDART_fnlttSinglAcntAll</t>
        </is>
      </c>
      <c r="B491" s="24" t="inlineStr">
        <is>
          <t>01021666</t>
        </is>
      </c>
      <c r="C491" s="24" t="inlineStr">
        <is>
          <t>덕산테코피아</t>
        </is>
      </c>
      <c r="D491" s="24" t="inlineStr">
        <is>
          <t>duksan</t>
        </is>
      </c>
      <c r="E491" s="24" t="inlineStr">
        <is>
          <t>317330</t>
        </is>
      </c>
      <c r="F491" s="24" t="inlineStr">
        <is>
          <t>2024</t>
        </is>
      </c>
      <c r="G491" s="24" t="inlineStr">
        <is>
          <t>CFS</t>
        </is>
      </c>
      <c r="H491" s="24" t="inlineStr">
        <is>
          <t>CF</t>
        </is>
      </c>
      <c r="I491" s="24" t="inlineStr">
        <is>
          <t>현금흐름표</t>
        </is>
      </c>
      <c r="J491" s="24" t="inlineStr">
        <is>
          <t>dart_ProceedsFromExerciseOfShareOptions</t>
        </is>
      </c>
      <c r="K491" s="24" t="inlineStr">
        <is>
          <t>주식매수선택권의 행사</t>
        </is>
      </c>
      <c r="L491" s="24" t="inlineStr">
        <is>
          <t>-</t>
        </is>
      </c>
      <c r="M491" s="24" t="inlineStr">
        <is>
          <t>제 19 기</t>
        </is>
      </c>
      <c r="N491" s="24" t="inlineStr">
        <is>
          <t>1764957590.0</t>
        </is>
      </c>
      <c r="O491" s="24" t="inlineStr">
        <is>
          <t>해당 없음</t>
        </is>
      </c>
      <c r="P491" s="24" t="inlineStr">
        <is>
          <t>KRW</t>
        </is>
      </c>
      <c r="Q491" s="24" t="inlineStr">
        <is>
          <t>13</t>
        </is>
      </c>
    </row>
    <row r="492" ht="24" customHeight="1">
      <c r="A492" s="29" t="inlineStr">
        <is>
          <t>OpenDART_fnlttSinglAcntAll</t>
        </is>
      </c>
      <c r="B492" s="29" t="inlineStr">
        <is>
          <t>01021666</t>
        </is>
      </c>
      <c r="C492" s="29" t="inlineStr">
        <is>
          <t>덕산테코피아</t>
        </is>
      </c>
      <c r="D492" s="29" t="inlineStr">
        <is>
          <t>duksan</t>
        </is>
      </c>
      <c r="E492" s="29" t="inlineStr">
        <is>
          <t>317330</t>
        </is>
      </c>
      <c r="F492" s="29" t="inlineStr">
        <is>
          <t>2024</t>
        </is>
      </c>
      <c r="G492" s="29" t="inlineStr">
        <is>
          <t>CFS</t>
        </is>
      </c>
      <c r="H492" s="29" t="inlineStr">
        <is>
          <t>CF</t>
        </is>
      </c>
      <c r="I492" s="29" t="inlineStr">
        <is>
          <t>현금흐름표</t>
        </is>
      </c>
      <c r="J492" s="29" t="inlineStr">
        <is>
          <t>dart_ProceedsFromIssuingConvertibleBonds</t>
        </is>
      </c>
      <c r="K492" s="29" t="inlineStr">
        <is>
          <t>상환우선주 발행</t>
        </is>
      </c>
      <c r="L492" s="29" t="inlineStr">
        <is>
          <t>-</t>
        </is>
      </c>
      <c r="M492" s="29" t="inlineStr">
        <is>
          <t>제 19 기</t>
        </is>
      </c>
      <c r="N492" s="29" t="inlineStr">
        <is>
          <t>69999722100.0</t>
        </is>
      </c>
      <c r="O492" s="29" t="inlineStr">
        <is>
          <t>131999795400.0</t>
        </is>
      </c>
      <c r="P492" s="29" t="inlineStr">
        <is>
          <t>KRW</t>
        </is>
      </c>
      <c r="Q492" s="29" t="inlineStr">
        <is>
          <t>14</t>
        </is>
      </c>
    </row>
    <row r="493" ht="24" customHeight="1">
      <c r="A493" s="24" t="inlineStr">
        <is>
          <t>OpenDART_fnlttSinglAcntAll</t>
        </is>
      </c>
      <c r="B493" s="24" t="inlineStr">
        <is>
          <t>01021666</t>
        </is>
      </c>
      <c r="C493" s="24" t="inlineStr">
        <is>
          <t>덕산테코피아</t>
        </is>
      </c>
      <c r="D493" s="24" t="inlineStr">
        <is>
          <t>duksan</t>
        </is>
      </c>
      <c r="E493" s="24" t="inlineStr">
        <is>
          <t>317330</t>
        </is>
      </c>
      <c r="F493" s="24" t="inlineStr">
        <is>
          <t>2024</t>
        </is>
      </c>
      <c r="G493" s="24" t="inlineStr">
        <is>
          <t>CFS</t>
        </is>
      </c>
      <c r="H493" s="24" t="inlineStr">
        <is>
          <t>CF</t>
        </is>
      </c>
      <c r="I493" s="24" t="inlineStr">
        <is>
          <t>현금흐름표</t>
        </is>
      </c>
      <c r="J493" s="24" t="inlineStr">
        <is>
          <t>dart_ProceedsFromLongTermBorrowings</t>
        </is>
      </c>
      <c r="K493" s="24" t="inlineStr">
        <is>
          <t>장기차입금의 증가</t>
        </is>
      </c>
      <c r="L493" s="24" t="inlineStr">
        <is>
          <t>-</t>
        </is>
      </c>
      <c r="M493" s="24" t="inlineStr">
        <is>
          <t>제 19 기</t>
        </is>
      </c>
      <c r="N493" s="24" t="inlineStr">
        <is>
          <t>10000000000.0</t>
        </is>
      </c>
      <c r="O493" s="24" t="inlineStr">
        <is>
          <t>36805000000.0</t>
        </is>
      </c>
      <c r="P493" s="24" t="inlineStr">
        <is>
          <t>KRW</t>
        </is>
      </c>
      <c r="Q493" s="24" t="inlineStr">
        <is>
          <t>15</t>
        </is>
      </c>
    </row>
    <row r="494" ht="24" customHeight="1">
      <c r="A494" s="29" t="inlineStr">
        <is>
          <t>OpenDART_fnlttSinglAcntAll</t>
        </is>
      </c>
      <c r="B494" s="29" t="inlineStr">
        <is>
          <t>01021666</t>
        </is>
      </c>
      <c r="C494" s="29" t="inlineStr">
        <is>
          <t>덕산테코피아</t>
        </is>
      </c>
      <c r="D494" s="29" t="inlineStr">
        <is>
          <t>duksan</t>
        </is>
      </c>
      <c r="E494" s="29" t="inlineStr">
        <is>
          <t>317330</t>
        </is>
      </c>
      <c r="F494" s="29" t="inlineStr">
        <is>
          <t>2024</t>
        </is>
      </c>
      <c r="G494" s="29" t="inlineStr">
        <is>
          <t>CFS</t>
        </is>
      </c>
      <c r="H494" s="29" t="inlineStr">
        <is>
          <t>CF</t>
        </is>
      </c>
      <c r="I494" s="29" t="inlineStr">
        <is>
          <t>현금흐름표</t>
        </is>
      </c>
      <c r="J494" s="29" t="inlineStr">
        <is>
          <t>dart_ProceedsFromPaidinCapitalIncrease</t>
        </is>
      </c>
      <c r="K494" s="29" t="inlineStr">
        <is>
          <t>유상증자</t>
        </is>
      </c>
      <c r="L494" s="29" t="inlineStr">
        <is>
          <t>-</t>
        </is>
      </c>
      <c r="M494" s="29" t="inlineStr">
        <is>
          <t>제 19 기</t>
        </is>
      </c>
      <c r="N494" s="29" t="inlineStr">
        <is>
          <t>-2566840.0</t>
        </is>
      </c>
      <c r="O494" s="29" t="inlineStr">
        <is>
          <t>해당 없음</t>
        </is>
      </c>
      <c r="P494" s="29" t="inlineStr">
        <is>
          <t>KRW</t>
        </is>
      </c>
      <c r="Q494" s="29" t="inlineStr">
        <is>
          <t>16</t>
        </is>
      </c>
    </row>
    <row r="495" ht="24" customHeight="1">
      <c r="A495" s="24" t="inlineStr">
        <is>
          <t>OpenDART_fnlttSinglAcntAll</t>
        </is>
      </c>
      <c r="B495" s="24" t="inlineStr">
        <is>
          <t>01021666</t>
        </is>
      </c>
      <c r="C495" s="24" t="inlineStr">
        <is>
          <t>덕산테코피아</t>
        </is>
      </c>
      <c r="D495" s="24" t="inlineStr">
        <is>
          <t>duksan</t>
        </is>
      </c>
      <c r="E495" s="24" t="inlineStr">
        <is>
          <t>317330</t>
        </is>
      </c>
      <c r="F495" s="24" t="inlineStr">
        <is>
          <t>2024</t>
        </is>
      </c>
      <c r="G495" s="24" t="inlineStr">
        <is>
          <t>CFS</t>
        </is>
      </c>
      <c r="H495" s="24" t="inlineStr">
        <is>
          <t>CF</t>
        </is>
      </c>
      <c r="I495" s="24" t="inlineStr">
        <is>
          <t>현금흐름표</t>
        </is>
      </c>
      <c r="J495" s="24" t="inlineStr">
        <is>
          <t>dart_ProceedsFromShortTermBorrowings</t>
        </is>
      </c>
      <c r="K495" s="24" t="inlineStr">
        <is>
          <t>단기차입금의 증가</t>
        </is>
      </c>
      <c r="L495" s="24" t="inlineStr">
        <is>
          <t>-</t>
        </is>
      </c>
      <c r="M495" s="24" t="inlineStr">
        <is>
          <t>제 19 기</t>
        </is>
      </c>
      <c r="N495" s="24" t="inlineStr">
        <is>
          <t>91695641218.0</t>
        </is>
      </c>
      <c r="O495" s="24" t="inlineStr">
        <is>
          <t>100412660000.0</t>
        </is>
      </c>
      <c r="P495" s="24" t="inlineStr">
        <is>
          <t>KRW</t>
        </is>
      </c>
      <c r="Q495" s="24" t="inlineStr">
        <is>
          <t>17</t>
        </is>
      </c>
    </row>
    <row r="496" ht="24" customHeight="1">
      <c r="A496" s="29" t="inlineStr">
        <is>
          <t>OpenDART_fnlttSinglAcntAll</t>
        </is>
      </c>
      <c r="B496" s="29" t="inlineStr">
        <is>
          <t>01021666</t>
        </is>
      </c>
      <c r="C496" s="29" t="inlineStr">
        <is>
          <t>덕산테코피아</t>
        </is>
      </c>
      <c r="D496" s="29" t="inlineStr">
        <is>
          <t>duksan</t>
        </is>
      </c>
      <c r="E496" s="29" t="inlineStr">
        <is>
          <t>317330</t>
        </is>
      </c>
      <c r="F496" s="29" t="inlineStr">
        <is>
          <t>2024</t>
        </is>
      </c>
      <c r="G496" s="29" t="inlineStr">
        <is>
          <t>CFS</t>
        </is>
      </c>
      <c r="H496" s="29" t="inlineStr">
        <is>
          <t>CF</t>
        </is>
      </c>
      <c r="I496" s="29" t="inlineStr">
        <is>
          <t>현금흐름표</t>
        </is>
      </c>
      <c r="J496" s="29" t="inlineStr">
        <is>
          <t>dart_RepaymentsOfConvertibleBonds</t>
        </is>
      </c>
      <c r="K496" s="29" t="inlineStr">
        <is>
          <t>전환사채의 감소</t>
        </is>
      </c>
      <c r="L496" s="29" t="inlineStr">
        <is>
          <t>-</t>
        </is>
      </c>
      <c r="M496" s="29" t="inlineStr">
        <is>
          <t>제 19 기</t>
        </is>
      </c>
      <c r="N496" s="29" t="inlineStr">
        <is>
          <t>25583289068.0</t>
        </is>
      </c>
      <c r="O496" s="29" t="inlineStr">
        <is>
          <t>해당 없음</t>
        </is>
      </c>
      <c r="P496" s="29" t="inlineStr">
        <is>
          <t>KRW</t>
        </is>
      </c>
      <c r="Q496" s="29" t="inlineStr">
        <is>
          <t>18</t>
        </is>
      </c>
    </row>
    <row r="497" ht="24" customHeight="1">
      <c r="A497" s="24" t="inlineStr">
        <is>
          <t>OpenDART_fnlttSinglAcntAll</t>
        </is>
      </c>
      <c r="B497" s="24" t="inlineStr">
        <is>
          <t>01021666</t>
        </is>
      </c>
      <c r="C497" s="24" t="inlineStr">
        <is>
          <t>덕산테코피아</t>
        </is>
      </c>
      <c r="D497" s="24" t="inlineStr">
        <is>
          <t>duksan</t>
        </is>
      </c>
      <c r="E497" s="24" t="inlineStr">
        <is>
          <t>317330</t>
        </is>
      </c>
      <c r="F497" s="24" t="inlineStr">
        <is>
          <t>2024</t>
        </is>
      </c>
      <c r="G497" s="24" t="inlineStr">
        <is>
          <t>CFS</t>
        </is>
      </c>
      <c r="H497" s="24" t="inlineStr">
        <is>
          <t>CF</t>
        </is>
      </c>
      <c r="I497" s="24" t="inlineStr">
        <is>
          <t>현금흐름표</t>
        </is>
      </c>
      <c r="J497" s="24" t="inlineStr">
        <is>
          <t>dart_RepaymentsOfLongTermBorrowings</t>
        </is>
      </c>
      <c r="K497" s="24" t="inlineStr">
        <is>
          <t>장기차입금의 상환</t>
        </is>
      </c>
      <c r="L497" s="24" t="inlineStr">
        <is>
          <t>-</t>
        </is>
      </c>
      <c r="M497" s="24" t="inlineStr">
        <is>
          <t>제 19 기</t>
        </is>
      </c>
      <c r="N497" s="24" t="inlineStr">
        <is>
          <t>500000000.0</t>
        </is>
      </c>
      <c r="O497" s="24" t="inlineStr">
        <is>
          <t>40805000000.0</t>
        </is>
      </c>
      <c r="P497" s="24" t="inlineStr">
        <is>
          <t>KRW</t>
        </is>
      </c>
      <c r="Q497" s="24" t="inlineStr">
        <is>
          <t>19</t>
        </is>
      </c>
    </row>
    <row r="498" ht="24" customHeight="1">
      <c r="A498" s="29" t="inlineStr">
        <is>
          <t>OpenDART_fnlttSinglAcntAll</t>
        </is>
      </c>
      <c r="B498" s="29" t="inlineStr">
        <is>
          <t>01021666</t>
        </is>
      </c>
      <c r="C498" s="29" t="inlineStr">
        <is>
          <t>덕산테코피아</t>
        </is>
      </c>
      <c r="D498" s="29" t="inlineStr">
        <is>
          <t>duksan</t>
        </is>
      </c>
      <c r="E498" s="29" t="inlineStr">
        <is>
          <t>317330</t>
        </is>
      </c>
      <c r="F498" s="29" t="inlineStr">
        <is>
          <t>2024</t>
        </is>
      </c>
      <c r="G498" s="29" t="inlineStr">
        <is>
          <t>CFS</t>
        </is>
      </c>
      <c r="H498" s="29" t="inlineStr">
        <is>
          <t>CF</t>
        </is>
      </c>
      <c r="I498" s="29" t="inlineStr">
        <is>
          <t>현금흐름표</t>
        </is>
      </c>
      <c r="J498" s="29" t="inlineStr">
        <is>
          <t>dart_RepaymentsOfShortTermBorrowings</t>
        </is>
      </c>
      <c r="K498" s="29" t="inlineStr">
        <is>
          <t>단기차입금의 상환</t>
        </is>
      </c>
      <c r="L498" s="29" t="inlineStr">
        <is>
          <t>-</t>
        </is>
      </c>
      <c r="M498" s="29" t="inlineStr">
        <is>
          <t>제 19 기</t>
        </is>
      </c>
      <c r="N498" s="29" t="inlineStr">
        <is>
          <t>10086065250.0</t>
        </is>
      </c>
      <c r="O498" s="29" t="inlineStr">
        <is>
          <t>44440060000.0</t>
        </is>
      </c>
      <c r="P498" s="29" t="inlineStr">
        <is>
          <t>KRW</t>
        </is>
      </c>
      <c r="Q498" s="29" t="inlineStr">
        <is>
          <t>20</t>
        </is>
      </c>
    </row>
    <row r="499" ht="24" customHeight="1">
      <c r="A499" s="24" t="inlineStr">
        <is>
          <t>OpenDART_fnlttSinglAcntAll</t>
        </is>
      </c>
      <c r="B499" s="24" t="inlineStr">
        <is>
          <t>01021666</t>
        </is>
      </c>
      <c r="C499" s="24" t="inlineStr">
        <is>
          <t>덕산테코피아</t>
        </is>
      </c>
      <c r="D499" s="24" t="inlineStr">
        <is>
          <t>duksan</t>
        </is>
      </c>
      <c r="E499" s="24" t="inlineStr">
        <is>
          <t>317330</t>
        </is>
      </c>
      <c r="F499" s="24" t="inlineStr">
        <is>
          <t>2024</t>
        </is>
      </c>
      <c r="G499" s="24" t="inlineStr">
        <is>
          <t>CFS</t>
        </is>
      </c>
      <c r="H499" s="24" t="inlineStr">
        <is>
          <t>CF</t>
        </is>
      </c>
      <c r="I499" s="24" t="inlineStr">
        <is>
          <t>현금흐름표</t>
        </is>
      </c>
      <c r="J499" s="24" t="inlineStr">
        <is>
          <t>ifrs-full_RepaymentsOfCurrentBorrowings</t>
        </is>
      </c>
      <c r="K499" s="24" t="inlineStr">
        <is>
          <t>유동차입금의 상환</t>
        </is>
      </c>
      <c r="L499" s="24" t="inlineStr">
        <is>
          <t>-</t>
        </is>
      </c>
      <c r="M499" s="24" t="inlineStr">
        <is>
          <t>제 19 기</t>
        </is>
      </c>
      <c r="N499" s="24" t="inlineStr">
        <is>
          <t>21228880000.0</t>
        </is>
      </c>
      <c r="O499" s="24" t="inlineStr">
        <is>
          <t>300000000.0</t>
        </is>
      </c>
      <c r="P499" s="24" t="inlineStr">
        <is>
          <t>KRW</t>
        </is>
      </c>
      <c r="Q499" s="24" t="inlineStr">
        <is>
          <t>21</t>
        </is>
      </c>
    </row>
    <row r="500" ht="24" customHeight="1">
      <c r="A500" s="29" t="inlineStr">
        <is>
          <t>OpenDART_fnlttSinglAcntAll</t>
        </is>
      </c>
      <c r="B500" s="29" t="inlineStr">
        <is>
          <t>01021666</t>
        </is>
      </c>
      <c r="C500" s="29" t="inlineStr">
        <is>
          <t>덕산테코피아</t>
        </is>
      </c>
      <c r="D500" s="29" t="inlineStr">
        <is>
          <t>duksan</t>
        </is>
      </c>
      <c r="E500" s="29" t="inlineStr">
        <is>
          <t>317330</t>
        </is>
      </c>
      <c r="F500" s="29" t="inlineStr">
        <is>
          <t>2024</t>
        </is>
      </c>
      <c r="G500" s="29" t="inlineStr">
        <is>
          <t>CFS</t>
        </is>
      </c>
      <c r="H500" s="29" t="inlineStr">
        <is>
          <t>CF</t>
        </is>
      </c>
      <c r="I500" s="29" t="inlineStr">
        <is>
          <t>현금흐름표</t>
        </is>
      </c>
      <c r="J500" s="29" t="inlineStr">
        <is>
          <t>ifrs-full_CashFlowsFromUsedInInvestingActivities</t>
        </is>
      </c>
      <c r="K500" s="29" t="inlineStr">
        <is>
          <t>투자활동현금흐름</t>
        </is>
      </c>
      <c r="L500" s="29" t="inlineStr">
        <is>
          <t>-</t>
        </is>
      </c>
      <c r="M500" s="29" t="inlineStr">
        <is>
          <t>제 19 기</t>
        </is>
      </c>
      <c r="N500" s="29" t="inlineStr">
        <is>
          <t>-113740008300.0</t>
        </is>
      </c>
      <c r="O500" s="29" t="inlineStr">
        <is>
          <t>-175861877318.0</t>
        </is>
      </c>
      <c r="P500" s="29" t="inlineStr">
        <is>
          <t>KRW</t>
        </is>
      </c>
      <c r="Q500" s="29" t="inlineStr">
        <is>
          <t>22</t>
        </is>
      </c>
    </row>
    <row r="501" ht="24" customHeight="1">
      <c r="A501" s="24" t="inlineStr">
        <is>
          <t>OpenDART_fnlttSinglAcntAll</t>
        </is>
      </c>
      <c r="B501" s="24" t="inlineStr">
        <is>
          <t>01021666</t>
        </is>
      </c>
      <c r="C501" s="24" t="inlineStr">
        <is>
          <t>덕산테코피아</t>
        </is>
      </c>
      <c r="D501" s="24" t="inlineStr">
        <is>
          <t>duksan</t>
        </is>
      </c>
      <c r="E501" s="24" t="inlineStr">
        <is>
          <t>317330</t>
        </is>
      </c>
      <c r="F501" s="24" t="inlineStr">
        <is>
          <t>2024</t>
        </is>
      </c>
      <c r="G501" s="24" t="inlineStr">
        <is>
          <t>CFS</t>
        </is>
      </c>
      <c r="H501" s="24" t="inlineStr">
        <is>
          <t>CF</t>
        </is>
      </c>
      <c r="I501" s="24" t="inlineStr">
        <is>
          <t>현금흐름표</t>
        </is>
      </c>
      <c r="J501" s="24" t="inlineStr">
        <is>
          <t>dart_AdjustmentsForDecreaseincreaseInDepositsProvided</t>
        </is>
      </c>
      <c r="K501" s="24" t="inlineStr">
        <is>
          <t>기타보증금의 감소（증가）</t>
        </is>
      </c>
      <c r="L501" s="24" t="inlineStr">
        <is>
          <t>-</t>
        </is>
      </c>
      <c r="M501" s="24" t="inlineStr">
        <is>
          <t>제 19 기</t>
        </is>
      </c>
      <c r="N501" s="24" t="inlineStr">
        <is>
          <t>-153434110.0</t>
        </is>
      </c>
      <c r="O501" s="24" t="inlineStr">
        <is>
          <t>-438396.0</t>
        </is>
      </c>
      <c r="P501" s="24" t="inlineStr">
        <is>
          <t>KRW</t>
        </is>
      </c>
      <c r="Q501" s="24" t="inlineStr">
        <is>
          <t>23</t>
        </is>
      </c>
    </row>
    <row r="502" ht="24" customHeight="1">
      <c r="A502" s="29" t="inlineStr">
        <is>
          <t>OpenDART_fnlttSinglAcntAll</t>
        </is>
      </c>
      <c r="B502" s="29" t="inlineStr">
        <is>
          <t>01021666</t>
        </is>
      </c>
      <c r="C502" s="29" t="inlineStr">
        <is>
          <t>덕산테코피아</t>
        </is>
      </c>
      <c r="D502" s="29" t="inlineStr">
        <is>
          <t>duksan</t>
        </is>
      </c>
      <c r="E502" s="29" t="inlineStr">
        <is>
          <t>317330</t>
        </is>
      </c>
      <c r="F502" s="29" t="inlineStr">
        <is>
          <t>2024</t>
        </is>
      </c>
      <c r="G502" s="29" t="inlineStr">
        <is>
          <t>CFS</t>
        </is>
      </c>
      <c r="H502" s="29" t="inlineStr">
        <is>
          <t>CF</t>
        </is>
      </c>
      <c r="I502" s="29" t="inlineStr">
        <is>
          <t>현금흐름표</t>
        </is>
      </c>
      <c r="J502" s="29" t="inlineStr">
        <is>
          <t>dart_DecreaseInGuaranteeDeposits</t>
        </is>
      </c>
      <c r="K502" s="29" t="inlineStr">
        <is>
          <t>임차보증금의 감소</t>
        </is>
      </c>
      <c r="L502" s="29" t="inlineStr">
        <is>
          <t>-</t>
        </is>
      </c>
      <c r="M502" s="29" t="inlineStr">
        <is>
          <t>제 19 기</t>
        </is>
      </c>
      <c r="N502" s="29" t="inlineStr">
        <is>
          <t>35500000.0</t>
        </is>
      </c>
      <c r="O502" s="29" t="inlineStr">
        <is>
          <t>178000000.0</t>
        </is>
      </c>
      <c r="P502" s="29" t="inlineStr">
        <is>
          <t>KRW</t>
        </is>
      </c>
      <c r="Q502" s="29" t="inlineStr">
        <is>
          <t>24</t>
        </is>
      </c>
    </row>
    <row r="503" ht="24" customHeight="1">
      <c r="A503" s="24" t="inlineStr">
        <is>
          <t>OpenDART_fnlttSinglAcntAll</t>
        </is>
      </c>
      <c r="B503" s="24" t="inlineStr">
        <is>
          <t>01021666</t>
        </is>
      </c>
      <c r="C503" s="24" t="inlineStr">
        <is>
          <t>덕산테코피아</t>
        </is>
      </c>
      <c r="D503" s="24" t="inlineStr">
        <is>
          <t>duksan</t>
        </is>
      </c>
      <c r="E503" s="24" t="inlineStr">
        <is>
          <t>317330</t>
        </is>
      </c>
      <c r="F503" s="24" t="inlineStr">
        <is>
          <t>2024</t>
        </is>
      </c>
      <c r="G503" s="24" t="inlineStr">
        <is>
          <t>CFS</t>
        </is>
      </c>
      <c r="H503" s="24" t="inlineStr">
        <is>
          <t>CF</t>
        </is>
      </c>
      <c r="I503" s="24" t="inlineStr">
        <is>
          <t>현금흐름표</t>
        </is>
      </c>
      <c r="J503" s="24" t="inlineStr">
        <is>
          <t>dart_DecreaseInGuaranteeDepositsAsFinancialActivities</t>
        </is>
      </c>
      <c r="K503" s="24" t="inlineStr">
        <is>
          <t>임대보증금의 감소</t>
        </is>
      </c>
      <c r="L503" s="24" t="inlineStr">
        <is>
          <t>-</t>
        </is>
      </c>
      <c r="M503" s="24" t="inlineStr">
        <is>
          <t>제 19 기</t>
        </is>
      </c>
      <c r="N503" s="24" t="inlineStr">
        <is>
          <t>해당 없음</t>
        </is>
      </c>
      <c r="O503" s="24" t="inlineStr">
        <is>
          <t>17500000.0</t>
        </is>
      </c>
      <c r="P503" s="24" t="inlineStr">
        <is>
          <t>KRW</t>
        </is>
      </c>
      <c r="Q503" s="24" t="inlineStr">
        <is>
          <t>25</t>
        </is>
      </c>
    </row>
    <row r="504" ht="24" customHeight="1">
      <c r="A504" s="29" t="inlineStr">
        <is>
          <t>OpenDART_fnlttSinglAcntAll</t>
        </is>
      </c>
      <c r="B504" s="29" t="inlineStr">
        <is>
          <t>01021666</t>
        </is>
      </c>
      <c r="C504" s="29" t="inlineStr">
        <is>
          <t>덕산테코피아</t>
        </is>
      </c>
      <c r="D504" s="29" t="inlineStr">
        <is>
          <t>duksan</t>
        </is>
      </c>
      <c r="E504" s="29" t="inlineStr">
        <is>
          <t>317330</t>
        </is>
      </c>
      <c r="F504" s="29" t="inlineStr">
        <is>
          <t>2024</t>
        </is>
      </c>
      <c r="G504" s="29" t="inlineStr">
        <is>
          <t>CFS</t>
        </is>
      </c>
      <c r="H504" s="29" t="inlineStr">
        <is>
          <t>CF</t>
        </is>
      </c>
      <c r="I504" s="29" t="inlineStr">
        <is>
          <t>현금흐름표</t>
        </is>
      </c>
      <c r="J504" s="29" t="inlineStr">
        <is>
          <t>dart_IncreaseInGuaranteeDeposits</t>
        </is>
      </c>
      <c r="K504" s="29" t="inlineStr">
        <is>
          <t>임차보증금의 증가</t>
        </is>
      </c>
      <c r="L504" s="29" t="inlineStr">
        <is>
          <t>-</t>
        </is>
      </c>
      <c r="M504" s="29" t="inlineStr">
        <is>
          <t>제 19 기</t>
        </is>
      </c>
      <c r="N504" s="29" t="inlineStr">
        <is>
          <t>61000000.0</t>
        </is>
      </c>
      <c r="O504" s="29" t="inlineStr">
        <is>
          <t>97400000.0</t>
        </is>
      </c>
      <c r="P504" s="29" t="inlineStr">
        <is>
          <t>KRW</t>
        </is>
      </c>
      <c r="Q504" s="29" t="inlineStr">
        <is>
          <t>26</t>
        </is>
      </c>
    </row>
    <row r="505" ht="24" customHeight="1">
      <c r="A505" s="24" t="inlineStr">
        <is>
          <t>OpenDART_fnlttSinglAcntAll</t>
        </is>
      </c>
      <c r="B505" s="24" t="inlineStr">
        <is>
          <t>01021666</t>
        </is>
      </c>
      <c r="C505" s="24" t="inlineStr">
        <is>
          <t>덕산테코피아</t>
        </is>
      </c>
      <c r="D505" s="24" t="inlineStr">
        <is>
          <t>duksan</t>
        </is>
      </c>
      <c r="E505" s="24" t="inlineStr">
        <is>
          <t>317330</t>
        </is>
      </c>
      <c r="F505" s="24" t="inlineStr">
        <is>
          <t>2024</t>
        </is>
      </c>
      <c r="G505" s="24" t="inlineStr">
        <is>
          <t>CFS</t>
        </is>
      </c>
      <c r="H505" s="24" t="inlineStr">
        <is>
          <t>CF</t>
        </is>
      </c>
      <c r="I505" s="24" t="inlineStr">
        <is>
          <t>현금흐름표</t>
        </is>
      </c>
      <c r="J505" s="24" t="inlineStr">
        <is>
          <t>dart_ProceedsFromSalesOfFairValueFinancialAsset</t>
        </is>
      </c>
      <c r="K505" s="24" t="inlineStr">
        <is>
          <t>당기손익인식금융자산의 처분</t>
        </is>
      </c>
      <c r="L505" s="24" t="inlineStr">
        <is>
          <t>-</t>
        </is>
      </c>
      <c r="M505" s="24" t="inlineStr">
        <is>
          <t>제 19 기</t>
        </is>
      </c>
      <c r="N505" s="24" t="inlineStr">
        <is>
          <t>5302552000.0</t>
        </is>
      </c>
      <c r="O505" s="24" t="inlineStr">
        <is>
          <t>886837951.0</t>
        </is>
      </c>
      <c r="P505" s="24" t="inlineStr">
        <is>
          <t>KRW</t>
        </is>
      </c>
      <c r="Q505" s="24" t="inlineStr">
        <is>
          <t>27</t>
        </is>
      </c>
    </row>
    <row r="506" ht="24" customHeight="1">
      <c r="A506" s="29" t="inlineStr">
        <is>
          <t>OpenDART_fnlttSinglAcntAll</t>
        </is>
      </c>
      <c r="B506" s="29" t="inlineStr">
        <is>
          <t>01021666</t>
        </is>
      </c>
      <c r="C506" s="29" t="inlineStr">
        <is>
          <t>덕산테코피아</t>
        </is>
      </c>
      <c r="D506" s="29" t="inlineStr">
        <is>
          <t>duksan</t>
        </is>
      </c>
      <c r="E506" s="29" t="inlineStr">
        <is>
          <t>317330</t>
        </is>
      </c>
      <c r="F506" s="29" t="inlineStr">
        <is>
          <t>2024</t>
        </is>
      </c>
      <c r="G506" s="29" t="inlineStr">
        <is>
          <t>CFS</t>
        </is>
      </c>
      <c r="H506" s="29" t="inlineStr">
        <is>
          <t>CF</t>
        </is>
      </c>
      <c r="I506" s="29" t="inlineStr">
        <is>
          <t>현금흐름표</t>
        </is>
      </c>
      <c r="J506" s="29" t="inlineStr">
        <is>
          <t>dart_ProceedsFromSalesOfLongTermLoansAndReceivables</t>
        </is>
      </c>
      <c r="K506" s="29" t="inlineStr">
        <is>
          <t>장기대여금및수취채권의 처분</t>
        </is>
      </c>
      <c r="L506" s="29" t="inlineStr">
        <is>
          <t>-</t>
        </is>
      </c>
      <c r="M506" s="29" t="inlineStr">
        <is>
          <t>제 19 기</t>
        </is>
      </c>
      <c r="N506" s="29" t="inlineStr">
        <is>
          <t>11800060.0</t>
        </is>
      </c>
      <c r="O506" s="29" t="inlineStr">
        <is>
          <t>18007699940.0</t>
        </is>
      </c>
      <c r="P506" s="29" t="inlineStr">
        <is>
          <t>KRW</t>
        </is>
      </c>
      <c r="Q506" s="29" t="inlineStr">
        <is>
          <t>28</t>
        </is>
      </c>
    </row>
    <row r="507" ht="24" customHeight="1">
      <c r="A507" s="24" t="inlineStr">
        <is>
          <t>OpenDART_fnlttSinglAcntAll</t>
        </is>
      </c>
      <c r="B507" s="24" t="inlineStr">
        <is>
          <t>01021666</t>
        </is>
      </c>
      <c r="C507" s="24" t="inlineStr">
        <is>
          <t>덕산테코피아</t>
        </is>
      </c>
      <c r="D507" s="24" t="inlineStr">
        <is>
          <t>duksan</t>
        </is>
      </c>
      <c r="E507" s="24" t="inlineStr">
        <is>
          <t>317330</t>
        </is>
      </c>
      <c r="F507" s="24" t="inlineStr">
        <is>
          <t>2024</t>
        </is>
      </c>
      <c r="G507" s="24" t="inlineStr">
        <is>
          <t>CFS</t>
        </is>
      </c>
      <c r="H507" s="24" t="inlineStr">
        <is>
          <t>CF</t>
        </is>
      </c>
      <c r="I507" s="24" t="inlineStr">
        <is>
          <t>현금흐름표</t>
        </is>
      </c>
      <c r="J507" s="24" t="inlineStr">
        <is>
          <t>dart_ProceedsFromSalesOfShortTermFinancialInstruments</t>
        </is>
      </c>
      <c r="K507" s="24" t="inlineStr">
        <is>
          <t>단기금융상품의 처분</t>
        </is>
      </c>
      <c r="L507" s="24" t="inlineStr">
        <is>
          <t>-</t>
        </is>
      </c>
      <c r="M507" s="24" t="inlineStr">
        <is>
          <t>제 19 기</t>
        </is>
      </c>
      <c r="N507" s="24" t="inlineStr">
        <is>
          <t>515500000000.0</t>
        </is>
      </c>
      <c r="O507" s="24" t="inlineStr">
        <is>
          <t>140000000000.0</t>
        </is>
      </c>
      <c r="P507" s="24" t="inlineStr">
        <is>
          <t>KRW</t>
        </is>
      </c>
      <c r="Q507" s="24" t="inlineStr">
        <is>
          <t>29</t>
        </is>
      </c>
    </row>
    <row r="508" ht="24" customHeight="1">
      <c r="A508" s="29" t="inlineStr">
        <is>
          <t>OpenDART_fnlttSinglAcntAll</t>
        </is>
      </c>
      <c r="B508" s="29" t="inlineStr">
        <is>
          <t>01021666</t>
        </is>
      </c>
      <c r="C508" s="29" t="inlineStr">
        <is>
          <t>덕산테코피아</t>
        </is>
      </c>
      <c r="D508" s="29" t="inlineStr">
        <is>
          <t>duksan</t>
        </is>
      </c>
      <c r="E508" s="29" t="inlineStr">
        <is>
          <t>317330</t>
        </is>
      </c>
      <c r="F508" s="29" t="inlineStr">
        <is>
          <t>2024</t>
        </is>
      </c>
      <c r="G508" s="29" t="inlineStr">
        <is>
          <t>CFS</t>
        </is>
      </c>
      <c r="H508" s="29" t="inlineStr">
        <is>
          <t>CF</t>
        </is>
      </c>
      <c r="I508" s="29" t="inlineStr">
        <is>
          <t>현금흐름표</t>
        </is>
      </c>
      <c r="J508" s="29" t="inlineStr">
        <is>
          <t>dart_ProceedsFromSalesOfShortTermLoansAndReceivables</t>
        </is>
      </c>
      <c r="K508" s="29" t="inlineStr">
        <is>
          <t>단기대여금및수취채권의 처분</t>
        </is>
      </c>
      <c r="L508" s="29" t="inlineStr">
        <is>
          <t>-</t>
        </is>
      </c>
      <c r="M508" s="29" t="inlineStr">
        <is>
          <t>제 19 기</t>
        </is>
      </c>
      <c r="N508" s="29" t="inlineStr">
        <is>
          <t>2195452032.0</t>
        </is>
      </c>
      <c r="O508" s="29" t="inlineStr">
        <is>
          <t>6727580000.0</t>
        </is>
      </c>
      <c r="P508" s="29" t="inlineStr">
        <is>
          <t>KRW</t>
        </is>
      </c>
      <c r="Q508" s="29" t="inlineStr">
        <is>
          <t>30</t>
        </is>
      </c>
    </row>
    <row r="509" ht="24" customHeight="1">
      <c r="A509" s="24" t="inlineStr">
        <is>
          <t>OpenDART_fnlttSinglAcntAll</t>
        </is>
      </c>
      <c r="B509" s="24" t="inlineStr">
        <is>
          <t>01021666</t>
        </is>
      </c>
      <c r="C509" s="24" t="inlineStr">
        <is>
          <t>덕산테코피아</t>
        </is>
      </c>
      <c r="D509" s="24" t="inlineStr">
        <is>
          <t>duksan</t>
        </is>
      </c>
      <c r="E509" s="24" t="inlineStr">
        <is>
          <t>317330</t>
        </is>
      </c>
      <c r="F509" s="24" t="inlineStr">
        <is>
          <t>2024</t>
        </is>
      </c>
      <c r="G509" s="24" t="inlineStr">
        <is>
          <t>CFS</t>
        </is>
      </c>
      <c r="H509" s="24" t="inlineStr">
        <is>
          <t>CF</t>
        </is>
      </c>
      <c r="I509" s="24" t="inlineStr">
        <is>
          <t>현금흐름표</t>
        </is>
      </c>
      <c r="J509" s="24" t="inlineStr">
        <is>
          <t>dart_PurchaseOfFairValueFinancialAsset</t>
        </is>
      </c>
      <c r="K509" s="24" t="inlineStr">
        <is>
          <t>당기손익인식금융자산의 취득</t>
        </is>
      </c>
      <c r="L509" s="24" t="inlineStr">
        <is>
          <t>-</t>
        </is>
      </c>
      <c r="M509" s="24" t="inlineStr">
        <is>
          <t>제 19 기</t>
        </is>
      </c>
      <c r="N509" s="24" t="inlineStr">
        <is>
          <t>7999999376.0</t>
        </is>
      </c>
      <c r="O509" s="24" t="inlineStr">
        <is>
          <t>해당 없음</t>
        </is>
      </c>
      <c r="P509" s="24" t="inlineStr">
        <is>
          <t>KRW</t>
        </is>
      </c>
      <c r="Q509" s="24" t="inlineStr">
        <is>
          <t>31</t>
        </is>
      </c>
    </row>
    <row r="510" ht="24" customHeight="1">
      <c r="A510" s="29" t="inlineStr">
        <is>
          <t>OpenDART_fnlttSinglAcntAll</t>
        </is>
      </c>
      <c r="B510" s="29" t="inlineStr">
        <is>
          <t>01021666</t>
        </is>
      </c>
      <c r="C510" s="29" t="inlineStr">
        <is>
          <t>덕산테코피아</t>
        </is>
      </c>
      <c r="D510" s="29" t="inlineStr">
        <is>
          <t>duksan</t>
        </is>
      </c>
      <c r="E510" s="29" t="inlineStr">
        <is>
          <t>317330</t>
        </is>
      </c>
      <c r="F510" s="29" t="inlineStr">
        <is>
          <t>2024</t>
        </is>
      </c>
      <c r="G510" s="29" t="inlineStr">
        <is>
          <t>CFS</t>
        </is>
      </c>
      <c r="H510" s="29" t="inlineStr">
        <is>
          <t>CF</t>
        </is>
      </c>
      <c r="I510" s="29" t="inlineStr">
        <is>
          <t>현금흐름표</t>
        </is>
      </c>
      <c r="J510" s="29" t="inlineStr">
        <is>
          <t>dart_PurchaseOfInvestmentsInSubsidiaries</t>
        </is>
      </c>
      <c r="K510" s="29" t="inlineStr">
        <is>
          <t>종속기업에 대한 투자자산의 취득</t>
        </is>
      </c>
      <c r="L510" s="29" t="inlineStr">
        <is>
          <t>-</t>
        </is>
      </c>
      <c r="M510" s="29" t="inlineStr">
        <is>
          <t>제 19 기</t>
        </is>
      </c>
      <c r="N510" s="29" t="inlineStr">
        <is>
          <t>해당 없음</t>
        </is>
      </c>
      <c r="O510" s="29" t="inlineStr">
        <is>
          <t>해당 없음</t>
        </is>
      </c>
      <c r="P510" s="29" t="inlineStr">
        <is>
          <t>KRW</t>
        </is>
      </c>
      <c r="Q510" s="29" t="inlineStr">
        <is>
          <t>32</t>
        </is>
      </c>
    </row>
    <row r="511" ht="24" customHeight="1">
      <c r="A511" s="24" t="inlineStr">
        <is>
          <t>OpenDART_fnlttSinglAcntAll</t>
        </is>
      </c>
      <c r="B511" s="24" t="inlineStr">
        <is>
          <t>01021666</t>
        </is>
      </c>
      <c r="C511" s="24" t="inlineStr">
        <is>
          <t>덕산테코피아</t>
        </is>
      </c>
      <c r="D511" s="24" t="inlineStr">
        <is>
          <t>duksan</t>
        </is>
      </c>
      <c r="E511" s="24" t="inlineStr">
        <is>
          <t>317330</t>
        </is>
      </c>
      <c r="F511" s="24" t="inlineStr">
        <is>
          <t>2024</t>
        </is>
      </c>
      <c r="G511" s="24" t="inlineStr">
        <is>
          <t>CFS</t>
        </is>
      </c>
      <c r="H511" s="24" t="inlineStr">
        <is>
          <t>CF</t>
        </is>
      </c>
      <c r="I511" s="24" t="inlineStr">
        <is>
          <t>현금흐름표</t>
        </is>
      </c>
      <c r="J511" s="24" t="inlineStr">
        <is>
          <t>dart_PurchaseOfLongTermLoansAndReceivables</t>
        </is>
      </c>
      <c r="K511" s="24" t="inlineStr">
        <is>
          <t>장기대여금및수취채권의 취득</t>
        </is>
      </c>
      <c r="L511" s="24" t="inlineStr">
        <is>
          <t>-</t>
        </is>
      </c>
      <c r="M511" s="24" t="inlineStr">
        <is>
          <t>제 19 기</t>
        </is>
      </c>
      <c r="N511" s="24" t="inlineStr">
        <is>
          <t>해당 없음</t>
        </is>
      </c>
      <c r="O511" s="24" t="inlineStr">
        <is>
          <t>10041800000.0</t>
        </is>
      </c>
      <c r="P511" s="24" t="inlineStr">
        <is>
          <t>KRW</t>
        </is>
      </c>
      <c r="Q511" s="24" t="inlineStr">
        <is>
          <t>33</t>
        </is>
      </c>
    </row>
    <row r="512" ht="24" customHeight="1">
      <c r="A512" s="29" t="inlineStr">
        <is>
          <t>OpenDART_fnlttSinglAcntAll</t>
        </is>
      </c>
      <c r="B512" s="29" t="inlineStr">
        <is>
          <t>01021666</t>
        </is>
      </c>
      <c r="C512" s="29" t="inlineStr">
        <is>
          <t>덕산테코피아</t>
        </is>
      </c>
      <c r="D512" s="29" t="inlineStr">
        <is>
          <t>duksan</t>
        </is>
      </c>
      <c r="E512" s="29" t="inlineStr">
        <is>
          <t>317330</t>
        </is>
      </c>
      <c r="F512" s="29" t="inlineStr">
        <is>
          <t>2024</t>
        </is>
      </c>
      <c r="G512" s="29" t="inlineStr">
        <is>
          <t>CFS</t>
        </is>
      </c>
      <c r="H512" s="29" t="inlineStr">
        <is>
          <t>CF</t>
        </is>
      </c>
      <c r="I512" s="29" t="inlineStr">
        <is>
          <t>현금흐름표</t>
        </is>
      </c>
      <c r="J512" s="29" t="inlineStr">
        <is>
          <t>dart_PurchaseOfShortTermFinancialInstruments</t>
        </is>
      </c>
      <c r="K512" s="29" t="inlineStr">
        <is>
          <t>단기금융상품의 취득</t>
        </is>
      </c>
      <c r="L512" s="29" t="inlineStr">
        <is>
          <t>-</t>
        </is>
      </c>
      <c r="M512" s="29" t="inlineStr">
        <is>
          <t>제 19 기</t>
        </is>
      </c>
      <c r="N512" s="29" t="inlineStr">
        <is>
          <t>589500000000.0</t>
        </is>
      </c>
      <c r="O512" s="29" t="inlineStr">
        <is>
          <t>175000000000.0</t>
        </is>
      </c>
      <c r="P512" s="29" t="inlineStr">
        <is>
          <t>KRW</t>
        </is>
      </c>
      <c r="Q512" s="29" t="inlineStr">
        <is>
          <t>34</t>
        </is>
      </c>
    </row>
    <row r="513" ht="24" customHeight="1">
      <c r="A513" s="24" t="inlineStr">
        <is>
          <t>OpenDART_fnlttSinglAcntAll</t>
        </is>
      </c>
      <c r="B513" s="24" t="inlineStr">
        <is>
          <t>01021666</t>
        </is>
      </c>
      <c r="C513" s="24" t="inlineStr">
        <is>
          <t>덕산테코피아</t>
        </is>
      </c>
      <c r="D513" s="24" t="inlineStr">
        <is>
          <t>duksan</t>
        </is>
      </c>
      <c r="E513" s="24" t="inlineStr">
        <is>
          <t>317330</t>
        </is>
      </c>
      <c r="F513" s="24" t="inlineStr">
        <is>
          <t>2024</t>
        </is>
      </c>
      <c r="G513" s="24" t="inlineStr">
        <is>
          <t>CFS</t>
        </is>
      </c>
      <c r="H513" s="24" t="inlineStr">
        <is>
          <t>CF</t>
        </is>
      </c>
      <c r="I513" s="24" t="inlineStr">
        <is>
          <t>현금흐름표</t>
        </is>
      </c>
      <c r="J513" s="24" t="inlineStr">
        <is>
          <t>dart_PurchaseOfShortTermLoansAndReceivables</t>
        </is>
      </c>
      <c r="K513" s="24" t="inlineStr">
        <is>
          <t>단기대여금및수취채권의 취득</t>
        </is>
      </c>
      <c r="L513" s="24" t="inlineStr">
        <is>
          <t>-</t>
        </is>
      </c>
      <c r="M513" s="24" t="inlineStr">
        <is>
          <t>제 19 기</t>
        </is>
      </c>
      <c r="N513" s="24" t="inlineStr">
        <is>
          <t>해당 없음</t>
        </is>
      </c>
      <c r="O513" s="24" t="inlineStr">
        <is>
          <t>7115000000.0</t>
        </is>
      </c>
      <c r="P513" s="24" t="inlineStr">
        <is>
          <t>KRW</t>
        </is>
      </c>
      <c r="Q513" s="24" t="inlineStr">
        <is>
          <t>35</t>
        </is>
      </c>
    </row>
    <row r="514" ht="24" customHeight="1">
      <c r="A514" s="29" t="inlineStr">
        <is>
          <t>OpenDART_fnlttSinglAcntAll</t>
        </is>
      </c>
      <c r="B514" s="29" t="inlineStr">
        <is>
          <t>01021666</t>
        </is>
      </c>
      <c r="C514" s="29" t="inlineStr">
        <is>
          <t>덕산테코피아</t>
        </is>
      </c>
      <c r="D514" s="29" t="inlineStr">
        <is>
          <t>duksan</t>
        </is>
      </c>
      <c r="E514" s="29" t="inlineStr">
        <is>
          <t>317330</t>
        </is>
      </c>
      <c r="F514" s="29" t="inlineStr">
        <is>
          <t>2024</t>
        </is>
      </c>
      <c r="G514" s="29" t="inlineStr">
        <is>
          <t>CFS</t>
        </is>
      </c>
      <c r="H514" s="29" t="inlineStr">
        <is>
          <t>CF</t>
        </is>
      </c>
      <c r="I514" s="29" t="inlineStr">
        <is>
          <t>현금흐름표</t>
        </is>
      </c>
      <c r="J514" s="29" t="inlineStr">
        <is>
          <t>ifrs-full_ProceedsFromGovernmentGrantsClassifiedAsInvestingActivities</t>
        </is>
      </c>
      <c r="K514" s="29" t="inlineStr">
        <is>
          <t>정부보조금의 수취</t>
        </is>
      </c>
      <c r="L514" s="29" t="inlineStr">
        <is>
          <t>-</t>
        </is>
      </c>
      <c r="M514" s="29" t="inlineStr">
        <is>
          <t>제 19 기</t>
        </is>
      </c>
      <c r="N514" s="29" t="inlineStr">
        <is>
          <t>해당 없음</t>
        </is>
      </c>
      <c r="O514" s="29" t="inlineStr">
        <is>
          <t>해당 없음</t>
        </is>
      </c>
      <c r="P514" s="29" t="inlineStr">
        <is>
          <t>KRW</t>
        </is>
      </c>
      <c r="Q514" s="29" t="inlineStr">
        <is>
          <t>36</t>
        </is>
      </c>
    </row>
    <row r="515" ht="24" customHeight="1">
      <c r="A515" s="24" t="inlineStr">
        <is>
          <t>OpenDART_fnlttSinglAcntAll</t>
        </is>
      </c>
      <c r="B515" s="24" t="inlineStr">
        <is>
          <t>01021666</t>
        </is>
      </c>
      <c r="C515" s="24" t="inlineStr">
        <is>
          <t>덕산테코피아</t>
        </is>
      </c>
      <c r="D515" s="24" t="inlineStr">
        <is>
          <t>duksan</t>
        </is>
      </c>
      <c r="E515" s="24" t="inlineStr">
        <is>
          <t>317330</t>
        </is>
      </c>
      <c r="F515" s="24" t="inlineStr">
        <is>
          <t>2024</t>
        </is>
      </c>
      <c r="G515" s="24" t="inlineStr">
        <is>
          <t>CFS</t>
        </is>
      </c>
      <c r="H515" s="24" t="inlineStr">
        <is>
          <t>CF</t>
        </is>
      </c>
      <c r="I515" s="24" t="inlineStr">
        <is>
          <t>현금흐름표</t>
        </is>
      </c>
      <c r="J515" s="24" t="inlineStr">
        <is>
          <t>ifrs-full_ProceedsFromSalesOfPropertyPlantAndEquipmentClassifiedAsInvestingActivities</t>
        </is>
      </c>
      <c r="K515" s="24" t="inlineStr">
        <is>
          <t>유형자산의 처분</t>
        </is>
      </c>
      <c r="L515" s="24" t="inlineStr">
        <is>
          <t>-</t>
        </is>
      </c>
      <c r="M515" s="24" t="inlineStr">
        <is>
          <t>제 19 기</t>
        </is>
      </c>
      <c r="N515" s="24" t="inlineStr">
        <is>
          <t>800000.0</t>
        </is>
      </c>
      <c r="O515" s="24" t="inlineStr">
        <is>
          <t>636363.0</t>
        </is>
      </c>
      <c r="P515" s="24" t="inlineStr">
        <is>
          <t>KRW</t>
        </is>
      </c>
      <c r="Q515" s="24" t="inlineStr">
        <is>
          <t>37</t>
        </is>
      </c>
    </row>
    <row r="516" ht="24" customHeight="1">
      <c r="A516" s="29" t="inlineStr">
        <is>
          <t>OpenDART_fnlttSinglAcntAll</t>
        </is>
      </c>
      <c r="B516" s="29" t="inlineStr">
        <is>
          <t>01021666</t>
        </is>
      </c>
      <c r="C516" s="29" t="inlineStr">
        <is>
          <t>덕산테코피아</t>
        </is>
      </c>
      <c r="D516" s="29" t="inlineStr">
        <is>
          <t>duksan</t>
        </is>
      </c>
      <c r="E516" s="29" t="inlineStr">
        <is>
          <t>317330</t>
        </is>
      </c>
      <c r="F516" s="29" t="inlineStr">
        <is>
          <t>2024</t>
        </is>
      </c>
      <c r="G516" s="29" t="inlineStr">
        <is>
          <t>CFS</t>
        </is>
      </c>
      <c r="H516" s="29" t="inlineStr">
        <is>
          <t>CF</t>
        </is>
      </c>
      <c r="I516" s="29" t="inlineStr">
        <is>
          <t>현금흐름표</t>
        </is>
      </c>
      <c r="J516" s="29" t="inlineStr">
        <is>
          <t>ifrs-full_PurchaseOfIntangibleAssetsClassifiedAsInvestingActivities</t>
        </is>
      </c>
      <c r="K516" s="29" t="inlineStr">
        <is>
          <t>무형자산의 취득</t>
        </is>
      </c>
      <c r="L516" s="29" t="inlineStr">
        <is>
          <t>-</t>
        </is>
      </c>
      <c r="M516" s="29" t="inlineStr">
        <is>
          <t>제 19 기</t>
        </is>
      </c>
      <c r="N516" s="29" t="inlineStr">
        <is>
          <t>670934412.0</t>
        </is>
      </c>
      <c r="O516" s="29" t="inlineStr">
        <is>
          <t>228253582.0</t>
        </is>
      </c>
      <c r="P516" s="29" t="inlineStr">
        <is>
          <t>KRW</t>
        </is>
      </c>
      <c r="Q516" s="29" t="inlineStr">
        <is>
          <t>38</t>
        </is>
      </c>
    </row>
    <row r="517" ht="24" customHeight="1">
      <c r="A517" s="24" t="inlineStr">
        <is>
          <t>OpenDART_fnlttSinglAcntAll</t>
        </is>
      </c>
      <c r="B517" s="24" t="inlineStr">
        <is>
          <t>01021666</t>
        </is>
      </c>
      <c r="C517" s="24" t="inlineStr">
        <is>
          <t>덕산테코피아</t>
        </is>
      </c>
      <c r="D517" s="24" t="inlineStr">
        <is>
          <t>duksan</t>
        </is>
      </c>
      <c r="E517" s="24" t="inlineStr">
        <is>
          <t>317330</t>
        </is>
      </c>
      <c r="F517" s="24" t="inlineStr">
        <is>
          <t>2024</t>
        </is>
      </c>
      <c r="G517" s="24" t="inlineStr">
        <is>
          <t>CFS</t>
        </is>
      </c>
      <c r="H517" s="24" t="inlineStr">
        <is>
          <t>CF</t>
        </is>
      </c>
      <c r="I517" s="24" t="inlineStr">
        <is>
          <t>현금흐름표</t>
        </is>
      </c>
      <c r="J517" s="24" t="inlineStr">
        <is>
          <t>ifrs-full_PurchaseOfPropertyPlantAndEquipmentClassifiedAsInvestingActivities</t>
        </is>
      </c>
      <c r="K517" s="24" t="inlineStr">
        <is>
          <t>유형자산의 취득</t>
        </is>
      </c>
      <c r="L517" s="24" t="inlineStr">
        <is>
          <t>-</t>
        </is>
      </c>
      <c r="M517" s="24" t="inlineStr">
        <is>
          <t>제 19 기</t>
        </is>
      </c>
      <c r="N517" s="24" t="inlineStr">
        <is>
          <t>38400744494.0</t>
        </is>
      </c>
      <c r="O517" s="24" t="inlineStr">
        <is>
          <t>149162239594.0</t>
        </is>
      </c>
      <c r="P517" s="24" t="inlineStr">
        <is>
          <t>KRW</t>
        </is>
      </c>
      <c r="Q517" s="24" t="inlineStr">
        <is>
          <t>39</t>
        </is>
      </c>
    </row>
    <row r="518" ht="24" customHeight="1">
      <c r="A518" s="29" t="inlineStr">
        <is>
          <t>OpenDART_fnlttSinglAcntAll</t>
        </is>
      </c>
      <c r="B518" s="29" t="inlineStr">
        <is>
          <t>01021666</t>
        </is>
      </c>
      <c r="C518" s="29" t="inlineStr">
        <is>
          <t>덕산테코피아</t>
        </is>
      </c>
      <c r="D518" s="29" t="inlineStr">
        <is>
          <t>duksan</t>
        </is>
      </c>
      <c r="E518" s="29" t="inlineStr">
        <is>
          <t>317330</t>
        </is>
      </c>
      <c r="F518" s="29" t="inlineStr">
        <is>
          <t>2024</t>
        </is>
      </c>
      <c r="G518" s="29" t="inlineStr">
        <is>
          <t>CFS</t>
        </is>
      </c>
      <c r="H518" s="29" t="inlineStr">
        <is>
          <t>CF</t>
        </is>
      </c>
      <c r="I518" s="29" t="inlineStr">
        <is>
          <t>현금흐름표</t>
        </is>
      </c>
      <c r="J518" s="29" t="inlineStr">
        <is>
          <t>ifrs-full_CashFlowsFromUsedInOperatingActivities</t>
        </is>
      </c>
      <c r="K518" s="29" t="inlineStr">
        <is>
          <t>영업활동현금흐름</t>
        </is>
      </c>
      <c r="L518" s="29" t="inlineStr">
        <is>
          <t>-</t>
        </is>
      </c>
      <c r="M518" s="29" t="inlineStr">
        <is>
          <t>제 19 기</t>
        </is>
      </c>
      <c r="N518" s="29" t="inlineStr">
        <is>
          <t>-56191200937.0</t>
        </is>
      </c>
      <c r="O518" s="29" t="inlineStr">
        <is>
          <t>-7827102760.0</t>
        </is>
      </c>
      <c r="P518" s="29" t="inlineStr">
        <is>
          <t>KRW</t>
        </is>
      </c>
      <c r="Q518" s="29" t="inlineStr">
        <is>
          <t>40</t>
        </is>
      </c>
    </row>
    <row r="519" ht="24" customHeight="1">
      <c r="A519" s="24" t="inlineStr">
        <is>
          <t>OpenDART_fnlttSinglAcntAll</t>
        </is>
      </c>
      <c r="B519" s="24" t="inlineStr">
        <is>
          <t>01021666</t>
        </is>
      </c>
      <c r="C519" s="24" t="inlineStr">
        <is>
          <t>덕산테코피아</t>
        </is>
      </c>
      <c r="D519" s="24" t="inlineStr">
        <is>
          <t>duksan</t>
        </is>
      </c>
      <c r="E519" s="24" t="inlineStr">
        <is>
          <t>317330</t>
        </is>
      </c>
      <c r="F519" s="24" t="inlineStr">
        <is>
          <t>2024</t>
        </is>
      </c>
      <c r="G519" s="24" t="inlineStr">
        <is>
          <t>CFS</t>
        </is>
      </c>
      <c r="H519" s="24" t="inlineStr">
        <is>
          <t>CF</t>
        </is>
      </c>
      <c r="I519" s="24" t="inlineStr">
        <is>
          <t>현금흐름표</t>
        </is>
      </c>
      <c r="J519" s="24" t="inlineStr">
        <is>
          <t>dart_AdjustmentsForAssetsLiabilitiesOfOperatingActivities</t>
        </is>
      </c>
      <c r="K519" s="24" t="inlineStr">
        <is>
          <t>영업활동으로 인한 자산 부채의 변동</t>
        </is>
      </c>
      <c r="L519" s="24" t="inlineStr">
        <is>
          <t>-</t>
        </is>
      </c>
      <c r="M519" s="24" t="inlineStr">
        <is>
          <t>제 19 기</t>
        </is>
      </c>
      <c r="N519" s="24" t="inlineStr">
        <is>
          <t>-48729745847.0</t>
        </is>
      </c>
      <c r="O519" s="24" t="inlineStr">
        <is>
          <t>-22671519052.0</t>
        </is>
      </c>
      <c r="P519" s="24" t="inlineStr">
        <is>
          <t>KRW</t>
        </is>
      </c>
      <c r="Q519" s="24" t="inlineStr">
        <is>
          <t>41</t>
        </is>
      </c>
    </row>
    <row r="520" ht="24" customHeight="1">
      <c r="A520" s="29" t="inlineStr">
        <is>
          <t>OpenDART_fnlttSinglAcntAll</t>
        </is>
      </c>
      <c r="B520" s="29" t="inlineStr">
        <is>
          <t>01021666</t>
        </is>
      </c>
      <c r="C520" s="29" t="inlineStr">
        <is>
          <t>덕산테코피아</t>
        </is>
      </c>
      <c r="D520" s="29" t="inlineStr">
        <is>
          <t>duksan</t>
        </is>
      </c>
      <c r="E520" s="29" t="inlineStr">
        <is>
          <t>317330</t>
        </is>
      </c>
      <c r="F520" s="29" t="inlineStr">
        <is>
          <t>2024</t>
        </is>
      </c>
      <c r="G520" s="29" t="inlineStr">
        <is>
          <t>CFS</t>
        </is>
      </c>
      <c r="H520" s="29" t="inlineStr">
        <is>
          <t>CF</t>
        </is>
      </c>
      <c r="I520" s="29" t="inlineStr">
        <is>
          <t>현금흐름표</t>
        </is>
      </c>
      <c r="J520" s="29" t="inlineStr">
        <is>
          <t>ifrs-full_AdjustmentsForReconcileProfitLoss</t>
        </is>
      </c>
      <c r="K520" s="29" t="inlineStr">
        <is>
          <t>당기순이익조정을 위한 가감</t>
        </is>
      </c>
      <c r="L520" s="29" t="inlineStr">
        <is>
          <t>-</t>
        </is>
      </c>
      <c r="M520" s="29" t="inlineStr">
        <is>
          <t>제 19 기</t>
        </is>
      </c>
      <c r="N520" s="29" t="inlineStr">
        <is>
          <t>68062178686.0</t>
        </is>
      </c>
      <c r="O520" s="29" t="inlineStr">
        <is>
          <t>34689323266.0</t>
        </is>
      </c>
      <c r="P520" s="29" t="inlineStr">
        <is>
          <t>KRW</t>
        </is>
      </c>
      <c r="Q520" s="29" t="inlineStr">
        <is>
          <t>42</t>
        </is>
      </c>
    </row>
    <row r="521" ht="24" customHeight="1">
      <c r="A521" s="24" t="inlineStr">
        <is>
          <t>OpenDART_fnlttSinglAcntAll</t>
        </is>
      </c>
      <c r="B521" s="24" t="inlineStr">
        <is>
          <t>01021666</t>
        </is>
      </c>
      <c r="C521" s="24" t="inlineStr">
        <is>
          <t>덕산테코피아</t>
        </is>
      </c>
      <c r="D521" s="24" t="inlineStr">
        <is>
          <t>duksan</t>
        </is>
      </c>
      <c r="E521" s="24" t="inlineStr">
        <is>
          <t>317330</t>
        </is>
      </c>
      <c r="F521" s="24" t="inlineStr">
        <is>
          <t>2024</t>
        </is>
      </c>
      <c r="G521" s="24" t="inlineStr">
        <is>
          <t>CFS</t>
        </is>
      </c>
      <c r="H521" s="24" t="inlineStr">
        <is>
          <t>CF</t>
        </is>
      </c>
      <c r="I521" s="24" t="inlineStr">
        <is>
          <t>현금흐름표</t>
        </is>
      </c>
      <c r="J521" s="24" t="inlineStr">
        <is>
          <t>ifrs-full_IncomeTaxesPaidRefundClassifiedAsOperatingActivities</t>
        </is>
      </c>
      <c r="K521" s="24" t="inlineStr">
        <is>
          <t>법인세환급(납부)</t>
        </is>
      </c>
      <c r="L521" s="24" t="inlineStr">
        <is>
          <t>-</t>
        </is>
      </c>
      <c r="M521" s="24" t="inlineStr">
        <is>
          <t>제 19 기</t>
        </is>
      </c>
      <c r="N521" s="24" t="inlineStr">
        <is>
          <t>419716255.0</t>
        </is>
      </c>
      <c r="O521" s="24" t="inlineStr">
        <is>
          <t>430869000.0</t>
        </is>
      </c>
      <c r="P521" s="24" t="inlineStr">
        <is>
          <t>KRW</t>
        </is>
      </c>
      <c r="Q521" s="24" t="inlineStr">
        <is>
          <t>43</t>
        </is>
      </c>
    </row>
    <row r="522" ht="24" customHeight="1">
      <c r="A522" s="29" t="inlineStr">
        <is>
          <t>OpenDART_fnlttSinglAcntAll</t>
        </is>
      </c>
      <c r="B522" s="29" t="inlineStr">
        <is>
          <t>01021666</t>
        </is>
      </c>
      <c r="C522" s="29" t="inlineStr">
        <is>
          <t>덕산테코피아</t>
        </is>
      </c>
      <c r="D522" s="29" t="inlineStr">
        <is>
          <t>duksan</t>
        </is>
      </c>
      <c r="E522" s="29" t="inlineStr">
        <is>
          <t>317330</t>
        </is>
      </c>
      <c r="F522" s="29" t="inlineStr">
        <is>
          <t>2024</t>
        </is>
      </c>
      <c r="G522" s="29" t="inlineStr">
        <is>
          <t>CFS</t>
        </is>
      </c>
      <c r="H522" s="29" t="inlineStr">
        <is>
          <t>CF</t>
        </is>
      </c>
      <c r="I522" s="29" t="inlineStr">
        <is>
          <t>현금흐름표</t>
        </is>
      </c>
      <c r="J522" s="29" t="inlineStr">
        <is>
          <t>ifrs-full_InterestPaidClassifiedAsOperatingActivities</t>
        </is>
      </c>
      <c r="K522" s="29" t="inlineStr">
        <is>
          <t>이자지급(영업)</t>
        </is>
      </c>
      <c r="L522" s="29" t="inlineStr">
        <is>
          <t>-</t>
        </is>
      </c>
      <c r="M522" s="29" t="inlineStr">
        <is>
          <t>제 19 기</t>
        </is>
      </c>
      <c r="N522" s="29" t="inlineStr">
        <is>
          <t>6395091002.0</t>
        </is>
      </c>
      <c r="O522" s="29" t="inlineStr">
        <is>
          <t>2329832171.0</t>
        </is>
      </c>
      <c r="P522" s="29" t="inlineStr">
        <is>
          <t>KRW</t>
        </is>
      </c>
      <c r="Q522" s="29" t="inlineStr">
        <is>
          <t>44</t>
        </is>
      </c>
    </row>
    <row r="523" ht="24" customHeight="1">
      <c r="A523" s="24" t="inlineStr">
        <is>
          <t>OpenDART_fnlttSinglAcntAll</t>
        </is>
      </c>
      <c r="B523" s="24" t="inlineStr">
        <is>
          <t>01021666</t>
        </is>
      </c>
      <c r="C523" s="24" t="inlineStr">
        <is>
          <t>덕산테코피아</t>
        </is>
      </c>
      <c r="D523" s="24" t="inlineStr">
        <is>
          <t>duksan</t>
        </is>
      </c>
      <c r="E523" s="24" t="inlineStr">
        <is>
          <t>317330</t>
        </is>
      </c>
      <c r="F523" s="24" t="inlineStr">
        <is>
          <t>2024</t>
        </is>
      </c>
      <c r="G523" s="24" t="inlineStr">
        <is>
          <t>CFS</t>
        </is>
      </c>
      <c r="H523" s="24" t="inlineStr">
        <is>
          <t>CF</t>
        </is>
      </c>
      <c r="I523" s="24" t="inlineStr">
        <is>
          <t>현금흐름표</t>
        </is>
      </c>
      <c r="J523" s="24" t="inlineStr">
        <is>
          <t>ifrs-full_InterestReceivedClassifiedAsOperatingActivities</t>
        </is>
      </c>
      <c r="K523" s="24" t="inlineStr">
        <is>
          <t>이자수취</t>
        </is>
      </c>
      <c r="L523" s="24" t="inlineStr">
        <is>
          <t>-</t>
        </is>
      </c>
      <c r="M523" s="24" t="inlineStr">
        <is>
          <t>제 19 기</t>
        </is>
      </c>
      <c r="N523" s="24" t="inlineStr">
        <is>
          <t>3870322599.0</t>
        </is>
      </c>
      <c r="O523" s="24" t="inlineStr">
        <is>
          <t>2189463870.0</t>
        </is>
      </c>
      <c r="P523" s="24" t="inlineStr">
        <is>
          <t>KRW</t>
        </is>
      </c>
      <c r="Q523" s="24" t="inlineStr">
        <is>
          <t>45</t>
        </is>
      </c>
    </row>
    <row r="524" ht="24" customHeight="1">
      <c r="A524" s="29" t="inlineStr">
        <is>
          <t>OpenDART_fnlttSinglAcntAll</t>
        </is>
      </c>
      <c r="B524" s="29" t="inlineStr">
        <is>
          <t>01021666</t>
        </is>
      </c>
      <c r="C524" s="29" t="inlineStr">
        <is>
          <t>덕산테코피아</t>
        </is>
      </c>
      <c r="D524" s="29" t="inlineStr">
        <is>
          <t>duksan</t>
        </is>
      </c>
      <c r="E524" s="29" t="inlineStr">
        <is>
          <t>317330</t>
        </is>
      </c>
      <c r="F524" s="29" t="inlineStr">
        <is>
          <t>2024</t>
        </is>
      </c>
      <c r="G524" s="29" t="inlineStr">
        <is>
          <t>CFS</t>
        </is>
      </c>
      <c r="H524" s="29" t="inlineStr">
        <is>
          <t>CF</t>
        </is>
      </c>
      <c r="I524" s="29" t="inlineStr">
        <is>
          <t>현금흐름표</t>
        </is>
      </c>
      <c r="J524" s="29" t="inlineStr">
        <is>
          <t>ifrs-full_ProfitLoss</t>
        </is>
      </c>
      <c r="K524" s="29" t="inlineStr">
        <is>
          <t>당기순이익(손실)</t>
        </is>
      </c>
      <c r="L524" s="29" t="inlineStr">
        <is>
          <t>-</t>
        </is>
      </c>
      <c r="M524" s="29" t="inlineStr">
        <is>
          <t>제 19 기</t>
        </is>
      </c>
      <c r="N524" s="29" t="inlineStr">
        <is>
          <t>-72579149118.0</t>
        </is>
      </c>
      <c r="O524" s="29" t="inlineStr">
        <is>
          <t>-19273669673.0</t>
        </is>
      </c>
      <c r="P524" s="29" t="inlineStr">
        <is>
          <t>KRW</t>
        </is>
      </c>
      <c r="Q524" s="29" t="inlineStr">
        <is>
          <t>46</t>
        </is>
      </c>
    </row>
    <row r="525" ht="24" customHeight="1">
      <c r="A525" s="24" t="inlineStr">
        <is>
          <t>OpenDART_fnlttSinglAcntAll</t>
        </is>
      </c>
      <c r="B525" s="24" t="inlineStr">
        <is>
          <t>01021666</t>
        </is>
      </c>
      <c r="C525" s="24" t="inlineStr">
        <is>
          <t>덕산테코피아</t>
        </is>
      </c>
      <c r="D525" s="24" t="inlineStr">
        <is>
          <t>duksan</t>
        </is>
      </c>
      <c r="E525" s="24" t="inlineStr">
        <is>
          <t>317330</t>
        </is>
      </c>
      <c r="F525" s="24" t="inlineStr">
        <is>
          <t>2024</t>
        </is>
      </c>
      <c r="G525" s="24" t="inlineStr">
        <is>
          <t>CFS</t>
        </is>
      </c>
      <c r="H525" s="24" t="inlineStr">
        <is>
          <t>CF</t>
        </is>
      </c>
      <c r="I525" s="24" t="inlineStr">
        <is>
          <t>현금흐름표</t>
        </is>
      </c>
      <c r="J525" s="24" t="inlineStr">
        <is>
          <t>ifrs-full_EffectOfExchangeRateChangesOnCashAndCashEquivalents</t>
        </is>
      </c>
      <c r="K525" s="24" t="inlineStr">
        <is>
          <t>현금및현금성자산에 대한 환율변동효과</t>
        </is>
      </c>
      <c r="L525" s="24" t="inlineStr">
        <is>
          <t>-</t>
        </is>
      </c>
      <c r="M525" s="24" t="inlineStr">
        <is>
          <t>제 19 기</t>
        </is>
      </c>
      <c r="N525" s="24" t="inlineStr">
        <is>
          <t>1394849279.0</t>
        </is>
      </c>
      <c r="O525" s="24" t="inlineStr">
        <is>
          <t>-3582091395.0</t>
        </is>
      </c>
      <c r="P525" s="24" t="inlineStr">
        <is>
          <t>KRW</t>
        </is>
      </c>
      <c r="Q525" s="24" t="inlineStr">
        <is>
          <t>47</t>
        </is>
      </c>
    </row>
    <row r="526" ht="24" customHeight="1">
      <c r="A526" s="29" t="inlineStr">
        <is>
          <t>OpenDART_fnlttSinglAcntAll</t>
        </is>
      </c>
      <c r="B526" s="29" t="inlineStr">
        <is>
          <t>01021666</t>
        </is>
      </c>
      <c r="C526" s="29" t="inlineStr">
        <is>
          <t>덕산테코피아</t>
        </is>
      </c>
      <c r="D526" s="29" t="inlineStr">
        <is>
          <t>duksan</t>
        </is>
      </c>
      <c r="E526" s="29" t="inlineStr">
        <is>
          <t>317330</t>
        </is>
      </c>
      <c r="F526" s="29" t="inlineStr">
        <is>
          <t>2024</t>
        </is>
      </c>
      <c r="G526" s="29" t="inlineStr">
        <is>
          <t>CFS</t>
        </is>
      </c>
      <c r="H526" s="29" t="inlineStr">
        <is>
          <t>CF</t>
        </is>
      </c>
      <c r="I526" s="29" t="inlineStr">
        <is>
          <t>현금흐름표</t>
        </is>
      </c>
      <c r="J526" s="29" t="inlineStr">
        <is>
          <t>ifrs-full_IncreaseDecreaseInCashAndCashEquivalents</t>
        </is>
      </c>
      <c r="K526" s="29" t="inlineStr">
        <is>
          <t>현금및현금성자산의순증가(감소)</t>
        </is>
      </c>
      <c r="L526" s="29" t="inlineStr">
        <is>
          <t>-</t>
        </is>
      </c>
      <c r="M526" s="29" t="inlineStr">
        <is>
          <t>제 19 기</t>
        </is>
      </c>
      <c r="N526" s="29" t="inlineStr">
        <is>
          <t>-3672470974.0</t>
        </is>
      </c>
      <c r="O526" s="29" t="inlineStr">
        <is>
          <t>-3844355797.0</t>
        </is>
      </c>
      <c r="P526" s="29" t="inlineStr">
        <is>
          <t>KRW</t>
        </is>
      </c>
      <c r="Q526" s="29" t="inlineStr">
        <is>
          <t>48</t>
        </is>
      </c>
    </row>
    <row r="527" ht="24" customHeight="1">
      <c r="A527" s="24" t="inlineStr">
        <is>
          <t>OpenDART_fnlttSinglAcntAll</t>
        </is>
      </c>
      <c r="B527" s="24" t="inlineStr">
        <is>
          <t>01021666</t>
        </is>
      </c>
      <c r="C527" s="24" t="inlineStr">
        <is>
          <t>덕산테코피아</t>
        </is>
      </c>
      <c r="D527" s="24" t="inlineStr">
        <is>
          <t>duksan</t>
        </is>
      </c>
      <c r="E527" s="24" t="inlineStr">
        <is>
          <t>317330</t>
        </is>
      </c>
      <c r="F527" s="24" t="inlineStr">
        <is>
          <t>2024</t>
        </is>
      </c>
      <c r="G527" s="24" t="inlineStr">
        <is>
          <t>CFS</t>
        </is>
      </c>
      <c r="H527" s="24" t="inlineStr">
        <is>
          <t>SCE</t>
        </is>
      </c>
      <c r="I527" s="24" t="inlineStr">
        <is>
          <t>자본변동표</t>
        </is>
      </c>
      <c r="J527" s="24" t="inlineStr">
        <is>
          <t>dart_EquityAtBeginningOfPeriod</t>
        </is>
      </c>
      <c r="K527" s="24" t="inlineStr">
        <is>
          <t>기초자본</t>
        </is>
      </c>
      <c r="L527" s="24" t="inlineStr">
        <is>
          <t>연결재무제표 [member]</t>
        </is>
      </c>
      <c r="M527" s="24" t="inlineStr">
        <is>
          <t>제 19 기</t>
        </is>
      </c>
      <c r="N527" s="24" t="inlineStr">
        <is>
          <t>184305539033.0</t>
        </is>
      </c>
      <c r="O527" s="24" t="inlineStr">
        <is>
          <t>203286055415.0</t>
        </is>
      </c>
      <c r="P527" s="24" t="inlineStr">
        <is>
          <t>KRW</t>
        </is>
      </c>
      <c r="Q527" s="24" t="inlineStr">
        <is>
          <t>3</t>
        </is>
      </c>
    </row>
    <row r="528" ht="24" customHeight="1">
      <c r="A528" s="29" t="inlineStr">
        <is>
          <t>OpenDART_fnlttSinglAcntAll</t>
        </is>
      </c>
      <c r="B528" s="29" t="inlineStr">
        <is>
          <t>01021666</t>
        </is>
      </c>
      <c r="C528" s="29" t="inlineStr">
        <is>
          <t>덕산테코피아</t>
        </is>
      </c>
      <c r="D528" s="29" t="inlineStr">
        <is>
          <t>duksan</t>
        </is>
      </c>
      <c r="E528" s="29" t="inlineStr">
        <is>
          <t>317330</t>
        </is>
      </c>
      <c r="F528" s="29" t="inlineStr">
        <is>
          <t>2024</t>
        </is>
      </c>
      <c r="G528" s="29" t="inlineStr">
        <is>
          <t>CFS</t>
        </is>
      </c>
      <c r="H528" s="29" t="inlineStr">
        <is>
          <t>SCE</t>
        </is>
      </c>
      <c r="I528" s="29" t="inlineStr">
        <is>
          <t>자본변동표</t>
        </is>
      </c>
      <c r="J528" s="29" t="inlineStr">
        <is>
          <t>dart_EquityAtBeginningOfPeriod</t>
        </is>
      </c>
      <c r="K528" s="29" t="inlineStr">
        <is>
          <t>기초자본</t>
        </is>
      </c>
      <c r="L528" s="29" t="inlineStr">
        <is>
          <t>자본 [구성요소]|비지배지분 [구성요소]</t>
        </is>
      </c>
      <c r="M528" s="29" t="inlineStr">
        <is>
          <t>제 19 기</t>
        </is>
      </c>
      <c r="N528" s="29" t="inlineStr">
        <is>
          <t>7321753504.0</t>
        </is>
      </c>
      <c r="O528" s="29" t="inlineStr">
        <is>
          <t>14897354380.0</t>
        </is>
      </c>
      <c r="P528" s="29" t="inlineStr">
        <is>
          <t>KRW</t>
        </is>
      </c>
      <c r="Q528" s="29" t="inlineStr">
        <is>
          <t>3</t>
        </is>
      </c>
    </row>
    <row r="529" ht="24" customHeight="1">
      <c r="A529" s="24" t="inlineStr">
        <is>
          <t>OpenDART_fnlttSinglAcntAll</t>
        </is>
      </c>
      <c r="B529" s="24" t="inlineStr">
        <is>
          <t>01021666</t>
        </is>
      </c>
      <c r="C529" s="24" t="inlineStr">
        <is>
          <t>덕산테코피아</t>
        </is>
      </c>
      <c r="D529" s="24" t="inlineStr">
        <is>
          <t>duksan</t>
        </is>
      </c>
      <c r="E529" s="24" t="inlineStr">
        <is>
          <t>317330</t>
        </is>
      </c>
      <c r="F529" s="24" t="inlineStr">
        <is>
          <t>2024</t>
        </is>
      </c>
      <c r="G529" s="24" t="inlineStr">
        <is>
          <t>CFS</t>
        </is>
      </c>
      <c r="H529" s="24" t="inlineStr">
        <is>
          <t>SCE</t>
        </is>
      </c>
      <c r="I529" s="24" t="inlineStr">
        <is>
          <t>자본변동표</t>
        </is>
      </c>
      <c r="J529" s="24" t="inlineStr">
        <is>
          <t>dart_EquityAtBeginningOfPeriod</t>
        </is>
      </c>
      <c r="K529" s="24" t="inlineStr">
        <is>
          <t>기초자본</t>
        </is>
      </c>
      <c r="L529" s="24" t="inlineStr">
        <is>
          <t>자본 [구성요소]|지배기업의 소유주에게 귀속되는 지분 [구성요소]</t>
        </is>
      </c>
      <c r="M529" s="24" t="inlineStr">
        <is>
          <t>제 19 기</t>
        </is>
      </c>
      <c r="N529" s="24" t="inlineStr">
        <is>
          <t>176983785529.0</t>
        </is>
      </c>
      <c r="O529" s="24" t="inlineStr">
        <is>
          <t>188388701035.0</t>
        </is>
      </c>
      <c r="P529" s="24" t="inlineStr">
        <is>
          <t>KRW</t>
        </is>
      </c>
      <c r="Q529" s="24" t="inlineStr">
        <is>
          <t>3</t>
        </is>
      </c>
    </row>
    <row r="530" ht="24" customHeight="1">
      <c r="A530" s="29" t="inlineStr">
        <is>
          <t>OpenDART_fnlttSinglAcntAll</t>
        </is>
      </c>
      <c r="B530" s="29" t="inlineStr">
        <is>
          <t>01021666</t>
        </is>
      </c>
      <c r="C530" s="29" t="inlineStr">
        <is>
          <t>덕산테코피아</t>
        </is>
      </c>
      <c r="D530" s="29" t="inlineStr">
        <is>
          <t>duksan</t>
        </is>
      </c>
      <c r="E530" s="29" t="inlineStr">
        <is>
          <t>317330</t>
        </is>
      </c>
      <c r="F530" s="29" t="inlineStr">
        <is>
          <t>2024</t>
        </is>
      </c>
      <c r="G530" s="29" t="inlineStr">
        <is>
          <t>CFS</t>
        </is>
      </c>
      <c r="H530" s="29" t="inlineStr">
        <is>
          <t>SCE</t>
        </is>
      </c>
      <c r="I530" s="29" t="inlineStr">
        <is>
          <t>자본변동표</t>
        </is>
      </c>
      <c r="J530" s="29" t="inlineStr">
        <is>
          <t>dart_EquityAtBeginningOfPeriod</t>
        </is>
      </c>
      <c r="K530" s="29" t="inlineStr">
        <is>
          <t>기초자본</t>
        </is>
      </c>
      <c r="L530" s="29" t="inlineStr">
        <is>
          <t>자본 [구성요소]|지배기업의 소유주에게 귀속되는 지분 [구성요소]|기타자본구성요소 [구성요소]</t>
        </is>
      </c>
      <c r="M530" s="29" t="inlineStr">
        <is>
          <t>제 19 기</t>
        </is>
      </c>
      <c r="N530" s="29" t="inlineStr">
        <is>
          <t>-4237979213.0</t>
        </is>
      </c>
      <c r="O530" s="29" t="inlineStr">
        <is>
          <t>-4409540724.0</t>
        </is>
      </c>
      <c r="P530" s="29" t="inlineStr">
        <is>
          <t>KRW</t>
        </is>
      </c>
      <c r="Q530" s="29" t="inlineStr">
        <is>
          <t>3</t>
        </is>
      </c>
    </row>
    <row r="531" ht="24" customHeight="1">
      <c r="A531" s="24" t="inlineStr">
        <is>
          <t>OpenDART_fnlttSinglAcntAll</t>
        </is>
      </c>
      <c r="B531" s="24" t="inlineStr">
        <is>
          <t>01021666</t>
        </is>
      </c>
      <c r="C531" s="24" t="inlineStr">
        <is>
          <t>덕산테코피아</t>
        </is>
      </c>
      <c r="D531" s="24" t="inlineStr">
        <is>
          <t>duksan</t>
        </is>
      </c>
      <c r="E531" s="24" t="inlineStr">
        <is>
          <t>317330</t>
        </is>
      </c>
      <c r="F531" s="24" t="inlineStr">
        <is>
          <t>2024</t>
        </is>
      </c>
      <c r="G531" s="24" t="inlineStr">
        <is>
          <t>CFS</t>
        </is>
      </c>
      <c r="H531" s="24" t="inlineStr">
        <is>
          <t>SCE</t>
        </is>
      </c>
      <c r="I531" s="24" t="inlineStr">
        <is>
          <t>자본변동표</t>
        </is>
      </c>
      <c r="J531" s="24" t="inlineStr">
        <is>
          <t>dart_EquityAtBeginningOfPeriod</t>
        </is>
      </c>
      <c r="K531" s="24" t="inlineStr">
        <is>
          <t>기초자본</t>
        </is>
      </c>
      <c r="L531" s="24" t="inlineStr">
        <is>
          <t>자본 [구성요소]|지배기업의 소유주에게 귀속되는 지분 [구성요소]|이익잉여금 [구성요소]</t>
        </is>
      </c>
      <c r="M531" s="24" t="inlineStr">
        <is>
          <t>제 19 기</t>
        </is>
      </c>
      <c r="N531" s="24" t="inlineStr">
        <is>
          <t>99750054959.0</t>
        </is>
      </c>
      <c r="O531" s="24" t="inlineStr">
        <is>
          <t>107367556668.0</t>
        </is>
      </c>
      <c r="P531" s="24" t="inlineStr">
        <is>
          <t>KRW</t>
        </is>
      </c>
      <c r="Q531" s="24" t="inlineStr">
        <is>
          <t>3</t>
        </is>
      </c>
    </row>
    <row r="532" ht="24" customHeight="1">
      <c r="A532" s="29" t="inlineStr">
        <is>
          <t>OpenDART_fnlttSinglAcntAll</t>
        </is>
      </c>
      <c r="B532" s="29" t="inlineStr">
        <is>
          <t>01021666</t>
        </is>
      </c>
      <c r="C532" s="29" t="inlineStr">
        <is>
          <t>덕산테코피아</t>
        </is>
      </c>
      <c r="D532" s="29" t="inlineStr">
        <is>
          <t>duksan</t>
        </is>
      </c>
      <c r="E532" s="29" t="inlineStr">
        <is>
          <t>317330</t>
        </is>
      </c>
      <c r="F532" s="29" t="inlineStr">
        <is>
          <t>2024</t>
        </is>
      </c>
      <c r="G532" s="29" t="inlineStr">
        <is>
          <t>CFS</t>
        </is>
      </c>
      <c r="H532" s="29" t="inlineStr">
        <is>
          <t>SCE</t>
        </is>
      </c>
      <c r="I532" s="29" t="inlineStr">
        <is>
          <t>자본변동표</t>
        </is>
      </c>
      <c r="J532" s="29" t="inlineStr">
        <is>
          <t>dart_EquityAtBeginningOfPeriod</t>
        </is>
      </c>
      <c r="K532" s="29" t="inlineStr">
        <is>
          <t>기초자본</t>
        </is>
      </c>
      <c r="L532" s="29" t="inlineStr">
        <is>
          <t>자본 [구성요소]|지배기업의 소유주에게 귀속되는 지분 [구성요소]|자본잉여금 [구성요소]</t>
        </is>
      </c>
      <c r="M532" s="29" t="inlineStr">
        <is>
          <t>제 19 기</t>
        </is>
      </c>
      <c r="N532" s="29" t="inlineStr">
        <is>
          <t>72282995783.0</t>
        </is>
      </c>
      <c r="O532" s="29" t="inlineStr">
        <is>
          <t>76241971091.0</t>
        </is>
      </c>
      <c r="P532" s="29" t="inlineStr">
        <is>
          <t>KRW</t>
        </is>
      </c>
      <c r="Q532" s="29" t="inlineStr">
        <is>
          <t>3</t>
        </is>
      </c>
    </row>
    <row r="533" ht="24" customHeight="1">
      <c r="A533" s="24" t="inlineStr">
        <is>
          <t>OpenDART_fnlttSinglAcntAll</t>
        </is>
      </c>
      <c r="B533" s="24" t="inlineStr">
        <is>
          <t>01021666</t>
        </is>
      </c>
      <c r="C533" s="24" t="inlineStr">
        <is>
          <t>덕산테코피아</t>
        </is>
      </c>
      <c r="D533" s="24" t="inlineStr">
        <is>
          <t>duksan</t>
        </is>
      </c>
      <c r="E533" s="24" t="inlineStr">
        <is>
          <t>317330</t>
        </is>
      </c>
      <c r="F533" s="24" t="inlineStr">
        <is>
          <t>2024</t>
        </is>
      </c>
      <c r="G533" s="24" t="inlineStr">
        <is>
          <t>CFS</t>
        </is>
      </c>
      <c r="H533" s="24" t="inlineStr">
        <is>
          <t>SCE</t>
        </is>
      </c>
      <c r="I533" s="24" t="inlineStr">
        <is>
          <t>자본변동표</t>
        </is>
      </c>
      <c r="J533" s="24" t="inlineStr">
        <is>
          <t>dart_EquityAtBeginningOfPeriod</t>
        </is>
      </c>
      <c r="K533" s="24" t="inlineStr">
        <is>
          <t>기초자본</t>
        </is>
      </c>
      <c r="L533" s="24" t="inlineStr">
        <is>
          <t>자본 [구성요소]|지배기업의 소유주에게 귀속되는 지분 [구성요소]|자본금 [구성요소]</t>
        </is>
      </c>
      <c r="M533" s="24" t="inlineStr">
        <is>
          <t>제 19 기</t>
        </is>
      </c>
      <c r="N533" s="24" t="inlineStr">
        <is>
          <t>9188714000.0</t>
        </is>
      </c>
      <c r="O533" s="24" t="inlineStr">
        <is>
          <t>9188714000.0</t>
        </is>
      </c>
      <c r="P533" s="24" t="inlineStr">
        <is>
          <t>KRW</t>
        </is>
      </c>
      <c r="Q533" s="24" t="inlineStr">
        <is>
          <t>3</t>
        </is>
      </c>
    </row>
    <row r="534" ht="24" customHeight="1">
      <c r="A534" s="29" t="inlineStr">
        <is>
          <t>OpenDART_fnlttSinglAcntAll</t>
        </is>
      </c>
      <c r="B534" s="29" t="inlineStr">
        <is>
          <t>01021666</t>
        </is>
      </c>
      <c r="C534" s="29" t="inlineStr">
        <is>
          <t>덕산테코피아</t>
        </is>
      </c>
      <c r="D534" s="29" t="inlineStr">
        <is>
          <t>duksan</t>
        </is>
      </c>
      <c r="E534" s="29" t="inlineStr">
        <is>
          <t>317330</t>
        </is>
      </c>
      <c r="F534" s="29" t="inlineStr">
        <is>
          <t>2024</t>
        </is>
      </c>
      <c r="G534" s="29" t="inlineStr">
        <is>
          <t>CFS</t>
        </is>
      </c>
      <c r="H534" s="29" t="inlineStr">
        <is>
          <t>SCE</t>
        </is>
      </c>
      <c r="I534" s="29" t="inlineStr">
        <is>
          <t>자본변동표</t>
        </is>
      </c>
      <c r="J534" s="29" t="inlineStr">
        <is>
          <t>dart_IncreaseDecreaseThroughBusinessCombinations</t>
        </is>
      </c>
      <c r="K534" s="29" t="inlineStr">
        <is>
          <t>사업결합</t>
        </is>
      </c>
      <c r="L534" s="29" t="inlineStr">
        <is>
          <t>연결재무제표 [member]</t>
        </is>
      </c>
      <c r="M534" s="29" t="inlineStr">
        <is>
          <t>제 19 기</t>
        </is>
      </c>
      <c r="N534" s="29" t="inlineStr">
        <is>
          <t>해당 없음</t>
        </is>
      </c>
      <c r="O534" s="29" t="inlineStr">
        <is>
          <t>해당 없음</t>
        </is>
      </c>
      <c r="P534" s="29" t="inlineStr">
        <is>
          <t>KRW</t>
        </is>
      </c>
      <c r="Q534" s="29" t="inlineStr">
        <is>
          <t>4</t>
        </is>
      </c>
    </row>
    <row r="535" ht="24" customHeight="1">
      <c r="A535" s="24" t="inlineStr">
        <is>
          <t>OpenDART_fnlttSinglAcntAll</t>
        </is>
      </c>
      <c r="B535" s="24" t="inlineStr">
        <is>
          <t>01021666</t>
        </is>
      </c>
      <c r="C535" s="24" t="inlineStr">
        <is>
          <t>덕산테코피아</t>
        </is>
      </c>
      <c r="D535" s="24" t="inlineStr">
        <is>
          <t>duksan</t>
        </is>
      </c>
      <c r="E535" s="24" t="inlineStr">
        <is>
          <t>317330</t>
        </is>
      </c>
      <c r="F535" s="24" t="inlineStr">
        <is>
          <t>2024</t>
        </is>
      </c>
      <c r="G535" s="24" t="inlineStr">
        <is>
          <t>CFS</t>
        </is>
      </c>
      <c r="H535" s="24" t="inlineStr">
        <is>
          <t>SCE</t>
        </is>
      </c>
      <c r="I535" s="24" t="inlineStr">
        <is>
          <t>자본변동표</t>
        </is>
      </c>
      <c r="J535" s="24" t="inlineStr">
        <is>
          <t>dart_IncreaseDecreaseThroughBusinessCombinations</t>
        </is>
      </c>
      <c r="K535" s="24" t="inlineStr">
        <is>
          <t>사업결합</t>
        </is>
      </c>
      <c r="L535" s="24" t="inlineStr">
        <is>
          <t>자본 [구성요소]|비지배지분 [구성요소]</t>
        </is>
      </c>
      <c r="M535" s="24" t="inlineStr">
        <is>
          <t>제 19 기</t>
        </is>
      </c>
      <c r="N535" s="24" t="inlineStr">
        <is>
          <t>해당 없음</t>
        </is>
      </c>
      <c r="O535" s="24" t="inlineStr">
        <is>
          <t>해당 없음</t>
        </is>
      </c>
      <c r="P535" s="24" t="inlineStr">
        <is>
          <t>KRW</t>
        </is>
      </c>
      <c r="Q535" s="24" t="inlineStr">
        <is>
          <t>4</t>
        </is>
      </c>
    </row>
    <row r="536" ht="24" customHeight="1">
      <c r="A536" s="29" t="inlineStr">
        <is>
          <t>OpenDART_fnlttSinglAcntAll</t>
        </is>
      </c>
      <c r="B536" s="29" t="inlineStr">
        <is>
          <t>01021666</t>
        </is>
      </c>
      <c r="C536" s="29" t="inlineStr">
        <is>
          <t>덕산테코피아</t>
        </is>
      </c>
      <c r="D536" s="29" t="inlineStr">
        <is>
          <t>duksan</t>
        </is>
      </c>
      <c r="E536" s="29" t="inlineStr">
        <is>
          <t>317330</t>
        </is>
      </c>
      <c r="F536" s="29" t="inlineStr">
        <is>
          <t>2024</t>
        </is>
      </c>
      <c r="G536" s="29" t="inlineStr">
        <is>
          <t>CFS</t>
        </is>
      </c>
      <c r="H536" s="29" t="inlineStr">
        <is>
          <t>SCE</t>
        </is>
      </c>
      <c r="I536" s="29" t="inlineStr">
        <is>
          <t>자본변동표</t>
        </is>
      </c>
      <c r="J536" s="29" t="inlineStr">
        <is>
          <t>dart_ProceedsFromExerciseOfConvertibleRightOrWarrant</t>
        </is>
      </c>
      <c r="K536" s="29" t="inlineStr">
        <is>
          <t>전환권/신주인수권 행사로 인한 현금유입</t>
        </is>
      </c>
      <c r="L536" s="29" t="inlineStr">
        <is>
          <t>자본 [구성요소]|지배기업의 소유주에게 귀속되는 지분 [구성요소]</t>
        </is>
      </c>
      <c r="M536" s="29" t="inlineStr">
        <is>
          <t>제 19 기</t>
        </is>
      </c>
      <c r="N536" s="29" t="inlineStr">
        <is>
          <t>83746083093.0</t>
        </is>
      </c>
      <c r="O536" s="29" t="inlineStr">
        <is>
          <t>해당 없음</t>
        </is>
      </c>
      <c r="P536" s="29" t="inlineStr">
        <is>
          <t>KRW</t>
        </is>
      </c>
      <c r="Q536" s="29" t="inlineStr">
        <is>
          <t>5</t>
        </is>
      </c>
    </row>
    <row r="537" ht="24" customHeight="1">
      <c r="A537" s="24" t="inlineStr">
        <is>
          <t>OpenDART_fnlttSinglAcntAll</t>
        </is>
      </c>
      <c r="B537" s="24" t="inlineStr">
        <is>
          <t>01021666</t>
        </is>
      </c>
      <c r="C537" s="24" t="inlineStr">
        <is>
          <t>덕산테코피아</t>
        </is>
      </c>
      <c r="D537" s="24" t="inlineStr">
        <is>
          <t>duksan</t>
        </is>
      </c>
      <c r="E537" s="24" t="inlineStr">
        <is>
          <t>317330</t>
        </is>
      </c>
      <c r="F537" s="24" t="inlineStr">
        <is>
          <t>2024</t>
        </is>
      </c>
      <c r="G537" s="24" t="inlineStr">
        <is>
          <t>CFS</t>
        </is>
      </c>
      <c r="H537" s="24" t="inlineStr">
        <is>
          <t>SCE</t>
        </is>
      </c>
      <c r="I537" s="24" t="inlineStr">
        <is>
          <t>자본변동표</t>
        </is>
      </c>
      <c r="J537" s="24" t="inlineStr">
        <is>
          <t>dart_ProceedsFromExerciseOfConvertibleRightOrWarrant</t>
        </is>
      </c>
      <c r="K537" s="24" t="inlineStr">
        <is>
          <t>전환권/신주인수권 행사로 인한 현금유입</t>
        </is>
      </c>
      <c r="L537" s="24" t="inlineStr">
        <is>
          <t>연결재무제표 [member]</t>
        </is>
      </c>
      <c r="M537" s="24" t="inlineStr">
        <is>
          <t>제 19 기</t>
        </is>
      </c>
      <c r="N537" s="24" t="inlineStr">
        <is>
          <t>83746083093.0</t>
        </is>
      </c>
      <c r="O537" s="24" t="inlineStr">
        <is>
          <t>해당 없음</t>
        </is>
      </c>
      <c r="P537" s="24" t="inlineStr">
        <is>
          <t>KRW</t>
        </is>
      </c>
      <c r="Q537" s="24" t="inlineStr">
        <is>
          <t>5</t>
        </is>
      </c>
    </row>
    <row r="538" ht="24" customHeight="1">
      <c r="A538" s="29" t="inlineStr">
        <is>
          <t>OpenDART_fnlttSinglAcntAll</t>
        </is>
      </c>
      <c r="B538" s="29" t="inlineStr">
        <is>
          <t>01021666</t>
        </is>
      </c>
      <c r="C538" s="29" t="inlineStr">
        <is>
          <t>덕산테코피아</t>
        </is>
      </c>
      <c r="D538" s="29" t="inlineStr">
        <is>
          <t>duksan</t>
        </is>
      </c>
      <c r="E538" s="29" t="inlineStr">
        <is>
          <t>317330</t>
        </is>
      </c>
      <c r="F538" s="29" t="inlineStr">
        <is>
          <t>2024</t>
        </is>
      </c>
      <c r="G538" s="29" t="inlineStr">
        <is>
          <t>CFS</t>
        </is>
      </c>
      <c r="H538" s="29" t="inlineStr">
        <is>
          <t>SCE</t>
        </is>
      </c>
      <c r="I538" s="29" t="inlineStr">
        <is>
          <t>자본변동표</t>
        </is>
      </c>
      <c r="J538" s="29" t="inlineStr">
        <is>
          <t>dart_ProceedsFromExerciseOfConvertibleRightOrWarrant</t>
        </is>
      </c>
      <c r="K538" s="29" t="inlineStr">
        <is>
          <t>전환권/신주인수권 행사로 인한 현금유입</t>
        </is>
      </c>
      <c r="L538" s="29" t="inlineStr">
        <is>
          <t>자본 [구성요소]|지배기업의 소유주에게 귀속되는 지분 [구성요소]|자본금 [구성요소]</t>
        </is>
      </c>
      <c r="M538" s="29" t="inlineStr">
        <is>
          <t>제 19 기</t>
        </is>
      </c>
      <c r="N538" s="29" t="inlineStr">
        <is>
          <t>999318000.0</t>
        </is>
      </c>
      <c r="O538" s="29" t="inlineStr">
        <is>
          <t>해당 없음</t>
        </is>
      </c>
      <c r="P538" s="29" t="inlineStr">
        <is>
          <t>KRW</t>
        </is>
      </c>
      <c r="Q538" s="29" t="inlineStr">
        <is>
          <t>5</t>
        </is>
      </c>
    </row>
    <row r="539" ht="24" customHeight="1">
      <c r="A539" s="24" t="inlineStr">
        <is>
          <t>OpenDART_fnlttSinglAcntAll</t>
        </is>
      </c>
      <c r="B539" s="24" t="inlineStr">
        <is>
          <t>01021666</t>
        </is>
      </c>
      <c r="C539" s="24" t="inlineStr">
        <is>
          <t>덕산테코피아</t>
        </is>
      </c>
      <c r="D539" s="24" t="inlineStr">
        <is>
          <t>duksan</t>
        </is>
      </c>
      <c r="E539" s="24" t="inlineStr">
        <is>
          <t>317330</t>
        </is>
      </c>
      <c r="F539" s="24" t="inlineStr">
        <is>
          <t>2024</t>
        </is>
      </c>
      <c r="G539" s="24" t="inlineStr">
        <is>
          <t>CFS</t>
        </is>
      </c>
      <c r="H539" s="24" t="inlineStr">
        <is>
          <t>SCE</t>
        </is>
      </c>
      <c r="I539" s="24" t="inlineStr">
        <is>
          <t>자본변동표</t>
        </is>
      </c>
      <c r="J539" s="24" t="inlineStr">
        <is>
          <t>dart_ProceedsFromExerciseOfConvertibleRightOrWarrant</t>
        </is>
      </c>
      <c r="K539" s="24" t="inlineStr">
        <is>
          <t>전환권/신주인수권 행사로 인한 현금유입</t>
        </is>
      </c>
      <c r="L539" s="24" t="inlineStr">
        <is>
          <t>자본 [구성요소]|지배기업의 소유주에게 귀속되는 지분 [구성요소]|자본잉여금 [구성요소]</t>
        </is>
      </c>
      <c r="M539" s="24" t="inlineStr">
        <is>
          <t>제 19 기</t>
        </is>
      </c>
      <c r="N539" s="24" t="inlineStr">
        <is>
          <t>82746765093.0</t>
        </is>
      </c>
      <c r="O539" s="24" t="inlineStr">
        <is>
          <t>해당 없음</t>
        </is>
      </c>
      <c r="P539" s="24" t="inlineStr">
        <is>
          <t>KRW</t>
        </is>
      </c>
      <c r="Q539" s="24" t="inlineStr">
        <is>
          <t>5</t>
        </is>
      </c>
    </row>
    <row r="540" ht="24" customHeight="1">
      <c r="A540" s="29" t="inlineStr">
        <is>
          <t>OpenDART_fnlttSinglAcntAll</t>
        </is>
      </c>
      <c r="B540" s="29" t="inlineStr">
        <is>
          <t>01021666</t>
        </is>
      </c>
      <c r="C540" s="29" t="inlineStr">
        <is>
          <t>덕산테코피아</t>
        </is>
      </c>
      <c r="D540" s="29" t="inlineStr">
        <is>
          <t>duksan</t>
        </is>
      </c>
      <c r="E540" s="29" t="inlineStr">
        <is>
          <t>317330</t>
        </is>
      </c>
      <c r="F540" s="29" t="inlineStr">
        <is>
          <t>2024</t>
        </is>
      </c>
      <c r="G540" s="29" t="inlineStr">
        <is>
          <t>CFS</t>
        </is>
      </c>
      <c r="H540" s="29" t="inlineStr">
        <is>
          <t>SCE</t>
        </is>
      </c>
      <c r="I540" s="29" t="inlineStr">
        <is>
          <t>자본변동표</t>
        </is>
      </c>
      <c r="J540" s="29" t="inlineStr">
        <is>
          <t>dart_ProceedsFromExerciseOfShareOptions</t>
        </is>
      </c>
      <c r="K540" s="29" t="inlineStr">
        <is>
          <t>주식매수선택권의 행사</t>
        </is>
      </c>
      <c r="L540" s="29" t="inlineStr">
        <is>
          <t>연결재무제표 [member]</t>
        </is>
      </c>
      <c r="M540" s="29" t="inlineStr">
        <is>
          <t>제 19 기</t>
        </is>
      </c>
      <c r="N540" s="29" t="inlineStr">
        <is>
          <t>1764957590.0</t>
        </is>
      </c>
      <c r="O540" s="29" t="inlineStr">
        <is>
          <t>해당 없음</t>
        </is>
      </c>
      <c r="P540" s="29" t="inlineStr">
        <is>
          <t>KRW</t>
        </is>
      </c>
      <c r="Q540" s="29" t="inlineStr">
        <is>
          <t>6</t>
        </is>
      </c>
    </row>
    <row r="541" ht="24" customHeight="1">
      <c r="A541" s="24" t="inlineStr">
        <is>
          <t>OpenDART_fnlttSinglAcntAll</t>
        </is>
      </c>
      <c r="B541" s="24" t="inlineStr">
        <is>
          <t>01021666</t>
        </is>
      </c>
      <c r="C541" s="24" t="inlineStr">
        <is>
          <t>덕산테코피아</t>
        </is>
      </c>
      <c r="D541" s="24" t="inlineStr">
        <is>
          <t>duksan</t>
        </is>
      </c>
      <c r="E541" s="24" t="inlineStr">
        <is>
          <t>317330</t>
        </is>
      </c>
      <c r="F541" s="24" t="inlineStr">
        <is>
          <t>2024</t>
        </is>
      </c>
      <c r="G541" s="24" t="inlineStr">
        <is>
          <t>CFS</t>
        </is>
      </c>
      <c r="H541" s="24" t="inlineStr">
        <is>
          <t>SCE</t>
        </is>
      </c>
      <c r="I541" s="24" t="inlineStr">
        <is>
          <t>자본변동표</t>
        </is>
      </c>
      <c r="J541" s="24" t="inlineStr">
        <is>
          <t>dart_ProceedsFromExerciseOfShareOptions</t>
        </is>
      </c>
      <c r="K541" s="24" t="inlineStr">
        <is>
          <t>주식매수선택권의 행사</t>
        </is>
      </c>
      <c r="L541" s="24" t="inlineStr">
        <is>
          <t>자본 [구성요소]|비지배지분 [구성요소]</t>
        </is>
      </c>
      <c r="M541" s="24" t="inlineStr">
        <is>
          <t>제 19 기</t>
        </is>
      </c>
      <c r="N541" s="24" t="inlineStr">
        <is>
          <t>1174432886.0</t>
        </is>
      </c>
      <c r="O541" s="24" t="inlineStr">
        <is>
          <t>488115153.0</t>
        </is>
      </c>
      <c r="P541" s="24" t="inlineStr">
        <is>
          <t>KRW</t>
        </is>
      </c>
      <c r="Q541" s="24" t="inlineStr">
        <is>
          <t>6</t>
        </is>
      </c>
    </row>
    <row r="542" ht="24" customHeight="1">
      <c r="A542" s="29" t="inlineStr">
        <is>
          <t>OpenDART_fnlttSinglAcntAll</t>
        </is>
      </c>
      <c r="B542" s="29" t="inlineStr">
        <is>
          <t>01021666</t>
        </is>
      </c>
      <c r="C542" s="29" t="inlineStr">
        <is>
          <t>덕산테코피아</t>
        </is>
      </c>
      <c r="D542" s="29" t="inlineStr">
        <is>
          <t>duksan</t>
        </is>
      </c>
      <c r="E542" s="29" t="inlineStr">
        <is>
          <t>317330</t>
        </is>
      </c>
      <c r="F542" s="29" t="inlineStr">
        <is>
          <t>2024</t>
        </is>
      </c>
      <c r="G542" s="29" t="inlineStr">
        <is>
          <t>CFS</t>
        </is>
      </c>
      <c r="H542" s="29" t="inlineStr">
        <is>
          <t>SCE</t>
        </is>
      </c>
      <c r="I542" s="29" t="inlineStr">
        <is>
          <t>자본변동표</t>
        </is>
      </c>
      <c r="J542" s="29" t="inlineStr">
        <is>
          <t>dart_ProceedsFromExerciseOfShareOptions</t>
        </is>
      </c>
      <c r="K542" s="29" t="inlineStr">
        <is>
          <t>주식매수선택권의 행사</t>
        </is>
      </c>
      <c r="L542" s="29" t="inlineStr">
        <is>
          <t>자본 [구성요소]|지배기업의 소유주에게 귀속되는 지분 [구성요소]</t>
        </is>
      </c>
      <c r="M542" s="29" t="inlineStr">
        <is>
          <t>제 19 기</t>
        </is>
      </c>
      <c r="N542" s="29" t="inlineStr">
        <is>
          <t>2413467622.0</t>
        </is>
      </c>
      <c r="O542" s="29" t="inlineStr">
        <is>
          <t>974235527.0</t>
        </is>
      </c>
      <c r="P542" s="29" t="inlineStr">
        <is>
          <t>KRW</t>
        </is>
      </c>
      <c r="Q542" s="29" t="inlineStr">
        <is>
          <t>6</t>
        </is>
      </c>
    </row>
    <row r="543" ht="24" customHeight="1">
      <c r="A543" s="24" t="inlineStr">
        <is>
          <t>OpenDART_fnlttSinglAcntAll</t>
        </is>
      </c>
      <c r="B543" s="24" t="inlineStr">
        <is>
          <t>01021666</t>
        </is>
      </c>
      <c r="C543" s="24" t="inlineStr">
        <is>
          <t>덕산테코피아</t>
        </is>
      </c>
      <c r="D543" s="24" t="inlineStr">
        <is>
          <t>duksan</t>
        </is>
      </c>
      <c r="E543" s="24" t="inlineStr">
        <is>
          <t>317330</t>
        </is>
      </c>
      <c r="F543" s="24" t="inlineStr">
        <is>
          <t>2024</t>
        </is>
      </c>
      <c r="G543" s="24" t="inlineStr">
        <is>
          <t>CFS</t>
        </is>
      </c>
      <c r="H543" s="24" t="inlineStr">
        <is>
          <t>SCE</t>
        </is>
      </c>
      <c r="I543" s="24" t="inlineStr">
        <is>
          <t>자본변동표</t>
        </is>
      </c>
      <c r="J543" s="24" t="inlineStr">
        <is>
          <t>dart_ProceedsFromExerciseOfShareOptions</t>
        </is>
      </c>
      <c r="K543" s="24" t="inlineStr">
        <is>
          <t>주식매수선택권의 행사</t>
        </is>
      </c>
      <c r="L543" s="24" t="inlineStr">
        <is>
          <t>자본 [구성요소]|지배기업의 소유주에게 귀속되는 지분 [구성요소]|기타자본구성요소 [구성요소]</t>
        </is>
      </c>
      <c r="M543" s="24" t="inlineStr">
        <is>
          <t>제 19 기</t>
        </is>
      </c>
      <c r="N543" s="24" t="inlineStr">
        <is>
          <t>90297485.0</t>
        </is>
      </c>
      <c r="O543" s="24" t="inlineStr">
        <is>
          <t>673798487.0</t>
        </is>
      </c>
      <c r="P543" s="24" t="inlineStr">
        <is>
          <t>KRW</t>
        </is>
      </c>
      <c r="Q543" s="24" t="inlineStr">
        <is>
          <t>6</t>
        </is>
      </c>
    </row>
    <row r="544" ht="24" customHeight="1">
      <c r="A544" s="29" t="inlineStr">
        <is>
          <t>OpenDART_fnlttSinglAcntAll</t>
        </is>
      </c>
      <c r="B544" s="29" t="inlineStr">
        <is>
          <t>01021666</t>
        </is>
      </c>
      <c r="C544" s="29" t="inlineStr">
        <is>
          <t>덕산테코피아</t>
        </is>
      </c>
      <c r="D544" s="29" t="inlineStr">
        <is>
          <t>duksan</t>
        </is>
      </c>
      <c r="E544" s="29" t="inlineStr">
        <is>
          <t>317330</t>
        </is>
      </c>
      <c r="F544" s="29" t="inlineStr">
        <is>
          <t>2024</t>
        </is>
      </c>
      <c r="G544" s="29" t="inlineStr">
        <is>
          <t>CFS</t>
        </is>
      </c>
      <c r="H544" s="29" t="inlineStr">
        <is>
          <t>SCE</t>
        </is>
      </c>
      <c r="I544" s="29" t="inlineStr">
        <is>
          <t>자본변동표</t>
        </is>
      </c>
      <c r="J544" s="29" t="inlineStr">
        <is>
          <t>dart_ProceedsFromExerciseOfShareOptions</t>
        </is>
      </c>
      <c r="K544" s="29" t="inlineStr">
        <is>
          <t>주식매수선택권의 행사</t>
        </is>
      </c>
      <c r="L544" s="29" t="inlineStr">
        <is>
          <t>자본 [구성요소]|지배기업의 소유주에게 귀속되는 지분 [구성요소]|자본금 [구성요소]</t>
        </is>
      </c>
      <c r="M544" s="29" t="inlineStr">
        <is>
          <t>제 19 기</t>
        </is>
      </c>
      <c r="N544" s="29" t="inlineStr">
        <is>
          <t>50260000.0</t>
        </is>
      </c>
      <c r="O544" s="29" t="inlineStr">
        <is>
          <t>해당 없음</t>
        </is>
      </c>
      <c r="P544" s="29" t="inlineStr">
        <is>
          <t>KRW</t>
        </is>
      </c>
      <c r="Q544" s="29" t="inlineStr">
        <is>
          <t>6</t>
        </is>
      </c>
    </row>
    <row r="545" ht="24" customHeight="1">
      <c r="A545" s="24" t="inlineStr">
        <is>
          <t>OpenDART_fnlttSinglAcntAll</t>
        </is>
      </c>
      <c r="B545" s="24" t="inlineStr">
        <is>
          <t>01021666</t>
        </is>
      </c>
      <c r="C545" s="24" t="inlineStr">
        <is>
          <t>덕산테코피아</t>
        </is>
      </c>
      <c r="D545" s="24" t="inlineStr">
        <is>
          <t>duksan</t>
        </is>
      </c>
      <c r="E545" s="24" t="inlineStr">
        <is>
          <t>317330</t>
        </is>
      </c>
      <c r="F545" s="24" t="inlineStr">
        <is>
          <t>2024</t>
        </is>
      </c>
      <c r="G545" s="24" t="inlineStr">
        <is>
          <t>CFS</t>
        </is>
      </c>
      <c r="H545" s="24" t="inlineStr">
        <is>
          <t>SCE</t>
        </is>
      </c>
      <c r="I545" s="24" t="inlineStr">
        <is>
          <t>자본변동표</t>
        </is>
      </c>
      <c r="J545" s="24" t="inlineStr">
        <is>
          <t>dart_ProceedsFromExerciseOfShareOptions</t>
        </is>
      </c>
      <c r="K545" s="24" t="inlineStr">
        <is>
          <t>주식매수선택권의 행사</t>
        </is>
      </c>
      <c r="L545" s="24" t="inlineStr">
        <is>
          <t>자본 [구성요소]|지배기업의 소유주에게 귀속되는 지분 [구성요소]|자본잉여금 [구성요소]</t>
        </is>
      </c>
      <c r="M545" s="24" t="inlineStr">
        <is>
          <t>제 19 기</t>
        </is>
      </c>
      <c r="N545" s="24" t="inlineStr">
        <is>
          <t>2272910137.0</t>
        </is>
      </c>
      <c r="O545" s="24" t="inlineStr">
        <is>
          <t>300437040.0</t>
        </is>
      </c>
      <c r="P545" s="24" t="inlineStr">
        <is>
          <t>KRW</t>
        </is>
      </c>
      <c r="Q545" s="24" t="inlineStr">
        <is>
          <t>6</t>
        </is>
      </c>
    </row>
    <row r="546" ht="24" customHeight="1">
      <c r="A546" s="29" t="inlineStr">
        <is>
          <t>OpenDART_fnlttSinglAcntAll</t>
        </is>
      </c>
      <c r="B546" s="29" t="inlineStr">
        <is>
          <t>01021666</t>
        </is>
      </c>
      <c r="C546" s="29" t="inlineStr">
        <is>
          <t>덕산테코피아</t>
        </is>
      </c>
      <c r="D546" s="29" t="inlineStr">
        <is>
          <t>duksan</t>
        </is>
      </c>
      <c r="E546" s="29" t="inlineStr">
        <is>
          <t>317330</t>
        </is>
      </c>
      <c r="F546" s="29" t="inlineStr">
        <is>
          <t>2024</t>
        </is>
      </c>
      <c r="G546" s="29" t="inlineStr">
        <is>
          <t>CFS</t>
        </is>
      </c>
      <c r="H546" s="29" t="inlineStr">
        <is>
          <t>SCE</t>
        </is>
      </c>
      <c r="I546" s="29" t="inlineStr">
        <is>
          <t>자본변동표</t>
        </is>
      </c>
      <c r="J546" s="29" t="inlineStr">
        <is>
          <t>dart_ProceedsFromPaidinCapitalIncrease</t>
        </is>
      </c>
      <c r="K546" s="29" t="inlineStr">
        <is>
          <t>유상증자</t>
        </is>
      </c>
      <c r="L546" s="29" t="inlineStr">
        <is>
          <t>연결재무제표 [member]</t>
        </is>
      </c>
      <c r="M546" s="29" t="inlineStr">
        <is>
          <t>제 19 기</t>
        </is>
      </c>
      <c r="N546" s="29" t="inlineStr">
        <is>
          <t>-2566840.0</t>
        </is>
      </c>
      <c r="O546" s="29" t="inlineStr">
        <is>
          <t>해당 없음</t>
        </is>
      </c>
      <c r="P546" s="29" t="inlineStr">
        <is>
          <t>KRW</t>
        </is>
      </c>
      <c r="Q546" s="29" t="inlineStr">
        <is>
          <t>7</t>
        </is>
      </c>
    </row>
    <row r="547" ht="24" customHeight="1">
      <c r="A547" s="24" t="inlineStr">
        <is>
          <t>OpenDART_fnlttSinglAcntAll</t>
        </is>
      </c>
      <c r="B547" s="24" t="inlineStr">
        <is>
          <t>01021666</t>
        </is>
      </c>
      <c r="C547" s="24" t="inlineStr">
        <is>
          <t>덕산테코피아</t>
        </is>
      </c>
      <c r="D547" s="24" t="inlineStr">
        <is>
          <t>duksan</t>
        </is>
      </c>
      <c r="E547" s="24" t="inlineStr">
        <is>
          <t>317330</t>
        </is>
      </c>
      <c r="F547" s="24" t="inlineStr">
        <is>
          <t>2024</t>
        </is>
      </c>
      <c r="G547" s="24" t="inlineStr">
        <is>
          <t>CFS</t>
        </is>
      </c>
      <c r="H547" s="24" t="inlineStr">
        <is>
          <t>SCE</t>
        </is>
      </c>
      <c r="I547" s="24" t="inlineStr">
        <is>
          <t>자본변동표</t>
        </is>
      </c>
      <c r="J547" s="24" t="inlineStr">
        <is>
          <t>dart_ProceedsFromPaidinCapitalIncrease</t>
        </is>
      </c>
      <c r="K547" s="24" t="inlineStr">
        <is>
          <t>유상증자</t>
        </is>
      </c>
      <c r="L547" s="24" t="inlineStr">
        <is>
          <t>자본 [구성요소]|비지배지분 [구성요소]</t>
        </is>
      </c>
      <c r="M547" s="24" t="inlineStr">
        <is>
          <t>제 19 기</t>
        </is>
      </c>
      <c r="N547" s="24" t="inlineStr">
        <is>
          <t>19056885072.0</t>
        </is>
      </c>
      <c r="O547" s="24" t="inlineStr">
        <is>
          <t>4256896478.0</t>
        </is>
      </c>
      <c r="P547" s="24" t="inlineStr">
        <is>
          <t>KRW</t>
        </is>
      </c>
      <c r="Q547" s="24" t="inlineStr">
        <is>
          <t>7</t>
        </is>
      </c>
    </row>
    <row r="548" ht="24" customHeight="1">
      <c r="A548" s="29" t="inlineStr">
        <is>
          <t>OpenDART_fnlttSinglAcntAll</t>
        </is>
      </c>
      <c r="B548" s="29" t="inlineStr">
        <is>
          <t>01021666</t>
        </is>
      </c>
      <c r="C548" s="29" t="inlineStr">
        <is>
          <t>덕산테코피아</t>
        </is>
      </c>
      <c r="D548" s="29" t="inlineStr">
        <is>
          <t>duksan</t>
        </is>
      </c>
      <c r="E548" s="29" t="inlineStr">
        <is>
          <t>317330</t>
        </is>
      </c>
      <c r="F548" s="29" t="inlineStr">
        <is>
          <t>2024</t>
        </is>
      </c>
      <c r="G548" s="29" t="inlineStr">
        <is>
          <t>CFS</t>
        </is>
      </c>
      <c r="H548" s="29" t="inlineStr">
        <is>
          <t>SCE</t>
        </is>
      </c>
      <c r="I548" s="29" t="inlineStr">
        <is>
          <t>자본변동표</t>
        </is>
      </c>
      <c r="J548" s="29" t="inlineStr">
        <is>
          <t>dart_ProceedsFromPaidinCapitalIncrease</t>
        </is>
      </c>
      <c r="K548" s="29" t="inlineStr">
        <is>
          <t>유상증자</t>
        </is>
      </c>
      <c r="L548" s="29" t="inlineStr">
        <is>
          <t>자본 [구성요소]|지배기업의 소유주에게 귀속되는 지분 [구성요소]</t>
        </is>
      </c>
      <c r="M548" s="29" t="inlineStr">
        <is>
          <t>제 19 기</t>
        </is>
      </c>
      <c r="N548" s="29" t="inlineStr">
        <is>
          <t>-19059451912.0</t>
        </is>
      </c>
      <c r="O548" s="29" t="inlineStr">
        <is>
          <t>-4259412348.0</t>
        </is>
      </c>
      <c r="P548" s="29" t="inlineStr">
        <is>
          <t>KRW</t>
        </is>
      </c>
      <c r="Q548" s="29" t="inlineStr">
        <is>
          <t>7</t>
        </is>
      </c>
    </row>
    <row r="549" ht="24" customHeight="1">
      <c r="A549" s="24" t="inlineStr">
        <is>
          <t>OpenDART_fnlttSinglAcntAll</t>
        </is>
      </c>
      <c r="B549" s="24" t="inlineStr">
        <is>
          <t>01021666</t>
        </is>
      </c>
      <c r="C549" s="24" t="inlineStr">
        <is>
          <t>덕산테코피아</t>
        </is>
      </c>
      <c r="D549" s="24" t="inlineStr">
        <is>
          <t>duksan</t>
        </is>
      </c>
      <c r="E549" s="24" t="inlineStr">
        <is>
          <t>317330</t>
        </is>
      </c>
      <c r="F549" s="24" t="inlineStr">
        <is>
          <t>2024</t>
        </is>
      </c>
      <c r="G549" s="24" t="inlineStr">
        <is>
          <t>CFS</t>
        </is>
      </c>
      <c r="H549" s="24" t="inlineStr">
        <is>
          <t>SCE</t>
        </is>
      </c>
      <c r="I549" s="24" t="inlineStr">
        <is>
          <t>자본변동표</t>
        </is>
      </c>
      <c r="J549" s="24" t="inlineStr">
        <is>
          <t>dart_ProceedsFromPaidinCapitalIncrease</t>
        </is>
      </c>
      <c r="K549" s="24" t="inlineStr">
        <is>
          <t>유상증자</t>
        </is>
      </c>
      <c r="L549" s="24" t="inlineStr">
        <is>
          <t>자본 [구성요소]|지배기업의 소유주에게 귀속되는 지분 [구성요소]|자본잉여금 [구성요소]</t>
        </is>
      </c>
      <c r="M549" s="24" t="inlineStr">
        <is>
          <t>제 19 기</t>
        </is>
      </c>
      <c r="N549" s="24" t="inlineStr">
        <is>
          <t>-19059451912.0</t>
        </is>
      </c>
      <c r="O549" s="24" t="inlineStr">
        <is>
          <t>-4259412348.0</t>
        </is>
      </c>
      <c r="P549" s="24" t="inlineStr">
        <is>
          <t>KRW</t>
        </is>
      </c>
      <c r="Q549" s="24" t="inlineStr">
        <is>
          <t>7</t>
        </is>
      </c>
    </row>
    <row r="550" ht="24" customHeight="1">
      <c r="A550" s="29" t="inlineStr">
        <is>
          <t>OpenDART_fnlttSinglAcntAll</t>
        </is>
      </c>
      <c r="B550" s="29" t="inlineStr">
        <is>
          <t>01021666</t>
        </is>
      </c>
      <c r="C550" s="29" t="inlineStr">
        <is>
          <t>덕산테코피아</t>
        </is>
      </c>
      <c r="D550" s="29" t="inlineStr">
        <is>
          <t>duksan</t>
        </is>
      </c>
      <c r="E550" s="29" t="inlineStr">
        <is>
          <t>317330</t>
        </is>
      </c>
      <c r="F550" s="29" t="inlineStr">
        <is>
          <t>2024</t>
        </is>
      </c>
      <c r="G550" s="29" t="inlineStr">
        <is>
          <t>CFS</t>
        </is>
      </c>
      <c r="H550" s="29" t="inlineStr">
        <is>
          <t>SCE</t>
        </is>
      </c>
      <c r="I550" s="29" t="inlineStr">
        <is>
          <t>자본변동표</t>
        </is>
      </c>
      <c r="J550" s="29" t="inlineStr">
        <is>
          <t>dart_TreasuryShareTransactions</t>
        </is>
      </c>
      <c r="K550" s="29" t="inlineStr">
        <is>
          <t>자기주식 거래로 인한 증감</t>
        </is>
      </c>
      <c r="L550" s="29" t="inlineStr">
        <is>
          <t>자본 [구성요소]|지배기업의 소유주에게 귀속되는 지분 [구성요소]</t>
        </is>
      </c>
      <c r="M550" s="29" t="inlineStr">
        <is>
          <t>제 19 기</t>
        </is>
      </c>
      <c r="N550" s="29" t="inlineStr">
        <is>
          <t>8910323644.0</t>
        </is>
      </c>
      <c r="O550" s="29" t="inlineStr">
        <is>
          <t>해당 없음</t>
        </is>
      </c>
      <c r="P550" s="29" t="inlineStr">
        <is>
          <t>KRW</t>
        </is>
      </c>
      <c r="Q550" s="29" t="inlineStr">
        <is>
          <t>8</t>
        </is>
      </c>
    </row>
    <row r="551" ht="24" customHeight="1">
      <c r="A551" s="24" t="inlineStr">
        <is>
          <t>OpenDART_fnlttSinglAcntAll</t>
        </is>
      </c>
      <c r="B551" s="24" t="inlineStr">
        <is>
          <t>01021666</t>
        </is>
      </c>
      <c r="C551" s="24" t="inlineStr">
        <is>
          <t>덕산테코피아</t>
        </is>
      </c>
      <c r="D551" s="24" t="inlineStr">
        <is>
          <t>duksan</t>
        </is>
      </c>
      <c r="E551" s="24" t="inlineStr">
        <is>
          <t>317330</t>
        </is>
      </c>
      <c r="F551" s="24" t="inlineStr">
        <is>
          <t>2024</t>
        </is>
      </c>
      <c r="G551" s="24" t="inlineStr">
        <is>
          <t>CFS</t>
        </is>
      </c>
      <c r="H551" s="24" t="inlineStr">
        <is>
          <t>SCE</t>
        </is>
      </c>
      <c r="I551" s="24" t="inlineStr">
        <is>
          <t>자본변동표</t>
        </is>
      </c>
      <c r="J551" s="24" t="inlineStr">
        <is>
          <t>dart_TreasuryShareTransactions</t>
        </is>
      </c>
      <c r="K551" s="24" t="inlineStr">
        <is>
          <t>자기주식 거래로 인한 증감</t>
        </is>
      </c>
      <c r="L551" s="24" t="inlineStr">
        <is>
          <t>연결재무제표 [member]</t>
        </is>
      </c>
      <c r="M551" s="24" t="inlineStr">
        <is>
          <t>제 19 기</t>
        </is>
      </c>
      <c r="N551" s="24" t="inlineStr">
        <is>
          <t>8910323644.0</t>
        </is>
      </c>
      <c r="O551" s="24" t="inlineStr">
        <is>
          <t>해당 없음</t>
        </is>
      </c>
      <c r="P551" s="24" t="inlineStr">
        <is>
          <t>KRW</t>
        </is>
      </c>
      <c r="Q551" s="24" t="inlineStr">
        <is>
          <t>8</t>
        </is>
      </c>
    </row>
    <row r="552" ht="24" customHeight="1">
      <c r="A552" s="29" t="inlineStr">
        <is>
          <t>OpenDART_fnlttSinglAcntAll</t>
        </is>
      </c>
      <c r="B552" s="29" t="inlineStr">
        <is>
          <t>01021666</t>
        </is>
      </c>
      <c r="C552" s="29" t="inlineStr">
        <is>
          <t>덕산테코피아</t>
        </is>
      </c>
      <c r="D552" s="29" t="inlineStr">
        <is>
          <t>duksan</t>
        </is>
      </c>
      <c r="E552" s="29" t="inlineStr">
        <is>
          <t>317330</t>
        </is>
      </c>
      <c r="F552" s="29" t="inlineStr">
        <is>
          <t>2024</t>
        </is>
      </c>
      <c r="G552" s="29" t="inlineStr">
        <is>
          <t>CFS</t>
        </is>
      </c>
      <c r="H552" s="29" t="inlineStr">
        <is>
          <t>SCE</t>
        </is>
      </c>
      <c r="I552" s="29" t="inlineStr">
        <is>
          <t>자본변동표</t>
        </is>
      </c>
      <c r="J552" s="29" t="inlineStr">
        <is>
          <t>dart_TreasuryShareTransactions</t>
        </is>
      </c>
      <c r="K552" s="29" t="inlineStr">
        <is>
          <t>자기주식 거래로 인한 증감</t>
        </is>
      </c>
      <c r="L552" s="29" t="inlineStr">
        <is>
          <t>자본 [구성요소]|지배기업의 소유주에게 귀속되는 지분 [구성요소]|기타자본구성요소 [구성요소]</t>
        </is>
      </c>
      <c r="M552" s="29" t="inlineStr">
        <is>
          <t>제 19 기</t>
        </is>
      </c>
      <c r="N552" s="29" t="inlineStr">
        <is>
          <t>4999931050.0</t>
        </is>
      </c>
      <c r="O552" s="29" t="inlineStr">
        <is>
          <t>해당 없음</t>
        </is>
      </c>
      <c r="P552" s="29" t="inlineStr">
        <is>
          <t>KRW</t>
        </is>
      </c>
      <c r="Q552" s="29" t="inlineStr">
        <is>
          <t>8</t>
        </is>
      </c>
    </row>
    <row r="553" ht="24" customHeight="1">
      <c r="A553" s="24" t="inlineStr">
        <is>
          <t>OpenDART_fnlttSinglAcntAll</t>
        </is>
      </c>
      <c r="B553" s="24" t="inlineStr">
        <is>
          <t>01021666</t>
        </is>
      </c>
      <c r="C553" s="24" t="inlineStr">
        <is>
          <t>덕산테코피아</t>
        </is>
      </c>
      <c r="D553" s="24" t="inlineStr">
        <is>
          <t>duksan</t>
        </is>
      </c>
      <c r="E553" s="24" t="inlineStr">
        <is>
          <t>317330</t>
        </is>
      </c>
      <c r="F553" s="24" t="inlineStr">
        <is>
          <t>2024</t>
        </is>
      </c>
      <c r="G553" s="24" t="inlineStr">
        <is>
          <t>CFS</t>
        </is>
      </c>
      <c r="H553" s="24" t="inlineStr">
        <is>
          <t>SCE</t>
        </is>
      </c>
      <c r="I553" s="24" t="inlineStr">
        <is>
          <t>자본변동표</t>
        </is>
      </c>
      <c r="J553" s="24" t="inlineStr">
        <is>
          <t>dart_TreasuryShareTransactions</t>
        </is>
      </c>
      <c r="K553" s="24" t="inlineStr">
        <is>
          <t>자기주식 거래로 인한 증감</t>
        </is>
      </c>
      <c r="L553" s="24" t="inlineStr">
        <is>
          <t>자본 [구성요소]|지배기업의 소유주에게 귀속되는 지분 [구성요소]|자본잉여금 [구성요소]</t>
        </is>
      </c>
      <c r="M553" s="24" t="inlineStr">
        <is>
          <t>제 19 기</t>
        </is>
      </c>
      <c r="N553" s="24" t="inlineStr">
        <is>
          <t>3910392594.0</t>
        </is>
      </c>
      <c r="O553" s="24" t="inlineStr">
        <is>
          <t>해당 없음</t>
        </is>
      </c>
      <c r="P553" s="24" t="inlineStr">
        <is>
          <t>KRW</t>
        </is>
      </c>
      <c r="Q553" s="24" t="inlineStr">
        <is>
          <t>8</t>
        </is>
      </c>
    </row>
    <row r="554" ht="24" customHeight="1">
      <c r="A554" s="29" t="inlineStr">
        <is>
          <t>OpenDART_fnlttSinglAcntAll</t>
        </is>
      </c>
      <c r="B554" s="29" t="inlineStr">
        <is>
          <t>01021666</t>
        </is>
      </c>
      <c r="C554" s="29" t="inlineStr">
        <is>
          <t>덕산테코피아</t>
        </is>
      </c>
      <c r="D554" s="29" t="inlineStr">
        <is>
          <t>duksan</t>
        </is>
      </c>
      <c r="E554" s="29" t="inlineStr">
        <is>
          <t>317330</t>
        </is>
      </c>
      <c r="F554" s="29" t="inlineStr">
        <is>
          <t>2024</t>
        </is>
      </c>
      <c r="G554" s="29" t="inlineStr">
        <is>
          <t>CFS</t>
        </is>
      </c>
      <c r="H554" s="29" t="inlineStr">
        <is>
          <t>SCE</t>
        </is>
      </c>
      <c r="I554" s="29" t="inlineStr">
        <is>
          <t>자본변동표</t>
        </is>
      </c>
      <c r="J554" s="29" t="inlineStr">
        <is>
          <t>ifrs-full_Equity</t>
        </is>
      </c>
      <c r="K554" s="29" t="inlineStr">
        <is>
          <t>자본총계</t>
        </is>
      </c>
      <c r="L554" s="29" t="inlineStr">
        <is>
          <t>연결재무제표 [member]</t>
        </is>
      </c>
      <c r="M554" s="29" t="inlineStr">
        <is>
          <t>제 19 기</t>
        </is>
      </c>
      <c r="N554" s="29" t="inlineStr">
        <is>
          <t>205743613594.0</t>
        </is>
      </c>
      <c r="O554" s="29" t="inlineStr">
        <is>
          <t>184305539033.0</t>
        </is>
      </c>
      <c r="P554" s="29" t="inlineStr">
        <is>
          <t>KRW</t>
        </is>
      </c>
      <c r="Q554" s="29" t="inlineStr">
        <is>
          <t>9</t>
        </is>
      </c>
    </row>
    <row r="555" ht="24" customHeight="1">
      <c r="A555" s="24" t="inlineStr">
        <is>
          <t>OpenDART_fnlttSinglAcntAll</t>
        </is>
      </c>
      <c r="B555" s="24" t="inlineStr">
        <is>
          <t>01021666</t>
        </is>
      </c>
      <c r="C555" s="24" t="inlineStr">
        <is>
          <t>덕산테코피아</t>
        </is>
      </c>
      <c r="D555" s="24" t="inlineStr">
        <is>
          <t>duksan</t>
        </is>
      </c>
      <c r="E555" s="24" t="inlineStr">
        <is>
          <t>317330</t>
        </is>
      </c>
      <c r="F555" s="24" t="inlineStr">
        <is>
          <t>2024</t>
        </is>
      </c>
      <c r="G555" s="24" t="inlineStr">
        <is>
          <t>CFS</t>
        </is>
      </c>
      <c r="H555" s="24" t="inlineStr">
        <is>
          <t>SCE</t>
        </is>
      </c>
      <c r="I555" s="24" t="inlineStr">
        <is>
          <t>자본변동표</t>
        </is>
      </c>
      <c r="J555" s="24" t="inlineStr">
        <is>
          <t>ifrs-full_Equity</t>
        </is>
      </c>
      <c r="K555" s="24" t="inlineStr">
        <is>
          <t>자본총계</t>
        </is>
      </c>
      <c r="L555" s="24" t="inlineStr">
        <is>
          <t>자본 [구성요소]|비지배지분 [구성요소]</t>
        </is>
      </c>
      <c r="M555" s="24" t="inlineStr">
        <is>
          <t>제 19 기</t>
        </is>
      </c>
      <c r="N555" s="24" t="inlineStr">
        <is>
          <t>7499924016.0</t>
        </is>
      </c>
      <c r="O555" s="24" t="inlineStr">
        <is>
          <t>7321753504.0</t>
        </is>
      </c>
      <c r="P555" s="24" t="inlineStr">
        <is>
          <t>KRW</t>
        </is>
      </c>
      <c r="Q555" s="24" t="inlineStr">
        <is>
          <t>9</t>
        </is>
      </c>
    </row>
    <row r="556" ht="24" customHeight="1">
      <c r="A556" s="29" t="inlineStr">
        <is>
          <t>OpenDART_fnlttSinglAcntAll</t>
        </is>
      </c>
      <c r="B556" s="29" t="inlineStr">
        <is>
          <t>01021666</t>
        </is>
      </c>
      <c r="C556" s="29" t="inlineStr">
        <is>
          <t>덕산테코피아</t>
        </is>
      </c>
      <c r="D556" s="29" t="inlineStr">
        <is>
          <t>duksan</t>
        </is>
      </c>
      <c r="E556" s="29" t="inlineStr">
        <is>
          <t>317330</t>
        </is>
      </c>
      <c r="F556" s="29" t="inlineStr">
        <is>
          <t>2024</t>
        </is>
      </c>
      <c r="G556" s="29" t="inlineStr">
        <is>
          <t>CFS</t>
        </is>
      </c>
      <c r="H556" s="29" t="inlineStr">
        <is>
          <t>SCE</t>
        </is>
      </c>
      <c r="I556" s="29" t="inlineStr">
        <is>
          <t>자본변동표</t>
        </is>
      </c>
      <c r="J556" s="29" t="inlineStr">
        <is>
          <t>ifrs-full_Equity</t>
        </is>
      </c>
      <c r="K556" s="29" t="inlineStr">
        <is>
          <t>자본총계</t>
        </is>
      </c>
      <c r="L556" s="29" t="inlineStr">
        <is>
          <t>자본 [구성요소]|지배기업의 소유주에게 귀속되는 지분 [구성요소]</t>
        </is>
      </c>
      <c r="M556" s="29" t="inlineStr">
        <is>
          <t>제 19 기</t>
        </is>
      </c>
      <c r="N556" s="29" t="inlineStr">
        <is>
          <t>198243689578.0</t>
        </is>
      </c>
      <c r="O556" s="29" t="inlineStr">
        <is>
          <t>176983785529.0</t>
        </is>
      </c>
      <c r="P556" s="29" t="inlineStr">
        <is>
          <t>KRW</t>
        </is>
      </c>
      <c r="Q556" s="29" t="inlineStr">
        <is>
          <t>9</t>
        </is>
      </c>
    </row>
    <row r="557" ht="24" customHeight="1">
      <c r="A557" s="24" t="inlineStr">
        <is>
          <t>OpenDART_fnlttSinglAcntAll</t>
        </is>
      </c>
      <c r="B557" s="24" t="inlineStr">
        <is>
          <t>01021666</t>
        </is>
      </c>
      <c r="C557" s="24" t="inlineStr">
        <is>
          <t>덕산테코피아</t>
        </is>
      </c>
      <c r="D557" s="24" t="inlineStr">
        <is>
          <t>duksan</t>
        </is>
      </c>
      <c r="E557" s="24" t="inlineStr">
        <is>
          <t>317330</t>
        </is>
      </c>
      <c r="F557" s="24" t="inlineStr">
        <is>
          <t>2024</t>
        </is>
      </c>
      <c r="G557" s="24" t="inlineStr">
        <is>
          <t>CFS</t>
        </is>
      </c>
      <c r="H557" s="24" t="inlineStr">
        <is>
          <t>SCE</t>
        </is>
      </c>
      <c r="I557" s="24" t="inlineStr">
        <is>
          <t>자본변동표</t>
        </is>
      </c>
      <c r="J557" s="24" t="inlineStr">
        <is>
          <t>ifrs-full_Equity</t>
        </is>
      </c>
      <c r="K557" s="24" t="inlineStr">
        <is>
          <t>자본총계</t>
        </is>
      </c>
      <c r="L557" s="24" t="inlineStr">
        <is>
          <t>자본 [구성요소]|지배기업의 소유주에게 귀속되는 지분 [구성요소]|기타자본구성요소 [구성요소]</t>
        </is>
      </c>
      <c r="M557" s="24" t="inlineStr">
        <is>
          <t>제 19 기</t>
        </is>
      </c>
      <c r="N557" s="24" t="inlineStr">
        <is>
          <t>-435013087.0</t>
        </is>
      </c>
      <c r="O557" s="24" t="inlineStr">
        <is>
          <t>-4237979213.0</t>
        </is>
      </c>
      <c r="P557" s="24" t="inlineStr">
        <is>
          <t>KRW</t>
        </is>
      </c>
      <c r="Q557" s="24" t="inlineStr">
        <is>
          <t>9</t>
        </is>
      </c>
    </row>
    <row r="558" ht="24" customHeight="1">
      <c r="A558" s="29" t="inlineStr">
        <is>
          <t>OpenDART_fnlttSinglAcntAll</t>
        </is>
      </c>
      <c r="B558" s="29" t="inlineStr">
        <is>
          <t>01021666</t>
        </is>
      </c>
      <c r="C558" s="29" t="inlineStr">
        <is>
          <t>덕산테코피아</t>
        </is>
      </c>
      <c r="D558" s="29" t="inlineStr">
        <is>
          <t>duksan</t>
        </is>
      </c>
      <c r="E558" s="29" t="inlineStr">
        <is>
          <t>317330</t>
        </is>
      </c>
      <c r="F558" s="29" t="inlineStr">
        <is>
          <t>2024</t>
        </is>
      </c>
      <c r="G558" s="29" t="inlineStr">
        <is>
          <t>CFS</t>
        </is>
      </c>
      <c r="H558" s="29" t="inlineStr">
        <is>
          <t>SCE</t>
        </is>
      </c>
      <c r="I558" s="29" t="inlineStr">
        <is>
          <t>자본변동표</t>
        </is>
      </c>
      <c r="J558" s="29" t="inlineStr">
        <is>
          <t>ifrs-full_Equity</t>
        </is>
      </c>
      <c r="K558" s="29" t="inlineStr">
        <is>
          <t>자본총계</t>
        </is>
      </c>
      <c r="L558" s="29" t="inlineStr">
        <is>
          <t>자본 [구성요소]|지배기업의 소유주에게 귀속되는 지분 [구성요소]|이익잉여금 [구성요소]</t>
        </is>
      </c>
      <c r="M558" s="29" t="inlineStr">
        <is>
          <t>제 19 기</t>
        </is>
      </c>
      <c r="N558" s="29" t="inlineStr">
        <is>
          <t>46286798970.0</t>
        </is>
      </c>
      <c r="O558" s="29" t="inlineStr">
        <is>
          <t>99750054959.0</t>
        </is>
      </c>
      <c r="P558" s="29" t="inlineStr">
        <is>
          <t>KRW</t>
        </is>
      </c>
      <c r="Q558" s="29" t="inlineStr">
        <is>
          <t>9</t>
        </is>
      </c>
    </row>
    <row r="559" ht="24" customHeight="1">
      <c r="A559" s="24" t="inlineStr">
        <is>
          <t>OpenDART_fnlttSinglAcntAll</t>
        </is>
      </c>
      <c r="B559" s="24" t="inlineStr">
        <is>
          <t>01021666</t>
        </is>
      </c>
      <c r="C559" s="24" t="inlineStr">
        <is>
          <t>덕산테코피아</t>
        </is>
      </c>
      <c r="D559" s="24" t="inlineStr">
        <is>
          <t>duksan</t>
        </is>
      </c>
      <c r="E559" s="24" t="inlineStr">
        <is>
          <t>317330</t>
        </is>
      </c>
      <c r="F559" s="24" t="inlineStr">
        <is>
          <t>2024</t>
        </is>
      </c>
      <c r="G559" s="24" t="inlineStr">
        <is>
          <t>CFS</t>
        </is>
      </c>
      <c r="H559" s="24" t="inlineStr">
        <is>
          <t>SCE</t>
        </is>
      </c>
      <c r="I559" s="24" t="inlineStr">
        <is>
          <t>자본변동표</t>
        </is>
      </c>
      <c r="J559" s="24" t="inlineStr">
        <is>
          <t>ifrs-full_Equity</t>
        </is>
      </c>
      <c r="K559" s="24" t="inlineStr">
        <is>
          <t>자본총계</t>
        </is>
      </c>
      <c r="L559" s="24" t="inlineStr">
        <is>
          <t>자본 [구성요소]|지배기업의 소유주에게 귀속되는 지분 [구성요소]|자본금 [구성요소]</t>
        </is>
      </c>
      <c r="M559" s="24" t="inlineStr">
        <is>
          <t>제 19 기</t>
        </is>
      </c>
      <c r="N559" s="24" t="inlineStr">
        <is>
          <t>10238292000.0</t>
        </is>
      </c>
      <c r="O559" s="24" t="inlineStr">
        <is>
          <t>9188714000.0</t>
        </is>
      </c>
      <c r="P559" s="24" t="inlineStr">
        <is>
          <t>KRW</t>
        </is>
      </c>
      <c r="Q559" s="24" t="inlineStr">
        <is>
          <t>9</t>
        </is>
      </c>
    </row>
    <row r="560" ht="24" customHeight="1">
      <c r="A560" s="29" t="inlineStr">
        <is>
          <t>OpenDART_fnlttSinglAcntAll</t>
        </is>
      </c>
      <c r="B560" s="29" t="inlineStr">
        <is>
          <t>01021666</t>
        </is>
      </c>
      <c r="C560" s="29" t="inlineStr">
        <is>
          <t>덕산테코피아</t>
        </is>
      </c>
      <c r="D560" s="29" t="inlineStr">
        <is>
          <t>duksan</t>
        </is>
      </c>
      <c r="E560" s="29" t="inlineStr">
        <is>
          <t>317330</t>
        </is>
      </c>
      <c r="F560" s="29" t="inlineStr">
        <is>
          <t>2024</t>
        </is>
      </c>
      <c r="G560" s="29" t="inlineStr">
        <is>
          <t>CFS</t>
        </is>
      </c>
      <c r="H560" s="29" t="inlineStr">
        <is>
          <t>SCE</t>
        </is>
      </c>
      <c r="I560" s="29" t="inlineStr">
        <is>
          <t>자본변동표</t>
        </is>
      </c>
      <c r="J560" s="29" t="inlineStr">
        <is>
          <t>ifrs-full_Equity</t>
        </is>
      </c>
      <c r="K560" s="29" t="inlineStr">
        <is>
          <t>자본총계</t>
        </is>
      </c>
      <c r="L560" s="29" t="inlineStr">
        <is>
          <t>자본 [구성요소]|지배기업의 소유주에게 귀속되는 지분 [구성요소]|자본잉여금 [구성요소]</t>
        </is>
      </c>
      <c r="M560" s="29" t="inlineStr">
        <is>
          <t>제 19 기</t>
        </is>
      </c>
      <c r="N560" s="29" t="inlineStr">
        <is>
          <t>142153611695.0</t>
        </is>
      </c>
      <c r="O560" s="29" t="inlineStr">
        <is>
          <t>72282995783.0</t>
        </is>
      </c>
      <c r="P560" s="29" t="inlineStr">
        <is>
          <t>KRW</t>
        </is>
      </c>
      <c r="Q560" s="29" t="inlineStr">
        <is>
          <t>9</t>
        </is>
      </c>
    </row>
    <row r="561" ht="24" customHeight="1">
      <c r="A561" s="24" t="inlineStr">
        <is>
          <t>OpenDART_fnlttSinglAcntAll</t>
        </is>
      </c>
      <c r="B561" s="24" t="inlineStr">
        <is>
          <t>01021666</t>
        </is>
      </c>
      <c r="C561" s="24" t="inlineStr">
        <is>
          <t>덕산테코피아</t>
        </is>
      </c>
      <c r="D561" s="24" t="inlineStr">
        <is>
          <t>duksan</t>
        </is>
      </c>
      <c r="E561" s="24" t="inlineStr">
        <is>
          <t>317330</t>
        </is>
      </c>
      <c r="F561" s="24" t="inlineStr">
        <is>
          <t>2024</t>
        </is>
      </c>
      <c r="G561" s="24" t="inlineStr">
        <is>
          <t>CFS</t>
        </is>
      </c>
      <c r="H561" s="24" t="inlineStr">
        <is>
          <t>SCE</t>
        </is>
      </c>
      <c r="I561" s="24" t="inlineStr">
        <is>
          <t>자본변동표</t>
        </is>
      </c>
      <c r="J561" s="24" t="inlineStr">
        <is>
          <t>ifrs-full_OtherComprehensiveIncome</t>
        </is>
      </c>
      <c r="K561" s="24" t="inlineStr">
        <is>
          <t>기타포괄손익</t>
        </is>
      </c>
      <c r="L561" s="24" t="inlineStr">
        <is>
          <t>연결재무제표 [member]</t>
        </is>
      </c>
      <c r="M561" s="24" t="inlineStr">
        <is>
          <t>제 19 기</t>
        </is>
      </c>
      <c r="N561" s="24" t="inlineStr">
        <is>
          <t>-2224516726.0</t>
        </is>
      </c>
      <c r="O561" s="24" t="inlineStr">
        <is>
          <t>-1166681519.0</t>
        </is>
      </c>
      <c r="P561" s="24" t="inlineStr">
        <is>
          <t>KRW</t>
        </is>
      </c>
      <c r="Q561" s="24" t="inlineStr">
        <is>
          <t>10</t>
        </is>
      </c>
    </row>
    <row r="562" ht="24" customHeight="1">
      <c r="A562" s="29" t="inlineStr">
        <is>
          <t>OpenDART_fnlttSinglAcntAll</t>
        </is>
      </c>
      <c r="B562" s="29" t="inlineStr">
        <is>
          <t>01021666</t>
        </is>
      </c>
      <c r="C562" s="29" t="inlineStr">
        <is>
          <t>덕산테코피아</t>
        </is>
      </c>
      <c r="D562" s="29" t="inlineStr">
        <is>
          <t>duksan</t>
        </is>
      </c>
      <c r="E562" s="29" t="inlineStr">
        <is>
          <t>317330</t>
        </is>
      </c>
      <c r="F562" s="29" t="inlineStr">
        <is>
          <t>2024</t>
        </is>
      </c>
      <c r="G562" s="29" t="inlineStr">
        <is>
          <t>CFS</t>
        </is>
      </c>
      <c r="H562" s="29" t="inlineStr">
        <is>
          <t>SCE</t>
        </is>
      </c>
      <c r="I562" s="29" t="inlineStr">
        <is>
          <t>자본변동표</t>
        </is>
      </c>
      <c r="J562" s="29" t="inlineStr">
        <is>
          <t>ifrs-full_OtherComprehensiveIncome</t>
        </is>
      </c>
      <c r="K562" s="29" t="inlineStr">
        <is>
          <t>기타포괄손익</t>
        </is>
      </c>
      <c r="L562" s="29" t="inlineStr">
        <is>
          <t>자본 [구성요소]|지배기업의 소유주에게 귀속되는 지분 [구성요소]|이익잉여금 [구성요소]</t>
        </is>
      </c>
      <c r="M562" s="29" t="inlineStr">
        <is>
          <t>제 19 기</t>
        </is>
      </c>
      <c r="N562" s="29" t="inlineStr">
        <is>
          <t>-369009958.0</t>
        </is>
      </c>
      <c r="O562" s="29" t="inlineStr">
        <is>
          <t>-218643270.0</t>
        </is>
      </c>
      <c r="P562" s="29" t="inlineStr">
        <is>
          <t>KRW</t>
        </is>
      </c>
      <c r="Q562" s="29" t="inlineStr">
        <is>
          <t>10</t>
        </is>
      </c>
    </row>
    <row r="563" ht="24" customHeight="1">
      <c r="A563" s="24" t="inlineStr">
        <is>
          <t>OpenDART_fnlttSinglAcntAll</t>
        </is>
      </c>
      <c r="B563" s="24" t="inlineStr">
        <is>
          <t>01021666</t>
        </is>
      </c>
      <c r="C563" s="24" t="inlineStr">
        <is>
          <t>덕산테코피아</t>
        </is>
      </c>
      <c r="D563" s="24" t="inlineStr">
        <is>
          <t>duksan</t>
        </is>
      </c>
      <c r="E563" s="24" t="inlineStr">
        <is>
          <t>317330</t>
        </is>
      </c>
      <c r="F563" s="24" t="inlineStr">
        <is>
          <t>2024</t>
        </is>
      </c>
      <c r="G563" s="24" t="inlineStr">
        <is>
          <t>CFS</t>
        </is>
      </c>
      <c r="H563" s="24" t="inlineStr">
        <is>
          <t>SCE</t>
        </is>
      </c>
      <c r="I563" s="24" t="inlineStr">
        <is>
          <t>자본변동표</t>
        </is>
      </c>
      <c r="J563" s="24" t="inlineStr">
        <is>
          <t>ifrs-full_OtherComprehensiveIncome</t>
        </is>
      </c>
      <c r="K563" s="24" t="inlineStr">
        <is>
          <t>기타포괄손익</t>
        </is>
      </c>
      <c r="L563" s="24" t="inlineStr">
        <is>
          <t>자본 [구성요소]|지배기업의 소유주에게 귀속되는 지분 [구성요소]|기타자본구성요소 [구성요소]</t>
        </is>
      </c>
      <c r="M563" s="24" t="inlineStr">
        <is>
          <t>제 19 기</t>
        </is>
      </c>
      <c r="N563" s="24" t="inlineStr">
        <is>
          <t>-1287262409.0</t>
        </is>
      </c>
      <c r="O563" s="24" t="inlineStr">
        <is>
          <t>-502236976.0</t>
        </is>
      </c>
      <c r="P563" s="24" t="inlineStr">
        <is>
          <t>KRW</t>
        </is>
      </c>
      <c r="Q563" s="24" t="inlineStr">
        <is>
          <t>10</t>
        </is>
      </c>
    </row>
    <row r="564" ht="24" customHeight="1">
      <c r="A564" s="29" t="inlineStr">
        <is>
          <t>OpenDART_fnlttSinglAcntAll</t>
        </is>
      </c>
      <c r="B564" s="29" t="inlineStr">
        <is>
          <t>01021666</t>
        </is>
      </c>
      <c r="C564" s="29" t="inlineStr">
        <is>
          <t>덕산테코피아</t>
        </is>
      </c>
      <c r="D564" s="29" t="inlineStr">
        <is>
          <t>duksan</t>
        </is>
      </c>
      <c r="E564" s="29" t="inlineStr">
        <is>
          <t>317330</t>
        </is>
      </c>
      <c r="F564" s="29" t="inlineStr">
        <is>
          <t>2024</t>
        </is>
      </c>
      <c r="G564" s="29" t="inlineStr">
        <is>
          <t>CFS</t>
        </is>
      </c>
      <c r="H564" s="29" t="inlineStr">
        <is>
          <t>SCE</t>
        </is>
      </c>
      <c r="I564" s="29" t="inlineStr">
        <is>
          <t>자본변동표</t>
        </is>
      </c>
      <c r="J564" s="29" t="inlineStr">
        <is>
          <t>ifrs-full_OtherComprehensiveIncome</t>
        </is>
      </c>
      <c r="K564" s="29" t="inlineStr">
        <is>
          <t>기타포괄손익</t>
        </is>
      </c>
      <c r="L564" s="29" t="inlineStr">
        <is>
          <t>자본 [구성요소]|지배기업의 소유주에게 귀속되는 지분 [구성요소]</t>
        </is>
      </c>
      <c r="M564" s="29" t="inlineStr">
        <is>
          <t>제 19 기</t>
        </is>
      </c>
      <c r="N564" s="29" t="inlineStr">
        <is>
          <t>-1656272367.0</t>
        </is>
      </c>
      <c r="O564" s="29" t="inlineStr">
        <is>
          <t>-720880246.0</t>
        </is>
      </c>
      <c r="P564" s="29" t="inlineStr">
        <is>
          <t>KRW</t>
        </is>
      </c>
      <c r="Q564" s="29" t="inlineStr">
        <is>
          <t>10</t>
        </is>
      </c>
    </row>
    <row r="565" ht="24" customHeight="1">
      <c r="A565" s="24" t="inlineStr">
        <is>
          <t>OpenDART_fnlttSinglAcntAll</t>
        </is>
      </c>
      <c r="B565" s="24" t="inlineStr">
        <is>
          <t>01021666</t>
        </is>
      </c>
      <c r="C565" s="24" t="inlineStr">
        <is>
          <t>덕산테코피아</t>
        </is>
      </c>
      <c r="D565" s="24" t="inlineStr">
        <is>
          <t>duksan</t>
        </is>
      </c>
      <c r="E565" s="24" t="inlineStr">
        <is>
          <t>317330</t>
        </is>
      </c>
      <c r="F565" s="24" t="inlineStr">
        <is>
          <t>2024</t>
        </is>
      </c>
      <c r="G565" s="24" t="inlineStr">
        <is>
          <t>CFS</t>
        </is>
      </c>
      <c r="H565" s="24" t="inlineStr">
        <is>
          <t>SCE</t>
        </is>
      </c>
      <c r="I565" s="24" t="inlineStr">
        <is>
          <t>자본변동표</t>
        </is>
      </c>
      <c r="J565" s="24" t="inlineStr">
        <is>
          <t>ifrs-full_OtherComprehensiveIncome</t>
        </is>
      </c>
      <c r="K565" s="24" t="inlineStr">
        <is>
          <t>기타포괄손익</t>
        </is>
      </c>
      <c r="L565" s="24" t="inlineStr">
        <is>
          <t>자본 [구성요소]|비지배지분 [구성요소]</t>
        </is>
      </c>
      <c r="M565" s="24" t="inlineStr">
        <is>
          <t>제 19 기</t>
        </is>
      </c>
      <c r="N565" s="24" t="inlineStr">
        <is>
          <t>-568244359.0</t>
        </is>
      </c>
      <c r="O565" s="24" t="inlineStr">
        <is>
          <t>-445801273.0</t>
        </is>
      </c>
      <c r="P565" s="24" t="inlineStr">
        <is>
          <t>KRW</t>
        </is>
      </c>
      <c r="Q565" s="24" t="inlineStr">
        <is>
          <t>10</t>
        </is>
      </c>
    </row>
    <row r="566" ht="24" customHeight="1">
      <c r="A566" s="29" t="inlineStr">
        <is>
          <t>OpenDART_fnlttSinglAcntAll</t>
        </is>
      </c>
      <c r="B566" s="29" t="inlineStr">
        <is>
          <t>01021666</t>
        </is>
      </c>
      <c r="C566" s="29" t="inlineStr">
        <is>
          <t>덕산테코피아</t>
        </is>
      </c>
      <c r="D566" s="29" t="inlineStr">
        <is>
          <t>duksan</t>
        </is>
      </c>
      <c r="E566" s="29" t="inlineStr">
        <is>
          <t>317330</t>
        </is>
      </c>
      <c r="F566" s="29" t="inlineStr">
        <is>
          <t>2024</t>
        </is>
      </c>
      <c r="G566" s="29" t="inlineStr">
        <is>
          <t>CFS</t>
        </is>
      </c>
      <c r="H566" s="29" t="inlineStr">
        <is>
          <t>SCE</t>
        </is>
      </c>
      <c r="I566" s="29" t="inlineStr">
        <is>
          <t>자본변동표</t>
        </is>
      </c>
      <c r="J566" s="29" t="inlineStr">
        <is>
          <t>ifrs-full_GainsLossesOnExchangeDifferencesOnTranslationNetOfTax</t>
        </is>
      </c>
      <c r="K566" s="29" t="inlineStr">
        <is>
          <t>해외사업장환산손익</t>
        </is>
      </c>
      <c r="L566" s="29" t="inlineStr">
        <is>
          <t>자본 [구성요소]|지배기업의 소유주에게 귀속되는 지분 [구성요소]</t>
        </is>
      </c>
      <c r="M566" s="29" t="inlineStr">
        <is>
          <t>제 19 기</t>
        </is>
      </c>
      <c r="N566" s="29" t="inlineStr">
        <is>
          <t>-1287262409.0</t>
        </is>
      </c>
      <c r="O566" s="29" t="inlineStr">
        <is>
          <t>-502236976.0</t>
        </is>
      </c>
      <c r="P566" s="29" t="inlineStr">
        <is>
          <t>KRW</t>
        </is>
      </c>
      <c r="Q566" s="29" t="inlineStr">
        <is>
          <t>11</t>
        </is>
      </c>
    </row>
    <row r="567" ht="24" customHeight="1">
      <c r="A567" s="24" t="inlineStr">
        <is>
          <t>OpenDART_fnlttSinglAcntAll</t>
        </is>
      </c>
      <c r="B567" s="24" t="inlineStr">
        <is>
          <t>01021666</t>
        </is>
      </c>
      <c r="C567" s="24" t="inlineStr">
        <is>
          <t>덕산테코피아</t>
        </is>
      </c>
      <c r="D567" s="24" t="inlineStr">
        <is>
          <t>duksan</t>
        </is>
      </c>
      <c r="E567" s="24" t="inlineStr">
        <is>
          <t>317330</t>
        </is>
      </c>
      <c r="F567" s="24" t="inlineStr">
        <is>
          <t>2024</t>
        </is>
      </c>
      <c r="G567" s="24" t="inlineStr">
        <is>
          <t>CFS</t>
        </is>
      </c>
      <c r="H567" s="24" t="inlineStr">
        <is>
          <t>SCE</t>
        </is>
      </c>
      <c r="I567" s="24" t="inlineStr">
        <is>
          <t>자본변동표</t>
        </is>
      </c>
      <c r="J567" s="24" t="inlineStr">
        <is>
          <t>ifrs-full_GainsLossesOnExchangeDifferencesOnTranslationNetOfTax</t>
        </is>
      </c>
      <c r="K567" s="24" t="inlineStr">
        <is>
          <t>해외사업장환산손익</t>
        </is>
      </c>
      <c r="L567" s="24" t="inlineStr">
        <is>
          <t>연결재무제표 [member]</t>
        </is>
      </c>
      <c r="M567" s="24" t="inlineStr">
        <is>
          <t>제 19 기</t>
        </is>
      </c>
      <c r="N567" s="24" t="inlineStr">
        <is>
          <t>-1854004565.0</t>
        </is>
      </c>
      <c r="O567" s="24" t="inlineStr">
        <is>
          <t>-948340054.0</t>
        </is>
      </c>
      <c r="P567" s="24" t="inlineStr">
        <is>
          <t>KRW</t>
        </is>
      </c>
      <c r="Q567" s="24" t="inlineStr">
        <is>
          <t>11</t>
        </is>
      </c>
    </row>
    <row r="568" ht="24" customHeight="1">
      <c r="A568" s="29" t="inlineStr">
        <is>
          <t>OpenDART_fnlttSinglAcntAll</t>
        </is>
      </c>
      <c r="B568" s="29" t="inlineStr">
        <is>
          <t>01021666</t>
        </is>
      </c>
      <c r="C568" s="29" t="inlineStr">
        <is>
          <t>덕산테코피아</t>
        </is>
      </c>
      <c r="D568" s="29" t="inlineStr">
        <is>
          <t>duksan</t>
        </is>
      </c>
      <c r="E568" s="29" t="inlineStr">
        <is>
          <t>317330</t>
        </is>
      </c>
      <c r="F568" s="29" t="inlineStr">
        <is>
          <t>2024</t>
        </is>
      </c>
      <c r="G568" s="29" t="inlineStr">
        <is>
          <t>CFS</t>
        </is>
      </c>
      <c r="H568" s="29" t="inlineStr">
        <is>
          <t>SCE</t>
        </is>
      </c>
      <c r="I568" s="29" t="inlineStr">
        <is>
          <t>자본변동표</t>
        </is>
      </c>
      <c r="J568" s="29" t="inlineStr">
        <is>
          <t>ifrs-full_GainsLossesOnExchangeDifferencesOnTranslationNetOfTax</t>
        </is>
      </c>
      <c r="K568" s="29" t="inlineStr">
        <is>
          <t>해외사업장환산손익</t>
        </is>
      </c>
      <c r="L568" s="29" t="inlineStr">
        <is>
          <t>자본 [구성요소]|비지배지분 [구성요소]</t>
        </is>
      </c>
      <c r="M568" s="29" t="inlineStr">
        <is>
          <t>제 19 기</t>
        </is>
      </c>
      <c r="N568" s="29" t="inlineStr">
        <is>
          <t>-566742156.0</t>
        </is>
      </c>
      <c r="O568" s="29" t="inlineStr">
        <is>
          <t>-446103078.0</t>
        </is>
      </c>
      <c r="P568" s="29" t="inlineStr">
        <is>
          <t>KRW</t>
        </is>
      </c>
      <c r="Q568" s="29" t="inlineStr">
        <is>
          <t>11</t>
        </is>
      </c>
    </row>
    <row r="569" ht="24" customHeight="1">
      <c r="A569" s="24" t="inlineStr">
        <is>
          <t>OpenDART_fnlttSinglAcntAll</t>
        </is>
      </c>
      <c r="B569" s="24" t="inlineStr">
        <is>
          <t>01021666</t>
        </is>
      </c>
      <c r="C569" s="24" t="inlineStr">
        <is>
          <t>덕산테코피아</t>
        </is>
      </c>
      <c r="D569" s="24" t="inlineStr">
        <is>
          <t>duksan</t>
        </is>
      </c>
      <c r="E569" s="24" t="inlineStr">
        <is>
          <t>317330</t>
        </is>
      </c>
      <c r="F569" s="24" t="inlineStr">
        <is>
          <t>2024</t>
        </is>
      </c>
      <c r="G569" s="24" t="inlineStr">
        <is>
          <t>CFS</t>
        </is>
      </c>
      <c r="H569" s="24" t="inlineStr">
        <is>
          <t>SCE</t>
        </is>
      </c>
      <c r="I569" s="24" t="inlineStr">
        <is>
          <t>자본변동표</t>
        </is>
      </c>
      <c r="J569" s="24" t="inlineStr">
        <is>
          <t>ifrs-full_GainsLossesOnExchangeDifferencesOnTranslationNetOfTax</t>
        </is>
      </c>
      <c r="K569" s="24" t="inlineStr">
        <is>
          <t>해외사업장환산손익</t>
        </is>
      </c>
      <c r="L569" s="24" t="inlineStr">
        <is>
          <t>자본 [구성요소]|지배기업의 소유주에게 귀속되는 지분 [구성요소]|기타자본구성요소 [구성요소]</t>
        </is>
      </c>
      <c r="M569" s="24" t="inlineStr">
        <is>
          <t>제 19 기</t>
        </is>
      </c>
      <c r="N569" s="24" t="inlineStr">
        <is>
          <t>-1287262409.0</t>
        </is>
      </c>
      <c r="O569" s="24" t="inlineStr">
        <is>
          <t>-502236976.0</t>
        </is>
      </c>
      <c r="P569" s="24" t="inlineStr">
        <is>
          <t>KRW</t>
        </is>
      </c>
      <c r="Q569" s="24" t="inlineStr">
        <is>
          <t>11</t>
        </is>
      </c>
    </row>
    <row r="570" ht="24" customHeight="1">
      <c r="A570" s="29" t="inlineStr">
        <is>
          <t>OpenDART_fnlttSinglAcntAll</t>
        </is>
      </c>
      <c r="B570" s="29" t="inlineStr">
        <is>
          <t>01021666</t>
        </is>
      </c>
      <c r="C570" s="29" t="inlineStr">
        <is>
          <t>덕산테코피아</t>
        </is>
      </c>
      <c r="D570" s="29" t="inlineStr">
        <is>
          <t>duksan</t>
        </is>
      </c>
      <c r="E570" s="29" t="inlineStr">
        <is>
          <t>317330</t>
        </is>
      </c>
      <c r="F570" s="29" t="inlineStr">
        <is>
          <t>2024</t>
        </is>
      </c>
      <c r="G570" s="29" t="inlineStr">
        <is>
          <t>CFS</t>
        </is>
      </c>
      <c r="H570" s="29" t="inlineStr">
        <is>
          <t>SCE</t>
        </is>
      </c>
      <c r="I570" s="29" t="inlineStr">
        <is>
          <t>자본변동표</t>
        </is>
      </c>
      <c r="J570" s="29" t="inlineStr">
        <is>
          <t>ifrs-full_OtherComprehensiveIncomeNetOfTaxGainsLossesOnRemeasurementsOfDefinedBenefitPlans</t>
        </is>
      </c>
      <c r="K570" s="29" t="inlineStr">
        <is>
          <t>확정급여제도의 재측정손익(세후기타포괄손익)</t>
        </is>
      </c>
      <c r="L570" s="29" t="inlineStr">
        <is>
          <t>자본 [구성요소]|지배기업의 소유주에게 귀속되는 지분 [구성요소]</t>
        </is>
      </c>
      <c r="M570" s="29" t="inlineStr">
        <is>
          <t>제 19 기</t>
        </is>
      </c>
      <c r="N570" s="29" t="inlineStr">
        <is>
          <t>-369009958.0</t>
        </is>
      </c>
      <c r="O570" s="29" t="inlineStr">
        <is>
          <t>-218643270.0</t>
        </is>
      </c>
      <c r="P570" s="29" t="inlineStr">
        <is>
          <t>KRW</t>
        </is>
      </c>
      <c r="Q570" s="29" t="inlineStr">
        <is>
          <t>12</t>
        </is>
      </c>
    </row>
    <row r="571" ht="24" customHeight="1">
      <c r="A571" s="24" t="inlineStr">
        <is>
          <t>OpenDART_fnlttSinglAcntAll</t>
        </is>
      </c>
      <c r="B571" s="24" t="inlineStr">
        <is>
          <t>01021666</t>
        </is>
      </c>
      <c r="C571" s="24" t="inlineStr">
        <is>
          <t>덕산테코피아</t>
        </is>
      </c>
      <c r="D571" s="24" t="inlineStr">
        <is>
          <t>duksan</t>
        </is>
      </c>
      <c r="E571" s="24" t="inlineStr">
        <is>
          <t>317330</t>
        </is>
      </c>
      <c r="F571" s="24" t="inlineStr">
        <is>
          <t>2024</t>
        </is>
      </c>
      <c r="G571" s="24" t="inlineStr">
        <is>
          <t>CFS</t>
        </is>
      </c>
      <c r="H571" s="24" t="inlineStr">
        <is>
          <t>SCE</t>
        </is>
      </c>
      <c r="I571" s="24" t="inlineStr">
        <is>
          <t>자본변동표</t>
        </is>
      </c>
      <c r="J571" s="24" t="inlineStr">
        <is>
          <t>ifrs-full_OtherComprehensiveIncomeNetOfTaxGainsLossesOnRemeasurementsOfDefinedBenefitPlans</t>
        </is>
      </c>
      <c r="K571" s="24" t="inlineStr">
        <is>
          <t>확정급여제도의 재측정손익(세후기타포괄손익)</t>
        </is>
      </c>
      <c r="L571" s="24" t="inlineStr">
        <is>
          <t>연결재무제표 [member]</t>
        </is>
      </c>
      <c r="M571" s="24" t="inlineStr">
        <is>
          <t>제 19 기</t>
        </is>
      </c>
      <c r="N571" s="24" t="inlineStr">
        <is>
          <t>-370512161.0</t>
        </is>
      </c>
      <c r="O571" s="24" t="inlineStr">
        <is>
          <t>-218341465.0</t>
        </is>
      </c>
      <c r="P571" s="24" t="inlineStr">
        <is>
          <t>KRW</t>
        </is>
      </c>
      <c r="Q571" s="24" t="inlineStr">
        <is>
          <t>12</t>
        </is>
      </c>
    </row>
    <row r="572" ht="24" customHeight="1">
      <c r="A572" s="29" t="inlineStr">
        <is>
          <t>OpenDART_fnlttSinglAcntAll</t>
        </is>
      </c>
      <c r="B572" s="29" t="inlineStr">
        <is>
          <t>01021666</t>
        </is>
      </c>
      <c r="C572" s="29" t="inlineStr">
        <is>
          <t>덕산테코피아</t>
        </is>
      </c>
      <c r="D572" s="29" t="inlineStr">
        <is>
          <t>duksan</t>
        </is>
      </c>
      <c r="E572" s="29" t="inlineStr">
        <is>
          <t>317330</t>
        </is>
      </c>
      <c r="F572" s="29" t="inlineStr">
        <is>
          <t>2024</t>
        </is>
      </c>
      <c r="G572" s="29" t="inlineStr">
        <is>
          <t>CFS</t>
        </is>
      </c>
      <c r="H572" s="29" t="inlineStr">
        <is>
          <t>SCE</t>
        </is>
      </c>
      <c r="I572" s="29" t="inlineStr">
        <is>
          <t>자본변동표</t>
        </is>
      </c>
      <c r="J572" s="29" t="inlineStr">
        <is>
          <t>ifrs-full_OtherComprehensiveIncomeNetOfTaxGainsLossesOnRemeasurementsOfDefinedBenefitPlans</t>
        </is>
      </c>
      <c r="K572" s="29" t="inlineStr">
        <is>
          <t>확정급여제도의 재측정손익(세후기타포괄손익)</t>
        </is>
      </c>
      <c r="L572" s="29" t="inlineStr">
        <is>
          <t>자본 [구성요소]|지배기업의 소유주에게 귀속되는 지분 [구성요소]|이익잉여금 [구성요소]</t>
        </is>
      </c>
      <c r="M572" s="29" t="inlineStr">
        <is>
          <t>제 19 기</t>
        </is>
      </c>
      <c r="N572" s="29" t="inlineStr">
        <is>
          <t>-369009958.0</t>
        </is>
      </c>
      <c r="O572" s="29" t="inlineStr">
        <is>
          <t>-218643270.0</t>
        </is>
      </c>
      <c r="P572" s="29" t="inlineStr">
        <is>
          <t>KRW</t>
        </is>
      </c>
      <c r="Q572" s="29" t="inlineStr">
        <is>
          <t>12</t>
        </is>
      </c>
    </row>
    <row r="573" ht="24" customHeight="1">
      <c r="A573" s="24" t="inlineStr">
        <is>
          <t>OpenDART_fnlttSinglAcntAll</t>
        </is>
      </c>
      <c r="B573" s="24" t="inlineStr">
        <is>
          <t>01021666</t>
        </is>
      </c>
      <c r="C573" s="24" t="inlineStr">
        <is>
          <t>덕산테코피아</t>
        </is>
      </c>
      <c r="D573" s="24" t="inlineStr">
        <is>
          <t>duksan</t>
        </is>
      </c>
      <c r="E573" s="24" t="inlineStr">
        <is>
          <t>317330</t>
        </is>
      </c>
      <c r="F573" s="24" t="inlineStr">
        <is>
          <t>2024</t>
        </is>
      </c>
      <c r="G573" s="24" t="inlineStr">
        <is>
          <t>CFS</t>
        </is>
      </c>
      <c r="H573" s="24" t="inlineStr">
        <is>
          <t>SCE</t>
        </is>
      </c>
      <c r="I573" s="24" t="inlineStr">
        <is>
          <t>자본변동표</t>
        </is>
      </c>
      <c r="J573" s="24" t="inlineStr">
        <is>
          <t>ifrs-full_OtherComprehensiveIncomeNetOfTaxGainsLossesOnRemeasurementsOfDefinedBenefitPlans</t>
        </is>
      </c>
      <c r="K573" s="24" t="inlineStr">
        <is>
          <t>확정급여제도의 재측정손익(세후기타포괄손익)</t>
        </is>
      </c>
      <c r="L573" s="24" t="inlineStr">
        <is>
          <t>자본 [구성요소]|비지배지분 [구성요소]</t>
        </is>
      </c>
      <c r="M573" s="24" t="inlineStr">
        <is>
          <t>제 19 기</t>
        </is>
      </c>
      <c r="N573" s="24" t="inlineStr">
        <is>
          <t>-1502203.0</t>
        </is>
      </c>
      <c r="O573" s="24" t="inlineStr">
        <is>
          <t>301805.0</t>
        </is>
      </c>
      <c r="P573" s="24" t="inlineStr">
        <is>
          <t>KRW</t>
        </is>
      </c>
      <c r="Q573" s="24" t="inlineStr">
        <is>
          <t>12</t>
        </is>
      </c>
    </row>
    <row r="574" ht="24" customHeight="1">
      <c r="A574" s="29" t="inlineStr">
        <is>
          <t>OpenDART_fnlttSinglAcntAll</t>
        </is>
      </c>
      <c r="B574" s="29" t="inlineStr">
        <is>
          <t>01021666</t>
        </is>
      </c>
      <c r="C574" s="29" t="inlineStr">
        <is>
          <t>덕산테코피아</t>
        </is>
      </c>
      <c r="D574" s="29" t="inlineStr">
        <is>
          <t>duksan</t>
        </is>
      </c>
      <c r="E574" s="29" t="inlineStr">
        <is>
          <t>317330</t>
        </is>
      </c>
      <c r="F574" s="29" t="inlineStr">
        <is>
          <t>2024</t>
        </is>
      </c>
      <c r="G574" s="29" t="inlineStr">
        <is>
          <t>CFS</t>
        </is>
      </c>
      <c r="H574" s="29" t="inlineStr">
        <is>
          <t>SCE</t>
        </is>
      </c>
      <c r="I574" s="29" t="inlineStr">
        <is>
          <t>자본변동표</t>
        </is>
      </c>
      <c r="J574" s="29" t="inlineStr">
        <is>
          <t>ifrs-full_ProfitLoss</t>
        </is>
      </c>
      <c r="K574" s="29" t="inlineStr">
        <is>
          <t>당기순이익(손실)</t>
        </is>
      </c>
      <c r="L574" s="29" t="inlineStr">
        <is>
          <t>자본 [구성요소]|지배기업의 소유주에게 귀속되는 지분 [구성요소]</t>
        </is>
      </c>
      <c r="M574" s="29" t="inlineStr">
        <is>
          <t>제 19 기</t>
        </is>
      </c>
      <c r="N574" s="29" t="inlineStr">
        <is>
          <t>-53094246031.0</t>
        </is>
      </c>
      <c r="O574" s="29" t="inlineStr">
        <is>
          <t>-7398858439.0</t>
        </is>
      </c>
      <c r="P574" s="29" t="inlineStr">
        <is>
          <t>KRW</t>
        </is>
      </c>
      <c r="Q574" s="29" t="inlineStr">
        <is>
          <t>13</t>
        </is>
      </c>
    </row>
    <row r="575" ht="24" customHeight="1">
      <c r="A575" s="24" t="inlineStr">
        <is>
          <t>OpenDART_fnlttSinglAcntAll</t>
        </is>
      </c>
      <c r="B575" s="24" t="inlineStr">
        <is>
          <t>01021666</t>
        </is>
      </c>
      <c r="C575" s="24" t="inlineStr">
        <is>
          <t>덕산테코피아</t>
        </is>
      </c>
      <c r="D575" s="24" t="inlineStr">
        <is>
          <t>duksan</t>
        </is>
      </c>
      <c r="E575" s="24" t="inlineStr">
        <is>
          <t>317330</t>
        </is>
      </c>
      <c r="F575" s="24" t="inlineStr">
        <is>
          <t>2024</t>
        </is>
      </c>
      <c r="G575" s="24" t="inlineStr">
        <is>
          <t>CFS</t>
        </is>
      </c>
      <c r="H575" s="24" t="inlineStr">
        <is>
          <t>SCE</t>
        </is>
      </c>
      <c r="I575" s="24" t="inlineStr">
        <is>
          <t>자본변동표</t>
        </is>
      </c>
      <c r="J575" s="24" t="inlineStr">
        <is>
          <t>ifrs-full_ProfitLoss</t>
        </is>
      </c>
      <c r="K575" s="24" t="inlineStr">
        <is>
          <t>당기순이익(손실)</t>
        </is>
      </c>
      <c r="L575" s="24" t="inlineStr">
        <is>
          <t>자본 [구성요소]|비지배지분 [구성요소]</t>
        </is>
      </c>
      <c r="M575" s="24" t="inlineStr">
        <is>
          <t>제 19 기</t>
        </is>
      </c>
      <c r="N575" s="24" t="inlineStr">
        <is>
          <t>-19484903087.0</t>
        </is>
      </c>
      <c r="O575" s="24" t="inlineStr">
        <is>
          <t>-11874811234.0</t>
        </is>
      </c>
      <c r="P575" s="24" t="inlineStr">
        <is>
          <t>KRW</t>
        </is>
      </c>
      <c r="Q575" s="24" t="inlineStr">
        <is>
          <t>13</t>
        </is>
      </c>
    </row>
    <row r="576" ht="24" customHeight="1">
      <c r="A576" s="29" t="inlineStr">
        <is>
          <t>OpenDART_fnlttSinglAcntAll</t>
        </is>
      </c>
      <c r="B576" s="29" t="inlineStr">
        <is>
          <t>01021666</t>
        </is>
      </c>
      <c r="C576" s="29" t="inlineStr">
        <is>
          <t>덕산테코피아</t>
        </is>
      </c>
      <c r="D576" s="29" t="inlineStr">
        <is>
          <t>duksan</t>
        </is>
      </c>
      <c r="E576" s="29" t="inlineStr">
        <is>
          <t>317330</t>
        </is>
      </c>
      <c r="F576" s="29" t="inlineStr">
        <is>
          <t>2024</t>
        </is>
      </c>
      <c r="G576" s="29" t="inlineStr">
        <is>
          <t>CFS</t>
        </is>
      </c>
      <c r="H576" s="29" t="inlineStr">
        <is>
          <t>SCE</t>
        </is>
      </c>
      <c r="I576" s="29" t="inlineStr">
        <is>
          <t>자본변동표</t>
        </is>
      </c>
      <c r="J576" s="29" t="inlineStr">
        <is>
          <t>ifrs-full_ProfitLoss</t>
        </is>
      </c>
      <c r="K576" s="29" t="inlineStr">
        <is>
          <t>당기순이익(손실)</t>
        </is>
      </c>
      <c r="L576" s="29" t="inlineStr">
        <is>
          <t>연결재무제표 [member]</t>
        </is>
      </c>
      <c r="M576" s="29" t="inlineStr">
        <is>
          <t>제 19 기</t>
        </is>
      </c>
      <c r="N576" s="29" t="inlineStr">
        <is>
          <t>-72579149118.0</t>
        </is>
      </c>
      <c r="O576" s="29" t="inlineStr">
        <is>
          <t>-19273669673.0</t>
        </is>
      </c>
      <c r="P576" s="29" t="inlineStr">
        <is>
          <t>KRW</t>
        </is>
      </c>
      <c r="Q576" s="29" t="inlineStr">
        <is>
          <t>13</t>
        </is>
      </c>
    </row>
    <row r="577" ht="24" customHeight="1">
      <c r="A577" s="24" t="inlineStr">
        <is>
          <t>OpenDART_fnlttSinglAcntAll</t>
        </is>
      </c>
      <c r="B577" s="24" t="inlineStr">
        <is>
          <t>01021666</t>
        </is>
      </c>
      <c r="C577" s="24" t="inlineStr">
        <is>
          <t>덕산테코피아</t>
        </is>
      </c>
      <c r="D577" s="24" t="inlineStr">
        <is>
          <t>duksan</t>
        </is>
      </c>
      <c r="E577" s="24" t="inlineStr">
        <is>
          <t>317330</t>
        </is>
      </c>
      <c r="F577" s="24" t="inlineStr">
        <is>
          <t>2024</t>
        </is>
      </c>
      <c r="G577" s="24" t="inlineStr">
        <is>
          <t>CFS</t>
        </is>
      </c>
      <c r="H577" s="24" t="inlineStr">
        <is>
          <t>SCE</t>
        </is>
      </c>
      <c r="I577" s="24" t="inlineStr">
        <is>
          <t>자본변동표</t>
        </is>
      </c>
      <c r="J577" s="24" t="inlineStr">
        <is>
          <t>ifrs-full_ProfitLoss</t>
        </is>
      </c>
      <c r="K577" s="24" t="inlineStr">
        <is>
          <t>당기순이익(손실)</t>
        </is>
      </c>
      <c r="L577" s="24" t="inlineStr">
        <is>
          <t>자본 [구성요소]|지배기업의 소유주에게 귀속되는 지분 [구성요소]|이익잉여금 [구성요소]</t>
        </is>
      </c>
      <c r="M577" s="24" t="inlineStr">
        <is>
          <t>제 19 기</t>
        </is>
      </c>
      <c r="N577" s="24" t="inlineStr">
        <is>
          <t>-53094246031.0</t>
        </is>
      </c>
      <c r="O577" s="24" t="inlineStr">
        <is>
          <t>-7398858439.0</t>
        </is>
      </c>
      <c r="P577" s="24" t="inlineStr">
        <is>
          <t>KRW</t>
        </is>
      </c>
      <c r="Q577" s="24" t="inlineStr">
        <is>
          <t>13</t>
        </is>
      </c>
    </row>
    <row r="578" ht="24" customHeight="1">
      <c r="A578" s="29" t="inlineStr">
        <is>
          <t>OpenDART_fnlttSinglAcntAll</t>
        </is>
      </c>
      <c r="B578" s="29" t="inlineStr">
        <is>
          <t>01021666</t>
        </is>
      </c>
      <c r="C578" s="29" t="inlineStr">
        <is>
          <t>덕산테코피아</t>
        </is>
      </c>
      <c r="D578" s="29" t="inlineStr">
        <is>
          <t>duksan</t>
        </is>
      </c>
      <c r="E578" s="29" t="inlineStr">
        <is>
          <t>317330</t>
        </is>
      </c>
      <c r="F578" s="29" t="inlineStr">
        <is>
          <t>2025</t>
        </is>
      </c>
      <c r="G578" s="29" t="inlineStr">
        <is>
          <t>CFS</t>
        </is>
      </c>
      <c r="H578" s="29" t="inlineStr">
        <is>
          <t>BS</t>
        </is>
      </c>
      <c r="I578" s="29" t="inlineStr">
        <is>
          <t>재무상태표</t>
        </is>
      </c>
      <c r="J578" s="29" t="inlineStr">
        <is>
          <t>ifrs-full_Assets</t>
        </is>
      </c>
      <c r="K578" s="29" t="inlineStr">
        <is>
          <t>자산총계</t>
        </is>
      </c>
      <c r="L578" s="29" t="inlineStr">
        <is>
          <t>-</t>
        </is>
      </c>
      <c r="M578" s="29" t="inlineStr">
        <is>
          <t>제 20 기</t>
        </is>
      </c>
      <c r="N578" s="29" t="inlineStr">
        <is>
          <t>646705781509.0</t>
        </is>
      </c>
      <c r="O578" s="29" t="inlineStr">
        <is>
          <t>662991271479.0</t>
        </is>
      </c>
      <c r="P578" s="29" t="inlineStr">
        <is>
          <t>KRW</t>
        </is>
      </c>
      <c r="Q578" s="29" t="inlineStr">
        <is>
          <t>7</t>
        </is>
      </c>
    </row>
    <row r="579" ht="24" customHeight="1">
      <c r="A579" s="24" t="inlineStr">
        <is>
          <t>OpenDART_fnlttSinglAcntAll</t>
        </is>
      </c>
      <c r="B579" s="24" t="inlineStr">
        <is>
          <t>01021666</t>
        </is>
      </c>
      <c r="C579" s="24" t="inlineStr">
        <is>
          <t>덕산테코피아</t>
        </is>
      </c>
      <c r="D579" s="24" t="inlineStr">
        <is>
          <t>duksan</t>
        </is>
      </c>
      <c r="E579" s="24" t="inlineStr">
        <is>
          <t>317330</t>
        </is>
      </c>
      <c r="F579" s="24" t="inlineStr">
        <is>
          <t>2025</t>
        </is>
      </c>
      <c r="G579" s="24" t="inlineStr">
        <is>
          <t>CFS</t>
        </is>
      </c>
      <c r="H579" s="24" t="inlineStr">
        <is>
          <t>BS</t>
        </is>
      </c>
      <c r="I579" s="24" t="inlineStr">
        <is>
          <t>재무상태표</t>
        </is>
      </c>
      <c r="J579" s="24" t="inlineStr">
        <is>
          <t>ifrs-full_CurrentAssets</t>
        </is>
      </c>
      <c r="K579" s="24" t="inlineStr">
        <is>
          <t>유동자산</t>
        </is>
      </c>
      <c r="L579" s="24" t="inlineStr">
        <is>
          <t>-</t>
        </is>
      </c>
      <c r="M579" s="24" t="inlineStr">
        <is>
          <t>제 20 기</t>
        </is>
      </c>
      <c r="N579" s="24" t="inlineStr">
        <is>
          <t>162664774319.0</t>
        </is>
      </c>
      <c r="O579" s="24" t="inlineStr">
        <is>
          <t>173538936995.0</t>
        </is>
      </c>
      <c r="P579" s="24" t="inlineStr">
        <is>
          <t>KRW</t>
        </is>
      </c>
      <c r="Q579" s="24" t="inlineStr">
        <is>
          <t>8</t>
        </is>
      </c>
    </row>
    <row r="580" ht="24" customHeight="1">
      <c r="A580" s="29" t="inlineStr">
        <is>
          <t>OpenDART_fnlttSinglAcntAll</t>
        </is>
      </c>
      <c r="B580" s="29" t="inlineStr">
        <is>
          <t>01021666</t>
        </is>
      </c>
      <c r="C580" s="29" t="inlineStr">
        <is>
          <t>덕산테코피아</t>
        </is>
      </c>
      <c r="D580" s="29" t="inlineStr">
        <is>
          <t>duksan</t>
        </is>
      </c>
      <c r="E580" s="29" t="inlineStr">
        <is>
          <t>317330</t>
        </is>
      </c>
      <c r="F580" s="29" t="inlineStr">
        <is>
          <t>2025</t>
        </is>
      </c>
      <c r="G580" s="29" t="inlineStr">
        <is>
          <t>CFS</t>
        </is>
      </c>
      <c r="H580" s="29" t="inlineStr">
        <is>
          <t>BS</t>
        </is>
      </c>
      <c r="I580" s="29" t="inlineStr">
        <is>
          <t>재무상태표</t>
        </is>
      </c>
      <c r="J580" s="29" t="inlineStr">
        <is>
          <t>dart_CurrentDerivativeAsset</t>
        </is>
      </c>
      <c r="K580" s="29" t="inlineStr">
        <is>
          <t>유동파생상품자산</t>
        </is>
      </c>
      <c r="L580" s="29" t="inlineStr">
        <is>
          <t>-</t>
        </is>
      </c>
      <c r="M580" s="29" t="inlineStr">
        <is>
          <t>제 20 기</t>
        </is>
      </c>
      <c r="N580" s="29" t="inlineStr">
        <is>
          <t>2165028161.0</t>
        </is>
      </c>
      <c r="O580" s="29" t="inlineStr">
        <is>
          <t>해당 없음</t>
        </is>
      </c>
      <c r="P580" s="29" t="inlineStr">
        <is>
          <t>KRW</t>
        </is>
      </c>
      <c r="Q580" s="29" t="inlineStr">
        <is>
          <t>9</t>
        </is>
      </c>
    </row>
    <row r="581" ht="24" customHeight="1">
      <c r="A581" s="24" t="inlineStr">
        <is>
          <t>OpenDART_fnlttSinglAcntAll</t>
        </is>
      </c>
      <c r="B581" s="24" t="inlineStr">
        <is>
          <t>01021666</t>
        </is>
      </c>
      <c r="C581" s="24" t="inlineStr">
        <is>
          <t>덕산테코피아</t>
        </is>
      </c>
      <c r="D581" s="24" t="inlineStr">
        <is>
          <t>duksan</t>
        </is>
      </c>
      <c r="E581" s="24" t="inlineStr">
        <is>
          <t>317330</t>
        </is>
      </c>
      <c r="F581" s="24" t="inlineStr">
        <is>
          <t>2025</t>
        </is>
      </c>
      <c r="G581" s="24" t="inlineStr">
        <is>
          <t>CFS</t>
        </is>
      </c>
      <c r="H581" s="24" t="inlineStr">
        <is>
          <t>BS</t>
        </is>
      </c>
      <c r="I581" s="24" t="inlineStr">
        <is>
          <t>재무상태표</t>
        </is>
      </c>
      <c r="J581" s="24" t="inlineStr">
        <is>
          <t>ifrs-full_CashAndCashEquivalents</t>
        </is>
      </c>
      <c r="K581" s="24" t="inlineStr">
        <is>
          <t>현금및현금성자산</t>
        </is>
      </c>
      <c r="L581" s="24" t="inlineStr">
        <is>
          <t>-</t>
        </is>
      </c>
      <c r="M581" s="24" t="inlineStr">
        <is>
          <t>제 20 기</t>
        </is>
      </c>
      <c r="N581" s="24" t="inlineStr">
        <is>
          <t>40032618067.0</t>
        </is>
      </c>
      <c r="O581" s="24" t="inlineStr">
        <is>
          <t>20247056068.0</t>
        </is>
      </c>
      <c r="P581" s="24" t="inlineStr">
        <is>
          <t>KRW</t>
        </is>
      </c>
      <c r="Q581" s="24" t="inlineStr">
        <is>
          <t>10</t>
        </is>
      </c>
    </row>
    <row r="582" ht="24" customHeight="1">
      <c r="A582" s="29" t="inlineStr">
        <is>
          <t>OpenDART_fnlttSinglAcntAll</t>
        </is>
      </c>
      <c r="B582" s="29" t="inlineStr">
        <is>
          <t>01021666</t>
        </is>
      </c>
      <c r="C582" s="29" t="inlineStr">
        <is>
          <t>덕산테코피아</t>
        </is>
      </c>
      <c r="D582" s="29" t="inlineStr">
        <is>
          <t>duksan</t>
        </is>
      </c>
      <c r="E582" s="29" t="inlineStr">
        <is>
          <t>317330</t>
        </is>
      </c>
      <c r="F582" s="29" t="inlineStr">
        <is>
          <t>2025</t>
        </is>
      </c>
      <c r="G582" s="29" t="inlineStr">
        <is>
          <t>CFS</t>
        </is>
      </c>
      <c r="H582" s="29" t="inlineStr">
        <is>
          <t>BS</t>
        </is>
      </c>
      <c r="I582" s="29" t="inlineStr">
        <is>
          <t>재무상태표</t>
        </is>
      </c>
      <c r="J582" s="29" t="inlineStr">
        <is>
          <t>ifrs-full_CurrentFinancialAssetsAtFairValueThroughProfitOrLoss</t>
        </is>
      </c>
      <c r="K582" s="29" t="inlineStr">
        <is>
          <t>유동 당기손익인식금융자산</t>
        </is>
      </c>
      <c r="L582" s="29" t="inlineStr">
        <is>
          <t>-</t>
        </is>
      </c>
      <c r="M582" s="29" t="inlineStr">
        <is>
          <t>제 20 기</t>
        </is>
      </c>
      <c r="N582" s="29" t="inlineStr">
        <is>
          <t>9730554663.0</t>
        </is>
      </c>
      <c r="O582" s="29" t="inlineStr">
        <is>
          <t>3047836461.0</t>
        </is>
      </c>
      <c r="P582" s="29" t="inlineStr">
        <is>
          <t>KRW</t>
        </is>
      </c>
      <c r="Q582" s="29" t="inlineStr">
        <is>
          <t>11</t>
        </is>
      </c>
    </row>
    <row r="583" ht="24" customHeight="1">
      <c r="A583" s="24" t="inlineStr">
        <is>
          <t>OpenDART_fnlttSinglAcntAll</t>
        </is>
      </c>
      <c r="B583" s="24" t="inlineStr">
        <is>
          <t>01021666</t>
        </is>
      </c>
      <c r="C583" s="24" t="inlineStr">
        <is>
          <t>덕산테코피아</t>
        </is>
      </c>
      <c r="D583" s="24" t="inlineStr">
        <is>
          <t>duksan</t>
        </is>
      </c>
      <c r="E583" s="24" t="inlineStr">
        <is>
          <t>317330</t>
        </is>
      </c>
      <c r="F583" s="24" t="inlineStr">
        <is>
          <t>2025</t>
        </is>
      </c>
      <c r="G583" s="24" t="inlineStr">
        <is>
          <t>CFS</t>
        </is>
      </c>
      <c r="H583" s="24" t="inlineStr">
        <is>
          <t>BS</t>
        </is>
      </c>
      <c r="I583" s="24" t="inlineStr">
        <is>
          <t>재무상태표</t>
        </is>
      </c>
      <c r="J583" s="24" t="inlineStr">
        <is>
          <t>ifrs-full_CurrentTaxAssets</t>
        </is>
      </c>
      <c r="K583" s="24" t="inlineStr">
        <is>
          <t>당기법인세자산</t>
        </is>
      </c>
      <c r="L583" s="24" t="inlineStr">
        <is>
          <t>-</t>
        </is>
      </c>
      <c r="M583" s="24" t="inlineStr">
        <is>
          <t>제 20 기</t>
        </is>
      </c>
      <c r="N583" s="24" t="inlineStr">
        <is>
          <t>613704539.0</t>
        </is>
      </c>
      <c r="O583" s="24" t="inlineStr">
        <is>
          <t>491225640.0</t>
        </is>
      </c>
      <c r="P583" s="24" t="inlineStr">
        <is>
          <t>KRW</t>
        </is>
      </c>
      <c r="Q583" s="24" t="inlineStr">
        <is>
          <t>12</t>
        </is>
      </c>
    </row>
    <row r="584" ht="24" customHeight="1">
      <c r="A584" s="29" t="inlineStr">
        <is>
          <t>OpenDART_fnlttSinglAcntAll</t>
        </is>
      </c>
      <c r="B584" s="29" t="inlineStr">
        <is>
          <t>01021666</t>
        </is>
      </c>
      <c r="C584" s="29" t="inlineStr">
        <is>
          <t>덕산테코피아</t>
        </is>
      </c>
      <c r="D584" s="29" t="inlineStr">
        <is>
          <t>duksan</t>
        </is>
      </c>
      <c r="E584" s="29" t="inlineStr">
        <is>
          <t>317330</t>
        </is>
      </c>
      <c r="F584" s="29" t="inlineStr">
        <is>
          <t>2025</t>
        </is>
      </c>
      <c r="G584" s="29" t="inlineStr">
        <is>
          <t>CFS</t>
        </is>
      </c>
      <c r="H584" s="29" t="inlineStr">
        <is>
          <t>BS</t>
        </is>
      </c>
      <c r="I584" s="29" t="inlineStr">
        <is>
          <t>재무상태표</t>
        </is>
      </c>
      <c r="J584" s="29" t="inlineStr">
        <is>
          <t>ifrs-full_Inventories</t>
        </is>
      </c>
      <c r="K584" s="29" t="inlineStr">
        <is>
          <t>유동재고자산</t>
        </is>
      </c>
      <c r="L584" s="29" t="inlineStr">
        <is>
          <t>-</t>
        </is>
      </c>
      <c r="M584" s="29" t="inlineStr">
        <is>
          <t>제 20 기</t>
        </is>
      </c>
      <c r="N584" s="29" t="inlineStr">
        <is>
          <t>32901969935.0</t>
        </is>
      </c>
      <c r="O584" s="29" t="inlineStr">
        <is>
          <t>28811775578.0</t>
        </is>
      </c>
      <c r="P584" s="29" t="inlineStr">
        <is>
          <t>KRW</t>
        </is>
      </c>
      <c r="Q584" s="29" t="inlineStr">
        <is>
          <t>13</t>
        </is>
      </c>
    </row>
    <row r="585" ht="24" customHeight="1">
      <c r="A585" s="24" t="inlineStr">
        <is>
          <t>OpenDART_fnlttSinglAcntAll</t>
        </is>
      </c>
      <c r="B585" s="24" t="inlineStr">
        <is>
          <t>01021666</t>
        </is>
      </c>
      <c r="C585" s="24" t="inlineStr">
        <is>
          <t>덕산테코피아</t>
        </is>
      </c>
      <c r="D585" s="24" t="inlineStr">
        <is>
          <t>duksan</t>
        </is>
      </c>
      <c r="E585" s="24" t="inlineStr">
        <is>
          <t>317330</t>
        </is>
      </c>
      <c r="F585" s="24" t="inlineStr">
        <is>
          <t>2025</t>
        </is>
      </c>
      <c r="G585" s="24" t="inlineStr">
        <is>
          <t>CFS</t>
        </is>
      </c>
      <c r="H585" s="24" t="inlineStr">
        <is>
          <t>BS</t>
        </is>
      </c>
      <c r="I585" s="24" t="inlineStr">
        <is>
          <t>재무상태표</t>
        </is>
      </c>
      <c r="J585" s="24" t="inlineStr">
        <is>
          <t>ifrs-full_OtherCurrentAssets</t>
        </is>
      </c>
      <c r="K585" s="24" t="inlineStr">
        <is>
          <t>기타유동자산</t>
        </is>
      </c>
      <c r="L585" s="24" t="inlineStr">
        <is>
          <t>-</t>
        </is>
      </c>
      <c r="M585" s="24" t="inlineStr">
        <is>
          <t>제 20 기</t>
        </is>
      </c>
      <c r="N585" s="24" t="inlineStr">
        <is>
          <t>3944929931.0</t>
        </is>
      </c>
      <c r="O585" s="24" t="inlineStr">
        <is>
          <t>4143162576.0</t>
        </is>
      </c>
      <c r="P585" s="24" t="inlineStr">
        <is>
          <t>KRW</t>
        </is>
      </c>
      <c r="Q585" s="24" t="inlineStr">
        <is>
          <t>14</t>
        </is>
      </c>
    </row>
    <row r="586" ht="24" customHeight="1">
      <c r="A586" s="29" t="inlineStr">
        <is>
          <t>OpenDART_fnlttSinglAcntAll</t>
        </is>
      </c>
      <c r="B586" s="29" t="inlineStr">
        <is>
          <t>01021666</t>
        </is>
      </c>
      <c r="C586" s="29" t="inlineStr">
        <is>
          <t>덕산테코피아</t>
        </is>
      </c>
      <c r="D586" s="29" t="inlineStr">
        <is>
          <t>duksan</t>
        </is>
      </c>
      <c r="E586" s="29" t="inlineStr">
        <is>
          <t>317330</t>
        </is>
      </c>
      <c r="F586" s="29" t="inlineStr">
        <is>
          <t>2025</t>
        </is>
      </c>
      <c r="G586" s="29" t="inlineStr">
        <is>
          <t>CFS</t>
        </is>
      </c>
      <c r="H586" s="29" t="inlineStr">
        <is>
          <t>BS</t>
        </is>
      </c>
      <c r="I586" s="29" t="inlineStr">
        <is>
          <t>재무상태표</t>
        </is>
      </c>
      <c r="J586" s="29" t="inlineStr">
        <is>
          <t>ifrs-full_ShorttermDepositsNotClassifiedAsCashEquivalents</t>
        </is>
      </c>
      <c r="K586" s="29" t="inlineStr">
        <is>
          <t>현금성자산으로 분류되지 않는 단기예금</t>
        </is>
      </c>
      <c r="L586" s="29" t="inlineStr">
        <is>
          <t>-</t>
        </is>
      </c>
      <c r="M586" s="29" t="inlineStr">
        <is>
          <t>제 20 기</t>
        </is>
      </c>
      <c r="N586" s="29" t="inlineStr">
        <is>
          <t>54600000000.0</t>
        </is>
      </c>
      <c r="O586" s="29" t="inlineStr">
        <is>
          <t>109000000000.0</t>
        </is>
      </c>
      <c r="P586" s="29" t="inlineStr">
        <is>
          <t>KRW</t>
        </is>
      </c>
      <c r="Q586" s="29" t="inlineStr">
        <is>
          <t>15</t>
        </is>
      </c>
    </row>
    <row r="587" ht="24" customHeight="1">
      <c r="A587" s="24" t="inlineStr">
        <is>
          <t>OpenDART_fnlttSinglAcntAll</t>
        </is>
      </c>
      <c r="B587" s="24" t="inlineStr">
        <is>
          <t>01021666</t>
        </is>
      </c>
      <c r="C587" s="24" t="inlineStr">
        <is>
          <t>덕산테코피아</t>
        </is>
      </c>
      <c r="D587" s="24" t="inlineStr">
        <is>
          <t>duksan</t>
        </is>
      </c>
      <c r="E587" s="24" t="inlineStr">
        <is>
          <t>317330</t>
        </is>
      </c>
      <c r="F587" s="24" t="inlineStr">
        <is>
          <t>2025</t>
        </is>
      </c>
      <c r="G587" s="24" t="inlineStr">
        <is>
          <t>CFS</t>
        </is>
      </c>
      <c r="H587" s="24" t="inlineStr">
        <is>
          <t>BS</t>
        </is>
      </c>
      <c r="I587" s="24" t="inlineStr">
        <is>
          <t>재무상태표</t>
        </is>
      </c>
      <c r="J587" s="24" t="inlineStr">
        <is>
          <t>ifrs-full_TradeAndOtherCurrentReceivables</t>
        </is>
      </c>
      <c r="K587" s="24" t="inlineStr">
        <is>
          <t>매출채권 및 기타유동채권</t>
        </is>
      </c>
      <c r="L587" s="24" t="inlineStr">
        <is>
          <t>-</t>
        </is>
      </c>
      <c r="M587" s="24" t="inlineStr">
        <is>
          <t>제 20 기</t>
        </is>
      </c>
      <c r="N587" s="24" t="inlineStr">
        <is>
          <t>18675969023.0</t>
        </is>
      </c>
      <c r="O587" s="24" t="inlineStr">
        <is>
          <t>7797880672.0</t>
        </is>
      </c>
      <c r="P587" s="24" t="inlineStr">
        <is>
          <t>KRW</t>
        </is>
      </c>
      <c r="Q587" s="24" t="inlineStr">
        <is>
          <t>16</t>
        </is>
      </c>
    </row>
    <row r="588" ht="24" customHeight="1">
      <c r="A588" s="29" t="inlineStr">
        <is>
          <t>OpenDART_fnlttSinglAcntAll</t>
        </is>
      </c>
      <c r="B588" s="29" t="inlineStr">
        <is>
          <t>01021666</t>
        </is>
      </c>
      <c r="C588" s="29" t="inlineStr">
        <is>
          <t>덕산테코피아</t>
        </is>
      </c>
      <c r="D588" s="29" t="inlineStr">
        <is>
          <t>duksan</t>
        </is>
      </c>
      <c r="E588" s="29" t="inlineStr">
        <is>
          <t>317330</t>
        </is>
      </c>
      <c r="F588" s="29" t="inlineStr">
        <is>
          <t>2025</t>
        </is>
      </c>
      <c r="G588" s="29" t="inlineStr">
        <is>
          <t>CFS</t>
        </is>
      </c>
      <c r="H588" s="29" t="inlineStr">
        <is>
          <t>BS</t>
        </is>
      </c>
      <c r="I588" s="29" t="inlineStr">
        <is>
          <t>재무상태표</t>
        </is>
      </c>
      <c r="J588" s="29" t="inlineStr">
        <is>
          <t>ifrs-full_NoncurrentAssets</t>
        </is>
      </c>
      <c r="K588" s="29" t="inlineStr">
        <is>
          <t>비유동자산</t>
        </is>
      </c>
      <c r="L588" s="29" t="inlineStr">
        <is>
          <t>-</t>
        </is>
      </c>
      <c r="M588" s="29" t="inlineStr">
        <is>
          <t>제 20 기</t>
        </is>
      </c>
      <c r="N588" s="29" t="inlineStr">
        <is>
          <t>484041007190.0</t>
        </is>
      </c>
      <c r="O588" s="29" t="inlineStr">
        <is>
          <t>489452334484.0</t>
        </is>
      </c>
      <c r="P588" s="29" t="inlineStr">
        <is>
          <t>KRW</t>
        </is>
      </c>
      <c r="Q588" s="29" t="inlineStr">
        <is>
          <t>17</t>
        </is>
      </c>
    </row>
    <row r="589" ht="24" customHeight="1">
      <c r="A589" s="24" t="inlineStr">
        <is>
          <t>OpenDART_fnlttSinglAcntAll</t>
        </is>
      </c>
      <c r="B589" s="24" t="inlineStr">
        <is>
          <t>01021666</t>
        </is>
      </c>
      <c r="C589" s="24" t="inlineStr">
        <is>
          <t>덕산테코피아</t>
        </is>
      </c>
      <c r="D589" s="24" t="inlineStr">
        <is>
          <t>duksan</t>
        </is>
      </c>
      <c r="E589" s="24" t="inlineStr">
        <is>
          <t>317330</t>
        </is>
      </c>
      <c r="F589" s="24" t="inlineStr">
        <is>
          <t>2025</t>
        </is>
      </c>
      <c r="G589" s="24" t="inlineStr">
        <is>
          <t>CFS</t>
        </is>
      </c>
      <c r="H589" s="24" t="inlineStr">
        <is>
          <t>BS</t>
        </is>
      </c>
      <c r="I589" s="24" t="inlineStr">
        <is>
          <t>재무상태표</t>
        </is>
      </c>
      <c r="J589" s="24" t="inlineStr">
        <is>
          <t>ifrs-full_IntangibleAssetsAndGoodwill</t>
        </is>
      </c>
      <c r="K589" s="24" t="inlineStr">
        <is>
          <t>무형자산 및 영업권</t>
        </is>
      </c>
      <c r="L589" s="24" t="inlineStr">
        <is>
          <t>-</t>
        </is>
      </c>
      <c r="M589" s="24" t="inlineStr">
        <is>
          <t>제 20 기</t>
        </is>
      </c>
      <c r="N589" s="24" t="inlineStr">
        <is>
          <t>19050145662.0</t>
        </is>
      </c>
      <c r="O589" s="24" t="inlineStr">
        <is>
          <t>19158391190.0</t>
        </is>
      </c>
      <c r="P589" s="24" t="inlineStr">
        <is>
          <t>KRW</t>
        </is>
      </c>
      <c r="Q589" s="24" t="inlineStr">
        <is>
          <t>19</t>
        </is>
      </c>
    </row>
    <row r="590" ht="24" customHeight="1">
      <c r="A590" s="29" t="inlineStr">
        <is>
          <t>OpenDART_fnlttSinglAcntAll</t>
        </is>
      </c>
      <c r="B590" s="29" t="inlineStr">
        <is>
          <t>01021666</t>
        </is>
      </c>
      <c r="C590" s="29" t="inlineStr">
        <is>
          <t>덕산테코피아</t>
        </is>
      </c>
      <c r="D590" s="29" t="inlineStr">
        <is>
          <t>duksan</t>
        </is>
      </c>
      <c r="E590" s="29" t="inlineStr">
        <is>
          <t>317330</t>
        </is>
      </c>
      <c r="F590" s="29" t="inlineStr">
        <is>
          <t>2025</t>
        </is>
      </c>
      <c r="G590" s="29" t="inlineStr">
        <is>
          <t>CFS</t>
        </is>
      </c>
      <c r="H590" s="29" t="inlineStr">
        <is>
          <t>BS</t>
        </is>
      </c>
      <c r="I590" s="29" t="inlineStr">
        <is>
          <t>재무상태표</t>
        </is>
      </c>
      <c r="J590" s="29" t="inlineStr">
        <is>
          <t>ifrs-full_NetDeferredTaxAssets</t>
        </is>
      </c>
      <c r="K590" s="29" t="inlineStr">
        <is>
          <t>순이연법인세자산</t>
        </is>
      </c>
      <c r="L590" s="29" t="inlineStr">
        <is>
          <t>-</t>
        </is>
      </c>
      <c r="M590" s="29" t="inlineStr">
        <is>
          <t>제 20 기</t>
        </is>
      </c>
      <c r="N590" s="29" t="inlineStr">
        <is>
          <t>7293825241.0</t>
        </is>
      </c>
      <c r="O590" s="29" t="inlineStr">
        <is>
          <t>6854156791.0</t>
        </is>
      </c>
      <c r="P590" s="29" t="inlineStr">
        <is>
          <t>KRW</t>
        </is>
      </c>
      <c r="Q590" s="29" t="inlineStr">
        <is>
          <t>20</t>
        </is>
      </c>
    </row>
    <row r="591" ht="24" customHeight="1">
      <c r="A591" s="24" t="inlineStr">
        <is>
          <t>OpenDART_fnlttSinglAcntAll</t>
        </is>
      </c>
      <c r="B591" s="24" t="inlineStr">
        <is>
          <t>01021666</t>
        </is>
      </c>
      <c r="C591" s="24" t="inlineStr">
        <is>
          <t>덕산테코피아</t>
        </is>
      </c>
      <c r="D591" s="24" t="inlineStr">
        <is>
          <t>duksan</t>
        </is>
      </c>
      <c r="E591" s="24" t="inlineStr">
        <is>
          <t>317330</t>
        </is>
      </c>
      <c r="F591" s="24" t="inlineStr">
        <is>
          <t>2025</t>
        </is>
      </c>
      <c r="G591" s="24" t="inlineStr">
        <is>
          <t>CFS</t>
        </is>
      </c>
      <c r="H591" s="24" t="inlineStr">
        <is>
          <t>BS</t>
        </is>
      </c>
      <c r="I591" s="24" t="inlineStr">
        <is>
          <t>재무상태표</t>
        </is>
      </c>
      <c r="J591" s="24" t="inlineStr">
        <is>
          <t>ifrs-full_NoncurrentFinancialAssetsAtFairValueThroughProfitOrLoss</t>
        </is>
      </c>
      <c r="K591" s="24" t="inlineStr">
        <is>
          <t>비유동 당기손익인식금융자산</t>
        </is>
      </c>
      <c r="L591" s="24" t="inlineStr">
        <is>
          <t>-</t>
        </is>
      </c>
      <c r="M591" s="24" t="inlineStr">
        <is>
          <t>제 20 기</t>
        </is>
      </c>
      <c r="N591" s="24" t="inlineStr">
        <is>
          <t>5835950000.0</t>
        </is>
      </c>
      <c r="O591" s="24" t="inlineStr">
        <is>
          <t>7175554993.0</t>
        </is>
      </c>
      <c r="P591" s="24" t="inlineStr">
        <is>
          <t>KRW</t>
        </is>
      </c>
      <c r="Q591" s="24" t="inlineStr">
        <is>
          <t>21</t>
        </is>
      </c>
    </row>
    <row r="592" ht="24" customHeight="1">
      <c r="A592" s="29" t="inlineStr">
        <is>
          <t>OpenDART_fnlttSinglAcntAll</t>
        </is>
      </c>
      <c r="B592" s="29" t="inlineStr">
        <is>
          <t>01021666</t>
        </is>
      </c>
      <c r="C592" s="29" t="inlineStr">
        <is>
          <t>덕산테코피아</t>
        </is>
      </c>
      <c r="D592" s="29" t="inlineStr">
        <is>
          <t>duksan</t>
        </is>
      </c>
      <c r="E592" s="29" t="inlineStr">
        <is>
          <t>317330</t>
        </is>
      </c>
      <c r="F592" s="29" t="inlineStr">
        <is>
          <t>2025</t>
        </is>
      </c>
      <c r="G592" s="29" t="inlineStr">
        <is>
          <t>CFS</t>
        </is>
      </c>
      <c r="H592" s="29" t="inlineStr">
        <is>
          <t>BS</t>
        </is>
      </c>
      <c r="I592" s="29" t="inlineStr">
        <is>
          <t>재무상태표</t>
        </is>
      </c>
      <c r="J592" s="29" t="inlineStr">
        <is>
          <t>ifrs-full_NoncurrentReceivables</t>
        </is>
      </c>
      <c r="K592" s="29" t="inlineStr">
        <is>
          <t>매출채권 및 기타비유동채권</t>
        </is>
      </c>
      <c r="L592" s="29" t="inlineStr">
        <is>
          <t>-</t>
        </is>
      </c>
      <c r="M592" s="29" t="inlineStr">
        <is>
          <t>제 20 기</t>
        </is>
      </c>
      <c r="N592" s="29" t="inlineStr">
        <is>
          <t>391187931.0</t>
        </is>
      </c>
      <c r="O592" s="29" t="inlineStr">
        <is>
          <t>328160100.0</t>
        </is>
      </c>
      <c r="P592" s="29" t="inlineStr">
        <is>
          <t>KRW</t>
        </is>
      </c>
      <c r="Q592" s="29" t="inlineStr">
        <is>
          <t>22</t>
        </is>
      </c>
    </row>
    <row r="593" ht="24" customHeight="1">
      <c r="A593" s="24" t="inlineStr">
        <is>
          <t>OpenDART_fnlttSinglAcntAll</t>
        </is>
      </c>
      <c r="B593" s="24" t="inlineStr">
        <is>
          <t>01021666</t>
        </is>
      </c>
      <c r="C593" s="24" t="inlineStr">
        <is>
          <t>덕산테코피아</t>
        </is>
      </c>
      <c r="D593" s="24" t="inlineStr">
        <is>
          <t>duksan</t>
        </is>
      </c>
      <c r="E593" s="24" t="inlineStr">
        <is>
          <t>317330</t>
        </is>
      </c>
      <c r="F593" s="24" t="inlineStr">
        <is>
          <t>2025</t>
        </is>
      </c>
      <c r="G593" s="24" t="inlineStr">
        <is>
          <t>CFS</t>
        </is>
      </c>
      <c r="H593" s="24" t="inlineStr">
        <is>
          <t>BS</t>
        </is>
      </c>
      <c r="I593" s="24" t="inlineStr">
        <is>
          <t>재무상태표</t>
        </is>
      </c>
      <c r="J593" s="24" t="inlineStr">
        <is>
          <t>ifrs-full_NoncurrentRecognisedAssetsDefinedBenefitPlan</t>
        </is>
      </c>
      <c r="K593" s="24" t="inlineStr">
        <is>
          <t>비유동 순확정급여자산</t>
        </is>
      </c>
      <c r="L593" s="24" t="inlineStr">
        <is>
          <t>-</t>
        </is>
      </c>
      <c r="M593" s="24" t="inlineStr">
        <is>
          <t>제 20 기</t>
        </is>
      </c>
      <c r="N593" s="24" t="inlineStr">
        <is>
          <t>0.0</t>
        </is>
      </c>
      <c r="O593" s="24" t="inlineStr">
        <is>
          <t>해당 없음</t>
        </is>
      </c>
      <c r="P593" s="24" t="inlineStr">
        <is>
          <t>KRW</t>
        </is>
      </c>
      <c r="Q593" s="24" t="inlineStr">
        <is>
          <t>23</t>
        </is>
      </c>
    </row>
    <row r="594" ht="24" customHeight="1">
      <c r="A594" s="29" t="inlineStr">
        <is>
          <t>OpenDART_fnlttSinglAcntAll</t>
        </is>
      </c>
      <c r="B594" s="29" t="inlineStr">
        <is>
          <t>01021666</t>
        </is>
      </c>
      <c r="C594" s="29" t="inlineStr">
        <is>
          <t>덕산테코피아</t>
        </is>
      </c>
      <c r="D594" s="29" t="inlineStr">
        <is>
          <t>duksan</t>
        </is>
      </c>
      <c r="E594" s="29" t="inlineStr">
        <is>
          <t>317330</t>
        </is>
      </c>
      <c r="F594" s="29" t="inlineStr">
        <is>
          <t>2025</t>
        </is>
      </c>
      <c r="G594" s="29" t="inlineStr">
        <is>
          <t>CFS</t>
        </is>
      </c>
      <c r="H594" s="29" t="inlineStr">
        <is>
          <t>BS</t>
        </is>
      </c>
      <c r="I594" s="29" t="inlineStr">
        <is>
          <t>재무상태표</t>
        </is>
      </c>
      <c r="J594" s="29" t="inlineStr">
        <is>
          <t>ifrs-full_OtherNoncurrentAssets</t>
        </is>
      </c>
      <c r="K594" s="29" t="inlineStr">
        <is>
          <t>기타비유동자산</t>
        </is>
      </c>
      <c r="L594" s="29" t="inlineStr">
        <is>
          <t>-</t>
        </is>
      </c>
      <c r="M594" s="29" t="inlineStr">
        <is>
          <t>제 20 기</t>
        </is>
      </c>
      <c r="N594" s="29" t="inlineStr">
        <is>
          <t>719816093.0</t>
        </is>
      </c>
      <c r="O594" s="29" t="inlineStr">
        <is>
          <t>해당 없음</t>
        </is>
      </c>
      <c r="P594" s="29" t="inlineStr">
        <is>
          <t>KRW</t>
        </is>
      </c>
      <c r="Q594" s="29" t="inlineStr">
        <is>
          <t>24</t>
        </is>
      </c>
    </row>
    <row r="595" ht="24" customHeight="1">
      <c r="A595" s="24" t="inlineStr">
        <is>
          <t>OpenDART_fnlttSinglAcntAll</t>
        </is>
      </c>
      <c r="B595" s="24" t="inlineStr">
        <is>
          <t>01021666</t>
        </is>
      </c>
      <c r="C595" s="24" t="inlineStr">
        <is>
          <t>덕산테코피아</t>
        </is>
      </c>
      <c r="D595" s="24" t="inlineStr">
        <is>
          <t>duksan</t>
        </is>
      </c>
      <c r="E595" s="24" t="inlineStr">
        <is>
          <t>317330</t>
        </is>
      </c>
      <c r="F595" s="24" t="inlineStr">
        <is>
          <t>2025</t>
        </is>
      </c>
      <c r="G595" s="24" t="inlineStr">
        <is>
          <t>CFS</t>
        </is>
      </c>
      <c r="H595" s="24" t="inlineStr">
        <is>
          <t>BS</t>
        </is>
      </c>
      <c r="I595" s="24" t="inlineStr">
        <is>
          <t>재무상태표</t>
        </is>
      </c>
      <c r="J595" s="24" t="inlineStr">
        <is>
          <t>ifrs-full_PropertyPlantAndEquipment</t>
        </is>
      </c>
      <c r="K595" s="24" t="inlineStr">
        <is>
          <t>유형자산</t>
        </is>
      </c>
      <c r="L595" s="24" t="inlineStr">
        <is>
          <t>-</t>
        </is>
      </c>
      <c r="M595" s="24" t="inlineStr">
        <is>
          <t>제 20 기</t>
        </is>
      </c>
      <c r="N595" s="24" t="inlineStr">
        <is>
          <t>443466597809.0</t>
        </is>
      </c>
      <c r="O595" s="24" t="inlineStr">
        <is>
          <t>451930176735.0</t>
        </is>
      </c>
      <c r="P595" s="24" t="inlineStr">
        <is>
          <t>KRW</t>
        </is>
      </c>
      <c r="Q595" s="24" t="inlineStr">
        <is>
          <t>25</t>
        </is>
      </c>
    </row>
    <row r="596" ht="24" customHeight="1">
      <c r="A596" s="29" t="inlineStr">
        <is>
          <t>OpenDART_fnlttSinglAcntAll</t>
        </is>
      </c>
      <c r="B596" s="29" t="inlineStr">
        <is>
          <t>01021666</t>
        </is>
      </c>
      <c r="C596" s="29" t="inlineStr">
        <is>
          <t>덕산테코피아</t>
        </is>
      </c>
      <c r="D596" s="29" t="inlineStr">
        <is>
          <t>duksan</t>
        </is>
      </c>
      <c r="E596" s="29" t="inlineStr">
        <is>
          <t>317330</t>
        </is>
      </c>
      <c r="F596" s="29" t="inlineStr">
        <is>
          <t>2025</t>
        </is>
      </c>
      <c r="G596" s="29" t="inlineStr">
        <is>
          <t>CFS</t>
        </is>
      </c>
      <c r="H596" s="29" t="inlineStr">
        <is>
          <t>BS</t>
        </is>
      </c>
      <c r="I596" s="29" t="inlineStr">
        <is>
          <t>재무상태표</t>
        </is>
      </c>
      <c r="J596" s="29" t="inlineStr">
        <is>
          <t>ifrs-full_RightofuseAssets</t>
        </is>
      </c>
      <c r="K596" s="29" t="inlineStr">
        <is>
          <t>사용권자산</t>
        </is>
      </c>
      <c r="L596" s="29" t="inlineStr">
        <is>
          <t>-</t>
        </is>
      </c>
      <c r="M596" s="29" t="inlineStr">
        <is>
          <t>제 20 기</t>
        </is>
      </c>
      <c r="N596" s="29" t="inlineStr">
        <is>
          <t>7283484454.0</t>
        </is>
      </c>
      <c r="O596" s="29" t="inlineStr">
        <is>
          <t>4005894675.0</t>
        </is>
      </c>
      <c r="P596" s="29" t="inlineStr">
        <is>
          <t>KRW</t>
        </is>
      </c>
      <c r="Q596" s="29" t="inlineStr">
        <is>
          <t>26</t>
        </is>
      </c>
    </row>
    <row r="597" ht="24" customHeight="1">
      <c r="A597" s="24" t="inlineStr">
        <is>
          <t>OpenDART_fnlttSinglAcntAll</t>
        </is>
      </c>
      <c r="B597" s="24" t="inlineStr">
        <is>
          <t>01021666</t>
        </is>
      </c>
      <c r="C597" s="24" t="inlineStr">
        <is>
          <t>덕산테코피아</t>
        </is>
      </c>
      <c r="D597" s="24" t="inlineStr">
        <is>
          <t>duksan</t>
        </is>
      </c>
      <c r="E597" s="24" t="inlineStr">
        <is>
          <t>317330</t>
        </is>
      </c>
      <c r="F597" s="24" t="inlineStr">
        <is>
          <t>2025</t>
        </is>
      </c>
      <c r="G597" s="24" t="inlineStr">
        <is>
          <t>CFS</t>
        </is>
      </c>
      <c r="H597" s="24" t="inlineStr">
        <is>
          <t>BS</t>
        </is>
      </c>
      <c r="I597" s="24" t="inlineStr">
        <is>
          <t>재무상태표</t>
        </is>
      </c>
      <c r="J597" s="24" t="inlineStr">
        <is>
          <t>ifrs-full_Equity</t>
        </is>
      </c>
      <c r="K597" s="24" t="inlineStr">
        <is>
          <t>자본총계</t>
        </is>
      </c>
      <c r="L597" s="24" t="inlineStr">
        <is>
          <t>-</t>
        </is>
      </c>
      <c r="M597" s="24" t="inlineStr">
        <is>
          <t>제 20 기</t>
        </is>
      </c>
      <c r="N597" s="24" t="inlineStr">
        <is>
          <t>106475636736.0</t>
        </is>
      </c>
      <c r="O597" s="24" t="inlineStr">
        <is>
          <t>205743613594.0</t>
        </is>
      </c>
      <c r="P597" s="24" t="inlineStr">
        <is>
          <t>KRW</t>
        </is>
      </c>
      <c r="Q597" s="24" t="inlineStr">
        <is>
          <t>28</t>
        </is>
      </c>
    </row>
    <row r="598" ht="24" customHeight="1">
      <c r="A598" s="29" t="inlineStr">
        <is>
          <t>OpenDART_fnlttSinglAcntAll</t>
        </is>
      </c>
      <c r="B598" s="29" t="inlineStr">
        <is>
          <t>01021666</t>
        </is>
      </c>
      <c r="C598" s="29" t="inlineStr">
        <is>
          <t>덕산테코피아</t>
        </is>
      </c>
      <c r="D598" s="29" t="inlineStr">
        <is>
          <t>duksan</t>
        </is>
      </c>
      <c r="E598" s="29" t="inlineStr">
        <is>
          <t>317330</t>
        </is>
      </c>
      <c r="F598" s="29" t="inlineStr">
        <is>
          <t>2025</t>
        </is>
      </c>
      <c r="G598" s="29" t="inlineStr">
        <is>
          <t>CFS</t>
        </is>
      </c>
      <c r="H598" s="29" t="inlineStr">
        <is>
          <t>BS</t>
        </is>
      </c>
      <c r="I598" s="29" t="inlineStr">
        <is>
          <t>재무상태표</t>
        </is>
      </c>
      <c r="J598" s="29" t="inlineStr">
        <is>
          <t>ifrs-full_EquityAttributableToOwnersOfParent</t>
        </is>
      </c>
      <c r="K598" s="29" t="inlineStr">
        <is>
          <t>지배기업의 소유주에게 귀속되는 자본</t>
        </is>
      </c>
      <c r="L598" s="29" t="inlineStr">
        <is>
          <t>-</t>
        </is>
      </c>
      <c r="M598" s="29" t="inlineStr">
        <is>
          <t>제 20 기</t>
        </is>
      </c>
      <c r="N598" s="29" t="inlineStr">
        <is>
          <t>115238876754.0</t>
        </is>
      </c>
      <c r="O598" s="29" t="inlineStr">
        <is>
          <t>198243689578.0</t>
        </is>
      </c>
      <c r="P598" s="29" t="inlineStr">
        <is>
          <t>KRW</t>
        </is>
      </c>
      <c r="Q598" s="29" t="inlineStr">
        <is>
          <t>29</t>
        </is>
      </c>
    </row>
    <row r="599" ht="24" customHeight="1">
      <c r="A599" s="24" t="inlineStr">
        <is>
          <t>OpenDART_fnlttSinglAcntAll</t>
        </is>
      </c>
      <c r="B599" s="24" t="inlineStr">
        <is>
          <t>01021666</t>
        </is>
      </c>
      <c r="C599" s="24" t="inlineStr">
        <is>
          <t>덕산테코피아</t>
        </is>
      </c>
      <c r="D599" s="24" t="inlineStr">
        <is>
          <t>duksan</t>
        </is>
      </c>
      <c r="E599" s="24" t="inlineStr">
        <is>
          <t>317330</t>
        </is>
      </c>
      <c r="F599" s="24" t="inlineStr">
        <is>
          <t>2025</t>
        </is>
      </c>
      <c r="G599" s="24" t="inlineStr">
        <is>
          <t>CFS</t>
        </is>
      </c>
      <c r="H599" s="24" t="inlineStr">
        <is>
          <t>BS</t>
        </is>
      </c>
      <c r="I599" s="24" t="inlineStr">
        <is>
          <t>재무상태표</t>
        </is>
      </c>
      <c r="J599" s="24" t="inlineStr">
        <is>
          <t>dart_CapitalSurplus</t>
        </is>
      </c>
      <c r="K599" s="24" t="inlineStr">
        <is>
          <t>자본잉여금</t>
        </is>
      </c>
      <c r="L599" s="24" t="inlineStr">
        <is>
          <t>-</t>
        </is>
      </c>
      <c r="M599" s="24" t="inlineStr">
        <is>
          <t>제 20 기</t>
        </is>
      </c>
      <c r="N599" s="24" t="inlineStr">
        <is>
          <t>133838045705.0</t>
        </is>
      </c>
      <c r="O599" s="24" t="inlineStr">
        <is>
          <t>142153611695.0</t>
        </is>
      </c>
      <c r="P599" s="24" t="inlineStr">
        <is>
          <t>KRW</t>
        </is>
      </c>
      <c r="Q599" s="24" t="inlineStr">
        <is>
          <t>30</t>
        </is>
      </c>
    </row>
    <row r="600" ht="24" customHeight="1">
      <c r="A600" s="29" t="inlineStr">
        <is>
          <t>OpenDART_fnlttSinglAcntAll</t>
        </is>
      </c>
      <c r="B600" s="29" t="inlineStr">
        <is>
          <t>01021666</t>
        </is>
      </c>
      <c r="C600" s="29" t="inlineStr">
        <is>
          <t>덕산테코피아</t>
        </is>
      </c>
      <c r="D600" s="29" t="inlineStr">
        <is>
          <t>duksan</t>
        </is>
      </c>
      <c r="E600" s="29" t="inlineStr">
        <is>
          <t>317330</t>
        </is>
      </c>
      <c r="F600" s="29" t="inlineStr">
        <is>
          <t>2025</t>
        </is>
      </c>
      <c r="G600" s="29" t="inlineStr">
        <is>
          <t>CFS</t>
        </is>
      </c>
      <c r="H600" s="29" t="inlineStr">
        <is>
          <t>BS</t>
        </is>
      </c>
      <c r="I600" s="29" t="inlineStr">
        <is>
          <t>재무상태표</t>
        </is>
      </c>
      <c r="J600" s="29" t="inlineStr">
        <is>
          <t>dart_ElementsOfOtherStockholdersEquity</t>
        </is>
      </c>
      <c r="K600" s="29" t="inlineStr">
        <is>
          <t>기타자본구성요소</t>
        </is>
      </c>
      <c r="L600" s="29" t="inlineStr">
        <is>
          <t>-</t>
        </is>
      </c>
      <c r="M600" s="29" t="inlineStr">
        <is>
          <t>제 20 기</t>
        </is>
      </c>
      <c r="N600" s="29" t="inlineStr">
        <is>
          <t>1455452379.0</t>
        </is>
      </c>
      <c r="O600" s="29" t="inlineStr">
        <is>
          <t>-435013087.0</t>
        </is>
      </c>
      <c r="P600" s="29" t="inlineStr">
        <is>
          <t>KRW</t>
        </is>
      </c>
      <c r="Q600" s="29" t="inlineStr">
        <is>
          <t>31</t>
        </is>
      </c>
    </row>
    <row r="601" ht="24" customHeight="1">
      <c r="A601" s="24" t="inlineStr">
        <is>
          <t>OpenDART_fnlttSinglAcntAll</t>
        </is>
      </c>
      <c r="B601" s="24" t="inlineStr">
        <is>
          <t>01021666</t>
        </is>
      </c>
      <c r="C601" s="24" t="inlineStr">
        <is>
          <t>덕산테코피아</t>
        </is>
      </c>
      <c r="D601" s="24" t="inlineStr">
        <is>
          <t>duksan</t>
        </is>
      </c>
      <c r="E601" s="24" t="inlineStr">
        <is>
          <t>317330</t>
        </is>
      </c>
      <c r="F601" s="24" t="inlineStr">
        <is>
          <t>2025</t>
        </is>
      </c>
      <c r="G601" s="24" t="inlineStr">
        <is>
          <t>CFS</t>
        </is>
      </c>
      <c r="H601" s="24" t="inlineStr">
        <is>
          <t>BS</t>
        </is>
      </c>
      <c r="I601" s="24" t="inlineStr">
        <is>
          <t>재무상태표</t>
        </is>
      </c>
      <c r="J601" s="24" t="inlineStr">
        <is>
          <t>ifrs-full_IssuedCapital</t>
        </is>
      </c>
      <c r="K601" s="24" t="inlineStr">
        <is>
          <t>자본금</t>
        </is>
      </c>
      <c r="L601" s="24" t="inlineStr">
        <is>
          <t>-</t>
        </is>
      </c>
      <c r="M601" s="24" t="inlineStr">
        <is>
          <t>제 20 기</t>
        </is>
      </c>
      <c r="N601" s="24" t="inlineStr">
        <is>
          <t>10238292000.0</t>
        </is>
      </c>
      <c r="O601" s="24" t="inlineStr">
        <is>
          <t>10238292000.0</t>
        </is>
      </c>
      <c r="P601" s="24" t="inlineStr">
        <is>
          <t>KRW</t>
        </is>
      </c>
      <c r="Q601" s="24" t="inlineStr">
        <is>
          <t>32</t>
        </is>
      </c>
    </row>
    <row r="602" ht="24" customHeight="1">
      <c r="A602" s="29" t="inlineStr">
        <is>
          <t>OpenDART_fnlttSinglAcntAll</t>
        </is>
      </c>
      <c r="B602" s="29" t="inlineStr">
        <is>
          <t>01021666</t>
        </is>
      </c>
      <c r="C602" s="29" t="inlineStr">
        <is>
          <t>덕산테코피아</t>
        </is>
      </c>
      <c r="D602" s="29" t="inlineStr">
        <is>
          <t>duksan</t>
        </is>
      </c>
      <c r="E602" s="29" t="inlineStr">
        <is>
          <t>317330</t>
        </is>
      </c>
      <c r="F602" s="29" t="inlineStr">
        <is>
          <t>2025</t>
        </is>
      </c>
      <c r="G602" s="29" t="inlineStr">
        <is>
          <t>CFS</t>
        </is>
      </c>
      <c r="H602" s="29" t="inlineStr">
        <is>
          <t>BS</t>
        </is>
      </c>
      <c r="I602" s="29" t="inlineStr">
        <is>
          <t>재무상태표</t>
        </is>
      </c>
      <c r="J602" s="29" t="inlineStr">
        <is>
          <t>ifrs-full_RetainedEarnings</t>
        </is>
      </c>
      <c r="K602" s="29" t="inlineStr">
        <is>
          <t>이익잉여금</t>
        </is>
      </c>
      <c r="L602" s="29" t="inlineStr">
        <is>
          <t>-</t>
        </is>
      </c>
      <c r="M602" s="29" t="inlineStr">
        <is>
          <t>제 20 기</t>
        </is>
      </c>
      <c r="N602" s="29" t="inlineStr">
        <is>
          <t>-30292913330.0</t>
        </is>
      </c>
      <c r="O602" s="29" t="inlineStr">
        <is>
          <t>46286798970.0</t>
        </is>
      </c>
      <c r="P602" s="29" t="inlineStr">
        <is>
          <t>KRW</t>
        </is>
      </c>
      <c r="Q602" s="29" t="inlineStr">
        <is>
          <t>33</t>
        </is>
      </c>
    </row>
    <row r="603" ht="24" customHeight="1">
      <c r="A603" s="24" t="inlineStr">
        <is>
          <t>OpenDART_fnlttSinglAcntAll</t>
        </is>
      </c>
      <c r="B603" s="24" t="inlineStr">
        <is>
          <t>01021666</t>
        </is>
      </c>
      <c r="C603" s="24" t="inlineStr">
        <is>
          <t>덕산테코피아</t>
        </is>
      </c>
      <c r="D603" s="24" t="inlineStr">
        <is>
          <t>duksan</t>
        </is>
      </c>
      <c r="E603" s="24" t="inlineStr">
        <is>
          <t>317330</t>
        </is>
      </c>
      <c r="F603" s="24" t="inlineStr">
        <is>
          <t>2025</t>
        </is>
      </c>
      <c r="G603" s="24" t="inlineStr">
        <is>
          <t>CFS</t>
        </is>
      </c>
      <c r="H603" s="24" t="inlineStr">
        <is>
          <t>BS</t>
        </is>
      </c>
      <c r="I603" s="24" t="inlineStr">
        <is>
          <t>재무상태표</t>
        </is>
      </c>
      <c r="J603" s="24" t="inlineStr">
        <is>
          <t>ifrs-full_NoncontrollingInterests</t>
        </is>
      </c>
      <c r="K603" s="24" t="inlineStr">
        <is>
          <t>비지배지분</t>
        </is>
      </c>
      <c r="L603" s="24" t="inlineStr">
        <is>
          <t>-</t>
        </is>
      </c>
      <c r="M603" s="24" t="inlineStr">
        <is>
          <t>제 20 기</t>
        </is>
      </c>
      <c r="N603" s="24" t="inlineStr">
        <is>
          <t>-8763240018.0</t>
        </is>
      </c>
      <c r="O603" s="24" t="inlineStr">
        <is>
          <t>7499924016.0</t>
        </is>
      </c>
      <c r="P603" s="24" t="inlineStr">
        <is>
          <t>KRW</t>
        </is>
      </c>
      <c r="Q603" s="24" t="inlineStr">
        <is>
          <t>34</t>
        </is>
      </c>
    </row>
    <row r="604" ht="24" customHeight="1">
      <c r="A604" s="29" t="inlineStr">
        <is>
          <t>OpenDART_fnlttSinglAcntAll</t>
        </is>
      </c>
      <c r="B604" s="29" t="inlineStr">
        <is>
          <t>01021666</t>
        </is>
      </c>
      <c r="C604" s="29" t="inlineStr">
        <is>
          <t>덕산테코피아</t>
        </is>
      </c>
      <c r="D604" s="29" t="inlineStr">
        <is>
          <t>duksan</t>
        </is>
      </c>
      <c r="E604" s="29" t="inlineStr">
        <is>
          <t>317330</t>
        </is>
      </c>
      <c r="F604" s="29" t="inlineStr">
        <is>
          <t>2025</t>
        </is>
      </c>
      <c r="G604" s="29" t="inlineStr">
        <is>
          <t>CFS</t>
        </is>
      </c>
      <c r="H604" s="29" t="inlineStr">
        <is>
          <t>BS</t>
        </is>
      </c>
      <c r="I604" s="29" t="inlineStr">
        <is>
          <t>재무상태표</t>
        </is>
      </c>
      <c r="J604" s="29" t="inlineStr">
        <is>
          <t>ifrs-full_EquityAndLiabilities</t>
        </is>
      </c>
      <c r="K604" s="29" t="inlineStr">
        <is>
          <t>자본과부채총계</t>
        </is>
      </c>
      <c r="L604" s="29" t="inlineStr">
        <is>
          <t>-</t>
        </is>
      </c>
      <c r="M604" s="29" t="inlineStr">
        <is>
          <t>제 20 기</t>
        </is>
      </c>
      <c r="N604" s="29" t="inlineStr">
        <is>
          <t>646705781509.0</t>
        </is>
      </c>
      <c r="O604" s="29" t="inlineStr">
        <is>
          <t>662991271479.0</t>
        </is>
      </c>
      <c r="P604" s="29" t="inlineStr">
        <is>
          <t>KRW</t>
        </is>
      </c>
      <c r="Q604" s="29" t="inlineStr">
        <is>
          <t>35</t>
        </is>
      </c>
    </row>
    <row r="605" ht="24" customHeight="1">
      <c r="A605" s="24" t="inlineStr">
        <is>
          <t>OpenDART_fnlttSinglAcntAll</t>
        </is>
      </c>
      <c r="B605" s="24" t="inlineStr">
        <is>
          <t>01021666</t>
        </is>
      </c>
      <c r="C605" s="24" t="inlineStr">
        <is>
          <t>덕산테코피아</t>
        </is>
      </c>
      <c r="D605" s="24" t="inlineStr">
        <is>
          <t>duksan</t>
        </is>
      </c>
      <c r="E605" s="24" t="inlineStr">
        <is>
          <t>317330</t>
        </is>
      </c>
      <c r="F605" s="24" t="inlineStr">
        <is>
          <t>2025</t>
        </is>
      </c>
      <c r="G605" s="24" t="inlineStr">
        <is>
          <t>CFS</t>
        </is>
      </c>
      <c r="H605" s="24" t="inlineStr">
        <is>
          <t>BS</t>
        </is>
      </c>
      <c r="I605" s="24" t="inlineStr">
        <is>
          <t>재무상태표</t>
        </is>
      </c>
      <c r="J605" s="24" t="inlineStr">
        <is>
          <t>ifrs-full_CurrentLiabilities</t>
        </is>
      </c>
      <c r="K605" s="24" t="inlineStr">
        <is>
          <t>유동부채</t>
        </is>
      </c>
      <c r="L605" s="24" t="inlineStr">
        <is>
          <t>-</t>
        </is>
      </c>
      <c r="M605" s="24" t="inlineStr">
        <is>
          <t>제 20 기</t>
        </is>
      </c>
      <c r="N605" s="24" t="inlineStr">
        <is>
          <t>457145089089.0</t>
        </is>
      </c>
      <c r="O605" s="24" t="inlineStr">
        <is>
          <t>338096388841.0</t>
        </is>
      </c>
      <c r="P605" s="24" t="inlineStr">
        <is>
          <t>KRW</t>
        </is>
      </c>
      <c r="Q605" s="24" t="inlineStr">
        <is>
          <t>37</t>
        </is>
      </c>
    </row>
    <row r="606" ht="24" customHeight="1">
      <c r="A606" s="29" t="inlineStr">
        <is>
          <t>OpenDART_fnlttSinglAcntAll</t>
        </is>
      </c>
      <c r="B606" s="29" t="inlineStr">
        <is>
          <t>01021666</t>
        </is>
      </c>
      <c r="C606" s="29" t="inlineStr">
        <is>
          <t>덕산테코피아</t>
        </is>
      </c>
      <c r="D606" s="29" t="inlineStr">
        <is>
          <t>duksan</t>
        </is>
      </c>
      <c r="E606" s="29" t="inlineStr">
        <is>
          <t>317330</t>
        </is>
      </c>
      <c r="F606" s="29" t="inlineStr">
        <is>
          <t>2025</t>
        </is>
      </c>
      <c r="G606" s="29" t="inlineStr">
        <is>
          <t>CFS</t>
        </is>
      </c>
      <c r="H606" s="29" t="inlineStr">
        <is>
          <t>BS</t>
        </is>
      </c>
      <c r="I606" s="29" t="inlineStr">
        <is>
          <t>재무상태표</t>
        </is>
      </c>
      <c r="J606" s="29" t="inlineStr">
        <is>
          <t>dart_CurrentDerivativeLiabilities</t>
        </is>
      </c>
      <c r="K606" s="29" t="inlineStr">
        <is>
          <t>유동파생상품부채</t>
        </is>
      </c>
      <c r="L606" s="29" t="inlineStr">
        <is>
          <t>-</t>
        </is>
      </c>
      <c r="M606" s="29" t="inlineStr">
        <is>
          <t>제 20 기</t>
        </is>
      </c>
      <c r="N606" s="29" t="inlineStr">
        <is>
          <t>212448831774.0</t>
        </is>
      </c>
      <c r="O606" s="29" t="inlineStr">
        <is>
          <t>170639275082.0</t>
        </is>
      </c>
      <c r="P606" s="29" t="inlineStr">
        <is>
          <t>KRW</t>
        </is>
      </c>
      <c r="Q606" s="29" t="inlineStr">
        <is>
          <t>38</t>
        </is>
      </c>
    </row>
    <row r="607" ht="24" customHeight="1">
      <c r="A607" s="24" t="inlineStr">
        <is>
          <t>OpenDART_fnlttSinglAcntAll</t>
        </is>
      </c>
      <c r="B607" s="24" t="inlineStr">
        <is>
          <t>01021666</t>
        </is>
      </c>
      <c r="C607" s="24" t="inlineStr">
        <is>
          <t>덕산테코피아</t>
        </is>
      </c>
      <c r="D607" s="24" t="inlineStr">
        <is>
          <t>duksan</t>
        </is>
      </c>
      <c r="E607" s="24" t="inlineStr">
        <is>
          <t>317330</t>
        </is>
      </c>
      <c r="F607" s="24" t="inlineStr">
        <is>
          <t>2025</t>
        </is>
      </c>
      <c r="G607" s="24" t="inlineStr">
        <is>
          <t>CFS</t>
        </is>
      </c>
      <c r="H607" s="24" t="inlineStr">
        <is>
          <t>BS</t>
        </is>
      </c>
      <c r="I607" s="24" t="inlineStr">
        <is>
          <t>재무상태표</t>
        </is>
      </c>
      <c r="J607" s="24" t="inlineStr">
        <is>
          <t>dart_CurrentPortionOfConvertibleBonds</t>
        </is>
      </c>
      <c r="K607" s="24" t="inlineStr">
        <is>
          <t>유동성전환사채</t>
        </is>
      </c>
      <c r="L607" s="24" t="inlineStr">
        <is>
          <t>-</t>
        </is>
      </c>
      <c r="M607" s="24" t="inlineStr">
        <is>
          <t>제 20 기</t>
        </is>
      </c>
      <c r="N607" s="24" t="inlineStr">
        <is>
          <t>해당 없음</t>
        </is>
      </c>
      <c r="O607" s="24" t="inlineStr">
        <is>
          <t>해당 없음</t>
        </is>
      </c>
      <c r="P607" s="24" t="inlineStr">
        <is>
          <t>KRW</t>
        </is>
      </c>
      <c r="Q607" s="24" t="inlineStr">
        <is>
          <t>39</t>
        </is>
      </c>
    </row>
    <row r="608" ht="24" customHeight="1">
      <c r="A608" s="29" t="inlineStr">
        <is>
          <t>OpenDART_fnlttSinglAcntAll</t>
        </is>
      </c>
      <c r="B608" s="29" t="inlineStr">
        <is>
          <t>01021666</t>
        </is>
      </c>
      <c r="C608" s="29" t="inlineStr">
        <is>
          <t>덕산테코피아</t>
        </is>
      </c>
      <c r="D608" s="29" t="inlineStr">
        <is>
          <t>duksan</t>
        </is>
      </c>
      <c r="E608" s="29" t="inlineStr">
        <is>
          <t>317330</t>
        </is>
      </c>
      <c r="F608" s="29" t="inlineStr">
        <is>
          <t>2025</t>
        </is>
      </c>
      <c r="G608" s="29" t="inlineStr">
        <is>
          <t>CFS</t>
        </is>
      </c>
      <c r="H608" s="29" t="inlineStr">
        <is>
          <t>BS</t>
        </is>
      </c>
      <c r="I608" s="29" t="inlineStr">
        <is>
          <t>재무상태표</t>
        </is>
      </c>
      <c r="J608" s="29" t="inlineStr">
        <is>
          <t>ifrs-full_CurrentLoansReceivedAndCurrentPortionOfNoncurrentLoansReceived</t>
        </is>
      </c>
      <c r="K608" s="29" t="inlineStr">
        <is>
          <t>유동 금융기관 차입금 및 비유동 금융기관 차입금(사채 제외)의 유동성 대체 부분</t>
        </is>
      </c>
      <c r="L608" s="29" t="inlineStr">
        <is>
          <t>-</t>
        </is>
      </c>
      <c r="M608" s="29" t="inlineStr">
        <is>
          <t>제 20 기</t>
        </is>
      </c>
      <c r="N608" s="29" t="inlineStr">
        <is>
          <t>109550590000.0</t>
        </is>
      </c>
      <c r="O608" s="29" t="inlineStr">
        <is>
          <t>151279040000.0</t>
        </is>
      </c>
      <c r="P608" s="29" t="inlineStr">
        <is>
          <t>KRW</t>
        </is>
      </c>
      <c r="Q608" s="29" t="inlineStr">
        <is>
          <t>40</t>
        </is>
      </c>
    </row>
    <row r="609" ht="24" customHeight="1">
      <c r="A609" s="24" t="inlineStr">
        <is>
          <t>OpenDART_fnlttSinglAcntAll</t>
        </is>
      </c>
      <c r="B609" s="24" t="inlineStr">
        <is>
          <t>01021666</t>
        </is>
      </c>
      <c r="C609" s="24" t="inlineStr">
        <is>
          <t>덕산테코피아</t>
        </is>
      </c>
      <c r="D609" s="24" t="inlineStr">
        <is>
          <t>duksan</t>
        </is>
      </c>
      <c r="E609" s="24" t="inlineStr">
        <is>
          <t>317330</t>
        </is>
      </c>
      <c r="F609" s="24" t="inlineStr">
        <is>
          <t>2025</t>
        </is>
      </c>
      <c r="G609" s="24" t="inlineStr">
        <is>
          <t>CFS</t>
        </is>
      </c>
      <c r="H609" s="24" t="inlineStr">
        <is>
          <t>BS</t>
        </is>
      </c>
      <c r="I609" s="24" t="inlineStr">
        <is>
          <t>재무상태표</t>
        </is>
      </c>
      <c r="J609" s="24" t="inlineStr">
        <is>
          <t>ifrs-full_CurrentTaxLiabilities</t>
        </is>
      </c>
      <c r="K609" s="24" t="inlineStr">
        <is>
          <t>당기법인세부채</t>
        </is>
      </c>
      <c r="L609" s="24" t="inlineStr">
        <is>
          <t>-</t>
        </is>
      </c>
      <c r="M609" s="24" t="inlineStr">
        <is>
          <t>제 20 기</t>
        </is>
      </c>
      <c r="N609" s="24" t="inlineStr">
        <is>
          <t>0.0</t>
        </is>
      </c>
      <c r="O609" s="24" t="inlineStr">
        <is>
          <t>282714760.0</t>
        </is>
      </c>
      <c r="P609" s="24" t="inlineStr">
        <is>
          <t>KRW</t>
        </is>
      </c>
      <c r="Q609" s="24" t="inlineStr">
        <is>
          <t>41</t>
        </is>
      </c>
    </row>
    <row r="610" ht="24" customHeight="1">
      <c r="A610" s="29" t="inlineStr">
        <is>
          <t>OpenDART_fnlttSinglAcntAll</t>
        </is>
      </c>
      <c r="B610" s="29" t="inlineStr">
        <is>
          <t>01021666</t>
        </is>
      </c>
      <c r="C610" s="29" t="inlineStr">
        <is>
          <t>덕산테코피아</t>
        </is>
      </c>
      <c r="D610" s="29" t="inlineStr">
        <is>
          <t>duksan</t>
        </is>
      </c>
      <c r="E610" s="29" t="inlineStr">
        <is>
          <t>317330</t>
        </is>
      </c>
      <c r="F610" s="29" t="inlineStr">
        <is>
          <t>2025</t>
        </is>
      </c>
      <c r="G610" s="29" t="inlineStr">
        <is>
          <t>CFS</t>
        </is>
      </c>
      <c r="H610" s="29" t="inlineStr">
        <is>
          <t>BS</t>
        </is>
      </c>
      <c r="I610" s="29" t="inlineStr">
        <is>
          <t>재무상태표</t>
        </is>
      </c>
      <c r="J610" s="29" t="inlineStr">
        <is>
          <t>ifrs-full_OtherCurrentBorrowingsAndCurrentPortionOfOtherNoncurrentBorrowings</t>
        </is>
      </c>
      <c r="K610" s="29" t="inlineStr">
        <is>
          <t>기타 유동 차입금 및 기타 비유동 차입금(사채 제외)의 유동성 대체 부분</t>
        </is>
      </c>
      <c r="L610" s="29" t="inlineStr">
        <is>
          <t>-</t>
        </is>
      </c>
      <c r="M610" s="29" t="inlineStr">
        <is>
          <t>제 20 기</t>
        </is>
      </c>
      <c r="N610" s="29" t="inlineStr">
        <is>
          <t>114639783071.0</t>
        </is>
      </c>
      <c r="O610" s="29" t="inlineStr">
        <is>
          <t>해당 없음</t>
        </is>
      </c>
      <c r="P610" s="29" t="inlineStr">
        <is>
          <t>KRW</t>
        </is>
      </c>
      <c r="Q610" s="29" t="inlineStr">
        <is>
          <t>42</t>
        </is>
      </c>
    </row>
    <row r="611" ht="24" customHeight="1">
      <c r="A611" s="24" t="inlineStr">
        <is>
          <t>OpenDART_fnlttSinglAcntAll</t>
        </is>
      </c>
      <c r="B611" s="24" t="inlineStr">
        <is>
          <t>01021666</t>
        </is>
      </c>
      <c r="C611" s="24" t="inlineStr">
        <is>
          <t>덕산테코피아</t>
        </is>
      </c>
      <c r="D611" s="24" t="inlineStr">
        <is>
          <t>duksan</t>
        </is>
      </c>
      <c r="E611" s="24" t="inlineStr">
        <is>
          <t>317330</t>
        </is>
      </c>
      <c r="F611" s="24" t="inlineStr">
        <is>
          <t>2025</t>
        </is>
      </c>
      <c r="G611" s="24" t="inlineStr">
        <is>
          <t>CFS</t>
        </is>
      </c>
      <c r="H611" s="24" t="inlineStr">
        <is>
          <t>BS</t>
        </is>
      </c>
      <c r="I611" s="24" t="inlineStr">
        <is>
          <t>재무상태표</t>
        </is>
      </c>
      <c r="J611" s="24" t="inlineStr">
        <is>
          <t>ifrs-full_OtherCurrentLiabilities</t>
        </is>
      </c>
      <c r="K611" s="24" t="inlineStr">
        <is>
          <t>기타 유동부채</t>
        </is>
      </c>
      <c r="L611" s="24" t="inlineStr">
        <is>
          <t>-</t>
        </is>
      </c>
      <c r="M611" s="24" t="inlineStr">
        <is>
          <t>제 20 기</t>
        </is>
      </c>
      <c r="N611" s="24" t="inlineStr">
        <is>
          <t>345641604.0</t>
        </is>
      </c>
      <c r="O611" s="24" t="inlineStr">
        <is>
          <t>1137680540.0</t>
        </is>
      </c>
      <c r="P611" s="24" t="inlineStr">
        <is>
          <t>KRW</t>
        </is>
      </c>
      <c r="Q611" s="24" t="inlineStr">
        <is>
          <t>43</t>
        </is>
      </c>
    </row>
    <row r="612" ht="24" customHeight="1">
      <c r="A612" s="29" t="inlineStr">
        <is>
          <t>OpenDART_fnlttSinglAcntAll</t>
        </is>
      </c>
      <c r="B612" s="29" t="inlineStr">
        <is>
          <t>01021666</t>
        </is>
      </c>
      <c r="C612" s="29" t="inlineStr">
        <is>
          <t>덕산테코피아</t>
        </is>
      </c>
      <c r="D612" s="29" t="inlineStr">
        <is>
          <t>duksan</t>
        </is>
      </c>
      <c r="E612" s="29" t="inlineStr">
        <is>
          <t>317330</t>
        </is>
      </c>
      <c r="F612" s="29" t="inlineStr">
        <is>
          <t>2025</t>
        </is>
      </c>
      <c r="G612" s="29" t="inlineStr">
        <is>
          <t>CFS</t>
        </is>
      </c>
      <c r="H612" s="29" t="inlineStr">
        <is>
          <t>BS</t>
        </is>
      </c>
      <c r="I612" s="29" t="inlineStr">
        <is>
          <t>재무상태표</t>
        </is>
      </c>
      <c r="J612" s="29" t="inlineStr">
        <is>
          <t>ifrs-full_TradeAndOtherCurrentPayables</t>
        </is>
      </c>
      <c r="K612" s="29" t="inlineStr">
        <is>
          <t>매입채무 및 기타유동채무</t>
        </is>
      </c>
      <c r="L612" s="29" t="inlineStr">
        <is>
          <t>-</t>
        </is>
      </c>
      <c r="M612" s="29" t="inlineStr">
        <is>
          <t>제 20 기</t>
        </is>
      </c>
      <c r="N612" s="29" t="inlineStr">
        <is>
          <t>20160242640.0</t>
        </is>
      </c>
      <c r="O612" s="29" t="inlineStr">
        <is>
          <t>14757678459.0</t>
        </is>
      </c>
      <c r="P612" s="29" t="inlineStr">
        <is>
          <t>KRW</t>
        </is>
      </c>
      <c r="Q612" s="29" t="inlineStr">
        <is>
          <t>44</t>
        </is>
      </c>
    </row>
    <row r="613" ht="24" customHeight="1">
      <c r="A613" s="24" t="inlineStr">
        <is>
          <t>OpenDART_fnlttSinglAcntAll</t>
        </is>
      </c>
      <c r="B613" s="24" t="inlineStr">
        <is>
          <t>01021666</t>
        </is>
      </c>
      <c r="C613" s="24" t="inlineStr">
        <is>
          <t>덕산테코피아</t>
        </is>
      </c>
      <c r="D613" s="24" t="inlineStr">
        <is>
          <t>duksan</t>
        </is>
      </c>
      <c r="E613" s="24" t="inlineStr">
        <is>
          <t>317330</t>
        </is>
      </c>
      <c r="F613" s="24" t="inlineStr">
        <is>
          <t>2025</t>
        </is>
      </c>
      <c r="G613" s="24" t="inlineStr">
        <is>
          <t>CFS</t>
        </is>
      </c>
      <c r="H613" s="24" t="inlineStr">
        <is>
          <t>BS</t>
        </is>
      </c>
      <c r="I613" s="24" t="inlineStr">
        <is>
          <t>재무상태표</t>
        </is>
      </c>
      <c r="J613" s="24" t="inlineStr">
        <is>
          <t>ifrs-full_Liabilities</t>
        </is>
      </c>
      <c r="K613" s="24" t="inlineStr">
        <is>
          <t>부채총계</t>
        </is>
      </c>
      <c r="L613" s="24" t="inlineStr">
        <is>
          <t>-</t>
        </is>
      </c>
      <c r="M613" s="24" t="inlineStr">
        <is>
          <t>제 20 기</t>
        </is>
      </c>
      <c r="N613" s="24" t="inlineStr">
        <is>
          <t>540230144773.0</t>
        </is>
      </c>
      <c r="O613" s="24" t="inlineStr">
        <is>
          <t>457247657885.0</t>
        </is>
      </c>
      <c r="P613" s="24" t="inlineStr">
        <is>
          <t>KRW</t>
        </is>
      </c>
      <c r="Q613" s="24" t="inlineStr">
        <is>
          <t>45</t>
        </is>
      </c>
    </row>
    <row r="614" ht="24" customHeight="1">
      <c r="A614" s="29" t="inlineStr">
        <is>
          <t>OpenDART_fnlttSinglAcntAll</t>
        </is>
      </c>
      <c r="B614" s="29" t="inlineStr">
        <is>
          <t>01021666</t>
        </is>
      </c>
      <c r="C614" s="29" t="inlineStr">
        <is>
          <t>덕산테코피아</t>
        </is>
      </c>
      <c r="D614" s="29" t="inlineStr">
        <is>
          <t>duksan</t>
        </is>
      </c>
      <c r="E614" s="29" t="inlineStr">
        <is>
          <t>317330</t>
        </is>
      </c>
      <c r="F614" s="29" t="inlineStr">
        <is>
          <t>2025</t>
        </is>
      </c>
      <c r="G614" s="29" t="inlineStr">
        <is>
          <t>CFS</t>
        </is>
      </c>
      <c r="H614" s="29" t="inlineStr">
        <is>
          <t>BS</t>
        </is>
      </c>
      <c r="I614" s="29" t="inlineStr">
        <is>
          <t>재무상태표</t>
        </is>
      </c>
      <c r="J614" s="29" t="inlineStr">
        <is>
          <t>ifrs-full_NoncurrentLiabilities</t>
        </is>
      </c>
      <c r="K614" s="29" t="inlineStr">
        <is>
          <t>비유동부채</t>
        </is>
      </c>
      <c r="L614" s="29" t="inlineStr">
        <is>
          <t>-</t>
        </is>
      </c>
      <c r="M614" s="29" t="inlineStr">
        <is>
          <t>제 20 기</t>
        </is>
      </c>
      <c r="N614" s="29" t="inlineStr">
        <is>
          <t>83085055684.0</t>
        </is>
      </c>
      <c r="O614" s="29" t="inlineStr">
        <is>
          <t>119151269044.0</t>
        </is>
      </c>
      <c r="P614" s="29" t="inlineStr">
        <is>
          <t>KRW</t>
        </is>
      </c>
      <c r="Q614" s="29" t="inlineStr">
        <is>
          <t>46</t>
        </is>
      </c>
    </row>
    <row r="615" ht="24" customHeight="1">
      <c r="A615" s="24" t="inlineStr">
        <is>
          <t>OpenDART_fnlttSinglAcntAll</t>
        </is>
      </c>
      <c r="B615" s="24" t="inlineStr">
        <is>
          <t>01021666</t>
        </is>
      </c>
      <c r="C615" s="24" t="inlineStr">
        <is>
          <t>덕산테코피아</t>
        </is>
      </c>
      <c r="D615" s="24" t="inlineStr">
        <is>
          <t>duksan</t>
        </is>
      </c>
      <c r="E615" s="24" t="inlineStr">
        <is>
          <t>317330</t>
        </is>
      </c>
      <c r="F615" s="24" t="inlineStr">
        <is>
          <t>2025</t>
        </is>
      </c>
      <c r="G615" s="24" t="inlineStr">
        <is>
          <t>CFS</t>
        </is>
      </c>
      <c r="H615" s="24" t="inlineStr">
        <is>
          <t>BS</t>
        </is>
      </c>
      <c r="I615" s="24" t="inlineStr">
        <is>
          <t>재무상태표</t>
        </is>
      </c>
      <c r="J615" s="24" t="inlineStr">
        <is>
          <t>ifrs-full_NetDeferredTaxLiabilities</t>
        </is>
      </c>
      <c r="K615" s="24" t="inlineStr">
        <is>
          <t>순이연법인세부채</t>
        </is>
      </c>
      <c r="L615" s="24" t="inlineStr">
        <is>
          <t>-</t>
        </is>
      </c>
      <c r="M615" s="24" t="inlineStr">
        <is>
          <t>제 20 기</t>
        </is>
      </c>
      <c r="N615" s="24" t="inlineStr">
        <is>
          <t>해당 없음</t>
        </is>
      </c>
      <c r="O615" s="24" t="inlineStr">
        <is>
          <t>907025513.0</t>
        </is>
      </c>
      <c r="P615" s="24" t="inlineStr">
        <is>
          <t>KRW</t>
        </is>
      </c>
      <c r="Q615" s="24" t="inlineStr">
        <is>
          <t>49</t>
        </is>
      </c>
    </row>
    <row r="616" ht="24" customHeight="1">
      <c r="A616" s="29" t="inlineStr">
        <is>
          <t>OpenDART_fnlttSinglAcntAll</t>
        </is>
      </c>
      <c r="B616" s="29" t="inlineStr">
        <is>
          <t>01021666</t>
        </is>
      </c>
      <c r="C616" s="29" t="inlineStr">
        <is>
          <t>덕산테코피아</t>
        </is>
      </c>
      <c r="D616" s="29" t="inlineStr">
        <is>
          <t>duksan</t>
        </is>
      </c>
      <c r="E616" s="29" t="inlineStr">
        <is>
          <t>317330</t>
        </is>
      </c>
      <c r="F616" s="29" t="inlineStr">
        <is>
          <t>2025</t>
        </is>
      </c>
      <c r="G616" s="29" t="inlineStr">
        <is>
          <t>CFS</t>
        </is>
      </c>
      <c r="H616" s="29" t="inlineStr">
        <is>
          <t>BS</t>
        </is>
      </c>
      <c r="I616" s="29" t="inlineStr">
        <is>
          <t>재무상태표</t>
        </is>
      </c>
      <c r="J616" s="29" t="inlineStr">
        <is>
          <t>ifrs-full_NoncurrentPayables</t>
        </is>
      </c>
      <c r="K616" s="29" t="inlineStr">
        <is>
          <t>매입채무 및 기타비유동채무</t>
        </is>
      </c>
      <c r="L616" s="29" t="inlineStr">
        <is>
          <t>-</t>
        </is>
      </c>
      <c r="M616" s="29" t="inlineStr">
        <is>
          <t>제 20 기</t>
        </is>
      </c>
      <c r="N616" s="29" t="inlineStr">
        <is>
          <t>6980933605.0</t>
        </is>
      </c>
      <c r="O616" s="29" t="inlineStr">
        <is>
          <t>4104678204.0</t>
        </is>
      </c>
      <c r="P616" s="29" t="inlineStr">
        <is>
          <t>KRW</t>
        </is>
      </c>
      <c r="Q616" s="29" t="inlineStr">
        <is>
          <t>50</t>
        </is>
      </c>
    </row>
    <row r="617" ht="24" customHeight="1">
      <c r="A617" s="24" t="inlineStr">
        <is>
          <t>OpenDART_fnlttSinglAcntAll</t>
        </is>
      </c>
      <c r="B617" s="24" t="inlineStr">
        <is>
          <t>01021666</t>
        </is>
      </c>
      <c r="C617" s="24" t="inlineStr">
        <is>
          <t>덕산테코피아</t>
        </is>
      </c>
      <c r="D617" s="24" t="inlineStr">
        <is>
          <t>duksan</t>
        </is>
      </c>
      <c r="E617" s="24" t="inlineStr">
        <is>
          <t>317330</t>
        </is>
      </c>
      <c r="F617" s="24" t="inlineStr">
        <is>
          <t>2025</t>
        </is>
      </c>
      <c r="G617" s="24" t="inlineStr">
        <is>
          <t>CFS</t>
        </is>
      </c>
      <c r="H617" s="24" t="inlineStr">
        <is>
          <t>BS</t>
        </is>
      </c>
      <c r="I617" s="24" t="inlineStr">
        <is>
          <t>재무상태표</t>
        </is>
      </c>
      <c r="J617" s="24" t="inlineStr">
        <is>
          <t>ifrs-full_NoncurrentPortionOfNoncurrentLoansReceived</t>
        </is>
      </c>
      <c r="K617" s="24" t="inlineStr">
        <is>
          <t>비유동 금융기관 차입금(사채 제외)의 비유동성 대체 부분</t>
        </is>
      </c>
      <c r="L617" s="24" t="inlineStr">
        <is>
          <t>-</t>
        </is>
      </c>
      <c r="M617" s="24" t="inlineStr">
        <is>
          <t>제 20 기</t>
        </is>
      </c>
      <c r="N617" s="24" t="inlineStr">
        <is>
          <t>73198840000.0</t>
        </is>
      </c>
      <c r="O617" s="24" t="inlineStr">
        <is>
          <t>15214080000.0</t>
        </is>
      </c>
      <c r="P617" s="24" t="inlineStr">
        <is>
          <t>KRW</t>
        </is>
      </c>
      <c r="Q617" s="24" t="inlineStr">
        <is>
          <t>51</t>
        </is>
      </c>
    </row>
    <row r="618" ht="24" customHeight="1">
      <c r="A618" s="29" t="inlineStr">
        <is>
          <t>OpenDART_fnlttSinglAcntAll</t>
        </is>
      </c>
      <c r="B618" s="29" t="inlineStr">
        <is>
          <t>01021666</t>
        </is>
      </c>
      <c r="C618" s="29" t="inlineStr">
        <is>
          <t>덕산테코피아</t>
        </is>
      </c>
      <c r="D618" s="29" t="inlineStr">
        <is>
          <t>duksan</t>
        </is>
      </c>
      <c r="E618" s="29" t="inlineStr">
        <is>
          <t>317330</t>
        </is>
      </c>
      <c r="F618" s="29" t="inlineStr">
        <is>
          <t>2025</t>
        </is>
      </c>
      <c r="G618" s="29" t="inlineStr">
        <is>
          <t>CFS</t>
        </is>
      </c>
      <c r="H618" s="29" t="inlineStr">
        <is>
          <t>BS</t>
        </is>
      </c>
      <c r="I618" s="29" t="inlineStr">
        <is>
          <t>재무상태표</t>
        </is>
      </c>
      <c r="J618" s="29" t="inlineStr">
        <is>
          <t>ifrs-full_NoncurrentPortionOfOtherNoncurrentBorrowings</t>
        </is>
      </c>
      <c r="K618" s="29" t="inlineStr">
        <is>
          <t>기타 비유동차입금(사채 제외)의 비유동성 부분</t>
        </is>
      </c>
      <c r="L618" s="29" t="inlineStr">
        <is>
          <t>-</t>
        </is>
      </c>
      <c r="M618" s="29" t="inlineStr">
        <is>
          <t>제 20 기</t>
        </is>
      </c>
      <c r="N618" s="29" t="inlineStr">
        <is>
          <t>해당 없음</t>
        </is>
      </c>
      <c r="O618" s="29" t="inlineStr">
        <is>
          <t>96851761679.0</t>
        </is>
      </c>
      <c r="P618" s="29" t="inlineStr">
        <is>
          <t>KRW</t>
        </is>
      </c>
      <c r="Q618" s="29" t="inlineStr">
        <is>
          <t>52</t>
        </is>
      </c>
    </row>
    <row r="619" ht="24" customHeight="1">
      <c r="A619" s="24" t="inlineStr">
        <is>
          <t>OpenDART_fnlttSinglAcntAll</t>
        </is>
      </c>
      <c r="B619" s="24" t="inlineStr">
        <is>
          <t>01021666</t>
        </is>
      </c>
      <c r="C619" s="24" t="inlineStr">
        <is>
          <t>덕산테코피아</t>
        </is>
      </c>
      <c r="D619" s="24" t="inlineStr">
        <is>
          <t>duksan</t>
        </is>
      </c>
      <c r="E619" s="24" t="inlineStr">
        <is>
          <t>317330</t>
        </is>
      </c>
      <c r="F619" s="24" t="inlineStr">
        <is>
          <t>2025</t>
        </is>
      </c>
      <c r="G619" s="24" t="inlineStr">
        <is>
          <t>CFS</t>
        </is>
      </c>
      <c r="H619" s="24" t="inlineStr">
        <is>
          <t>BS</t>
        </is>
      </c>
      <c r="I619" s="24" t="inlineStr">
        <is>
          <t>재무상태표</t>
        </is>
      </c>
      <c r="J619" s="24" t="inlineStr">
        <is>
          <t>ifrs-full_NoncurrentRecognisedLiabilitiesDefinedBenefitPlan</t>
        </is>
      </c>
      <c r="K619" s="24" t="inlineStr">
        <is>
          <t>비유동 순확정급여부채</t>
        </is>
      </c>
      <c r="L619" s="24" t="inlineStr">
        <is>
          <t>-</t>
        </is>
      </c>
      <c r="M619" s="24" t="inlineStr">
        <is>
          <t>제 20 기</t>
        </is>
      </c>
      <c r="N619" s="24" t="inlineStr">
        <is>
          <t>2505672947.0</t>
        </is>
      </c>
      <c r="O619" s="24" t="inlineStr">
        <is>
          <t>1719249403.0</t>
        </is>
      </c>
      <c r="P619" s="24" t="inlineStr">
        <is>
          <t>KRW</t>
        </is>
      </c>
      <c r="Q619" s="24" t="inlineStr">
        <is>
          <t>53</t>
        </is>
      </c>
    </row>
    <row r="620" ht="24" customHeight="1">
      <c r="A620" s="29" t="inlineStr">
        <is>
          <t>OpenDART_fnlttSinglAcntAll</t>
        </is>
      </c>
      <c r="B620" s="29" t="inlineStr">
        <is>
          <t>01021666</t>
        </is>
      </c>
      <c r="C620" s="29" t="inlineStr">
        <is>
          <t>덕산테코피아</t>
        </is>
      </c>
      <c r="D620" s="29" t="inlineStr">
        <is>
          <t>duksan</t>
        </is>
      </c>
      <c r="E620" s="29" t="inlineStr">
        <is>
          <t>317330</t>
        </is>
      </c>
      <c r="F620" s="29" t="inlineStr">
        <is>
          <t>2025</t>
        </is>
      </c>
      <c r="G620" s="29" t="inlineStr">
        <is>
          <t>CFS</t>
        </is>
      </c>
      <c r="H620" s="29" t="inlineStr">
        <is>
          <t>BS</t>
        </is>
      </c>
      <c r="I620" s="29" t="inlineStr">
        <is>
          <t>재무상태표</t>
        </is>
      </c>
      <c r="J620" s="29" t="inlineStr">
        <is>
          <t>ifrs-full_OtherNoncurrentLiabilities</t>
        </is>
      </c>
      <c r="K620" s="29" t="inlineStr">
        <is>
          <t>기타 비유동 부채</t>
        </is>
      </c>
      <c r="L620" s="29" t="inlineStr">
        <is>
          <t>-</t>
        </is>
      </c>
      <c r="M620" s="29" t="inlineStr">
        <is>
          <t>제 20 기</t>
        </is>
      </c>
      <c r="N620" s="29" t="inlineStr">
        <is>
          <t>399609132.0</t>
        </is>
      </c>
      <c r="O620" s="29" t="inlineStr">
        <is>
          <t>354474245.0</t>
        </is>
      </c>
      <c r="P620" s="29" t="inlineStr">
        <is>
          <t>KRW</t>
        </is>
      </c>
      <c r="Q620" s="29" t="inlineStr">
        <is>
          <t>54</t>
        </is>
      </c>
    </row>
    <row r="621" ht="24" customHeight="1">
      <c r="A621" s="24" t="inlineStr">
        <is>
          <t>OpenDART_fnlttSinglAcntAll</t>
        </is>
      </c>
      <c r="B621" s="24" t="inlineStr">
        <is>
          <t>01021666</t>
        </is>
      </c>
      <c r="C621" s="24" t="inlineStr">
        <is>
          <t>덕산테코피아</t>
        </is>
      </c>
      <c r="D621" s="24" t="inlineStr">
        <is>
          <t>duksan</t>
        </is>
      </c>
      <c r="E621" s="24" t="inlineStr">
        <is>
          <t>317330</t>
        </is>
      </c>
      <c r="F621" s="24" t="inlineStr">
        <is>
          <t>2025</t>
        </is>
      </c>
      <c r="G621" s="24" t="inlineStr">
        <is>
          <t>CFS</t>
        </is>
      </c>
      <c r="H621" s="24" t="inlineStr">
        <is>
          <t>CIS</t>
        </is>
      </c>
      <c r="I621" s="24" t="inlineStr">
        <is>
          <t>포괄손익계산서</t>
        </is>
      </c>
      <c r="J621" s="24" t="inlineStr">
        <is>
          <t>dart_OperatingIncomeLoss</t>
        </is>
      </c>
      <c r="K621" s="24" t="inlineStr">
        <is>
          <t>영업이익(손실)</t>
        </is>
      </c>
      <c r="L621" s="24" t="inlineStr">
        <is>
          <t>-</t>
        </is>
      </c>
      <c r="M621" s="24" t="inlineStr">
        <is>
          <t>제 20 기</t>
        </is>
      </c>
      <c r="N621" s="24" t="inlineStr">
        <is>
          <t>-43026410473.0</t>
        </is>
      </c>
      <c r="O621" s="24" t="inlineStr">
        <is>
          <t>-30219465064.0</t>
        </is>
      </c>
      <c r="P621" s="24" t="inlineStr">
        <is>
          <t>KRW</t>
        </is>
      </c>
      <c r="Q621" s="24" t="inlineStr">
        <is>
          <t>6</t>
        </is>
      </c>
    </row>
    <row r="622" ht="24" customHeight="1">
      <c r="A622" s="29" t="inlineStr">
        <is>
          <t>OpenDART_fnlttSinglAcntAll</t>
        </is>
      </c>
      <c r="B622" s="29" t="inlineStr">
        <is>
          <t>01021666</t>
        </is>
      </c>
      <c r="C622" s="29" t="inlineStr">
        <is>
          <t>덕산테코피아</t>
        </is>
      </c>
      <c r="D622" s="29" t="inlineStr">
        <is>
          <t>duksan</t>
        </is>
      </c>
      <c r="E622" s="29" t="inlineStr">
        <is>
          <t>317330</t>
        </is>
      </c>
      <c r="F622" s="29" t="inlineStr">
        <is>
          <t>2025</t>
        </is>
      </c>
      <c r="G622" s="29" t="inlineStr">
        <is>
          <t>CFS</t>
        </is>
      </c>
      <c r="H622" s="29" t="inlineStr">
        <is>
          <t>CIS</t>
        </is>
      </c>
      <c r="I622" s="29" t="inlineStr">
        <is>
          <t>포괄손익계산서</t>
        </is>
      </c>
      <c r="J622" s="29" t="inlineStr">
        <is>
          <t>dart_OtherGains</t>
        </is>
      </c>
      <c r="K622" s="29" t="inlineStr">
        <is>
          <t>기타이익</t>
        </is>
      </c>
      <c r="L622" s="29" t="inlineStr">
        <is>
          <t>-</t>
        </is>
      </c>
      <c r="M622" s="29" t="inlineStr">
        <is>
          <t>제 20 기</t>
        </is>
      </c>
      <c r="N622" s="29" t="inlineStr">
        <is>
          <t>214066382.0</t>
        </is>
      </c>
      <c r="O622" s="29" t="inlineStr">
        <is>
          <t>188442903.0</t>
        </is>
      </c>
      <c r="P622" s="29" t="inlineStr">
        <is>
          <t>KRW</t>
        </is>
      </c>
      <c r="Q622" s="29" t="inlineStr">
        <is>
          <t>7</t>
        </is>
      </c>
    </row>
    <row r="623" ht="24" customHeight="1">
      <c r="A623" s="24" t="inlineStr">
        <is>
          <t>OpenDART_fnlttSinglAcntAll</t>
        </is>
      </c>
      <c r="B623" s="24" t="inlineStr">
        <is>
          <t>01021666</t>
        </is>
      </c>
      <c r="C623" s="24" t="inlineStr">
        <is>
          <t>덕산테코피아</t>
        </is>
      </c>
      <c r="D623" s="24" t="inlineStr">
        <is>
          <t>duksan</t>
        </is>
      </c>
      <c r="E623" s="24" t="inlineStr">
        <is>
          <t>317330</t>
        </is>
      </c>
      <c r="F623" s="24" t="inlineStr">
        <is>
          <t>2025</t>
        </is>
      </c>
      <c r="G623" s="24" t="inlineStr">
        <is>
          <t>CFS</t>
        </is>
      </c>
      <c r="H623" s="24" t="inlineStr">
        <is>
          <t>CIS</t>
        </is>
      </c>
      <c r="I623" s="24" t="inlineStr">
        <is>
          <t>포괄손익계산서</t>
        </is>
      </c>
      <c r="J623" s="24" t="inlineStr">
        <is>
          <t>dart_OtherLosses</t>
        </is>
      </c>
      <c r="K623" s="24" t="inlineStr">
        <is>
          <t>기타손실</t>
        </is>
      </c>
      <c r="L623" s="24" t="inlineStr">
        <is>
          <t>-</t>
        </is>
      </c>
      <c r="M623" s="24" t="inlineStr">
        <is>
          <t>제 20 기</t>
        </is>
      </c>
      <c r="N623" s="24" t="inlineStr">
        <is>
          <t>1500231130.0</t>
        </is>
      </c>
      <c r="O623" s="24" t="inlineStr">
        <is>
          <t>448412308.0</t>
        </is>
      </c>
      <c r="P623" s="24" t="inlineStr">
        <is>
          <t>KRW</t>
        </is>
      </c>
      <c r="Q623" s="24" t="inlineStr">
        <is>
          <t>8</t>
        </is>
      </c>
    </row>
    <row r="624" ht="24" customHeight="1">
      <c r="A624" s="29" t="inlineStr">
        <is>
          <t>OpenDART_fnlttSinglAcntAll</t>
        </is>
      </c>
      <c r="B624" s="29" t="inlineStr">
        <is>
          <t>01021666</t>
        </is>
      </c>
      <c r="C624" s="29" t="inlineStr">
        <is>
          <t>덕산테코피아</t>
        </is>
      </c>
      <c r="D624" s="29" t="inlineStr">
        <is>
          <t>duksan</t>
        </is>
      </c>
      <c r="E624" s="29" t="inlineStr">
        <is>
          <t>317330</t>
        </is>
      </c>
      <c r="F624" s="29" t="inlineStr">
        <is>
          <t>2025</t>
        </is>
      </c>
      <c r="G624" s="29" t="inlineStr">
        <is>
          <t>CFS</t>
        </is>
      </c>
      <c r="H624" s="29" t="inlineStr">
        <is>
          <t>CIS</t>
        </is>
      </c>
      <c r="I624" s="29" t="inlineStr">
        <is>
          <t>포괄손익계산서</t>
        </is>
      </c>
      <c r="J624" s="29" t="inlineStr">
        <is>
          <t>-표준계정코드 미사용-</t>
        </is>
      </c>
      <c r="K624" s="29" t="inlineStr">
        <is>
          <t>기타영업수익</t>
        </is>
      </c>
      <c r="L624" s="29" t="inlineStr">
        <is>
          <t>-</t>
        </is>
      </c>
      <c r="M624" s="29" t="inlineStr">
        <is>
          <t>제 20 기</t>
        </is>
      </c>
      <c r="N624" s="29" t="inlineStr">
        <is>
          <t>6298414080.0</t>
        </is>
      </c>
      <c r="O624" s="29" t="inlineStr">
        <is>
          <t>0.0</t>
        </is>
      </c>
      <c r="P624" s="29" t="inlineStr">
        <is>
          <t>KRW</t>
        </is>
      </c>
      <c r="Q624" s="29" t="inlineStr">
        <is>
          <t>9</t>
        </is>
      </c>
    </row>
    <row r="625" ht="24" customHeight="1">
      <c r="A625" s="24" t="inlineStr">
        <is>
          <t>OpenDART_fnlttSinglAcntAll</t>
        </is>
      </c>
      <c r="B625" s="24" t="inlineStr">
        <is>
          <t>01021666</t>
        </is>
      </c>
      <c r="C625" s="24" t="inlineStr">
        <is>
          <t>덕산테코피아</t>
        </is>
      </c>
      <c r="D625" s="24" t="inlineStr">
        <is>
          <t>duksan</t>
        </is>
      </c>
      <c r="E625" s="24" t="inlineStr">
        <is>
          <t>317330</t>
        </is>
      </c>
      <c r="F625" s="24" t="inlineStr">
        <is>
          <t>2025</t>
        </is>
      </c>
      <c r="G625" s="24" t="inlineStr">
        <is>
          <t>CFS</t>
        </is>
      </c>
      <c r="H625" s="24" t="inlineStr">
        <is>
          <t>CIS</t>
        </is>
      </c>
      <c r="I625" s="24" t="inlineStr">
        <is>
          <t>포괄손익계산서</t>
        </is>
      </c>
      <c r="J625" s="24" t="inlineStr">
        <is>
          <t>ifrs-full_ComprehensiveIncome</t>
        </is>
      </c>
      <c r="K625" s="24" t="inlineStr">
        <is>
          <t>총포괄손익</t>
        </is>
      </c>
      <c r="L625" s="24" t="inlineStr">
        <is>
          <t>-</t>
        </is>
      </c>
      <c r="M625" s="24" t="inlineStr">
        <is>
          <t>제 20 기</t>
        </is>
      </c>
      <c r="N625" s="24" t="inlineStr">
        <is>
          <t>-101993909640.0</t>
        </is>
      </c>
      <c r="O625" s="24" t="inlineStr">
        <is>
          <t>-74803665844.0</t>
        </is>
      </c>
      <c r="P625" s="24" t="inlineStr">
        <is>
          <t>KRW</t>
        </is>
      </c>
      <c r="Q625" s="24" t="inlineStr">
        <is>
          <t>10</t>
        </is>
      </c>
    </row>
    <row r="626" ht="24" customHeight="1">
      <c r="A626" s="29" t="inlineStr">
        <is>
          <t>OpenDART_fnlttSinglAcntAll</t>
        </is>
      </c>
      <c r="B626" s="29" t="inlineStr">
        <is>
          <t>01021666</t>
        </is>
      </c>
      <c r="C626" s="29" t="inlineStr">
        <is>
          <t>덕산테코피아</t>
        </is>
      </c>
      <c r="D626" s="29" t="inlineStr">
        <is>
          <t>duksan</t>
        </is>
      </c>
      <c r="E626" s="29" t="inlineStr">
        <is>
          <t>317330</t>
        </is>
      </c>
      <c r="F626" s="29" t="inlineStr">
        <is>
          <t>2025</t>
        </is>
      </c>
      <c r="G626" s="29" t="inlineStr">
        <is>
          <t>CFS</t>
        </is>
      </c>
      <c r="H626" s="29" t="inlineStr">
        <is>
          <t>CIS</t>
        </is>
      </c>
      <c r="I626" s="29" t="inlineStr">
        <is>
          <t>포괄손익계산서</t>
        </is>
      </c>
      <c r="J626" s="29" t="inlineStr">
        <is>
          <t>ifrs-full_ComprehensiveIncomeAttributableToNoncontrollingInterests</t>
        </is>
      </c>
      <c r="K626" s="29" t="inlineStr">
        <is>
          <t>포괄손익, 비지배지분</t>
        </is>
      </c>
      <c r="L626" s="29" t="inlineStr">
        <is>
          <t>-</t>
        </is>
      </c>
      <c r="M626" s="29" t="inlineStr">
        <is>
          <t>제 20 기</t>
        </is>
      </c>
      <c r="N626" s="29" t="inlineStr">
        <is>
          <t>-27791060768.0</t>
        </is>
      </c>
      <c r="O626" s="29" t="inlineStr">
        <is>
          <t>-20053147446.0</t>
        </is>
      </c>
      <c r="P626" s="29" t="inlineStr">
        <is>
          <t>KRW</t>
        </is>
      </c>
      <c r="Q626" s="29" t="inlineStr">
        <is>
          <t>12</t>
        </is>
      </c>
    </row>
    <row r="627" ht="24" customHeight="1">
      <c r="A627" s="24" t="inlineStr">
        <is>
          <t>OpenDART_fnlttSinglAcntAll</t>
        </is>
      </c>
      <c r="B627" s="24" t="inlineStr">
        <is>
          <t>01021666</t>
        </is>
      </c>
      <c r="C627" s="24" t="inlineStr">
        <is>
          <t>덕산테코피아</t>
        </is>
      </c>
      <c r="D627" s="24" t="inlineStr">
        <is>
          <t>duksan</t>
        </is>
      </c>
      <c r="E627" s="24" t="inlineStr">
        <is>
          <t>317330</t>
        </is>
      </c>
      <c r="F627" s="24" t="inlineStr">
        <is>
          <t>2025</t>
        </is>
      </c>
      <c r="G627" s="24" t="inlineStr">
        <is>
          <t>CFS</t>
        </is>
      </c>
      <c r="H627" s="24" t="inlineStr">
        <is>
          <t>CIS</t>
        </is>
      </c>
      <c r="I627" s="24" t="inlineStr">
        <is>
          <t>포괄손익계산서</t>
        </is>
      </c>
      <c r="J627" s="24" t="inlineStr">
        <is>
          <t>ifrs-full_ComprehensiveIncomeAttributableToOwnersOfParent</t>
        </is>
      </c>
      <c r="K627" s="24" t="inlineStr">
        <is>
          <t>포괄손익, 지배기업의 소유주에게 귀속되는 지분</t>
        </is>
      </c>
      <c r="L627" s="24" t="inlineStr">
        <is>
          <t>-</t>
        </is>
      </c>
      <c r="M627" s="24" t="inlineStr">
        <is>
          <t>제 20 기</t>
        </is>
      </c>
      <c r="N627" s="24" t="inlineStr">
        <is>
          <t>-74202848872.0</t>
        </is>
      </c>
      <c r="O627" s="24" t="inlineStr">
        <is>
          <t>-54750518398.0</t>
        </is>
      </c>
      <c r="P627" s="24" t="inlineStr">
        <is>
          <t>KRW</t>
        </is>
      </c>
      <c r="Q627" s="24" t="inlineStr">
        <is>
          <t>13</t>
        </is>
      </c>
    </row>
    <row r="628" ht="24" customHeight="1">
      <c r="A628" s="29" t="inlineStr">
        <is>
          <t>OpenDART_fnlttSinglAcntAll</t>
        </is>
      </c>
      <c r="B628" s="29" t="inlineStr">
        <is>
          <t>01021666</t>
        </is>
      </c>
      <c r="C628" s="29" t="inlineStr">
        <is>
          <t>덕산테코피아</t>
        </is>
      </c>
      <c r="D628" s="29" t="inlineStr">
        <is>
          <t>duksan</t>
        </is>
      </c>
      <c r="E628" s="29" t="inlineStr">
        <is>
          <t>317330</t>
        </is>
      </c>
      <c r="F628" s="29" t="inlineStr">
        <is>
          <t>2025</t>
        </is>
      </c>
      <c r="G628" s="29" t="inlineStr">
        <is>
          <t>CFS</t>
        </is>
      </c>
      <c r="H628" s="29" t="inlineStr">
        <is>
          <t>CIS</t>
        </is>
      </c>
      <c r="I628" s="29" t="inlineStr">
        <is>
          <t>포괄손익계산서</t>
        </is>
      </c>
      <c r="J628" s="29" t="inlineStr">
        <is>
          <t>ifrs-full_CostOfSales</t>
        </is>
      </c>
      <c r="K628" s="29" t="inlineStr">
        <is>
          <t>매출원가</t>
        </is>
      </c>
      <c r="L628" s="29" t="inlineStr">
        <is>
          <t>-</t>
        </is>
      </c>
      <c r="M628" s="29" t="inlineStr">
        <is>
          <t>제 20 기</t>
        </is>
      </c>
      <c r="N628" s="29" t="inlineStr">
        <is>
          <t>116640260337.0</t>
        </is>
      </c>
      <c r="O628" s="29" t="inlineStr">
        <is>
          <t>86464787962.0</t>
        </is>
      </c>
      <c r="P628" s="29" t="inlineStr">
        <is>
          <t>KRW</t>
        </is>
      </c>
      <c r="Q628" s="29" t="inlineStr">
        <is>
          <t>14</t>
        </is>
      </c>
    </row>
    <row r="629" ht="24" customHeight="1">
      <c r="A629" s="24" t="inlineStr">
        <is>
          <t>OpenDART_fnlttSinglAcntAll</t>
        </is>
      </c>
      <c r="B629" s="24" t="inlineStr">
        <is>
          <t>01021666</t>
        </is>
      </c>
      <c r="C629" s="24" t="inlineStr">
        <is>
          <t>덕산테코피아</t>
        </is>
      </c>
      <c r="D629" s="24" t="inlineStr">
        <is>
          <t>duksan</t>
        </is>
      </c>
      <c r="E629" s="24" t="inlineStr">
        <is>
          <t>317330</t>
        </is>
      </c>
      <c r="F629" s="24" t="inlineStr">
        <is>
          <t>2025</t>
        </is>
      </c>
      <c r="G629" s="24" t="inlineStr">
        <is>
          <t>CFS</t>
        </is>
      </c>
      <c r="H629" s="24" t="inlineStr">
        <is>
          <t>CIS</t>
        </is>
      </c>
      <c r="I629" s="24" t="inlineStr">
        <is>
          <t>포괄손익계산서</t>
        </is>
      </c>
      <c r="J629" s="24" t="inlineStr">
        <is>
          <t>ifrs-full_BasicEarningsLossPerShare</t>
        </is>
      </c>
      <c r="K629" s="24" t="inlineStr">
        <is>
          <t>기본주당이익(손실)</t>
        </is>
      </c>
      <c r="L629" s="24" t="inlineStr">
        <is>
          <t>-</t>
        </is>
      </c>
      <c r="M629" s="24" t="inlineStr">
        <is>
          <t>제 20 기</t>
        </is>
      </c>
      <c r="N629" s="24" t="inlineStr">
        <is>
          <t>-3752.0</t>
        </is>
      </c>
      <c r="O629" s="24" t="inlineStr">
        <is>
          <t>-2692.0</t>
        </is>
      </c>
      <c r="P629" s="24" t="inlineStr">
        <is>
          <t>KRW</t>
        </is>
      </c>
      <c r="Q629" s="24" t="inlineStr">
        <is>
          <t>16</t>
        </is>
      </c>
    </row>
    <row r="630" ht="24" customHeight="1">
      <c r="A630" s="29" t="inlineStr">
        <is>
          <t>OpenDART_fnlttSinglAcntAll</t>
        </is>
      </c>
      <c r="B630" s="29" t="inlineStr">
        <is>
          <t>01021666</t>
        </is>
      </c>
      <c r="C630" s="29" t="inlineStr">
        <is>
          <t>덕산테코피아</t>
        </is>
      </c>
      <c r="D630" s="29" t="inlineStr">
        <is>
          <t>duksan</t>
        </is>
      </c>
      <c r="E630" s="29" t="inlineStr">
        <is>
          <t>317330</t>
        </is>
      </c>
      <c r="F630" s="29" t="inlineStr">
        <is>
          <t>2025</t>
        </is>
      </c>
      <c r="G630" s="29" t="inlineStr">
        <is>
          <t>CFS</t>
        </is>
      </c>
      <c r="H630" s="29" t="inlineStr">
        <is>
          <t>CIS</t>
        </is>
      </c>
      <c r="I630" s="29" t="inlineStr">
        <is>
          <t>포괄손익계산서</t>
        </is>
      </c>
      <c r="J630" s="29" t="inlineStr">
        <is>
          <t>ifrs-full_DilutedEarningsLossPerShare</t>
        </is>
      </c>
      <c r="K630" s="29" t="inlineStr">
        <is>
          <t>희석주당이익(손실)</t>
        </is>
      </c>
      <c r="L630" s="29" t="inlineStr">
        <is>
          <t>-</t>
        </is>
      </c>
      <c r="M630" s="29" t="inlineStr">
        <is>
          <t>제 20 기</t>
        </is>
      </c>
      <c r="N630" s="29" t="inlineStr">
        <is>
          <t>-3752.0</t>
        </is>
      </c>
      <c r="O630" s="29" t="inlineStr">
        <is>
          <t>-2692.0</t>
        </is>
      </c>
      <c r="P630" s="29" t="inlineStr">
        <is>
          <t>KRW</t>
        </is>
      </c>
      <c r="Q630" s="29" t="inlineStr">
        <is>
          <t>17</t>
        </is>
      </c>
    </row>
    <row r="631" ht="24" customHeight="1">
      <c r="A631" s="24" t="inlineStr">
        <is>
          <t>OpenDART_fnlttSinglAcntAll</t>
        </is>
      </c>
      <c r="B631" s="24" t="inlineStr">
        <is>
          <t>01021666</t>
        </is>
      </c>
      <c r="C631" s="24" t="inlineStr">
        <is>
          <t>덕산테코피아</t>
        </is>
      </c>
      <c r="D631" s="24" t="inlineStr">
        <is>
          <t>duksan</t>
        </is>
      </c>
      <c r="E631" s="24" t="inlineStr">
        <is>
          <t>317330</t>
        </is>
      </c>
      <c r="F631" s="24" t="inlineStr">
        <is>
          <t>2025</t>
        </is>
      </c>
      <c r="G631" s="24" t="inlineStr">
        <is>
          <t>CFS</t>
        </is>
      </c>
      <c r="H631" s="24" t="inlineStr">
        <is>
          <t>CIS</t>
        </is>
      </c>
      <c r="I631" s="24" t="inlineStr">
        <is>
          <t>포괄손익계산서</t>
        </is>
      </c>
      <c r="J631" s="24" t="inlineStr">
        <is>
          <t>ifrs-full_FinanceCosts</t>
        </is>
      </c>
      <c r="K631" s="24" t="inlineStr">
        <is>
          <t>금융원가</t>
        </is>
      </c>
      <c r="L631" s="24" t="inlineStr">
        <is>
          <t>-</t>
        </is>
      </c>
      <c r="M631" s="24" t="inlineStr">
        <is>
          <t>제 20 기</t>
        </is>
      </c>
      <c r="N631" s="24" t="inlineStr">
        <is>
          <t>76936683973.0</t>
        </is>
      </c>
      <c r="O631" s="24" t="inlineStr">
        <is>
          <t>82835952349.0</t>
        </is>
      </c>
      <c r="P631" s="24" t="inlineStr">
        <is>
          <t>KRW</t>
        </is>
      </c>
      <c r="Q631" s="24" t="inlineStr">
        <is>
          <t>18</t>
        </is>
      </c>
    </row>
    <row r="632" ht="24" customHeight="1">
      <c r="A632" s="29" t="inlineStr">
        <is>
          <t>OpenDART_fnlttSinglAcntAll</t>
        </is>
      </c>
      <c r="B632" s="29" t="inlineStr">
        <is>
          <t>01021666</t>
        </is>
      </c>
      <c r="C632" s="29" t="inlineStr">
        <is>
          <t>덕산테코피아</t>
        </is>
      </c>
      <c r="D632" s="29" t="inlineStr">
        <is>
          <t>duksan</t>
        </is>
      </c>
      <c r="E632" s="29" t="inlineStr">
        <is>
          <t>317330</t>
        </is>
      </c>
      <c r="F632" s="29" t="inlineStr">
        <is>
          <t>2025</t>
        </is>
      </c>
      <c r="G632" s="29" t="inlineStr">
        <is>
          <t>CFS</t>
        </is>
      </c>
      <c r="H632" s="29" t="inlineStr">
        <is>
          <t>CIS</t>
        </is>
      </c>
      <c r="I632" s="29" t="inlineStr">
        <is>
          <t>포괄손익계산서</t>
        </is>
      </c>
      <c r="J632" s="29" t="inlineStr">
        <is>
          <t>ifrs-full_FinanceIncome</t>
        </is>
      </c>
      <c r="K632" s="29" t="inlineStr">
        <is>
          <t>금융수익</t>
        </is>
      </c>
      <c r="L632" s="29" t="inlineStr">
        <is>
          <t>-</t>
        </is>
      </c>
      <c r="M632" s="29" t="inlineStr">
        <is>
          <t>제 20 기</t>
        </is>
      </c>
      <c r="N632" s="29" t="inlineStr">
        <is>
          <t>14311621837.0</t>
        </is>
      </c>
      <c r="O632" s="29" t="inlineStr">
        <is>
          <t>40802317909.0</t>
        </is>
      </c>
      <c r="P632" s="29" t="inlineStr">
        <is>
          <t>KRW</t>
        </is>
      </c>
      <c r="Q632" s="29" t="inlineStr">
        <is>
          <t>19</t>
        </is>
      </c>
    </row>
    <row r="633" ht="24" customHeight="1">
      <c r="A633" s="24" t="inlineStr">
        <is>
          <t>OpenDART_fnlttSinglAcntAll</t>
        </is>
      </c>
      <c r="B633" s="24" t="inlineStr">
        <is>
          <t>01021666</t>
        </is>
      </c>
      <c r="C633" s="24" t="inlineStr">
        <is>
          <t>덕산테코피아</t>
        </is>
      </c>
      <c r="D633" s="24" t="inlineStr">
        <is>
          <t>duksan</t>
        </is>
      </c>
      <c r="E633" s="24" t="inlineStr">
        <is>
          <t>317330</t>
        </is>
      </c>
      <c r="F633" s="24" t="inlineStr">
        <is>
          <t>2025</t>
        </is>
      </c>
      <c r="G633" s="24" t="inlineStr">
        <is>
          <t>CFS</t>
        </is>
      </c>
      <c r="H633" s="24" t="inlineStr">
        <is>
          <t>CIS</t>
        </is>
      </c>
      <c r="I633" s="24" t="inlineStr">
        <is>
          <t>포괄손익계산서</t>
        </is>
      </c>
      <c r="J633" s="24" t="inlineStr">
        <is>
          <t>ifrs-full_GrossProfit</t>
        </is>
      </c>
      <c r="K633" s="24" t="inlineStr">
        <is>
          <t>매출총이익</t>
        </is>
      </c>
      <c r="L633" s="24" t="inlineStr">
        <is>
          <t>-</t>
        </is>
      </c>
      <c r="M633" s="24" t="inlineStr">
        <is>
          <t>제 20 기</t>
        </is>
      </c>
      <c r="N633" s="24" t="inlineStr">
        <is>
          <t>-4561305854.0</t>
        </is>
      </c>
      <c r="O633" s="24" t="inlineStr">
        <is>
          <t>13229643550.0</t>
        </is>
      </c>
      <c r="P633" s="24" t="inlineStr">
        <is>
          <t>KRW</t>
        </is>
      </c>
      <c r="Q633" s="24" t="inlineStr">
        <is>
          <t>20</t>
        </is>
      </c>
    </row>
    <row r="634" ht="24" customHeight="1">
      <c r="A634" s="29" t="inlineStr">
        <is>
          <t>OpenDART_fnlttSinglAcntAll</t>
        </is>
      </c>
      <c r="B634" s="29" t="inlineStr">
        <is>
          <t>01021666</t>
        </is>
      </c>
      <c r="C634" s="29" t="inlineStr">
        <is>
          <t>덕산테코피아</t>
        </is>
      </c>
      <c r="D634" s="29" t="inlineStr">
        <is>
          <t>duksan</t>
        </is>
      </c>
      <c r="E634" s="29" t="inlineStr">
        <is>
          <t>317330</t>
        </is>
      </c>
      <c r="F634" s="29" t="inlineStr">
        <is>
          <t>2025</t>
        </is>
      </c>
      <c r="G634" s="29" t="inlineStr">
        <is>
          <t>CFS</t>
        </is>
      </c>
      <c r="H634" s="29" t="inlineStr">
        <is>
          <t>CIS</t>
        </is>
      </c>
      <c r="I634" s="29" t="inlineStr">
        <is>
          <t>포괄손익계산서</t>
        </is>
      </c>
      <c r="J634" s="29" t="inlineStr">
        <is>
          <t>ifrs-full_IncomeTaxExpenseContinuingOperations</t>
        </is>
      </c>
      <c r="K634" s="29" t="inlineStr">
        <is>
          <t>법인세비용(수익)</t>
        </is>
      </c>
      <c r="L634" s="29" t="inlineStr">
        <is>
          <t>-</t>
        </is>
      </c>
      <c r="M634" s="29" t="inlineStr">
        <is>
          <t>제 20 기</t>
        </is>
      </c>
      <c r="N634" s="29" t="inlineStr">
        <is>
          <t>-1387175099.0</t>
        </is>
      </c>
      <c r="O634" s="29" t="inlineStr">
        <is>
          <t>66080209.0</t>
        </is>
      </c>
      <c r="P634" s="29" t="inlineStr">
        <is>
          <t>KRW</t>
        </is>
      </c>
      <c r="Q634" s="29" t="inlineStr">
        <is>
          <t>21</t>
        </is>
      </c>
    </row>
    <row r="635" ht="24" customHeight="1">
      <c r="A635" s="24" t="inlineStr">
        <is>
          <t>OpenDART_fnlttSinglAcntAll</t>
        </is>
      </c>
      <c r="B635" s="24" t="inlineStr">
        <is>
          <t>01021666</t>
        </is>
      </c>
      <c r="C635" s="24" t="inlineStr">
        <is>
          <t>덕산테코피아</t>
        </is>
      </c>
      <c r="D635" s="24" t="inlineStr">
        <is>
          <t>duksan</t>
        </is>
      </c>
      <c r="E635" s="24" t="inlineStr">
        <is>
          <t>317330</t>
        </is>
      </c>
      <c r="F635" s="24" t="inlineStr">
        <is>
          <t>2025</t>
        </is>
      </c>
      <c r="G635" s="24" t="inlineStr">
        <is>
          <t>CFS</t>
        </is>
      </c>
      <c r="H635" s="24" t="inlineStr">
        <is>
          <t>CIS</t>
        </is>
      </c>
      <c r="I635" s="24" t="inlineStr">
        <is>
          <t>포괄손익계산서</t>
        </is>
      </c>
      <c r="J635" s="24" t="inlineStr">
        <is>
          <t>ifrs-full_OtherComprehensiveIncome</t>
        </is>
      </c>
      <c r="K635" s="24" t="inlineStr">
        <is>
          <t>기타포괄손익</t>
        </is>
      </c>
      <c r="L635" s="24" t="inlineStr">
        <is>
          <t>-</t>
        </is>
      </c>
      <c r="M635" s="24" t="inlineStr">
        <is>
          <t>제 20 기</t>
        </is>
      </c>
      <c r="N635" s="24" t="inlineStr">
        <is>
          <t>3556552618.0</t>
        </is>
      </c>
      <c r="O635" s="24" t="inlineStr">
        <is>
          <t>-2224516726.0</t>
        </is>
      </c>
      <c r="P635" s="24" t="inlineStr">
        <is>
          <t>KRW</t>
        </is>
      </c>
      <c r="Q635" s="24" t="inlineStr">
        <is>
          <t>22</t>
        </is>
      </c>
    </row>
    <row r="636" ht="24" customHeight="1">
      <c r="A636" s="29" t="inlineStr">
        <is>
          <t>OpenDART_fnlttSinglAcntAll</t>
        </is>
      </c>
      <c r="B636" s="29" t="inlineStr">
        <is>
          <t>01021666</t>
        </is>
      </c>
      <c r="C636" s="29" t="inlineStr">
        <is>
          <t>덕산테코피아</t>
        </is>
      </c>
      <c r="D636" s="29" t="inlineStr">
        <is>
          <t>duksan</t>
        </is>
      </c>
      <c r="E636" s="29" t="inlineStr">
        <is>
          <t>317330</t>
        </is>
      </c>
      <c r="F636" s="29" t="inlineStr">
        <is>
          <t>2025</t>
        </is>
      </c>
      <c r="G636" s="29" t="inlineStr">
        <is>
          <t>CFS</t>
        </is>
      </c>
      <c r="H636" s="29" t="inlineStr">
        <is>
          <t>CIS</t>
        </is>
      </c>
      <c r="I636" s="29" t="inlineStr">
        <is>
          <t>포괄손익계산서</t>
        </is>
      </c>
      <c r="J636" s="29" t="inlineStr">
        <is>
          <t>ifrs-full_OtherComprehensiveIncomeThatWillBeReclassifiedToProfitOrLossNetOfTax</t>
        </is>
      </c>
      <c r="K636" s="29" t="inlineStr">
        <is>
          <t>당기손익으로 재분류될 수 있는 항목(세후기타포괄손익)</t>
        </is>
      </c>
      <c r="L636" s="29" t="inlineStr">
        <is>
          <t>-</t>
        </is>
      </c>
      <c r="M636" s="29" t="inlineStr">
        <is>
          <t>제 20 기</t>
        </is>
      </c>
      <c r="N636" s="29" t="inlineStr">
        <is>
          <t>3407984719.0</t>
        </is>
      </c>
      <c r="O636" s="29" t="inlineStr">
        <is>
          <t>-1854004565.0</t>
        </is>
      </c>
      <c r="P636" s="29" t="inlineStr">
        <is>
          <t>KRW</t>
        </is>
      </c>
      <c r="Q636" s="29" t="inlineStr">
        <is>
          <t>23</t>
        </is>
      </c>
    </row>
    <row r="637" ht="24" customHeight="1">
      <c r="A637" s="24" t="inlineStr">
        <is>
          <t>OpenDART_fnlttSinglAcntAll</t>
        </is>
      </c>
      <c r="B637" s="24" t="inlineStr">
        <is>
          <t>01021666</t>
        </is>
      </c>
      <c r="C637" s="24" t="inlineStr">
        <is>
          <t>덕산테코피아</t>
        </is>
      </c>
      <c r="D637" s="24" t="inlineStr">
        <is>
          <t>duksan</t>
        </is>
      </c>
      <c r="E637" s="24" t="inlineStr">
        <is>
          <t>317330</t>
        </is>
      </c>
      <c r="F637" s="24" t="inlineStr">
        <is>
          <t>2025</t>
        </is>
      </c>
      <c r="G637" s="24" t="inlineStr">
        <is>
          <t>CFS</t>
        </is>
      </c>
      <c r="H637" s="24" t="inlineStr">
        <is>
          <t>CIS</t>
        </is>
      </c>
      <c r="I637" s="24" t="inlineStr">
        <is>
          <t>포괄손익계산서</t>
        </is>
      </c>
      <c r="J637" s="24" t="inlineStr">
        <is>
          <t>ifrs-full_GainsLossesOnExchangeDifferencesOnTranslationNetOfTax</t>
        </is>
      </c>
      <c r="K637" s="24" t="inlineStr">
        <is>
          <t>해외사업장환산외환차이(세후기타포괄손익)</t>
        </is>
      </c>
      <c r="L637" s="24" t="inlineStr">
        <is>
          <t>-</t>
        </is>
      </c>
      <c r="M637" s="24" t="inlineStr">
        <is>
          <t>제 20 기</t>
        </is>
      </c>
      <c r="N637" s="24" t="inlineStr">
        <is>
          <t>3407984719.0</t>
        </is>
      </c>
      <c r="O637" s="24" t="inlineStr">
        <is>
          <t>-1854004565.0</t>
        </is>
      </c>
      <c r="P637" s="24" t="inlineStr">
        <is>
          <t>KRW</t>
        </is>
      </c>
      <c r="Q637" s="24" t="inlineStr">
        <is>
          <t>24</t>
        </is>
      </c>
    </row>
    <row r="638" ht="24" customHeight="1">
      <c r="A638" s="29" t="inlineStr">
        <is>
          <t>OpenDART_fnlttSinglAcntAll</t>
        </is>
      </c>
      <c r="B638" s="29" t="inlineStr">
        <is>
          <t>01021666</t>
        </is>
      </c>
      <c r="C638" s="29" t="inlineStr">
        <is>
          <t>덕산테코피아</t>
        </is>
      </c>
      <c r="D638" s="29" t="inlineStr">
        <is>
          <t>duksan</t>
        </is>
      </c>
      <c r="E638" s="29" t="inlineStr">
        <is>
          <t>317330</t>
        </is>
      </c>
      <c r="F638" s="29" t="inlineStr">
        <is>
          <t>2025</t>
        </is>
      </c>
      <c r="G638" s="29" t="inlineStr">
        <is>
          <t>CFS</t>
        </is>
      </c>
      <c r="H638" s="29" t="inlineStr">
        <is>
          <t>CIS</t>
        </is>
      </c>
      <c r="I638" s="29" t="inlineStr">
        <is>
          <t>포괄손익계산서</t>
        </is>
      </c>
      <c r="J638" s="29" t="inlineStr">
        <is>
          <t>ifrs-full_OtherComprehensiveIncomeThatWillNotBeReclassifiedToProfitOrLossNetOfTax</t>
        </is>
      </c>
      <c r="K638" s="29" t="inlineStr">
        <is>
          <t>당기손익으로 재분류되지 않는 항목(세후기타포괄손익)</t>
        </is>
      </c>
      <c r="L638" s="29" t="inlineStr">
        <is>
          <t>-</t>
        </is>
      </c>
      <c r="M638" s="29" t="inlineStr">
        <is>
          <t>제 20 기</t>
        </is>
      </c>
      <c r="N638" s="29" t="inlineStr">
        <is>
          <t>148567899.0</t>
        </is>
      </c>
      <c r="O638" s="29" t="inlineStr">
        <is>
          <t>-370512161.0</t>
        </is>
      </c>
      <c r="P638" s="29" t="inlineStr">
        <is>
          <t>KRW</t>
        </is>
      </c>
      <c r="Q638" s="29" t="inlineStr">
        <is>
          <t>25</t>
        </is>
      </c>
    </row>
    <row r="639" ht="24" customHeight="1">
      <c r="A639" s="24" t="inlineStr">
        <is>
          <t>OpenDART_fnlttSinglAcntAll</t>
        </is>
      </c>
      <c r="B639" s="24" t="inlineStr">
        <is>
          <t>01021666</t>
        </is>
      </c>
      <c r="C639" s="24" t="inlineStr">
        <is>
          <t>덕산테코피아</t>
        </is>
      </c>
      <c r="D639" s="24" t="inlineStr">
        <is>
          <t>duksan</t>
        </is>
      </c>
      <c r="E639" s="24" t="inlineStr">
        <is>
          <t>317330</t>
        </is>
      </c>
      <c r="F639" s="24" t="inlineStr">
        <is>
          <t>2025</t>
        </is>
      </c>
      <c r="G639" s="24" t="inlineStr">
        <is>
          <t>CFS</t>
        </is>
      </c>
      <c r="H639" s="24" t="inlineStr">
        <is>
          <t>CIS</t>
        </is>
      </c>
      <c r="I639" s="24" t="inlineStr">
        <is>
          <t>포괄손익계산서</t>
        </is>
      </c>
      <c r="J639" s="24" t="inlineStr">
        <is>
          <t>ifrs-full_OtherComprehensiveIncomeNetOfTaxGainsLossesOnRemeasurementsOfDefinedBenefitPlans</t>
        </is>
      </c>
      <c r="K639" s="24" t="inlineStr">
        <is>
          <t>확정급여제도의 재측정손익(세후기타포괄손익)</t>
        </is>
      </c>
      <c r="L639" s="24" t="inlineStr">
        <is>
          <t>-</t>
        </is>
      </c>
      <c r="M639" s="24" t="inlineStr">
        <is>
          <t>제 20 기</t>
        </is>
      </c>
      <c r="N639" s="24" t="inlineStr">
        <is>
          <t>148567899.0</t>
        </is>
      </c>
      <c r="O639" s="24" t="inlineStr">
        <is>
          <t>-370512161.0</t>
        </is>
      </c>
      <c r="P639" s="24" t="inlineStr">
        <is>
          <t>KRW</t>
        </is>
      </c>
      <c r="Q639" s="24" t="inlineStr">
        <is>
          <t>26</t>
        </is>
      </c>
    </row>
    <row r="640" ht="24" customHeight="1">
      <c r="A640" s="29" t="inlineStr">
        <is>
          <t>OpenDART_fnlttSinglAcntAll</t>
        </is>
      </c>
      <c r="B640" s="29" t="inlineStr">
        <is>
          <t>01021666</t>
        </is>
      </c>
      <c r="C640" s="29" t="inlineStr">
        <is>
          <t>덕산테코피아</t>
        </is>
      </c>
      <c r="D640" s="29" t="inlineStr">
        <is>
          <t>duksan</t>
        </is>
      </c>
      <c r="E640" s="29" t="inlineStr">
        <is>
          <t>317330</t>
        </is>
      </c>
      <c r="F640" s="29" t="inlineStr">
        <is>
          <t>2025</t>
        </is>
      </c>
      <c r="G640" s="29" t="inlineStr">
        <is>
          <t>CFS</t>
        </is>
      </c>
      <c r="H640" s="29" t="inlineStr">
        <is>
          <t>CIS</t>
        </is>
      </c>
      <c r="I640" s="29" t="inlineStr">
        <is>
          <t>포괄손익계산서</t>
        </is>
      </c>
      <c r="J640" s="29" t="inlineStr">
        <is>
          <t>ifrs-full_ProfitLoss</t>
        </is>
      </c>
      <c r="K640" s="29" t="inlineStr">
        <is>
          <t>당기순이익(손실)</t>
        </is>
      </c>
      <c r="L640" s="29" t="inlineStr">
        <is>
          <t>-</t>
        </is>
      </c>
      <c r="M640" s="29" t="inlineStr">
        <is>
          <t>제 20 기</t>
        </is>
      </c>
      <c r="N640" s="29" t="inlineStr">
        <is>
          <t>-105550462258.0</t>
        </is>
      </c>
      <c r="O640" s="29" t="inlineStr">
        <is>
          <t>-72579149118.0</t>
        </is>
      </c>
      <c r="P640" s="29" t="inlineStr">
        <is>
          <t>KRW</t>
        </is>
      </c>
      <c r="Q640" s="29" t="inlineStr">
        <is>
          <t>27</t>
        </is>
      </c>
    </row>
    <row r="641" ht="24" customHeight="1">
      <c r="A641" s="24" t="inlineStr">
        <is>
          <t>OpenDART_fnlttSinglAcntAll</t>
        </is>
      </c>
      <c r="B641" s="24" t="inlineStr">
        <is>
          <t>01021666</t>
        </is>
      </c>
      <c r="C641" s="24" t="inlineStr">
        <is>
          <t>덕산테코피아</t>
        </is>
      </c>
      <c r="D641" s="24" t="inlineStr">
        <is>
          <t>duksan</t>
        </is>
      </c>
      <c r="E641" s="24" t="inlineStr">
        <is>
          <t>317330</t>
        </is>
      </c>
      <c r="F641" s="24" t="inlineStr">
        <is>
          <t>2025</t>
        </is>
      </c>
      <c r="G641" s="24" t="inlineStr">
        <is>
          <t>CFS</t>
        </is>
      </c>
      <c r="H641" s="24" t="inlineStr">
        <is>
          <t>CIS</t>
        </is>
      </c>
      <c r="I641" s="24" t="inlineStr">
        <is>
          <t>포괄손익계산서</t>
        </is>
      </c>
      <c r="J641" s="24" t="inlineStr">
        <is>
          <t>ifrs-full_ProfitLossAttributableToNoncontrollingInterests</t>
        </is>
      </c>
      <c r="K641" s="24" t="inlineStr">
        <is>
          <t>비지배지분에 귀속되는 당기순이익(손실)</t>
        </is>
      </c>
      <c r="L641" s="24" t="inlineStr">
        <is>
          <t>-</t>
        </is>
      </c>
      <c r="M641" s="24" t="inlineStr">
        <is>
          <t>제 20 기</t>
        </is>
      </c>
      <c r="N641" s="24" t="inlineStr">
        <is>
          <t>-28849718242.0</t>
        </is>
      </c>
      <c r="O641" s="24" t="inlineStr">
        <is>
          <t>-19484903087.0</t>
        </is>
      </c>
      <c r="P641" s="24" t="inlineStr">
        <is>
          <t>KRW</t>
        </is>
      </c>
      <c r="Q641" s="24" t="inlineStr">
        <is>
          <t>29</t>
        </is>
      </c>
    </row>
    <row r="642" ht="24" customHeight="1">
      <c r="A642" s="29" t="inlineStr">
        <is>
          <t>OpenDART_fnlttSinglAcntAll</t>
        </is>
      </c>
      <c r="B642" s="29" t="inlineStr">
        <is>
          <t>01021666</t>
        </is>
      </c>
      <c r="C642" s="29" t="inlineStr">
        <is>
          <t>덕산테코피아</t>
        </is>
      </c>
      <c r="D642" s="29" t="inlineStr">
        <is>
          <t>duksan</t>
        </is>
      </c>
      <c r="E642" s="29" t="inlineStr">
        <is>
          <t>317330</t>
        </is>
      </c>
      <c r="F642" s="29" t="inlineStr">
        <is>
          <t>2025</t>
        </is>
      </c>
      <c r="G642" s="29" t="inlineStr">
        <is>
          <t>CFS</t>
        </is>
      </c>
      <c r="H642" s="29" t="inlineStr">
        <is>
          <t>CIS</t>
        </is>
      </c>
      <c r="I642" s="29" t="inlineStr">
        <is>
          <t>포괄손익계산서</t>
        </is>
      </c>
      <c r="J642" s="29" t="inlineStr">
        <is>
          <t>ifrs-full_ProfitLossAttributableToOwnersOfParent</t>
        </is>
      </c>
      <c r="K642" s="29" t="inlineStr">
        <is>
          <t>지배기업의 소유주에게 귀속되는 당기순이익(손실)</t>
        </is>
      </c>
      <c r="L642" s="29" t="inlineStr">
        <is>
          <t>-</t>
        </is>
      </c>
      <c r="M642" s="29" t="inlineStr">
        <is>
          <t>제 20 기</t>
        </is>
      </c>
      <c r="N642" s="29" t="inlineStr">
        <is>
          <t>-76700744016.0</t>
        </is>
      </c>
      <c r="O642" s="29" t="inlineStr">
        <is>
          <t>-53094246031.0</t>
        </is>
      </c>
      <c r="P642" s="29" t="inlineStr">
        <is>
          <t>KRW</t>
        </is>
      </c>
      <c r="Q642" s="29" t="inlineStr">
        <is>
          <t>30</t>
        </is>
      </c>
    </row>
    <row r="643" ht="24" customHeight="1">
      <c r="A643" s="24" t="inlineStr">
        <is>
          <t>OpenDART_fnlttSinglAcntAll</t>
        </is>
      </c>
      <c r="B643" s="24" t="inlineStr">
        <is>
          <t>01021666</t>
        </is>
      </c>
      <c r="C643" s="24" t="inlineStr">
        <is>
          <t>덕산테코피아</t>
        </is>
      </c>
      <c r="D643" s="24" t="inlineStr">
        <is>
          <t>duksan</t>
        </is>
      </c>
      <c r="E643" s="24" t="inlineStr">
        <is>
          <t>317330</t>
        </is>
      </c>
      <c r="F643" s="24" t="inlineStr">
        <is>
          <t>2025</t>
        </is>
      </c>
      <c r="G643" s="24" t="inlineStr">
        <is>
          <t>CFS</t>
        </is>
      </c>
      <c r="H643" s="24" t="inlineStr">
        <is>
          <t>CIS</t>
        </is>
      </c>
      <c r="I643" s="24" t="inlineStr">
        <is>
          <t>포괄손익계산서</t>
        </is>
      </c>
      <c r="J643" s="24" t="inlineStr">
        <is>
          <t>ifrs-full_ProfitLossBeforeTax</t>
        </is>
      </c>
      <c r="K643" s="24" t="inlineStr">
        <is>
          <t>법인세비용차감전순이익(손실)</t>
        </is>
      </c>
      <c r="L643" s="24" t="inlineStr">
        <is>
          <t>-</t>
        </is>
      </c>
      <c r="M643" s="24" t="inlineStr">
        <is>
          <t>제 20 기</t>
        </is>
      </c>
      <c r="N643" s="24" t="inlineStr">
        <is>
          <t>-106937637357.0</t>
        </is>
      </c>
      <c r="O643" s="24" t="inlineStr">
        <is>
          <t>-72513068909.0</t>
        </is>
      </c>
      <c r="P643" s="24" t="inlineStr">
        <is>
          <t>KRW</t>
        </is>
      </c>
      <c r="Q643" s="24" t="inlineStr">
        <is>
          <t>31</t>
        </is>
      </c>
    </row>
    <row r="644" ht="24" customHeight="1">
      <c r="A644" s="29" t="inlineStr">
        <is>
          <t>OpenDART_fnlttSinglAcntAll</t>
        </is>
      </c>
      <c r="B644" s="29" t="inlineStr">
        <is>
          <t>01021666</t>
        </is>
      </c>
      <c r="C644" s="29" t="inlineStr">
        <is>
          <t>덕산테코피아</t>
        </is>
      </c>
      <c r="D644" s="29" t="inlineStr">
        <is>
          <t>duksan</t>
        </is>
      </c>
      <c r="E644" s="29" t="inlineStr">
        <is>
          <t>317330</t>
        </is>
      </c>
      <c r="F644" s="29" t="inlineStr">
        <is>
          <t>2025</t>
        </is>
      </c>
      <c r="G644" s="29" t="inlineStr">
        <is>
          <t>CFS</t>
        </is>
      </c>
      <c r="H644" s="29" t="inlineStr">
        <is>
          <t>CIS</t>
        </is>
      </c>
      <c r="I644" s="29" t="inlineStr">
        <is>
          <t>포괄손익계산서</t>
        </is>
      </c>
      <c r="J644" s="29" t="inlineStr">
        <is>
          <t>ifrs-full_Revenue</t>
        </is>
      </c>
      <c r="K644" s="29" t="inlineStr">
        <is>
          <t>수익(매출액)</t>
        </is>
      </c>
      <c r="L644" s="29" t="inlineStr">
        <is>
          <t>-</t>
        </is>
      </c>
      <c r="M644" s="29" t="inlineStr">
        <is>
          <t>제 20 기</t>
        </is>
      </c>
      <c r="N644" s="29" t="inlineStr">
        <is>
          <t>112078954483.0</t>
        </is>
      </c>
      <c r="O644" s="29" t="inlineStr">
        <is>
          <t>99694431512.0</t>
        </is>
      </c>
      <c r="P644" s="29" t="inlineStr">
        <is>
          <t>KRW</t>
        </is>
      </c>
      <c r="Q644" s="29" t="inlineStr">
        <is>
          <t>32</t>
        </is>
      </c>
    </row>
    <row r="645" ht="24" customHeight="1">
      <c r="A645" s="24" t="inlineStr">
        <is>
          <t>OpenDART_fnlttSinglAcntAll</t>
        </is>
      </c>
      <c r="B645" s="24" t="inlineStr">
        <is>
          <t>01021666</t>
        </is>
      </c>
      <c r="C645" s="24" t="inlineStr">
        <is>
          <t>덕산테코피아</t>
        </is>
      </c>
      <c r="D645" s="24" t="inlineStr">
        <is>
          <t>duksan</t>
        </is>
      </c>
      <c r="E645" s="24" t="inlineStr">
        <is>
          <t>317330</t>
        </is>
      </c>
      <c r="F645" s="24" t="inlineStr">
        <is>
          <t>2025</t>
        </is>
      </c>
      <c r="G645" s="24" t="inlineStr">
        <is>
          <t>CFS</t>
        </is>
      </c>
      <c r="H645" s="24" t="inlineStr">
        <is>
          <t>CIS</t>
        </is>
      </c>
      <c r="I645" s="24" t="inlineStr">
        <is>
          <t>포괄손익계산서</t>
        </is>
      </c>
      <c r="J645" s="24" t="inlineStr">
        <is>
          <t>ifrs-full_SellingGeneralAndAdministrativeExpense</t>
        </is>
      </c>
      <c r="K645" s="24" t="inlineStr">
        <is>
          <t>판매 및 일반관리비</t>
        </is>
      </c>
      <c r="L645" s="24" t="inlineStr">
        <is>
          <t>-</t>
        </is>
      </c>
      <c r="M645" s="24" t="inlineStr">
        <is>
          <t>제 20 기</t>
        </is>
      </c>
      <c r="N645" s="24" t="inlineStr">
        <is>
          <t>44763518699.0</t>
        </is>
      </c>
      <c r="O645" s="24" t="inlineStr">
        <is>
          <t>43449108614.0</t>
        </is>
      </c>
      <c r="P645" s="24" t="inlineStr">
        <is>
          <t>KRW</t>
        </is>
      </c>
      <c r="Q645" s="24" t="inlineStr">
        <is>
          <t>33</t>
        </is>
      </c>
    </row>
    <row r="646" ht="24" customHeight="1">
      <c r="A646" s="29" t="inlineStr">
        <is>
          <t>OpenDART_fnlttSinglAcntAll</t>
        </is>
      </c>
      <c r="B646" s="29" t="inlineStr">
        <is>
          <t>01021666</t>
        </is>
      </c>
      <c r="C646" s="29" t="inlineStr">
        <is>
          <t>덕산테코피아</t>
        </is>
      </c>
      <c r="D646" s="29" t="inlineStr">
        <is>
          <t>duksan</t>
        </is>
      </c>
      <c r="E646" s="29" t="inlineStr">
        <is>
          <t>317330</t>
        </is>
      </c>
      <c r="F646" s="29" t="inlineStr">
        <is>
          <t>2025</t>
        </is>
      </c>
      <c r="G646" s="29" t="inlineStr">
        <is>
          <t>CFS</t>
        </is>
      </c>
      <c r="H646" s="29" t="inlineStr">
        <is>
          <t>CF</t>
        </is>
      </c>
      <c r="I646" s="29" t="inlineStr">
        <is>
          <t>현금흐름표</t>
        </is>
      </c>
      <c r="J646" s="29" t="inlineStr">
        <is>
          <t>dart_CashAndCashEquivalentsAtBeginningOfPeriodCf</t>
        </is>
      </c>
      <c r="K646" s="29" t="inlineStr">
        <is>
          <t>기초현금및현금성자산</t>
        </is>
      </c>
      <c r="L646" s="29" t="inlineStr">
        <is>
          <t>-</t>
        </is>
      </c>
      <c r="M646" s="29" t="inlineStr">
        <is>
          <t>제 20 기</t>
        </is>
      </c>
      <c r="N646" s="29" t="inlineStr">
        <is>
          <t>20247056068.0</t>
        </is>
      </c>
      <c r="O646" s="29" t="inlineStr">
        <is>
          <t>23919527042.0</t>
        </is>
      </c>
      <c r="P646" s="29" t="inlineStr">
        <is>
          <t>KRW</t>
        </is>
      </c>
      <c r="Q646" s="29" t="inlineStr">
        <is>
          <t>2</t>
        </is>
      </c>
    </row>
    <row r="647" ht="24" customHeight="1">
      <c r="A647" s="24" t="inlineStr">
        <is>
          <t>OpenDART_fnlttSinglAcntAll</t>
        </is>
      </c>
      <c r="B647" s="24" t="inlineStr">
        <is>
          <t>01021666</t>
        </is>
      </c>
      <c r="C647" s="24" t="inlineStr">
        <is>
          <t>덕산테코피아</t>
        </is>
      </c>
      <c r="D647" s="24" t="inlineStr">
        <is>
          <t>duksan</t>
        </is>
      </c>
      <c r="E647" s="24" t="inlineStr">
        <is>
          <t>317330</t>
        </is>
      </c>
      <c r="F647" s="24" t="inlineStr">
        <is>
          <t>2025</t>
        </is>
      </c>
      <c r="G647" s="24" t="inlineStr">
        <is>
          <t>CFS</t>
        </is>
      </c>
      <c r="H647" s="24" t="inlineStr">
        <is>
          <t>CF</t>
        </is>
      </c>
      <c r="I647" s="24" t="inlineStr">
        <is>
          <t>현금흐름표</t>
        </is>
      </c>
      <c r="J647" s="24" t="inlineStr">
        <is>
          <t>dart_CashAndCashEquivalentsAtEndOfPeriodCf</t>
        </is>
      </c>
      <c r="K647" s="24" t="inlineStr">
        <is>
          <t>기말현금및현금성자산</t>
        </is>
      </c>
      <c r="L647" s="24" t="inlineStr">
        <is>
          <t>-</t>
        </is>
      </c>
      <c r="M647" s="24" t="inlineStr">
        <is>
          <t>제 20 기</t>
        </is>
      </c>
      <c r="N647" s="24" t="inlineStr">
        <is>
          <t>40032618067.0</t>
        </is>
      </c>
      <c r="O647" s="24" t="inlineStr">
        <is>
          <t>20247056068.0</t>
        </is>
      </c>
      <c r="P647" s="24" t="inlineStr">
        <is>
          <t>KRW</t>
        </is>
      </c>
      <c r="Q647" s="24" t="inlineStr">
        <is>
          <t>3</t>
        </is>
      </c>
    </row>
    <row r="648" ht="24" customHeight="1">
      <c r="A648" s="29" t="inlineStr">
        <is>
          <t>OpenDART_fnlttSinglAcntAll</t>
        </is>
      </c>
      <c r="B648" s="29" t="inlineStr">
        <is>
          <t>01021666</t>
        </is>
      </c>
      <c r="C648" s="29" t="inlineStr">
        <is>
          <t>덕산테코피아</t>
        </is>
      </c>
      <c r="D648" s="29" t="inlineStr">
        <is>
          <t>duksan</t>
        </is>
      </c>
      <c r="E648" s="29" t="inlineStr">
        <is>
          <t>317330</t>
        </is>
      </c>
      <c r="F648" s="29" t="inlineStr">
        <is>
          <t>2025</t>
        </is>
      </c>
      <c r="G648" s="29" t="inlineStr">
        <is>
          <t>CFS</t>
        </is>
      </c>
      <c r="H648" s="29" t="inlineStr">
        <is>
          <t>CF</t>
        </is>
      </c>
      <c r="I648" s="29" t="inlineStr">
        <is>
          <t>현금흐름표</t>
        </is>
      </c>
      <c r="J648" s="29" t="inlineStr">
        <is>
          <t>ifrs-full_CashFlowsFromUsedInFinancingActivities</t>
        </is>
      </c>
      <c r="K648" s="29" t="inlineStr">
        <is>
          <t>재무활동현금흐름</t>
        </is>
      </c>
      <c r="L648" s="29" t="inlineStr">
        <is>
          <t>-</t>
        </is>
      </c>
      <c r="M648" s="29" t="inlineStr">
        <is>
          <t>제 20 기</t>
        </is>
      </c>
      <c r="N648" s="29" t="inlineStr">
        <is>
          <t>16465704076.0</t>
        </is>
      </c>
      <c r="O648" s="29" t="inlineStr">
        <is>
          <t>164863888984.0</t>
        </is>
      </c>
      <c r="P648" s="29" t="inlineStr">
        <is>
          <t>KRW</t>
        </is>
      </c>
      <c r="Q648" s="29" t="inlineStr">
        <is>
          <t>8</t>
        </is>
      </c>
    </row>
    <row r="649" ht="24" customHeight="1">
      <c r="A649" s="24" t="inlineStr">
        <is>
          <t>OpenDART_fnlttSinglAcntAll</t>
        </is>
      </c>
      <c r="B649" s="24" t="inlineStr">
        <is>
          <t>01021666</t>
        </is>
      </c>
      <c r="C649" s="24" t="inlineStr">
        <is>
          <t>덕산테코피아</t>
        </is>
      </c>
      <c r="D649" s="24" t="inlineStr">
        <is>
          <t>duksan</t>
        </is>
      </c>
      <c r="E649" s="24" t="inlineStr">
        <is>
          <t>317330</t>
        </is>
      </c>
      <c r="F649" s="24" t="inlineStr">
        <is>
          <t>2025</t>
        </is>
      </c>
      <c r="G649" s="24" t="inlineStr">
        <is>
          <t>CFS</t>
        </is>
      </c>
      <c r="H649" s="24" t="inlineStr">
        <is>
          <t>CF</t>
        </is>
      </c>
      <c r="I649" s="24" t="inlineStr">
        <is>
          <t>현금흐름표</t>
        </is>
      </c>
      <c r="J649" s="24" t="inlineStr">
        <is>
          <t>dart_AcquisitionOfTreasuryShares</t>
        </is>
      </c>
      <c r="K649" s="24" t="inlineStr">
        <is>
          <t>자기주식의 취득으로 인한 현금의 유출</t>
        </is>
      </c>
      <c r="L649" s="24" t="inlineStr">
        <is>
          <t>-</t>
        </is>
      </c>
      <c r="M649" s="24" t="inlineStr">
        <is>
          <t>제 20 기</t>
        </is>
      </c>
      <c r="N649" s="24" t="inlineStr">
        <is>
          <t>999993700.0</t>
        </is>
      </c>
      <c r="O649" s="24" t="inlineStr">
        <is>
          <t>0.0</t>
        </is>
      </c>
      <c r="P649" s="24" t="inlineStr">
        <is>
          <t>KRW</t>
        </is>
      </c>
      <c r="Q649" s="24" t="inlineStr">
        <is>
          <t>9</t>
        </is>
      </c>
    </row>
    <row r="650" ht="24" customHeight="1">
      <c r="A650" s="29" t="inlineStr">
        <is>
          <t>OpenDART_fnlttSinglAcntAll</t>
        </is>
      </c>
      <c r="B650" s="29" t="inlineStr">
        <is>
          <t>01021666</t>
        </is>
      </c>
      <c r="C650" s="29" t="inlineStr">
        <is>
          <t>덕산테코피아</t>
        </is>
      </c>
      <c r="D650" s="29" t="inlineStr">
        <is>
          <t>duksan</t>
        </is>
      </c>
      <c r="E650" s="29" t="inlineStr">
        <is>
          <t>317330</t>
        </is>
      </c>
      <c r="F650" s="29" t="inlineStr">
        <is>
          <t>2025</t>
        </is>
      </c>
      <c r="G650" s="29" t="inlineStr">
        <is>
          <t>CFS</t>
        </is>
      </c>
      <c r="H650" s="29" t="inlineStr">
        <is>
          <t>CF</t>
        </is>
      </c>
      <c r="I650" s="29" t="inlineStr">
        <is>
          <t>현금흐름표</t>
        </is>
      </c>
      <c r="J650" s="29" t="inlineStr">
        <is>
          <t>dart_DispositionOfTreasuryShares</t>
        </is>
      </c>
      <c r="K650" s="29" t="inlineStr">
        <is>
          <t>자기주식의 처분</t>
        </is>
      </c>
      <c r="L650" s="29" t="inlineStr">
        <is>
          <t>-</t>
        </is>
      </c>
      <c r="M650" s="29" t="inlineStr">
        <is>
          <t>제 20 기</t>
        </is>
      </c>
      <c r="N650" s="29" t="inlineStr">
        <is>
          <t>해당 없음</t>
        </is>
      </c>
      <c r="O650" s="29" t="inlineStr">
        <is>
          <t>9943537364.0</t>
        </is>
      </c>
      <c r="P650" s="29" t="inlineStr">
        <is>
          <t>KRW</t>
        </is>
      </c>
      <c r="Q650" s="29" t="inlineStr">
        <is>
          <t>10</t>
        </is>
      </c>
    </row>
    <row r="651" ht="24" customHeight="1">
      <c r="A651" s="24" t="inlineStr">
        <is>
          <t>OpenDART_fnlttSinglAcntAll</t>
        </is>
      </c>
      <c r="B651" s="24" t="inlineStr">
        <is>
          <t>01021666</t>
        </is>
      </c>
      <c r="C651" s="24" t="inlineStr">
        <is>
          <t>덕산테코피아</t>
        </is>
      </c>
      <c r="D651" s="24" t="inlineStr">
        <is>
          <t>duksan</t>
        </is>
      </c>
      <c r="E651" s="24" t="inlineStr">
        <is>
          <t>317330</t>
        </is>
      </c>
      <c r="F651" s="24" t="inlineStr">
        <is>
          <t>2025</t>
        </is>
      </c>
      <c r="G651" s="24" t="inlineStr">
        <is>
          <t>CFS</t>
        </is>
      </c>
      <c r="H651" s="24" t="inlineStr">
        <is>
          <t>CF</t>
        </is>
      </c>
      <c r="I651" s="24" t="inlineStr">
        <is>
          <t>현금흐름표</t>
        </is>
      </c>
      <c r="J651" s="24" t="inlineStr">
        <is>
          <t>dart_PaymentsOfFinanceLeaseLiabilitiesClassifiedAsFinancingActivities</t>
        </is>
      </c>
      <c r="K651" s="24" t="inlineStr">
        <is>
          <t>금융리스부채의 지급, 재무활동으로 분류된</t>
        </is>
      </c>
      <c r="L651" s="24" t="inlineStr">
        <is>
          <t>-</t>
        </is>
      </c>
      <c r="M651" s="24" t="inlineStr">
        <is>
          <t>제 20 기</t>
        </is>
      </c>
      <c r="N651" s="24" t="inlineStr">
        <is>
          <t>1328328024.0</t>
        </is>
      </c>
      <c r="O651" s="24" t="inlineStr">
        <is>
          <t>298379076.0</t>
        </is>
      </c>
      <c r="P651" s="24" t="inlineStr">
        <is>
          <t>KRW</t>
        </is>
      </c>
      <c r="Q651" s="24" t="inlineStr">
        <is>
          <t>11</t>
        </is>
      </c>
    </row>
    <row r="652" ht="24" customHeight="1">
      <c r="A652" s="29" t="inlineStr">
        <is>
          <t>OpenDART_fnlttSinglAcntAll</t>
        </is>
      </c>
      <c r="B652" s="29" t="inlineStr">
        <is>
          <t>01021666</t>
        </is>
      </c>
      <c r="C652" s="29" t="inlineStr">
        <is>
          <t>덕산테코피아</t>
        </is>
      </c>
      <c r="D652" s="29" t="inlineStr">
        <is>
          <t>duksan</t>
        </is>
      </c>
      <c r="E652" s="29" t="inlineStr">
        <is>
          <t>317330</t>
        </is>
      </c>
      <c r="F652" s="29" t="inlineStr">
        <is>
          <t>2025</t>
        </is>
      </c>
      <c r="G652" s="29" t="inlineStr">
        <is>
          <t>CFS</t>
        </is>
      </c>
      <c r="H652" s="29" t="inlineStr">
        <is>
          <t>CF</t>
        </is>
      </c>
      <c r="I652" s="29" t="inlineStr">
        <is>
          <t>현금흐름표</t>
        </is>
      </c>
      <c r="J652" s="29" t="inlineStr">
        <is>
          <t>dart_ProceedsFromConvertibleBonds</t>
        </is>
      </c>
      <c r="K652" s="29" t="inlineStr">
        <is>
          <t>전환사채의 증가</t>
        </is>
      </c>
      <c r="L652" s="29" t="inlineStr">
        <is>
          <t>-</t>
        </is>
      </c>
      <c r="M652" s="29" t="inlineStr">
        <is>
          <t>제 20 기</t>
        </is>
      </c>
      <c r="N652" s="29" t="inlineStr">
        <is>
          <t>해당 없음</t>
        </is>
      </c>
      <c r="O652" s="29" t="inlineStr">
        <is>
          <t>39159210946.0</t>
        </is>
      </c>
      <c r="P652" s="29" t="inlineStr">
        <is>
          <t>KRW</t>
        </is>
      </c>
      <c r="Q652" s="29" t="inlineStr">
        <is>
          <t>12</t>
        </is>
      </c>
    </row>
    <row r="653" ht="24" customHeight="1">
      <c r="A653" s="24" t="inlineStr">
        <is>
          <t>OpenDART_fnlttSinglAcntAll</t>
        </is>
      </c>
      <c r="B653" s="24" t="inlineStr">
        <is>
          <t>01021666</t>
        </is>
      </c>
      <c r="C653" s="24" t="inlineStr">
        <is>
          <t>덕산테코피아</t>
        </is>
      </c>
      <c r="D653" s="24" t="inlineStr">
        <is>
          <t>duksan</t>
        </is>
      </c>
      <c r="E653" s="24" t="inlineStr">
        <is>
          <t>317330</t>
        </is>
      </c>
      <c r="F653" s="24" t="inlineStr">
        <is>
          <t>2025</t>
        </is>
      </c>
      <c r="G653" s="24" t="inlineStr">
        <is>
          <t>CFS</t>
        </is>
      </c>
      <c r="H653" s="24" t="inlineStr">
        <is>
          <t>CF</t>
        </is>
      </c>
      <c r="I653" s="24" t="inlineStr">
        <is>
          <t>현금흐름표</t>
        </is>
      </c>
      <c r="J653" s="24" t="inlineStr">
        <is>
          <t>dart_ProceedsFromExerciseOfShareOptions</t>
        </is>
      </c>
      <c r="K653" s="24" t="inlineStr">
        <is>
          <t>주식선택권행사로 인한 현금유입</t>
        </is>
      </c>
      <c r="L653" s="24" t="inlineStr">
        <is>
          <t>-</t>
        </is>
      </c>
      <c r="M653" s="24" t="inlineStr">
        <is>
          <t>제 20 기</t>
        </is>
      </c>
      <c r="N653" s="24" t="inlineStr">
        <is>
          <t>해당 없음</t>
        </is>
      </c>
      <c r="O653" s="24" t="inlineStr">
        <is>
          <t>1764957590.0</t>
        </is>
      </c>
      <c r="P653" s="24" t="inlineStr">
        <is>
          <t>KRW</t>
        </is>
      </c>
      <c r="Q653" s="24" t="inlineStr">
        <is>
          <t>13</t>
        </is>
      </c>
    </row>
    <row r="654" ht="24" customHeight="1">
      <c r="A654" s="29" t="inlineStr">
        <is>
          <t>OpenDART_fnlttSinglAcntAll</t>
        </is>
      </c>
      <c r="B654" s="29" t="inlineStr">
        <is>
          <t>01021666</t>
        </is>
      </c>
      <c r="C654" s="29" t="inlineStr">
        <is>
          <t>덕산테코피아</t>
        </is>
      </c>
      <c r="D654" s="29" t="inlineStr">
        <is>
          <t>duksan</t>
        </is>
      </c>
      <c r="E654" s="29" t="inlineStr">
        <is>
          <t>317330</t>
        </is>
      </c>
      <c r="F654" s="29" t="inlineStr">
        <is>
          <t>2025</t>
        </is>
      </c>
      <c r="G654" s="29" t="inlineStr">
        <is>
          <t>CFS</t>
        </is>
      </c>
      <c r="H654" s="29" t="inlineStr">
        <is>
          <t>CF</t>
        </is>
      </c>
      <c r="I654" s="29" t="inlineStr">
        <is>
          <t>현금흐름표</t>
        </is>
      </c>
      <c r="J654" s="29" t="inlineStr">
        <is>
          <t>dart_ProceedsFromIssueOfConvertibleInstruments</t>
        </is>
      </c>
      <c r="K654" s="29" t="inlineStr">
        <is>
          <t>전환가능상품의 발행으로 인한 현금 유입</t>
        </is>
      </c>
      <c r="L654" s="29" t="inlineStr">
        <is>
          <t>-</t>
        </is>
      </c>
      <c r="M654" s="29" t="inlineStr">
        <is>
          <t>제 20 기</t>
        </is>
      </c>
      <c r="N654" s="29" t="inlineStr">
        <is>
          <t>해당 없음</t>
        </is>
      </c>
      <c r="O654" s="29" t="inlineStr">
        <is>
          <t>69999722100.0</t>
        </is>
      </c>
      <c r="P654" s="29" t="inlineStr">
        <is>
          <t>KRW</t>
        </is>
      </c>
      <c r="Q654" s="29" t="inlineStr">
        <is>
          <t>14</t>
        </is>
      </c>
    </row>
    <row r="655" ht="24" customHeight="1">
      <c r="A655" s="24" t="inlineStr">
        <is>
          <t>OpenDART_fnlttSinglAcntAll</t>
        </is>
      </c>
      <c r="B655" s="24" t="inlineStr">
        <is>
          <t>01021666</t>
        </is>
      </c>
      <c r="C655" s="24" t="inlineStr">
        <is>
          <t>덕산테코피아</t>
        </is>
      </c>
      <c r="D655" s="24" t="inlineStr">
        <is>
          <t>duksan</t>
        </is>
      </c>
      <c r="E655" s="24" t="inlineStr">
        <is>
          <t>317330</t>
        </is>
      </c>
      <c r="F655" s="24" t="inlineStr">
        <is>
          <t>2025</t>
        </is>
      </c>
      <c r="G655" s="24" t="inlineStr">
        <is>
          <t>CFS</t>
        </is>
      </c>
      <c r="H655" s="24" t="inlineStr">
        <is>
          <t>CF</t>
        </is>
      </c>
      <c r="I655" s="24" t="inlineStr">
        <is>
          <t>현금흐름표</t>
        </is>
      </c>
      <c r="J655" s="24" t="inlineStr">
        <is>
          <t>dart_ProceedsFromLongTermBorrowings</t>
        </is>
      </c>
      <c r="K655" s="24" t="inlineStr">
        <is>
          <t>장기차입금의 증가</t>
        </is>
      </c>
      <c r="L655" s="24" t="inlineStr">
        <is>
          <t>-</t>
        </is>
      </c>
      <c r="M655" s="24" t="inlineStr">
        <is>
          <t>제 20 기</t>
        </is>
      </c>
      <c r="N655" s="24" t="inlineStr">
        <is>
          <t>25000000000.0</t>
        </is>
      </c>
      <c r="O655" s="24" t="inlineStr">
        <is>
          <t>10000000000.0</t>
        </is>
      </c>
      <c r="P655" s="24" t="inlineStr">
        <is>
          <t>KRW</t>
        </is>
      </c>
      <c r="Q655" s="24" t="inlineStr">
        <is>
          <t>15</t>
        </is>
      </c>
    </row>
    <row r="656" ht="24" customHeight="1">
      <c r="A656" s="29" t="inlineStr">
        <is>
          <t>OpenDART_fnlttSinglAcntAll</t>
        </is>
      </c>
      <c r="B656" s="29" t="inlineStr">
        <is>
          <t>01021666</t>
        </is>
      </c>
      <c r="C656" s="29" t="inlineStr">
        <is>
          <t>덕산테코피아</t>
        </is>
      </c>
      <c r="D656" s="29" t="inlineStr">
        <is>
          <t>duksan</t>
        </is>
      </c>
      <c r="E656" s="29" t="inlineStr">
        <is>
          <t>317330</t>
        </is>
      </c>
      <c r="F656" s="29" t="inlineStr">
        <is>
          <t>2025</t>
        </is>
      </c>
      <c r="G656" s="29" t="inlineStr">
        <is>
          <t>CFS</t>
        </is>
      </c>
      <c r="H656" s="29" t="inlineStr">
        <is>
          <t>CF</t>
        </is>
      </c>
      <c r="I656" s="29" t="inlineStr">
        <is>
          <t>현금흐름표</t>
        </is>
      </c>
      <c r="J656" s="29" t="inlineStr">
        <is>
          <t>dart_ProceedsFromShortTermBorrowings</t>
        </is>
      </c>
      <c r="K656" s="29" t="inlineStr">
        <is>
          <t>단기차입금의 증가</t>
        </is>
      </c>
      <c r="L656" s="29" t="inlineStr">
        <is>
          <t>-</t>
        </is>
      </c>
      <c r="M656" s="29" t="inlineStr">
        <is>
          <t>제 20 기</t>
        </is>
      </c>
      <c r="N656" s="29" t="inlineStr">
        <is>
          <t>31335542541.0</t>
        </is>
      </c>
      <c r="O656" s="29" t="inlineStr">
        <is>
          <t>91695641218.0</t>
        </is>
      </c>
      <c r="P656" s="29" t="inlineStr">
        <is>
          <t>KRW</t>
        </is>
      </c>
      <c r="Q656" s="29" t="inlineStr">
        <is>
          <t>16</t>
        </is>
      </c>
    </row>
    <row r="657" ht="24" customHeight="1">
      <c r="A657" s="24" t="inlineStr">
        <is>
          <t>OpenDART_fnlttSinglAcntAll</t>
        </is>
      </c>
      <c r="B657" s="24" t="inlineStr">
        <is>
          <t>01021666</t>
        </is>
      </c>
      <c r="C657" s="24" t="inlineStr">
        <is>
          <t>덕산테코피아</t>
        </is>
      </c>
      <c r="D657" s="24" t="inlineStr">
        <is>
          <t>duksan</t>
        </is>
      </c>
      <c r="E657" s="24" t="inlineStr">
        <is>
          <t>317330</t>
        </is>
      </c>
      <c r="F657" s="24" t="inlineStr">
        <is>
          <t>2025</t>
        </is>
      </c>
      <c r="G657" s="24" t="inlineStr">
        <is>
          <t>CFS</t>
        </is>
      </c>
      <c r="H657" s="24" t="inlineStr">
        <is>
          <t>CF</t>
        </is>
      </c>
      <c r="I657" s="24" t="inlineStr">
        <is>
          <t>현금흐름표</t>
        </is>
      </c>
      <c r="J657" s="24" t="inlineStr">
        <is>
          <t>dart_RepaymentsOfConvertibleBonds</t>
        </is>
      </c>
      <c r="K657" s="24" t="inlineStr">
        <is>
          <t>전환사채의 감소</t>
        </is>
      </c>
      <c r="L657" s="24" t="inlineStr">
        <is>
          <t>-</t>
        </is>
      </c>
      <c r="M657" s="24" t="inlineStr">
        <is>
          <t>제 20 기</t>
        </is>
      </c>
      <c r="N657" s="24" t="inlineStr">
        <is>
          <t>해당 없음</t>
        </is>
      </c>
      <c r="O657" s="24" t="inlineStr">
        <is>
          <t>25583289068.0</t>
        </is>
      </c>
      <c r="P657" s="24" t="inlineStr">
        <is>
          <t>KRW</t>
        </is>
      </c>
      <c r="Q657" s="24" t="inlineStr">
        <is>
          <t>17</t>
        </is>
      </c>
    </row>
    <row r="658" ht="24" customHeight="1">
      <c r="A658" s="29" t="inlineStr">
        <is>
          <t>OpenDART_fnlttSinglAcntAll</t>
        </is>
      </c>
      <c r="B658" s="29" t="inlineStr">
        <is>
          <t>01021666</t>
        </is>
      </c>
      <c r="C658" s="29" t="inlineStr">
        <is>
          <t>덕산테코피아</t>
        </is>
      </c>
      <c r="D658" s="29" t="inlineStr">
        <is>
          <t>duksan</t>
        </is>
      </c>
      <c r="E658" s="29" t="inlineStr">
        <is>
          <t>317330</t>
        </is>
      </c>
      <c r="F658" s="29" t="inlineStr">
        <is>
          <t>2025</t>
        </is>
      </c>
      <c r="G658" s="29" t="inlineStr">
        <is>
          <t>CFS</t>
        </is>
      </c>
      <c r="H658" s="29" t="inlineStr">
        <is>
          <t>CF</t>
        </is>
      </c>
      <c r="I658" s="29" t="inlineStr">
        <is>
          <t>현금흐름표</t>
        </is>
      </c>
      <c r="J658" s="29" t="inlineStr">
        <is>
          <t>dart_RepaymentsOfLongTermBorrowings</t>
        </is>
      </c>
      <c r="K658" s="29" t="inlineStr">
        <is>
          <t>장기차입금의 상환</t>
        </is>
      </c>
      <c r="L658" s="29" t="inlineStr">
        <is>
          <t>-</t>
        </is>
      </c>
      <c r="M658" s="29" t="inlineStr">
        <is>
          <t>제 20 기</t>
        </is>
      </c>
      <c r="N658" s="29" t="inlineStr">
        <is>
          <t>4000000000.0</t>
        </is>
      </c>
      <c r="O658" s="29" t="inlineStr">
        <is>
          <t>500000000.0</t>
        </is>
      </c>
      <c r="P658" s="29" t="inlineStr">
        <is>
          <t>KRW</t>
        </is>
      </c>
      <c r="Q658" s="29" t="inlineStr">
        <is>
          <t>18</t>
        </is>
      </c>
    </row>
    <row r="659" ht="24" customHeight="1">
      <c r="A659" s="24" t="inlineStr">
        <is>
          <t>OpenDART_fnlttSinglAcntAll</t>
        </is>
      </c>
      <c r="B659" s="24" t="inlineStr">
        <is>
          <t>01021666</t>
        </is>
      </c>
      <c r="C659" s="24" t="inlineStr">
        <is>
          <t>덕산테코피아</t>
        </is>
      </c>
      <c r="D659" s="24" t="inlineStr">
        <is>
          <t>duksan</t>
        </is>
      </c>
      <c r="E659" s="24" t="inlineStr">
        <is>
          <t>317330</t>
        </is>
      </c>
      <c r="F659" s="24" t="inlineStr">
        <is>
          <t>2025</t>
        </is>
      </c>
      <c r="G659" s="24" t="inlineStr">
        <is>
          <t>CFS</t>
        </is>
      </c>
      <c r="H659" s="24" t="inlineStr">
        <is>
          <t>CF</t>
        </is>
      </c>
      <c r="I659" s="24" t="inlineStr">
        <is>
          <t>현금흐름표</t>
        </is>
      </c>
      <c r="J659" s="24" t="inlineStr">
        <is>
          <t>dart_RepaymentsOfShortTermBorrowings</t>
        </is>
      </c>
      <c r="K659" s="24" t="inlineStr">
        <is>
          <t>단기차입금의 상환</t>
        </is>
      </c>
      <c r="L659" s="24" t="inlineStr">
        <is>
          <t>-</t>
        </is>
      </c>
      <c r="M659" s="24" t="inlineStr">
        <is>
          <t>제 20 기</t>
        </is>
      </c>
      <c r="N659" s="24" t="inlineStr">
        <is>
          <t>30684476741.0</t>
        </is>
      </c>
      <c r="O659" s="24" t="inlineStr">
        <is>
          <t>10086065250.0</t>
        </is>
      </c>
      <c r="P659" s="24" t="inlineStr">
        <is>
          <t>KRW</t>
        </is>
      </c>
      <c r="Q659" s="24" t="inlineStr">
        <is>
          <t>19</t>
        </is>
      </c>
    </row>
    <row r="660" ht="24" customHeight="1">
      <c r="A660" s="29" t="inlineStr">
        <is>
          <t>OpenDART_fnlttSinglAcntAll</t>
        </is>
      </c>
      <c r="B660" s="29" t="inlineStr">
        <is>
          <t>01021666</t>
        </is>
      </c>
      <c r="C660" s="29" t="inlineStr">
        <is>
          <t>덕산테코피아</t>
        </is>
      </c>
      <c r="D660" s="29" t="inlineStr">
        <is>
          <t>duksan</t>
        </is>
      </c>
      <c r="E660" s="29" t="inlineStr">
        <is>
          <t>317330</t>
        </is>
      </c>
      <c r="F660" s="29" t="inlineStr">
        <is>
          <t>2025</t>
        </is>
      </c>
      <c r="G660" s="29" t="inlineStr">
        <is>
          <t>CFS</t>
        </is>
      </c>
      <c r="H660" s="29" t="inlineStr">
        <is>
          <t>CF</t>
        </is>
      </c>
      <c r="I660" s="29" t="inlineStr">
        <is>
          <t>현금흐름표</t>
        </is>
      </c>
      <c r="J660" s="29" t="inlineStr">
        <is>
          <t>ifrs-full_ProceedsFromIssuingShares</t>
        </is>
      </c>
      <c r="K660" s="29" t="inlineStr">
        <is>
          <t>주식의 발행</t>
        </is>
      </c>
      <c r="L660" s="29" t="inlineStr">
        <is>
          <t>-</t>
        </is>
      </c>
      <c r="M660" s="29" t="inlineStr">
        <is>
          <t>제 20 기</t>
        </is>
      </c>
      <c r="N660" s="29" t="inlineStr">
        <is>
          <t>해당 없음</t>
        </is>
      </c>
      <c r="O660" s="29" t="inlineStr">
        <is>
          <t>-2566840.0</t>
        </is>
      </c>
      <c r="P660" s="29" t="inlineStr">
        <is>
          <t>KRW</t>
        </is>
      </c>
      <c r="Q660" s="29" t="inlineStr">
        <is>
          <t>20</t>
        </is>
      </c>
    </row>
    <row r="661" ht="24" customHeight="1">
      <c r="A661" s="24" t="inlineStr">
        <is>
          <t>OpenDART_fnlttSinglAcntAll</t>
        </is>
      </c>
      <c r="B661" s="24" t="inlineStr">
        <is>
          <t>01021666</t>
        </is>
      </c>
      <c r="C661" s="24" t="inlineStr">
        <is>
          <t>덕산테코피아</t>
        </is>
      </c>
      <c r="D661" s="24" t="inlineStr">
        <is>
          <t>duksan</t>
        </is>
      </c>
      <c r="E661" s="24" t="inlineStr">
        <is>
          <t>317330</t>
        </is>
      </c>
      <c r="F661" s="24" t="inlineStr">
        <is>
          <t>2025</t>
        </is>
      </c>
      <c r="G661" s="24" t="inlineStr">
        <is>
          <t>CFS</t>
        </is>
      </c>
      <c r="H661" s="24" t="inlineStr">
        <is>
          <t>CF</t>
        </is>
      </c>
      <c r="I661" s="24" t="inlineStr">
        <is>
          <t>현금흐름표</t>
        </is>
      </c>
      <c r="J661" s="24" t="inlineStr">
        <is>
          <t>ifrs-full_RepaymentsOfCurrentBorrowings</t>
        </is>
      </c>
      <c r="K661" s="24" t="inlineStr">
        <is>
          <t>유동차입금의 상환</t>
        </is>
      </c>
      <c r="L661" s="24" t="inlineStr">
        <is>
          <t>-</t>
        </is>
      </c>
      <c r="M661" s="24" t="inlineStr">
        <is>
          <t>제 20 기</t>
        </is>
      </c>
      <c r="N661" s="24" t="inlineStr">
        <is>
          <t>2857040000.0</t>
        </is>
      </c>
      <c r="O661" s="24" t="inlineStr">
        <is>
          <t>21228880000.0</t>
        </is>
      </c>
      <c r="P661" s="24" t="inlineStr">
        <is>
          <t>KRW</t>
        </is>
      </c>
      <c r="Q661" s="24" t="inlineStr">
        <is>
          <t>21</t>
        </is>
      </c>
    </row>
    <row r="662" ht="24" customHeight="1">
      <c r="A662" s="29" t="inlineStr">
        <is>
          <t>OpenDART_fnlttSinglAcntAll</t>
        </is>
      </c>
      <c r="B662" s="29" t="inlineStr">
        <is>
          <t>01021666</t>
        </is>
      </c>
      <c r="C662" s="29" t="inlineStr">
        <is>
          <t>덕산테코피아</t>
        </is>
      </c>
      <c r="D662" s="29" t="inlineStr">
        <is>
          <t>duksan</t>
        </is>
      </c>
      <c r="E662" s="29" t="inlineStr">
        <is>
          <t>317330</t>
        </is>
      </c>
      <c r="F662" s="29" t="inlineStr">
        <is>
          <t>2025</t>
        </is>
      </c>
      <c r="G662" s="29" t="inlineStr">
        <is>
          <t>CFS</t>
        </is>
      </c>
      <c r="H662" s="29" t="inlineStr">
        <is>
          <t>CF</t>
        </is>
      </c>
      <c r="I662" s="29" t="inlineStr">
        <is>
          <t>현금흐름표</t>
        </is>
      </c>
      <c r="J662" s="29" t="inlineStr">
        <is>
          <t>ifrs-full_CashFlowsFromUsedInInvestingActivities</t>
        </is>
      </c>
      <c r="K662" s="29" t="inlineStr">
        <is>
          <t>투자활동현금흐름</t>
        </is>
      </c>
      <c r="L662" s="29" t="inlineStr">
        <is>
          <t>-</t>
        </is>
      </c>
      <c r="M662" s="29" t="inlineStr">
        <is>
          <t>제 20 기</t>
        </is>
      </c>
      <c r="N662" s="29" t="inlineStr">
        <is>
          <t>24667374851.0</t>
        </is>
      </c>
      <c r="O662" s="29" t="inlineStr">
        <is>
          <t>-113740008300.0</t>
        </is>
      </c>
      <c r="P662" s="29" t="inlineStr">
        <is>
          <t>KRW</t>
        </is>
      </c>
      <c r="Q662" s="29" t="inlineStr">
        <is>
          <t>22</t>
        </is>
      </c>
    </row>
    <row r="663" ht="24" customHeight="1">
      <c r="A663" s="24" t="inlineStr">
        <is>
          <t>OpenDART_fnlttSinglAcntAll</t>
        </is>
      </c>
      <c r="B663" s="24" t="inlineStr">
        <is>
          <t>01021666</t>
        </is>
      </c>
      <c r="C663" s="24" t="inlineStr">
        <is>
          <t>덕산테코피아</t>
        </is>
      </c>
      <c r="D663" s="24" t="inlineStr">
        <is>
          <t>duksan</t>
        </is>
      </c>
      <c r="E663" s="24" t="inlineStr">
        <is>
          <t>317330</t>
        </is>
      </c>
      <c r="F663" s="24" t="inlineStr">
        <is>
          <t>2025</t>
        </is>
      </c>
      <c r="G663" s="24" t="inlineStr">
        <is>
          <t>CFS</t>
        </is>
      </c>
      <c r="H663" s="24" t="inlineStr">
        <is>
          <t>CF</t>
        </is>
      </c>
      <c r="I663" s="24" t="inlineStr">
        <is>
          <t>현금흐름표</t>
        </is>
      </c>
      <c r="J663" s="24" t="inlineStr">
        <is>
          <t>dart_DecreaseInGuaranteeDeposits</t>
        </is>
      </c>
      <c r="K663" s="24" t="inlineStr">
        <is>
          <t>임차보증금의 감소</t>
        </is>
      </c>
      <c r="L663" s="24" t="inlineStr">
        <is>
          <t>-</t>
        </is>
      </c>
      <c r="M663" s="24" t="inlineStr">
        <is>
          <t>제 20 기</t>
        </is>
      </c>
      <c r="N663" s="24" t="inlineStr">
        <is>
          <t>346619225.0</t>
        </is>
      </c>
      <c r="O663" s="24" t="inlineStr">
        <is>
          <t>35500000.0</t>
        </is>
      </c>
      <c r="P663" s="24" t="inlineStr">
        <is>
          <t>KRW</t>
        </is>
      </c>
      <c r="Q663" s="24" t="inlineStr">
        <is>
          <t>23</t>
        </is>
      </c>
    </row>
    <row r="664" ht="24" customHeight="1">
      <c r="A664" s="29" t="inlineStr">
        <is>
          <t>OpenDART_fnlttSinglAcntAll</t>
        </is>
      </c>
      <c r="B664" s="29" t="inlineStr">
        <is>
          <t>01021666</t>
        </is>
      </c>
      <c r="C664" s="29" t="inlineStr">
        <is>
          <t>덕산테코피아</t>
        </is>
      </c>
      <c r="D664" s="29" t="inlineStr">
        <is>
          <t>duksan</t>
        </is>
      </c>
      <c r="E664" s="29" t="inlineStr">
        <is>
          <t>317330</t>
        </is>
      </c>
      <c r="F664" s="29" t="inlineStr">
        <is>
          <t>2025</t>
        </is>
      </c>
      <c r="G664" s="29" t="inlineStr">
        <is>
          <t>CFS</t>
        </is>
      </c>
      <c r="H664" s="29" t="inlineStr">
        <is>
          <t>CF</t>
        </is>
      </c>
      <c r="I664" s="29" t="inlineStr">
        <is>
          <t>현금흐름표</t>
        </is>
      </c>
      <c r="J664" s="29" t="inlineStr">
        <is>
          <t>dart_DecreaseInGuaranteeDepositsAsFinancialActivities</t>
        </is>
      </c>
      <c r="K664" s="29" t="inlineStr">
        <is>
          <t>임대보증금의 감소</t>
        </is>
      </c>
      <c r="L664" s="29" t="inlineStr">
        <is>
          <t>-</t>
        </is>
      </c>
      <c r="M664" s="29" t="inlineStr">
        <is>
          <t>제 20 기</t>
        </is>
      </c>
      <c r="N664" s="29" t="inlineStr">
        <is>
          <t>해당 없음</t>
        </is>
      </c>
      <c r="O664" s="29" t="inlineStr">
        <is>
          <t>0.0</t>
        </is>
      </c>
      <c r="P664" s="29" t="inlineStr">
        <is>
          <t>KRW</t>
        </is>
      </c>
      <c r="Q664" s="29" t="inlineStr">
        <is>
          <t>24</t>
        </is>
      </c>
    </row>
    <row r="665" ht="24" customHeight="1">
      <c r="A665" s="24" t="inlineStr">
        <is>
          <t>OpenDART_fnlttSinglAcntAll</t>
        </is>
      </c>
      <c r="B665" s="24" t="inlineStr">
        <is>
          <t>01021666</t>
        </is>
      </c>
      <c r="C665" s="24" t="inlineStr">
        <is>
          <t>덕산테코피아</t>
        </is>
      </c>
      <c r="D665" s="24" t="inlineStr">
        <is>
          <t>duksan</t>
        </is>
      </c>
      <c r="E665" s="24" t="inlineStr">
        <is>
          <t>317330</t>
        </is>
      </c>
      <c r="F665" s="24" t="inlineStr">
        <is>
          <t>2025</t>
        </is>
      </c>
      <c r="G665" s="24" t="inlineStr">
        <is>
          <t>CFS</t>
        </is>
      </c>
      <c r="H665" s="24" t="inlineStr">
        <is>
          <t>CF</t>
        </is>
      </c>
      <c r="I665" s="24" t="inlineStr">
        <is>
          <t>현금흐름표</t>
        </is>
      </c>
      <c r="J665" s="24" t="inlineStr">
        <is>
          <t>dart_IncreaseInGuaranteeDeposits</t>
        </is>
      </c>
      <c r="K665" s="24" t="inlineStr">
        <is>
          <t>임차보증금의 증가</t>
        </is>
      </c>
      <c r="L665" s="24" t="inlineStr">
        <is>
          <t>-</t>
        </is>
      </c>
      <c r="M665" s="24" t="inlineStr">
        <is>
          <t>제 20 기</t>
        </is>
      </c>
      <c r="N665" s="24" t="inlineStr">
        <is>
          <t>388134081.0</t>
        </is>
      </c>
      <c r="O665" s="24" t="inlineStr">
        <is>
          <t>214434110.0</t>
        </is>
      </c>
      <c r="P665" s="24" t="inlineStr">
        <is>
          <t>KRW</t>
        </is>
      </c>
      <c r="Q665" s="24" t="inlineStr">
        <is>
          <t>25</t>
        </is>
      </c>
    </row>
    <row r="666" ht="24" customHeight="1">
      <c r="A666" s="29" t="inlineStr">
        <is>
          <t>OpenDART_fnlttSinglAcntAll</t>
        </is>
      </c>
      <c r="B666" s="29" t="inlineStr">
        <is>
          <t>01021666</t>
        </is>
      </c>
      <c r="C666" s="29" t="inlineStr">
        <is>
          <t>덕산테코피아</t>
        </is>
      </c>
      <c r="D666" s="29" t="inlineStr">
        <is>
          <t>duksan</t>
        </is>
      </c>
      <c r="E666" s="29" t="inlineStr">
        <is>
          <t>317330</t>
        </is>
      </c>
      <c r="F666" s="29" t="inlineStr">
        <is>
          <t>2025</t>
        </is>
      </c>
      <c r="G666" s="29" t="inlineStr">
        <is>
          <t>CFS</t>
        </is>
      </c>
      <c r="H666" s="29" t="inlineStr">
        <is>
          <t>CF</t>
        </is>
      </c>
      <c r="I666" s="29" t="inlineStr">
        <is>
          <t>현금흐름표</t>
        </is>
      </c>
      <c r="J666" s="29" t="inlineStr">
        <is>
          <t>dart_ProceedsFromSalesOfFairValueFinancialAsset</t>
        </is>
      </c>
      <c r="K666" s="29" t="inlineStr">
        <is>
          <t>당기손익인식금융자산의 처분</t>
        </is>
      </c>
      <c r="L666" s="29" t="inlineStr">
        <is>
          <t>-</t>
        </is>
      </c>
      <c r="M666" s="29" t="inlineStr">
        <is>
          <t>제 20 기</t>
        </is>
      </c>
      <c r="N666" s="29" t="inlineStr">
        <is>
          <t>25409089093.0</t>
        </is>
      </c>
      <c r="O666" s="29" t="inlineStr">
        <is>
          <t>5302552000.0</t>
        </is>
      </c>
      <c r="P666" s="29" t="inlineStr">
        <is>
          <t>KRW</t>
        </is>
      </c>
      <c r="Q666" s="29" t="inlineStr">
        <is>
          <t>26</t>
        </is>
      </c>
    </row>
    <row r="667" ht="24" customHeight="1">
      <c r="A667" s="24" t="inlineStr">
        <is>
          <t>OpenDART_fnlttSinglAcntAll</t>
        </is>
      </c>
      <c r="B667" s="24" t="inlineStr">
        <is>
          <t>01021666</t>
        </is>
      </c>
      <c r="C667" s="24" t="inlineStr">
        <is>
          <t>덕산테코피아</t>
        </is>
      </c>
      <c r="D667" s="24" t="inlineStr">
        <is>
          <t>duksan</t>
        </is>
      </c>
      <c r="E667" s="24" t="inlineStr">
        <is>
          <t>317330</t>
        </is>
      </c>
      <c r="F667" s="24" t="inlineStr">
        <is>
          <t>2025</t>
        </is>
      </c>
      <c r="G667" s="24" t="inlineStr">
        <is>
          <t>CFS</t>
        </is>
      </c>
      <c r="H667" s="24" t="inlineStr">
        <is>
          <t>CF</t>
        </is>
      </c>
      <c r="I667" s="24" t="inlineStr">
        <is>
          <t>현금흐름표</t>
        </is>
      </c>
      <c r="J667" s="24" t="inlineStr">
        <is>
          <t>dart_ProceedsFromSalesOfLongTermLoansAndReceivables</t>
        </is>
      </c>
      <c r="K667" s="24" t="inlineStr">
        <is>
          <t>장기대여금및수취채권의 처분</t>
        </is>
      </c>
      <c r="L667" s="24" t="inlineStr">
        <is>
          <t>-</t>
        </is>
      </c>
      <c r="M667" s="24" t="inlineStr">
        <is>
          <t>제 20 기</t>
        </is>
      </c>
      <c r="N667" s="24" t="inlineStr">
        <is>
          <t>26604501.0</t>
        </is>
      </c>
      <c r="O667" s="24" t="inlineStr">
        <is>
          <t>11800060.0</t>
        </is>
      </c>
      <c r="P667" s="24" t="inlineStr">
        <is>
          <t>KRW</t>
        </is>
      </c>
      <c r="Q667" s="24" t="inlineStr">
        <is>
          <t>27</t>
        </is>
      </c>
    </row>
    <row r="668" ht="24" customHeight="1">
      <c r="A668" s="29" t="inlineStr">
        <is>
          <t>OpenDART_fnlttSinglAcntAll</t>
        </is>
      </c>
      <c r="B668" s="29" t="inlineStr">
        <is>
          <t>01021666</t>
        </is>
      </c>
      <c r="C668" s="29" t="inlineStr">
        <is>
          <t>덕산테코피아</t>
        </is>
      </c>
      <c r="D668" s="29" t="inlineStr">
        <is>
          <t>duksan</t>
        </is>
      </c>
      <c r="E668" s="29" t="inlineStr">
        <is>
          <t>317330</t>
        </is>
      </c>
      <c r="F668" s="29" t="inlineStr">
        <is>
          <t>2025</t>
        </is>
      </c>
      <c r="G668" s="29" t="inlineStr">
        <is>
          <t>CFS</t>
        </is>
      </c>
      <c r="H668" s="29" t="inlineStr">
        <is>
          <t>CF</t>
        </is>
      </c>
      <c r="I668" s="29" t="inlineStr">
        <is>
          <t>현금흐름표</t>
        </is>
      </c>
      <c r="J668" s="29" t="inlineStr">
        <is>
          <t>dart_ProceedsFromSalesOfShortTermFinancialInstruments</t>
        </is>
      </c>
      <c r="K668" s="29" t="inlineStr">
        <is>
          <t>단기금융상품의 처분</t>
        </is>
      </c>
      <c r="L668" s="29" t="inlineStr">
        <is>
          <t>-</t>
        </is>
      </c>
      <c r="M668" s="29" t="inlineStr">
        <is>
          <t>제 20 기</t>
        </is>
      </c>
      <c r="N668" s="29" t="inlineStr">
        <is>
          <t>396100000000.0</t>
        </is>
      </c>
      <c r="O668" s="29" t="inlineStr">
        <is>
          <t>515500000000.0</t>
        </is>
      </c>
      <c r="P668" s="29" t="inlineStr">
        <is>
          <t>KRW</t>
        </is>
      </c>
      <c r="Q668" s="29" t="inlineStr">
        <is>
          <t>28</t>
        </is>
      </c>
    </row>
    <row r="669" ht="24" customHeight="1">
      <c r="A669" s="24" t="inlineStr">
        <is>
          <t>OpenDART_fnlttSinglAcntAll</t>
        </is>
      </c>
      <c r="B669" s="24" t="inlineStr">
        <is>
          <t>01021666</t>
        </is>
      </c>
      <c r="C669" s="24" t="inlineStr">
        <is>
          <t>덕산테코피아</t>
        </is>
      </c>
      <c r="D669" s="24" t="inlineStr">
        <is>
          <t>duksan</t>
        </is>
      </c>
      <c r="E669" s="24" t="inlineStr">
        <is>
          <t>317330</t>
        </is>
      </c>
      <c r="F669" s="24" t="inlineStr">
        <is>
          <t>2025</t>
        </is>
      </c>
      <c r="G669" s="24" t="inlineStr">
        <is>
          <t>CFS</t>
        </is>
      </c>
      <c r="H669" s="24" t="inlineStr">
        <is>
          <t>CF</t>
        </is>
      </c>
      <c r="I669" s="24" t="inlineStr">
        <is>
          <t>현금흐름표</t>
        </is>
      </c>
      <c r="J669" s="24" t="inlineStr">
        <is>
          <t>dart_ProceedsFromSalesOfShortTermLoansAndReceivables</t>
        </is>
      </c>
      <c r="K669" s="24" t="inlineStr">
        <is>
          <t>단기대여금및수취채권의 처분</t>
        </is>
      </c>
      <c r="L669" s="24" t="inlineStr">
        <is>
          <t>-</t>
        </is>
      </c>
      <c r="M669" s="24" t="inlineStr">
        <is>
          <t>제 20 기</t>
        </is>
      </c>
      <c r="N669" s="24" t="inlineStr">
        <is>
          <t>0.0</t>
        </is>
      </c>
      <c r="O669" s="24" t="inlineStr">
        <is>
          <t>2195452032.0</t>
        </is>
      </c>
      <c r="P669" s="24" t="inlineStr">
        <is>
          <t>KRW</t>
        </is>
      </c>
      <c r="Q669" s="24" t="inlineStr">
        <is>
          <t>29</t>
        </is>
      </c>
    </row>
    <row r="670" ht="24" customHeight="1">
      <c r="A670" s="29" t="inlineStr">
        <is>
          <t>OpenDART_fnlttSinglAcntAll</t>
        </is>
      </c>
      <c r="B670" s="29" t="inlineStr">
        <is>
          <t>01021666</t>
        </is>
      </c>
      <c r="C670" s="29" t="inlineStr">
        <is>
          <t>덕산테코피아</t>
        </is>
      </c>
      <c r="D670" s="29" t="inlineStr">
        <is>
          <t>duksan</t>
        </is>
      </c>
      <c r="E670" s="29" t="inlineStr">
        <is>
          <t>317330</t>
        </is>
      </c>
      <c r="F670" s="29" t="inlineStr">
        <is>
          <t>2025</t>
        </is>
      </c>
      <c r="G670" s="29" t="inlineStr">
        <is>
          <t>CFS</t>
        </is>
      </c>
      <c r="H670" s="29" t="inlineStr">
        <is>
          <t>CF</t>
        </is>
      </c>
      <c r="I670" s="29" t="inlineStr">
        <is>
          <t>현금흐름표</t>
        </is>
      </c>
      <c r="J670" s="29" t="inlineStr">
        <is>
          <t>dart_PurchaseOfFairValueFinancialAsset</t>
        </is>
      </c>
      <c r="K670" s="29" t="inlineStr">
        <is>
          <t>당기손익인식금융자산의 취득</t>
        </is>
      </c>
      <c r="L670" s="29" t="inlineStr">
        <is>
          <t>-</t>
        </is>
      </c>
      <c r="M670" s="29" t="inlineStr">
        <is>
          <t>제 20 기</t>
        </is>
      </c>
      <c r="N670" s="29" t="inlineStr">
        <is>
          <t>26237312487.0</t>
        </is>
      </c>
      <c r="O670" s="29" t="inlineStr">
        <is>
          <t>7999999376.0</t>
        </is>
      </c>
      <c r="P670" s="29" t="inlineStr">
        <is>
          <t>KRW</t>
        </is>
      </c>
      <c r="Q670" s="29" t="inlineStr">
        <is>
          <t>30</t>
        </is>
      </c>
    </row>
    <row r="671" ht="24" customHeight="1">
      <c r="A671" s="24" t="inlineStr">
        <is>
          <t>OpenDART_fnlttSinglAcntAll</t>
        </is>
      </c>
      <c r="B671" s="24" t="inlineStr">
        <is>
          <t>01021666</t>
        </is>
      </c>
      <c r="C671" s="24" t="inlineStr">
        <is>
          <t>덕산테코피아</t>
        </is>
      </c>
      <c r="D671" s="24" t="inlineStr">
        <is>
          <t>duksan</t>
        </is>
      </c>
      <c r="E671" s="24" t="inlineStr">
        <is>
          <t>317330</t>
        </is>
      </c>
      <c r="F671" s="24" t="inlineStr">
        <is>
          <t>2025</t>
        </is>
      </c>
      <c r="G671" s="24" t="inlineStr">
        <is>
          <t>CFS</t>
        </is>
      </c>
      <c r="H671" s="24" t="inlineStr">
        <is>
          <t>CF</t>
        </is>
      </c>
      <c r="I671" s="24" t="inlineStr">
        <is>
          <t>현금흐름표</t>
        </is>
      </c>
      <c r="J671" s="24" t="inlineStr">
        <is>
          <t>dart_PurchaseOfLongTermLoansAndReceivables</t>
        </is>
      </c>
      <c r="K671" s="24" t="inlineStr">
        <is>
          <t>장기대여금및수취채권의 취득</t>
        </is>
      </c>
      <c r="L671" s="24" t="inlineStr">
        <is>
          <t>-</t>
        </is>
      </c>
      <c r="M671" s="24" t="inlineStr">
        <is>
          <t>제 20 기</t>
        </is>
      </c>
      <c r="N671" s="24" t="inlineStr">
        <is>
          <t>60170500.0</t>
        </is>
      </c>
      <c r="O671" s="24" t="inlineStr">
        <is>
          <t>0.0</t>
        </is>
      </c>
      <c r="P671" s="24" t="inlineStr">
        <is>
          <t>KRW</t>
        </is>
      </c>
      <c r="Q671" s="24" t="inlineStr">
        <is>
          <t>31</t>
        </is>
      </c>
    </row>
    <row r="672" ht="24" customHeight="1">
      <c r="A672" s="29" t="inlineStr">
        <is>
          <t>OpenDART_fnlttSinglAcntAll</t>
        </is>
      </c>
      <c r="B672" s="29" t="inlineStr">
        <is>
          <t>01021666</t>
        </is>
      </c>
      <c r="C672" s="29" t="inlineStr">
        <is>
          <t>덕산테코피아</t>
        </is>
      </c>
      <c r="D672" s="29" t="inlineStr">
        <is>
          <t>duksan</t>
        </is>
      </c>
      <c r="E672" s="29" t="inlineStr">
        <is>
          <t>317330</t>
        </is>
      </c>
      <c r="F672" s="29" t="inlineStr">
        <is>
          <t>2025</t>
        </is>
      </c>
      <c r="G672" s="29" t="inlineStr">
        <is>
          <t>CFS</t>
        </is>
      </c>
      <c r="H672" s="29" t="inlineStr">
        <is>
          <t>CF</t>
        </is>
      </c>
      <c r="I672" s="29" t="inlineStr">
        <is>
          <t>현금흐름표</t>
        </is>
      </c>
      <c r="J672" s="29" t="inlineStr">
        <is>
          <t>dart_PurchaseOfShortTermFinancialInstruments</t>
        </is>
      </c>
      <c r="K672" s="29" t="inlineStr">
        <is>
          <t>단기금융상품의 취득</t>
        </is>
      </c>
      <c r="L672" s="29" t="inlineStr">
        <is>
          <t>-</t>
        </is>
      </c>
      <c r="M672" s="29" t="inlineStr">
        <is>
          <t>제 20 기</t>
        </is>
      </c>
      <c r="N672" s="29" t="inlineStr">
        <is>
          <t>341700000000.0</t>
        </is>
      </c>
      <c r="O672" s="29" t="inlineStr">
        <is>
          <t>589500000000.0</t>
        </is>
      </c>
      <c r="P672" s="29" t="inlineStr">
        <is>
          <t>KRW</t>
        </is>
      </c>
      <c r="Q672" s="29" t="inlineStr">
        <is>
          <t>32</t>
        </is>
      </c>
    </row>
    <row r="673" ht="24" customHeight="1">
      <c r="A673" s="24" t="inlineStr">
        <is>
          <t>OpenDART_fnlttSinglAcntAll</t>
        </is>
      </c>
      <c r="B673" s="24" t="inlineStr">
        <is>
          <t>01021666</t>
        </is>
      </c>
      <c r="C673" s="24" t="inlineStr">
        <is>
          <t>덕산테코피아</t>
        </is>
      </c>
      <c r="D673" s="24" t="inlineStr">
        <is>
          <t>duksan</t>
        </is>
      </c>
      <c r="E673" s="24" t="inlineStr">
        <is>
          <t>317330</t>
        </is>
      </c>
      <c r="F673" s="24" t="inlineStr">
        <is>
          <t>2025</t>
        </is>
      </c>
      <c r="G673" s="24" t="inlineStr">
        <is>
          <t>CFS</t>
        </is>
      </c>
      <c r="H673" s="24" t="inlineStr">
        <is>
          <t>CF</t>
        </is>
      </c>
      <c r="I673" s="24" t="inlineStr">
        <is>
          <t>현금흐름표</t>
        </is>
      </c>
      <c r="J673" s="24" t="inlineStr">
        <is>
          <t>dart_PurchaseOfShortTermLoansAndReceivables</t>
        </is>
      </c>
      <c r="K673" s="24" t="inlineStr">
        <is>
          <t>단기대여금및수취채권의 취득</t>
        </is>
      </c>
      <c r="L673" s="24" t="inlineStr">
        <is>
          <t>-</t>
        </is>
      </c>
      <c r="M673" s="24" t="inlineStr">
        <is>
          <t>제 20 기</t>
        </is>
      </c>
      <c r="N673" s="24" t="inlineStr">
        <is>
          <t>2000000.0</t>
        </is>
      </c>
      <c r="O673" s="24" t="inlineStr">
        <is>
          <t>0.0</t>
        </is>
      </c>
      <c r="P673" s="24" t="inlineStr">
        <is>
          <t>KRW</t>
        </is>
      </c>
      <c r="Q673" s="24" t="inlineStr">
        <is>
          <t>33</t>
        </is>
      </c>
    </row>
    <row r="674" ht="24" customHeight="1">
      <c r="A674" s="29" t="inlineStr">
        <is>
          <t>OpenDART_fnlttSinglAcntAll</t>
        </is>
      </c>
      <c r="B674" s="29" t="inlineStr">
        <is>
          <t>01021666</t>
        </is>
      </c>
      <c r="C674" s="29" t="inlineStr">
        <is>
          <t>덕산테코피아</t>
        </is>
      </c>
      <c r="D674" s="29" t="inlineStr">
        <is>
          <t>duksan</t>
        </is>
      </c>
      <c r="E674" s="29" t="inlineStr">
        <is>
          <t>317330</t>
        </is>
      </c>
      <c r="F674" s="29" t="inlineStr">
        <is>
          <t>2025</t>
        </is>
      </c>
      <c r="G674" s="29" t="inlineStr">
        <is>
          <t>CFS</t>
        </is>
      </c>
      <c r="H674" s="29" t="inlineStr">
        <is>
          <t>CF</t>
        </is>
      </c>
      <c r="I674" s="29" t="inlineStr">
        <is>
          <t>현금흐름표</t>
        </is>
      </c>
      <c r="J674" s="29" t="inlineStr">
        <is>
          <t>ifrs-full_ProceedsFromGovernmentGrantsClassifiedAsInvestingActivities</t>
        </is>
      </c>
      <c r="K674" s="29" t="inlineStr">
        <is>
          <t>투자활동으로 분류된 정부보조금</t>
        </is>
      </c>
      <c r="L674" s="29" t="inlineStr">
        <is>
          <t>-</t>
        </is>
      </c>
      <c r="M674" s="29" t="inlineStr">
        <is>
          <t>제 20 기</t>
        </is>
      </c>
      <c r="N674" s="29" t="inlineStr">
        <is>
          <t>1584406000.0</t>
        </is>
      </c>
      <c r="O674" s="29" t="inlineStr">
        <is>
          <t>0.0</t>
        </is>
      </c>
      <c r="P674" s="29" t="inlineStr">
        <is>
          <t>KRW</t>
        </is>
      </c>
      <c r="Q674" s="29" t="inlineStr">
        <is>
          <t>34</t>
        </is>
      </c>
    </row>
    <row r="675" ht="24" customHeight="1">
      <c r="A675" s="24" t="inlineStr">
        <is>
          <t>OpenDART_fnlttSinglAcntAll</t>
        </is>
      </c>
      <c r="B675" s="24" t="inlineStr">
        <is>
          <t>01021666</t>
        </is>
      </c>
      <c r="C675" s="24" t="inlineStr">
        <is>
          <t>덕산테코피아</t>
        </is>
      </c>
      <c r="D675" s="24" t="inlineStr">
        <is>
          <t>duksan</t>
        </is>
      </c>
      <c r="E675" s="24" t="inlineStr">
        <is>
          <t>317330</t>
        </is>
      </c>
      <c r="F675" s="24" t="inlineStr">
        <is>
          <t>2025</t>
        </is>
      </c>
      <c r="G675" s="24" t="inlineStr">
        <is>
          <t>CFS</t>
        </is>
      </c>
      <c r="H675" s="24" t="inlineStr">
        <is>
          <t>CF</t>
        </is>
      </c>
      <c r="I675" s="24" t="inlineStr">
        <is>
          <t>현금흐름표</t>
        </is>
      </c>
      <c r="J675" s="24" t="inlineStr">
        <is>
          <t>ifrs-full_ProceedsFromSalesOfPropertyPlantAndEquipmentClassifiedAsInvestingActivities</t>
        </is>
      </c>
      <c r="K675" s="24" t="inlineStr">
        <is>
          <t>투자활동으로 분류된 유형자산의 처분으로 인한 현금유입</t>
        </is>
      </c>
      <c r="L675" s="24" t="inlineStr">
        <is>
          <t>-</t>
        </is>
      </c>
      <c r="M675" s="24" t="inlineStr">
        <is>
          <t>제 20 기</t>
        </is>
      </c>
      <c r="N675" s="24" t="inlineStr">
        <is>
          <t>85454545.0</t>
        </is>
      </c>
      <c r="O675" s="24" t="inlineStr">
        <is>
          <t>800000.0</t>
        </is>
      </c>
      <c r="P675" s="24" t="inlineStr">
        <is>
          <t>KRW</t>
        </is>
      </c>
      <c r="Q675" s="24" t="inlineStr">
        <is>
          <t>35</t>
        </is>
      </c>
    </row>
    <row r="676" ht="24" customHeight="1">
      <c r="A676" s="29" t="inlineStr">
        <is>
          <t>OpenDART_fnlttSinglAcntAll</t>
        </is>
      </c>
      <c r="B676" s="29" t="inlineStr">
        <is>
          <t>01021666</t>
        </is>
      </c>
      <c r="C676" s="29" t="inlineStr">
        <is>
          <t>덕산테코피아</t>
        </is>
      </c>
      <c r="D676" s="29" t="inlineStr">
        <is>
          <t>duksan</t>
        </is>
      </c>
      <c r="E676" s="29" t="inlineStr">
        <is>
          <t>317330</t>
        </is>
      </c>
      <c r="F676" s="29" t="inlineStr">
        <is>
          <t>2025</t>
        </is>
      </c>
      <c r="G676" s="29" t="inlineStr">
        <is>
          <t>CFS</t>
        </is>
      </c>
      <c r="H676" s="29" t="inlineStr">
        <is>
          <t>CF</t>
        </is>
      </c>
      <c r="I676" s="29" t="inlineStr">
        <is>
          <t>현금흐름표</t>
        </is>
      </c>
      <c r="J676" s="29" t="inlineStr">
        <is>
          <t>ifrs-full_PurchaseOfIntangibleAssetsClassifiedAsInvestingActivities</t>
        </is>
      </c>
      <c r="K676" s="29" t="inlineStr">
        <is>
          <t>투자활동으로 분류된 무형자산의 취득</t>
        </is>
      </c>
      <c r="L676" s="29" t="inlineStr">
        <is>
          <t>-</t>
        </is>
      </c>
      <c r="M676" s="29" t="inlineStr">
        <is>
          <t>제 20 기</t>
        </is>
      </c>
      <c r="N676" s="29" t="inlineStr">
        <is>
          <t>209507159.0</t>
        </is>
      </c>
      <c r="O676" s="29" t="inlineStr">
        <is>
          <t>670934412.0</t>
        </is>
      </c>
      <c r="P676" s="29" t="inlineStr">
        <is>
          <t>KRW</t>
        </is>
      </c>
      <c r="Q676" s="29" t="inlineStr">
        <is>
          <t>36</t>
        </is>
      </c>
    </row>
    <row r="677" ht="24" customHeight="1">
      <c r="A677" s="24" t="inlineStr">
        <is>
          <t>OpenDART_fnlttSinglAcntAll</t>
        </is>
      </c>
      <c r="B677" s="24" t="inlineStr">
        <is>
          <t>01021666</t>
        </is>
      </c>
      <c r="C677" s="24" t="inlineStr">
        <is>
          <t>덕산테코피아</t>
        </is>
      </c>
      <c r="D677" s="24" t="inlineStr">
        <is>
          <t>duksan</t>
        </is>
      </c>
      <c r="E677" s="24" t="inlineStr">
        <is>
          <t>317330</t>
        </is>
      </c>
      <c r="F677" s="24" t="inlineStr">
        <is>
          <t>2025</t>
        </is>
      </c>
      <c r="G677" s="24" t="inlineStr">
        <is>
          <t>CFS</t>
        </is>
      </c>
      <c r="H677" s="24" t="inlineStr">
        <is>
          <t>CF</t>
        </is>
      </c>
      <c r="I677" s="24" t="inlineStr">
        <is>
          <t>현금흐름표</t>
        </is>
      </c>
      <c r="J677" s="24" t="inlineStr">
        <is>
          <t>ifrs-full_PurchaseOfPropertyPlantAndEquipmentClassifiedAsInvestingActivities</t>
        </is>
      </c>
      <c r="K677" s="24" t="inlineStr">
        <is>
          <t>투자활동으로 분류된 유형자산의 취득</t>
        </is>
      </c>
      <c r="L677" s="24" t="inlineStr">
        <is>
          <t>-</t>
        </is>
      </c>
      <c r="M677" s="24" t="inlineStr">
        <is>
          <t>제 20 기</t>
        </is>
      </c>
      <c r="N677" s="24" t="inlineStr">
        <is>
          <t>30287674286.0</t>
        </is>
      </c>
      <c r="O677" s="24" t="inlineStr">
        <is>
          <t>38400744494.0</t>
        </is>
      </c>
      <c r="P677" s="24" t="inlineStr">
        <is>
          <t>KRW</t>
        </is>
      </c>
      <c r="Q677" s="24" t="inlineStr">
        <is>
          <t>37</t>
        </is>
      </c>
    </row>
    <row r="678" ht="24" customHeight="1">
      <c r="A678" s="29" t="inlineStr">
        <is>
          <t>OpenDART_fnlttSinglAcntAll</t>
        </is>
      </c>
      <c r="B678" s="29" t="inlineStr">
        <is>
          <t>01021666</t>
        </is>
      </c>
      <c r="C678" s="29" t="inlineStr">
        <is>
          <t>덕산테코피아</t>
        </is>
      </c>
      <c r="D678" s="29" t="inlineStr">
        <is>
          <t>duksan</t>
        </is>
      </c>
      <c r="E678" s="29" t="inlineStr">
        <is>
          <t>317330</t>
        </is>
      </c>
      <c r="F678" s="29" t="inlineStr">
        <is>
          <t>2025</t>
        </is>
      </c>
      <c r="G678" s="29" t="inlineStr">
        <is>
          <t>CFS</t>
        </is>
      </c>
      <c r="H678" s="29" t="inlineStr">
        <is>
          <t>CF</t>
        </is>
      </c>
      <c r="I678" s="29" t="inlineStr">
        <is>
          <t>현금흐름표</t>
        </is>
      </c>
      <c r="J678" s="29" t="inlineStr">
        <is>
          <t>ifrs-full_CashFlowsFromUsedInOperatingActivities</t>
        </is>
      </c>
      <c r="K678" s="29" t="inlineStr">
        <is>
          <t>영업활동현금흐름</t>
        </is>
      </c>
      <c r="L678" s="29" t="inlineStr">
        <is>
          <t>-</t>
        </is>
      </c>
      <c r="M678" s="29" t="inlineStr">
        <is>
          <t>제 20 기</t>
        </is>
      </c>
      <c r="N678" s="29" t="inlineStr">
        <is>
          <t>-21390341189.0</t>
        </is>
      </c>
      <c r="O678" s="29" t="inlineStr">
        <is>
          <t>-56191200937.0</t>
        </is>
      </c>
      <c r="P678" s="29" t="inlineStr">
        <is>
          <t>KRW</t>
        </is>
      </c>
      <c r="Q678" s="29" t="inlineStr">
        <is>
          <t>38</t>
        </is>
      </c>
    </row>
    <row r="679" ht="24" customHeight="1">
      <c r="A679" s="24" t="inlineStr">
        <is>
          <t>OpenDART_fnlttSinglAcntAll</t>
        </is>
      </c>
      <c r="B679" s="24" t="inlineStr">
        <is>
          <t>01021666</t>
        </is>
      </c>
      <c r="C679" s="24" t="inlineStr">
        <is>
          <t>덕산테코피아</t>
        </is>
      </c>
      <c r="D679" s="24" t="inlineStr">
        <is>
          <t>duksan</t>
        </is>
      </c>
      <c r="E679" s="24" t="inlineStr">
        <is>
          <t>317330</t>
        </is>
      </c>
      <c r="F679" s="24" t="inlineStr">
        <is>
          <t>2025</t>
        </is>
      </c>
      <c r="G679" s="24" t="inlineStr">
        <is>
          <t>CFS</t>
        </is>
      </c>
      <c r="H679" s="24" t="inlineStr">
        <is>
          <t>CF</t>
        </is>
      </c>
      <c r="I679" s="24" t="inlineStr">
        <is>
          <t>현금흐름표</t>
        </is>
      </c>
      <c r="J679" s="24" t="inlineStr">
        <is>
          <t>ifrs-full_CashFlowsFromUsedInOperations</t>
        </is>
      </c>
      <c r="K679" s="24" t="inlineStr">
        <is>
          <t>영업에서 창출된 현금흐름</t>
        </is>
      </c>
      <c r="L679" s="24" t="inlineStr">
        <is>
          <t>-</t>
        </is>
      </c>
      <c r="M679" s="24" t="inlineStr">
        <is>
          <t>제 20 기</t>
        </is>
      </c>
      <c r="N679" s="24" t="inlineStr">
        <is>
          <t>-18062787961.0</t>
        </is>
      </c>
      <c r="O679" s="24" t="inlineStr">
        <is>
          <t>-53246716279.0</t>
        </is>
      </c>
      <c r="P679" s="24" t="inlineStr">
        <is>
          <t>KRW</t>
        </is>
      </c>
      <c r="Q679" s="24" t="inlineStr">
        <is>
          <t>39</t>
        </is>
      </c>
    </row>
    <row r="680" ht="24" customHeight="1">
      <c r="A680" s="29" t="inlineStr">
        <is>
          <t>OpenDART_fnlttSinglAcntAll</t>
        </is>
      </c>
      <c r="B680" s="29" t="inlineStr">
        <is>
          <t>01021666</t>
        </is>
      </c>
      <c r="C680" s="29" t="inlineStr">
        <is>
          <t>덕산테코피아</t>
        </is>
      </c>
      <c r="D680" s="29" t="inlineStr">
        <is>
          <t>duksan</t>
        </is>
      </c>
      <c r="E680" s="29" t="inlineStr">
        <is>
          <t>317330</t>
        </is>
      </c>
      <c r="F680" s="29" t="inlineStr">
        <is>
          <t>2025</t>
        </is>
      </c>
      <c r="G680" s="29" t="inlineStr">
        <is>
          <t>CFS</t>
        </is>
      </c>
      <c r="H680" s="29" t="inlineStr">
        <is>
          <t>CF</t>
        </is>
      </c>
      <c r="I680" s="29" t="inlineStr">
        <is>
          <t>현금흐름표</t>
        </is>
      </c>
      <c r="J680" s="29" t="inlineStr">
        <is>
          <t>ifrs-full_IncomeTaxesPaidRefundClassifiedAsOperatingActivities</t>
        </is>
      </c>
      <c r="K680" s="29" t="inlineStr">
        <is>
          <t>법인세납부(환급)</t>
        </is>
      </c>
      <c r="L680" s="29" t="inlineStr">
        <is>
          <t>-</t>
        </is>
      </c>
      <c r="M680" s="29" t="inlineStr">
        <is>
          <t>제 20 기</t>
        </is>
      </c>
      <c r="N680" s="29" t="inlineStr">
        <is>
          <t>406616289.0</t>
        </is>
      </c>
      <c r="O680" s="29" t="inlineStr">
        <is>
          <t>419716255.0</t>
        </is>
      </c>
      <c r="P680" s="29" t="inlineStr">
        <is>
          <t>KRW</t>
        </is>
      </c>
      <c r="Q680" s="29" t="inlineStr">
        <is>
          <t>40</t>
        </is>
      </c>
    </row>
    <row r="681" ht="24" customHeight="1">
      <c r="A681" s="24" t="inlineStr">
        <is>
          <t>OpenDART_fnlttSinglAcntAll</t>
        </is>
      </c>
      <c r="B681" s="24" t="inlineStr">
        <is>
          <t>01021666</t>
        </is>
      </c>
      <c r="C681" s="24" t="inlineStr">
        <is>
          <t>덕산테코피아</t>
        </is>
      </c>
      <c r="D681" s="24" t="inlineStr">
        <is>
          <t>duksan</t>
        </is>
      </c>
      <c r="E681" s="24" t="inlineStr">
        <is>
          <t>317330</t>
        </is>
      </c>
      <c r="F681" s="24" t="inlineStr">
        <is>
          <t>2025</t>
        </is>
      </c>
      <c r="G681" s="24" t="inlineStr">
        <is>
          <t>CFS</t>
        </is>
      </c>
      <c r="H681" s="24" t="inlineStr">
        <is>
          <t>CF</t>
        </is>
      </c>
      <c r="I681" s="24" t="inlineStr">
        <is>
          <t>현금흐름표</t>
        </is>
      </c>
      <c r="J681" s="24" t="inlineStr">
        <is>
          <t>ifrs-full_InterestPaidClassifiedAsOperatingActivities</t>
        </is>
      </c>
      <c r="K681" s="24" t="inlineStr">
        <is>
          <t>영업활동으로 분류된 이자지급</t>
        </is>
      </c>
      <c r="L681" s="24" t="inlineStr">
        <is>
          <t>-</t>
        </is>
      </c>
      <c r="M681" s="24" t="inlineStr">
        <is>
          <t>제 20 기</t>
        </is>
      </c>
      <c r="N681" s="24" t="inlineStr">
        <is>
          <t>6311000436.0</t>
        </is>
      </c>
      <c r="O681" s="24" t="inlineStr">
        <is>
          <t>6395091002.0</t>
        </is>
      </c>
      <c r="P681" s="24" t="inlineStr">
        <is>
          <t>KRW</t>
        </is>
      </c>
      <c r="Q681" s="24" t="inlineStr">
        <is>
          <t>41</t>
        </is>
      </c>
    </row>
    <row r="682" ht="24" customHeight="1">
      <c r="A682" s="29" t="inlineStr">
        <is>
          <t>OpenDART_fnlttSinglAcntAll</t>
        </is>
      </c>
      <c r="B682" s="29" t="inlineStr">
        <is>
          <t>01021666</t>
        </is>
      </c>
      <c r="C682" s="29" t="inlineStr">
        <is>
          <t>덕산테코피아</t>
        </is>
      </c>
      <c r="D682" s="29" t="inlineStr">
        <is>
          <t>duksan</t>
        </is>
      </c>
      <c r="E682" s="29" t="inlineStr">
        <is>
          <t>317330</t>
        </is>
      </c>
      <c r="F682" s="29" t="inlineStr">
        <is>
          <t>2025</t>
        </is>
      </c>
      <c r="G682" s="29" t="inlineStr">
        <is>
          <t>CFS</t>
        </is>
      </c>
      <c r="H682" s="29" t="inlineStr">
        <is>
          <t>CF</t>
        </is>
      </c>
      <c r="I682" s="29" t="inlineStr">
        <is>
          <t>현금흐름표</t>
        </is>
      </c>
      <c r="J682" s="29" t="inlineStr">
        <is>
          <t>ifrs-full_InterestReceivedClassifiedAsOperatingActivities</t>
        </is>
      </c>
      <c r="K682" s="29" t="inlineStr">
        <is>
          <t>영업활동으로 분류된 이자수취</t>
        </is>
      </c>
      <c r="L682" s="29" t="inlineStr">
        <is>
          <t>-</t>
        </is>
      </c>
      <c r="M682" s="29" t="inlineStr">
        <is>
          <t>제 20 기</t>
        </is>
      </c>
      <c r="N682" s="29" t="inlineStr">
        <is>
          <t>3390063497.0</t>
        </is>
      </c>
      <c r="O682" s="29" t="inlineStr">
        <is>
          <t>3870322599.0</t>
        </is>
      </c>
      <c r="P682" s="29" t="inlineStr">
        <is>
          <t>KRW</t>
        </is>
      </c>
      <c r="Q682" s="29" t="inlineStr">
        <is>
          <t>42</t>
        </is>
      </c>
    </row>
    <row r="683" ht="24" customHeight="1">
      <c r="A683" s="24" t="inlineStr">
        <is>
          <t>OpenDART_fnlttSinglAcntAll</t>
        </is>
      </c>
      <c r="B683" s="24" t="inlineStr">
        <is>
          <t>01021666</t>
        </is>
      </c>
      <c r="C683" s="24" t="inlineStr">
        <is>
          <t>덕산테코피아</t>
        </is>
      </c>
      <c r="D683" s="24" t="inlineStr">
        <is>
          <t>duksan</t>
        </is>
      </c>
      <c r="E683" s="24" t="inlineStr">
        <is>
          <t>317330</t>
        </is>
      </c>
      <c r="F683" s="24" t="inlineStr">
        <is>
          <t>2025</t>
        </is>
      </c>
      <c r="G683" s="24" t="inlineStr">
        <is>
          <t>CFS</t>
        </is>
      </c>
      <c r="H683" s="24" t="inlineStr">
        <is>
          <t>CF</t>
        </is>
      </c>
      <c r="I683" s="24" t="inlineStr">
        <is>
          <t>현금흐름표</t>
        </is>
      </c>
      <c r="J683" s="24" t="inlineStr">
        <is>
          <t>ifrs-full_EffectOfExchangeRateChangesOnCashAndCashEquivalents</t>
        </is>
      </c>
      <c r="K683" s="24" t="inlineStr">
        <is>
          <t>현금및현금성자산에 대한 환율변동효과</t>
        </is>
      </c>
      <c r="L683" s="24" t="inlineStr">
        <is>
          <t>-</t>
        </is>
      </c>
      <c r="M683" s="24" t="inlineStr">
        <is>
          <t>제 20 기</t>
        </is>
      </c>
      <c r="N683" s="24" t="inlineStr">
        <is>
          <t>42824261.0</t>
        </is>
      </c>
      <c r="O683" s="24" t="inlineStr">
        <is>
          <t>1394849279.0</t>
        </is>
      </c>
      <c r="P683" s="24" t="inlineStr">
        <is>
          <t>KRW</t>
        </is>
      </c>
      <c r="Q683" s="24" t="inlineStr">
        <is>
          <t>43</t>
        </is>
      </c>
    </row>
    <row r="684" ht="24" customHeight="1">
      <c r="A684" s="29" t="inlineStr">
        <is>
          <t>OpenDART_fnlttSinglAcntAll</t>
        </is>
      </c>
      <c r="B684" s="29" t="inlineStr">
        <is>
          <t>01021666</t>
        </is>
      </c>
      <c r="C684" s="29" t="inlineStr">
        <is>
          <t>덕산테코피아</t>
        </is>
      </c>
      <c r="D684" s="29" t="inlineStr">
        <is>
          <t>duksan</t>
        </is>
      </c>
      <c r="E684" s="29" t="inlineStr">
        <is>
          <t>317330</t>
        </is>
      </c>
      <c r="F684" s="29" t="inlineStr">
        <is>
          <t>2025</t>
        </is>
      </c>
      <c r="G684" s="29" t="inlineStr">
        <is>
          <t>CFS</t>
        </is>
      </c>
      <c r="H684" s="29" t="inlineStr">
        <is>
          <t>CF</t>
        </is>
      </c>
      <c r="I684" s="29" t="inlineStr">
        <is>
          <t>현금흐름표</t>
        </is>
      </c>
      <c r="J684" s="29" t="inlineStr">
        <is>
          <t>ifrs-full_IncreaseDecreaseInCashAndCashEquivalents</t>
        </is>
      </c>
      <c r="K684" s="29" t="inlineStr">
        <is>
          <t>현금및현금성자산의순증가(감소)</t>
        </is>
      </c>
      <c r="L684" s="29" t="inlineStr">
        <is>
          <t>-</t>
        </is>
      </c>
      <c r="M684" s="29" t="inlineStr">
        <is>
          <t>제 20 기</t>
        </is>
      </c>
      <c r="N684" s="29" t="inlineStr">
        <is>
          <t>19785561999.0</t>
        </is>
      </c>
      <c r="O684" s="29" t="inlineStr">
        <is>
          <t>-3672470974.0</t>
        </is>
      </c>
      <c r="P684" s="29" t="inlineStr">
        <is>
          <t>KRW</t>
        </is>
      </c>
      <c r="Q684" s="29" t="inlineStr">
        <is>
          <t>44</t>
        </is>
      </c>
    </row>
    <row r="685" ht="24" customHeight="1">
      <c r="A685" s="24" t="inlineStr">
        <is>
          <t>OpenDART_fnlttSinglAcntAll</t>
        </is>
      </c>
      <c r="B685" s="24" t="inlineStr">
        <is>
          <t>01021666</t>
        </is>
      </c>
      <c r="C685" s="24" t="inlineStr">
        <is>
          <t>덕산테코피아</t>
        </is>
      </c>
      <c r="D685" s="24" t="inlineStr">
        <is>
          <t>duksan</t>
        </is>
      </c>
      <c r="E685" s="24" t="inlineStr">
        <is>
          <t>317330</t>
        </is>
      </c>
      <c r="F685" s="24" t="inlineStr">
        <is>
          <t>2025</t>
        </is>
      </c>
      <c r="G685" s="24" t="inlineStr">
        <is>
          <t>CFS</t>
        </is>
      </c>
      <c r="H685" s="24" t="inlineStr">
        <is>
          <t>SCE</t>
        </is>
      </c>
      <c r="I685" s="24" t="inlineStr">
        <is>
          <t>자본변동표</t>
        </is>
      </c>
      <c r="J685" s="24" t="inlineStr">
        <is>
          <t>dart_EquityAtBeginningOfPeriod</t>
        </is>
      </c>
      <c r="K685" s="24" t="inlineStr">
        <is>
          <t>기초자본</t>
        </is>
      </c>
      <c r="L685" s="24" t="inlineStr">
        <is>
          <t>자본 [구성요소]|비지배지분 [구성요소]</t>
        </is>
      </c>
      <c r="M685" s="24" t="inlineStr">
        <is>
          <t>제 20 기</t>
        </is>
      </c>
      <c r="N685" s="24" t="inlineStr">
        <is>
          <t>7499924016.0</t>
        </is>
      </c>
      <c r="O685" s="24" t="inlineStr">
        <is>
          <t>7321753504.0</t>
        </is>
      </c>
      <c r="P685" s="24" t="inlineStr">
        <is>
          <t>KRW</t>
        </is>
      </c>
      <c r="Q685" s="24" t="inlineStr">
        <is>
          <t>3</t>
        </is>
      </c>
    </row>
    <row r="686" ht="24" customHeight="1">
      <c r="A686" s="29" t="inlineStr">
        <is>
          <t>OpenDART_fnlttSinglAcntAll</t>
        </is>
      </c>
      <c r="B686" s="29" t="inlineStr">
        <is>
          <t>01021666</t>
        </is>
      </c>
      <c r="C686" s="29" t="inlineStr">
        <is>
          <t>덕산테코피아</t>
        </is>
      </c>
      <c r="D686" s="29" t="inlineStr">
        <is>
          <t>duksan</t>
        </is>
      </c>
      <c r="E686" s="29" t="inlineStr">
        <is>
          <t>317330</t>
        </is>
      </c>
      <c r="F686" s="29" t="inlineStr">
        <is>
          <t>2025</t>
        </is>
      </c>
      <c r="G686" s="29" t="inlineStr">
        <is>
          <t>CFS</t>
        </is>
      </c>
      <c r="H686" s="29" t="inlineStr">
        <is>
          <t>SCE</t>
        </is>
      </c>
      <c r="I686" s="29" t="inlineStr">
        <is>
          <t>자본변동표</t>
        </is>
      </c>
      <c r="J686" s="29" t="inlineStr">
        <is>
          <t>dart_EquityAtBeginningOfPeriod</t>
        </is>
      </c>
      <c r="K686" s="29" t="inlineStr">
        <is>
          <t>기초자본</t>
        </is>
      </c>
      <c r="L686" s="29" t="inlineStr">
        <is>
          <t>자본 [구성요소]|지배기업의 소유주에게 귀속되는 지분 [구성요소]|자본잉여금 [구성요소]</t>
        </is>
      </c>
      <c r="M686" s="29" t="inlineStr">
        <is>
          <t>제 20 기</t>
        </is>
      </c>
      <c r="N686" s="29" t="inlineStr">
        <is>
          <t>142153611695.0</t>
        </is>
      </c>
      <c r="O686" s="29" t="inlineStr">
        <is>
          <t>72282995783.0</t>
        </is>
      </c>
      <c r="P686" s="29" t="inlineStr">
        <is>
          <t>KRW</t>
        </is>
      </c>
      <c r="Q686" s="29" t="inlineStr">
        <is>
          <t>3</t>
        </is>
      </c>
    </row>
    <row r="687" ht="24" customHeight="1">
      <c r="A687" s="24" t="inlineStr">
        <is>
          <t>OpenDART_fnlttSinglAcntAll</t>
        </is>
      </c>
      <c r="B687" s="24" t="inlineStr">
        <is>
          <t>01021666</t>
        </is>
      </c>
      <c r="C687" s="24" t="inlineStr">
        <is>
          <t>덕산테코피아</t>
        </is>
      </c>
      <c r="D687" s="24" t="inlineStr">
        <is>
          <t>duksan</t>
        </is>
      </c>
      <c r="E687" s="24" t="inlineStr">
        <is>
          <t>317330</t>
        </is>
      </c>
      <c r="F687" s="24" t="inlineStr">
        <is>
          <t>2025</t>
        </is>
      </c>
      <c r="G687" s="24" t="inlineStr">
        <is>
          <t>CFS</t>
        </is>
      </c>
      <c r="H687" s="24" t="inlineStr">
        <is>
          <t>SCE</t>
        </is>
      </c>
      <c r="I687" s="24" t="inlineStr">
        <is>
          <t>자본변동표</t>
        </is>
      </c>
      <c r="J687" s="24" t="inlineStr">
        <is>
          <t>dart_EquityAtBeginningOfPeriod</t>
        </is>
      </c>
      <c r="K687" s="24" t="inlineStr">
        <is>
          <t>기초자본</t>
        </is>
      </c>
      <c r="L687" s="24" t="inlineStr">
        <is>
          <t>자본 [구성요소]|지배기업의 소유주에게 귀속되는 지분 [구성요소]|자본금 [구성요소]</t>
        </is>
      </c>
      <c r="M687" s="24" t="inlineStr">
        <is>
          <t>제 20 기</t>
        </is>
      </c>
      <c r="N687" s="24" t="inlineStr">
        <is>
          <t>10238292000.0</t>
        </is>
      </c>
      <c r="O687" s="24" t="inlineStr">
        <is>
          <t>9188714000.0</t>
        </is>
      </c>
      <c r="P687" s="24" t="inlineStr">
        <is>
          <t>KRW</t>
        </is>
      </c>
      <c r="Q687" s="24" t="inlineStr">
        <is>
          <t>3</t>
        </is>
      </c>
    </row>
    <row r="688" ht="24" customHeight="1">
      <c r="A688" s="29" t="inlineStr">
        <is>
          <t>OpenDART_fnlttSinglAcntAll</t>
        </is>
      </c>
      <c r="B688" s="29" t="inlineStr">
        <is>
          <t>01021666</t>
        </is>
      </c>
      <c r="C688" s="29" t="inlineStr">
        <is>
          <t>덕산테코피아</t>
        </is>
      </c>
      <c r="D688" s="29" t="inlineStr">
        <is>
          <t>duksan</t>
        </is>
      </c>
      <c r="E688" s="29" t="inlineStr">
        <is>
          <t>317330</t>
        </is>
      </c>
      <c r="F688" s="29" t="inlineStr">
        <is>
          <t>2025</t>
        </is>
      </c>
      <c r="G688" s="29" t="inlineStr">
        <is>
          <t>CFS</t>
        </is>
      </c>
      <c r="H688" s="29" t="inlineStr">
        <is>
          <t>SCE</t>
        </is>
      </c>
      <c r="I688" s="29" t="inlineStr">
        <is>
          <t>자본변동표</t>
        </is>
      </c>
      <c r="J688" s="29" t="inlineStr">
        <is>
          <t>dart_EquityAtBeginningOfPeriod</t>
        </is>
      </c>
      <c r="K688" s="29" t="inlineStr">
        <is>
          <t>기초자본</t>
        </is>
      </c>
      <c r="L688" s="29" t="inlineStr">
        <is>
          <t>자본 [구성요소]|지배기업의 소유주에게 귀속되는 지분 [구성요소]|이익잉여금 [구성요소]</t>
        </is>
      </c>
      <c r="M688" s="29" t="inlineStr">
        <is>
          <t>제 20 기</t>
        </is>
      </c>
      <c r="N688" s="29" t="inlineStr">
        <is>
          <t>46286798970.0</t>
        </is>
      </c>
      <c r="O688" s="29" t="inlineStr">
        <is>
          <t>99750054959.0</t>
        </is>
      </c>
      <c r="P688" s="29" t="inlineStr">
        <is>
          <t>KRW</t>
        </is>
      </c>
      <c r="Q688" s="29" t="inlineStr">
        <is>
          <t>3</t>
        </is>
      </c>
    </row>
    <row r="689" ht="24" customHeight="1">
      <c r="A689" s="24" t="inlineStr">
        <is>
          <t>OpenDART_fnlttSinglAcntAll</t>
        </is>
      </c>
      <c r="B689" s="24" t="inlineStr">
        <is>
          <t>01021666</t>
        </is>
      </c>
      <c r="C689" s="24" t="inlineStr">
        <is>
          <t>덕산테코피아</t>
        </is>
      </c>
      <c r="D689" s="24" t="inlineStr">
        <is>
          <t>duksan</t>
        </is>
      </c>
      <c r="E689" s="24" t="inlineStr">
        <is>
          <t>317330</t>
        </is>
      </c>
      <c r="F689" s="24" t="inlineStr">
        <is>
          <t>2025</t>
        </is>
      </c>
      <c r="G689" s="24" t="inlineStr">
        <is>
          <t>CFS</t>
        </is>
      </c>
      <c r="H689" s="24" t="inlineStr">
        <is>
          <t>SCE</t>
        </is>
      </c>
      <c r="I689" s="24" t="inlineStr">
        <is>
          <t>자본변동표</t>
        </is>
      </c>
      <c r="J689" s="24" t="inlineStr">
        <is>
          <t>dart_EquityAtBeginningOfPeriod</t>
        </is>
      </c>
      <c r="K689" s="24" t="inlineStr">
        <is>
          <t>기초자본</t>
        </is>
      </c>
      <c r="L689" s="24" t="inlineStr">
        <is>
          <t>자본 [구성요소]|지배기업의 소유주에게 귀속되는 지분 [구성요소]|기타자본구성요소 [구성요소]</t>
        </is>
      </c>
      <c r="M689" s="24" t="inlineStr">
        <is>
          <t>제 20 기</t>
        </is>
      </c>
      <c r="N689" s="24" t="inlineStr">
        <is>
          <t>-435013087.0</t>
        </is>
      </c>
      <c r="O689" s="24" t="inlineStr">
        <is>
          <t>-4237979213.0</t>
        </is>
      </c>
      <c r="P689" s="24" t="inlineStr">
        <is>
          <t>KRW</t>
        </is>
      </c>
      <c r="Q689" s="24" t="inlineStr">
        <is>
          <t>3</t>
        </is>
      </c>
    </row>
    <row r="690" ht="24" customHeight="1">
      <c r="A690" s="29" t="inlineStr">
        <is>
          <t>OpenDART_fnlttSinglAcntAll</t>
        </is>
      </c>
      <c r="B690" s="29" t="inlineStr">
        <is>
          <t>01021666</t>
        </is>
      </c>
      <c r="C690" s="29" t="inlineStr">
        <is>
          <t>덕산테코피아</t>
        </is>
      </c>
      <c r="D690" s="29" t="inlineStr">
        <is>
          <t>duksan</t>
        </is>
      </c>
      <c r="E690" s="29" t="inlineStr">
        <is>
          <t>317330</t>
        </is>
      </c>
      <c r="F690" s="29" t="inlineStr">
        <is>
          <t>2025</t>
        </is>
      </c>
      <c r="G690" s="29" t="inlineStr">
        <is>
          <t>CFS</t>
        </is>
      </c>
      <c r="H690" s="29" t="inlineStr">
        <is>
          <t>SCE</t>
        </is>
      </c>
      <c r="I690" s="29" t="inlineStr">
        <is>
          <t>자본변동표</t>
        </is>
      </c>
      <c r="J690" s="29" t="inlineStr">
        <is>
          <t>dart_EquityAtBeginningOfPeriod</t>
        </is>
      </c>
      <c r="K690" s="29" t="inlineStr">
        <is>
          <t>기초자본</t>
        </is>
      </c>
      <c r="L690" s="29" t="inlineStr">
        <is>
          <t>연결재무제표 [member]</t>
        </is>
      </c>
      <c r="M690" s="29" t="inlineStr">
        <is>
          <t>제 20 기</t>
        </is>
      </c>
      <c r="N690" s="29" t="inlineStr">
        <is>
          <t>205743613594.0</t>
        </is>
      </c>
      <c r="O690" s="29" t="inlineStr">
        <is>
          <t>184305539033.0</t>
        </is>
      </c>
      <c r="P690" s="29" t="inlineStr">
        <is>
          <t>KRW</t>
        </is>
      </c>
      <c r="Q690" s="29" t="inlineStr">
        <is>
          <t>3</t>
        </is>
      </c>
    </row>
    <row r="691" ht="24" customHeight="1">
      <c r="A691" s="24" t="inlineStr">
        <is>
          <t>OpenDART_fnlttSinglAcntAll</t>
        </is>
      </c>
      <c r="B691" s="24" t="inlineStr">
        <is>
          <t>01021666</t>
        </is>
      </c>
      <c r="C691" s="24" t="inlineStr">
        <is>
          <t>덕산테코피아</t>
        </is>
      </c>
      <c r="D691" s="24" t="inlineStr">
        <is>
          <t>duksan</t>
        </is>
      </c>
      <c r="E691" s="24" t="inlineStr">
        <is>
          <t>317330</t>
        </is>
      </c>
      <c r="F691" s="24" t="inlineStr">
        <is>
          <t>2025</t>
        </is>
      </c>
      <c r="G691" s="24" t="inlineStr">
        <is>
          <t>CFS</t>
        </is>
      </c>
      <c r="H691" s="24" t="inlineStr">
        <is>
          <t>SCE</t>
        </is>
      </c>
      <c r="I691" s="24" t="inlineStr">
        <is>
          <t>자본변동표</t>
        </is>
      </c>
      <c r="J691" s="24" t="inlineStr">
        <is>
          <t>dart_EquityAtBeginningOfPeriod</t>
        </is>
      </c>
      <c r="K691" s="24" t="inlineStr">
        <is>
          <t>기초자본</t>
        </is>
      </c>
      <c r="L691" s="24" t="inlineStr">
        <is>
          <t>자본 [구성요소]|지배기업의 소유주에게 귀속되는 지분 [구성요소]</t>
        </is>
      </c>
      <c r="M691" s="24" t="inlineStr">
        <is>
          <t>제 20 기</t>
        </is>
      </c>
      <c r="N691" s="24" t="inlineStr">
        <is>
          <t>198243689578.0</t>
        </is>
      </c>
      <c r="O691" s="24" t="inlineStr">
        <is>
          <t>176983785529.0</t>
        </is>
      </c>
      <c r="P691" s="24" t="inlineStr">
        <is>
          <t>KRW</t>
        </is>
      </c>
      <c r="Q691" s="24" t="inlineStr">
        <is>
          <t>3</t>
        </is>
      </c>
    </row>
    <row r="692" ht="24" customHeight="1">
      <c r="A692" s="29" t="inlineStr">
        <is>
          <t>OpenDART_fnlttSinglAcntAll</t>
        </is>
      </c>
      <c r="B692" s="29" t="inlineStr">
        <is>
          <t>01021666</t>
        </is>
      </c>
      <c r="C692" s="29" t="inlineStr">
        <is>
          <t>덕산테코피아</t>
        </is>
      </c>
      <c r="D692" s="29" t="inlineStr">
        <is>
          <t>duksan</t>
        </is>
      </c>
      <c r="E692" s="29" t="inlineStr">
        <is>
          <t>317330</t>
        </is>
      </c>
      <c r="F692" s="29" t="inlineStr">
        <is>
          <t>2025</t>
        </is>
      </c>
      <c r="G692" s="29" t="inlineStr">
        <is>
          <t>CFS</t>
        </is>
      </c>
      <c r="H692" s="29" t="inlineStr">
        <is>
          <t>SCE</t>
        </is>
      </c>
      <c r="I692" s="29" t="inlineStr">
        <is>
          <t>자본변동표</t>
        </is>
      </c>
      <c r="J692" s="29" t="inlineStr">
        <is>
          <t>ifrs-full_ComprehensiveIncome</t>
        </is>
      </c>
      <c r="K692" s="29" t="inlineStr">
        <is>
          <t>총포괄손익</t>
        </is>
      </c>
      <c r="L692" s="29" t="inlineStr">
        <is>
          <t>자본 [구성요소]|지배기업의 소유주에게 귀속되는 지분 [구성요소]</t>
        </is>
      </c>
      <c r="M692" s="29" t="inlineStr">
        <is>
          <t>제 20 기</t>
        </is>
      </c>
      <c r="N692" s="29" t="inlineStr">
        <is>
          <t>-74202848872.0</t>
        </is>
      </c>
      <c r="O692" s="29" t="inlineStr">
        <is>
          <t>-54750518398.0</t>
        </is>
      </c>
      <c r="P692" s="29" t="inlineStr">
        <is>
          <t>KRW</t>
        </is>
      </c>
      <c r="Q692" s="29" t="inlineStr">
        <is>
          <t>4</t>
        </is>
      </c>
    </row>
    <row r="693" ht="24" customHeight="1">
      <c r="A693" s="24" t="inlineStr">
        <is>
          <t>OpenDART_fnlttSinglAcntAll</t>
        </is>
      </c>
      <c r="B693" s="24" t="inlineStr">
        <is>
          <t>01021666</t>
        </is>
      </c>
      <c r="C693" s="24" t="inlineStr">
        <is>
          <t>덕산테코피아</t>
        </is>
      </c>
      <c r="D693" s="24" t="inlineStr">
        <is>
          <t>duksan</t>
        </is>
      </c>
      <c r="E693" s="24" t="inlineStr">
        <is>
          <t>317330</t>
        </is>
      </c>
      <c r="F693" s="24" t="inlineStr">
        <is>
          <t>2025</t>
        </is>
      </c>
      <c r="G693" s="24" t="inlineStr">
        <is>
          <t>CFS</t>
        </is>
      </c>
      <c r="H693" s="24" t="inlineStr">
        <is>
          <t>SCE</t>
        </is>
      </c>
      <c r="I693" s="24" t="inlineStr">
        <is>
          <t>자본변동표</t>
        </is>
      </c>
      <c r="J693" s="24" t="inlineStr">
        <is>
          <t>ifrs-full_ComprehensiveIncome</t>
        </is>
      </c>
      <c r="K693" s="24" t="inlineStr">
        <is>
          <t>총포괄손익</t>
        </is>
      </c>
      <c r="L693" s="24" t="inlineStr">
        <is>
          <t>자본 [구성요소]|지배기업의 소유주에게 귀속되는 지분 [구성요소]|기타자본구성요소 [구성요소]</t>
        </is>
      </c>
      <c r="M693" s="24" t="inlineStr">
        <is>
          <t>제 20 기</t>
        </is>
      </c>
      <c r="N693" s="24" t="inlineStr">
        <is>
          <t>2376863428.0</t>
        </is>
      </c>
      <c r="O693" s="24" t="inlineStr">
        <is>
          <t>-1287262409.0</t>
        </is>
      </c>
      <c r="P693" s="24" t="inlineStr">
        <is>
          <t>KRW</t>
        </is>
      </c>
      <c r="Q693" s="24" t="inlineStr">
        <is>
          <t>4</t>
        </is>
      </c>
    </row>
    <row r="694" ht="24" customHeight="1">
      <c r="A694" s="29" t="inlineStr">
        <is>
          <t>OpenDART_fnlttSinglAcntAll</t>
        </is>
      </c>
      <c r="B694" s="29" t="inlineStr">
        <is>
          <t>01021666</t>
        </is>
      </c>
      <c r="C694" s="29" t="inlineStr">
        <is>
          <t>덕산테코피아</t>
        </is>
      </c>
      <c r="D694" s="29" t="inlineStr">
        <is>
          <t>duksan</t>
        </is>
      </c>
      <c r="E694" s="29" t="inlineStr">
        <is>
          <t>317330</t>
        </is>
      </c>
      <c r="F694" s="29" t="inlineStr">
        <is>
          <t>2025</t>
        </is>
      </c>
      <c r="G694" s="29" t="inlineStr">
        <is>
          <t>CFS</t>
        </is>
      </c>
      <c r="H694" s="29" t="inlineStr">
        <is>
          <t>SCE</t>
        </is>
      </c>
      <c r="I694" s="29" t="inlineStr">
        <is>
          <t>자본변동표</t>
        </is>
      </c>
      <c r="J694" s="29" t="inlineStr">
        <is>
          <t>ifrs-full_ComprehensiveIncome</t>
        </is>
      </c>
      <c r="K694" s="29" t="inlineStr">
        <is>
          <t>총포괄손익</t>
        </is>
      </c>
      <c r="L694" s="29" t="inlineStr">
        <is>
          <t>자본 [구성요소]|지배기업의 소유주에게 귀속되는 지분 [구성요소]|이익잉여금 [구성요소]</t>
        </is>
      </c>
      <c r="M694" s="29" t="inlineStr">
        <is>
          <t>제 20 기</t>
        </is>
      </c>
      <c r="N694" s="29" t="inlineStr">
        <is>
          <t>-76579712300.0</t>
        </is>
      </c>
      <c r="O694" s="29" t="inlineStr">
        <is>
          <t>-53463255989.0</t>
        </is>
      </c>
      <c r="P694" s="29" t="inlineStr">
        <is>
          <t>KRW</t>
        </is>
      </c>
      <c r="Q694" s="29" t="inlineStr">
        <is>
          <t>4</t>
        </is>
      </c>
    </row>
    <row r="695" ht="24" customHeight="1">
      <c r="A695" s="24" t="inlineStr">
        <is>
          <t>OpenDART_fnlttSinglAcntAll</t>
        </is>
      </c>
      <c r="B695" s="24" t="inlineStr">
        <is>
          <t>01021666</t>
        </is>
      </c>
      <c r="C695" s="24" t="inlineStr">
        <is>
          <t>덕산테코피아</t>
        </is>
      </c>
      <c r="D695" s="24" t="inlineStr">
        <is>
          <t>duksan</t>
        </is>
      </c>
      <c r="E695" s="24" t="inlineStr">
        <is>
          <t>317330</t>
        </is>
      </c>
      <c r="F695" s="24" t="inlineStr">
        <is>
          <t>2025</t>
        </is>
      </c>
      <c r="G695" s="24" t="inlineStr">
        <is>
          <t>CFS</t>
        </is>
      </c>
      <c r="H695" s="24" t="inlineStr">
        <is>
          <t>SCE</t>
        </is>
      </c>
      <c r="I695" s="24" t="inlineStr">
        <is>
          <t>자본변동표</t>
        </is>
      </c>
      <c r="J695" s="24" t="inlineStr">
        <is>
          <t>ifrs-full_ComprehensiveIncome</t>
        </is>
      </c>
      <c r="K695" s="24" t="inlineStr">
        <is>
          <t>총포괄손익</t>
        </is>
      </c>
      <c r="L695" s="24" t="inlineStr">
        <is>
          <t>연결재무제표 [member]</t>
        </is>
      </c>
      <c r="M695" s="24" t="inlineStr">
        <is>
          <t>제 20 기</t>
        </is>
      </c>
      <c r="N695" s="24" t="inlineStr">
        <is>
          <t>-101993909640.0</t>
        </is>
      </c>
      <c r="O695" s="24" t="inlineStr">
        <is>
          <t>-74803665844.0</t>
        </is>
      </c>
      <c r="P695" s="24" t="inlineStr">
        <is>
          <t>KRW</t>
        </is>
      </c>
      <c r="Q695" s="24" t="inlineStr">
        <is>
          <t>4</t>
        </is>
      </c>
    </row>
    <row r="696" ht="24" customHeight="1">
      <c r="A696" s="29" t="inlineStr">
        <is>
          <t>OpenDART_fnlttSinglAcntAll</t>
        </is>
      </c>
      <c r="B696" s="29" t="inlineStr">
        <is>
          <t>01021666</t>
        </is>
      </c>
      <c r="C696" s="29" t="inlineStr">
        <is>
          <t>덕산테코피아</t>
        </is>
      </c>
      <c r="D696" s="29" t="inlineStr">
        <is>
          <t>duksan</t>
        </is>
      </c>
      <c r="E696" s="29" t="inlineStr">
        <is>
          <t>317330</t>
        </is>
      </c>
      <c r="F696" s="29" t="inlineStr">
        <is>
          <t>2025</t>
        </is>
      </c>
      <c r="G696" s="29" t="inlineStr">
        <is>
          <t>CFS</t>
        </is>
      </c>
      <c r="H696" s="29" t="inlineStr">
        <is>
          <t>SCE</t>
        </is>
      </c>
      <c r="I696" s="29" t="inlineStr">
        <is>
          <t>자본변동표</t>
        </is>
      </c>
      <c r="J696" s="29" t="inlineStr">
        <is>
          <t>ifrs-full_ComprehensiveIncome</t>
        </is>
      </c>
      <c r="K696" s="29" t="inlineStr">
        <is>
          <t>총포괄손익</t>
        </is>
      </c>
      <c r="L696" s="29" t="inlineStr">
        <is>
          <t>자본 [구성요소]|비지배지분 [구성요소]</t>
        </is>
      </c>
      <c r="M696" s="29" t="inlineStr">
        <is>
          <t>제 20 기</t>
        </is>
      </c>
      <c r="N696" s="29" t="inlineStr">
        <is>
          <t>-27791060768.0</t>
        </is>
      </c>
      <c r="O696" s="29" t="inlineStr">
        <is>
          <t>-20053147446.0</t>
        </is>
      </c>
      <c r="P696" s="29" t="inlineStr">
        <is>
          <t>KRW</t>
        </is>
      </c>
      <c r="Q696" s="29" t="inlineStr">
        <is>
          <t>4</t>
        </is>
      </c>
    </row>
    <row r="697" ht="24" customHeight="1">
      <c r="A697" s="24" t="inlineStr">
        <is>
          <t>OpenDART_fnlttSinglAcntAll</t>
        </is>
      </c>
      <c r="B697" s="24" t="inlineStr">
        <is>
          <t>01021666</t>
        </is>
      </c>
      <c r="C697" s="24" t="inlineStr">
        <is>
          <t>덕산테코피아</t>
        </is>
      </c>
      <c r="D697" s="24" t="inlineStr">
        <is>
          <t>duksan</t>
        </is>
      </c>
      <c r="E697" s="24" t="inlineStr">
        <is>
          <t>317330</t>
        </is>
      </c>
      <c r="F697" s="24" t="inlineStr">
        <is>
          <t>2025</t>
        </is>
      </c>
      <c r="G697" s="24" t="inlineStr">
        <is>
          <t>CFS</t>
        </is>
      </c>
      <c r="H697" s="24" t="inlineStr">
        <is>
          <t>SCE</t>
        </is>
      </c>
      <c r="I697" s="24" t="inlineStr">
        <is>
          <t>자본변동표</t>
        </is>
      </c>
      <c r="J697" s="24" t="inlineStr">
        <is>
          <t>ifrs-full_GainsLossesOnExchangeDifferencesOnTranslationNetOfTax</t>
        </is>
      </c>
      <c r="K697" s="24" t="inlineStr">
        <is>
          <t>해외사업장환산외환차이(세후기타포괄손익)</t>
        </is>
      </c>
      <c r="L697" s="24" t="inlineStr">
        <is>
          <t>연결재무제표 [member]</t>
        </is>
      </c>
      <c r="M697" s="24" t="inlineStr">
        <is>
          <t>제 20 기</t>
        </is>
      </c>
      <c r="N697" s="24" t="inlineStr">
        <is>
          <t>3407984719.0</t>
        </is>
      </c>
      <c r="O697" s="24" t="inlineStr">
        <is>
          <t>-1854004565.0</t>
        </is>
      </c>
      <c r="P697" s="24" t="inlineStr">
        <is>
          <t>KRW</t>
        </is>
      </c>
      <c r="Q697" s="24" t="inlineStr">
        <is>
          <t>5</t>
        </is>
      </c>
    </row>
    <row r="698" ht="24" customHeight="1">
      <c r="A698" s="29" t="inlineStr">
        <is>
          <t>OpenDART_fnlttSinglAcntAll</t>
        </is>
      </c>
      <c r="B698" s="29" t="inlineStr">
        <is>
          <t>01021666</t>
        </is>
      </c>
      <c r="C698" s="29" t="inlineStr">
        <is>
          <t>덕산테코피아</t>
        </is>
      </c>
      <c r="D698" s="29" t="inlineStr">
        <is>
          <t>duksan</t>
        </is>
      </c>
      <c r="E698" s="29" t="inlineStr">
        <is>
          <t>317330</t>
        </is>
      </c>
      <c r="F698" s="29" t="inlineStr">
        <is>
          <t>2025</t>
        </is>
      </c>
      <c r="G698" s="29" t="inlineStr">
        <is>
          <t>CFS</t>
        </is>
      </c>
      <c r="H698" s="29" t="inlineStr">
        <is>
          <t>SCE</t>
        </is>
      </c>
      <c r="I698" s="29" t="inlineStr">
        <is>
          <t>자본변동표</t>
        </is>
      </c>
      <c r="J698" s="29" t="inlineStr">
        <is>
          <t>ifrs-full_GainsLossesOnExchangeDifferencesOnTranslationNetOfTax</t>
        </is>
      </c>
      <c r="K698" s="29" t="inlineStr">
        <is>
          <t>해외사업장환산외환차이(세후기타포괄손익)</t>
        </is>
      </c>
      <c r="L698" s="29" t="inlineStr">
        <is>
          <t>자본 [구성요소]|지배기업의 소유주에게 귀속되는 지분 [구성요소]</t>
        </is>
      </c>
      <c r="M698" s="29" t="inlineStr">
        <is>
          <t>제 20 기</t>
        </is>
      </c>
      <c r="N698" s="29" t="inlineStr">
        <is>
          <t>2376863428.0</t>
        </is>
      </c>
      <c r="O698" s="29" t="inlineStr">
        <is>
          <t>-1287262409.0</t>
        </is>
      </c>
      <c r="P698" s="29" t="inlineStr">
        <is>
          <t>KRW</t>
        </is>
      </c>
      <c r="Q698" s="29" t="inlineStr">
        <is>
          <t>5</t>
        </is>
      </c>
    </row>
    <row r="699" ht="24" customHeight="1">
      <c r="A699" s="24" t="inlineStr">
        <is>
          <t>OpenDART_fnlttSinglAcntAll</t>
        </is>
      </c>
      <c r="B699" s="24" t="inlineStr">
        <is>
          <t>01021666</t>
        </is>
      </c>
      <c r="C699" s="24" t="inlineStr">
        <is>
          <t>덕산테코피아</t>
        </is>
      </c>
      <c r="D699" s="24" t="inlineStr">
        <is>
          <t>duksan</t>
        </is>
      </c>
      <c r="E699" s="24" t="inlineStr">
        <is>
          <t>317330</t>
        </is>
      </c>
      <c r="F699" s="24" t="inlineStr">
        <is>
          <t>2025</t>
        </is>
      </c>
      <c r="G699" s="24" t="inlineStr">
        <is>
          <t>CFS</t>
        </is>
      </c>
      <c r="H699" s="24" t="inlineStr">
        <is>
          <t>SCE</t>
        </is>
      </c>
      <c r="I699" s="24" t="inlineStr">
        <is>
          <t>자본변동표</t>
        </is>
      </c>
      <c r="J699" s="24" t="inlineStr">
        <is>
          <t>ifrs-full_GainsLossesOnExchangeDifferencesOnTranslationNetOfTax</t>
        </is>
      </c>
      <c r="K699" s="24" t="inlineStr">
        <is>
          <t>해외사업장환산외환차이(세후기타포괄손익)</t>
        </is>
      </c>
      <c r="L699" s="24" t="inlineStr">
        <is>
          <t>자본 [구성요소]|비지배지분 [구성요소]</t>
        </is>
      </c>
      <c r="M699" s="24" t="inlineStr">
        <is>
          <t>제 20 기</t>
        </is>
      </c>
      <c r="N699" s="24" t="inlineStr">
        <is>
          <t>1031121291.0</t>
        </is>
      </c>
      <c r="O699" s="24" t="inlineStr">
        <is>
          <t>-566742156.0</t>
        </is>
      </c>
      <c r="P699" s="24" t="inlineStr">
        <is>
          <t>KRW</t>
        </is>
      </c>
      <c r="Q699" s="24" t="inlineStr">
        <is>
          <t>5</t>
        </is>
      </c>
    </row>
    <row r="700" ht="24" customHeight="1">
      <c r="A700" s="29" t="inlineStr">
        <is>
          <t>OpenDART_fnlttSinglAcntAll</t>
        </is>
      </c>
      <c r="B700" s="29" t="inlineStr">
        <is>
          <t>01021666</t>
        </is>
      </c>
      <c r="C700" s="29" t="inlineStr">
        <is>
          <t>덕산테코피아</t>
        </is>
      </c>
      <c r="D700" s="29" t="inlineStr">
        <is>
          <t>duksan</t>
        </is>
      </c>
      <c r="E700" s="29" t="inlineStr">
        <is>
          <t>317330</t>
        </is>
      </c>
      <c r="F700" s="29" t="inlineStr">
        <is>
          <t>2025</t>
        </is>
      </c>
      <c r="G700" s="29" t="inlineStr">
        <is>
          <t>CFS</t>
        </is>
      </c>
      <c r="H700" s="29" t="inlineStr">
        <is>
          <t>SCE</t>
        </is>
      </c>
      <c r="I700" s="29" t="inlineStr">
        <is>
          <t>자본변동표</t>
        </is>
      </c>
      <c r="J700" s="29" t="inlineStr">
        <is>
          <t>ifrs-full_GainsLossesOnExchangeDifferencesOnTranslationNetOfTax</t>
        </is>
      </c>
      <c r="K700" s="29" t="inlineStr">
        <is>
          <t>해외사업장환산외환차이(세후기타포괄손익)</t>
        </is>
      </c>
      <c r="L700" s="29" t="inlineStr">
        <is>
          <t>자본 [구성요소]|지배기업의 소유주에게 귀속되는 지분 [구성요소]|기타자본구성요소 [구성요소]</t>
        </is>
      </c>
      <c r="M700" s="29" t="inlineStr">
        <is>
          <t>제 20 기</t>
        </is>
      </c>
      <c r="N700" s="29" t="inlineStr">
        <is>
          <t>2376863428.0</t>
        </is>
      </c>
      <c r="O700" s="29" t="inlineStr">
        <is>
          <t>-1287262409.0</t>
        </is>
      </c>
      <c r="P700" s="29" t="inlineStr">
        <is>
          <t>KRW</t>
        </is>
      </c>
      <c r="Q700" s="29" t="inlineStr">
        <is>
          <t>5</t>
        </is>
      </c>
    </row>
    <row r="701" ht="24" customHeight="1">
      <c r="A701" s="24" t="inlineStr">
        <is>
          <t>OpenDART_fnlttSinglAcntAll</t>
        </is>
      </c>
      <c r="B701" s="24" t="inlineStr">
        <is>
          <t>01021666</t>
        </is>
      </c>
      <c r="C701" s="24" t="inlineStr">
        <is>
          <t>덕산테코피아</t>
        </is>
      </c>
      <c r="D701" s="24" t="inlineStr">
        <is>
          <t>duksan</t>
        </is>
      </c>
      <c r="E701" s="24" t="inlineStr">
        <is>
          <t>317330</t>
        </is>
      </c>
      <c r="F701" s="24" t="inlineStr">
        <is>
          <t>2025</t>
        </is>
      </c>
      <c r="G701" s="24" t="inlineStr">
        <is>
          <t>CFS</t>
        </is>
      </c>
      <c r="H701" s="24" t="inlineStr">
        <is>
          <t>SCE</t>
        </is>
      </c>
      <c r="I701" s="24" t="inlineStr">
        <is>
          <t>자본변동표</t>
        </is>
      </c>
      <c r="J701" s="24" t="inlineStr">
        <is>
          <t>ifrs-full_OtherComprehensiveIncomeNetOfTaxGainsLossesOnRemeasurementsOfDefinedBenefitPlans</t>
        </is>
      </c>
      <c r="K701" s="24" t="inlineStr">
        <is>
          <t>확정급여제도의 재측정손익(세후기타포괄손익)</t>
        </is>
      </c>
      <c r="L701" s="24" t="inlineStr">
        <is>
          <t>자본 [구성요소]|비지배지분 [구성요소]</t>
        </is>
      </c>
      <c r="M701" s="24" t="inlineStr">
        <is>
          <t>제 20 기</t>
        </is>
      </c>
      <c r="N701" s="24" t="inlineStr">
        <is>
          <t>27536183.0</t>
        </is>
      </c>
      <c r="O701" s="24" t="inlineStr">
        <is>
          <t>-1502203.0</t>
        </is>
      </c>
      <c r="P701" s="24" t="inlineStr">
        <is>
          <t>KRW</t>
        </is>
      </c>
      <c r="Q701" s="24" t="inlineStr">
        <is>
          <t>6</t>
        </is>
      </c>
    </row>
    <row r="702" ht="24" customHeight="1">
      <c r="A702" s="29" t="inlineStr">
        <is>
          <t>OpenDART_fnlttSinglAcntAll</t>
        </is>
      </c>
      <c r="B702" s="29" t="inlineStr">
        <is>
          <t>01021666</t>
        </is>
      </c>
      <c r="C702" s="29" t="inlineStr">
        <is>
          <t>덕산테코피아</t>
        </is>
      </c>
      <c r="D702" s="29" t="inlineStr">
        <is>
          <t>duksan</t>
        </is>
      </c>
      <c r="E702" s="29" t="inlineStr">
        <is>
          <t>317330</t>
        </is>
      </c>
      <c r="F702" s="29" t="inlineStr">
        <is>
          <t>2025</t>
        </is>
      </c>
      <c r="G702" s="29" t="inlineStr">
        <is>
          <t>CFS</t>
        </is>
      </c>
      <c r="H702" s="29" t="inlineStr">
        <is>
          <t>SCE</t>
        </is>
      </c>
      <c r="I702" s="29" t="inlineStr">
        <is>
          <t>자본변동표</t>
        </is>
      </c>
      <c r="J702" s="29" t="inlineStr">
        <is>
          <t>ifrs-full_OtherComprehensiveIncomeNetOfTaxGainsLossesOnRemeasurementsOfDefinedBenefitPlans</t>
        </is>
      </c>
      <c r="K702" s="29" t="inlineStr">
        <is>
          <t>확정급여제도의 재측정손익(세후기타포괄손익)</t>
        </is>
      </c>
      <c r="L702" s="29" t="inlineStr">
        <is>
          <t>연결재무제표 [member]</t>
        </is>
      </c>
      <c r="M702" s="29" t="inlineStr">
        <is>
          <t>제 20 기</t>
        </is>
      </c>
      <c r="N702" s="29" t="inlineStr">
        <is>
          <t>148567899.0</t>
        </is>
      </c>
      <c r="O702" s="29" t="inlineStr">
        <is>
          <t>-370512161.0</t>
        </is>
      </c>
      <c r="P702" s="29" t="inlineStr">
        <is>
          <t>KRW</t>
        </is>
      </c>
      <c r="Q702" s="29" t="inlineStr">
        <is>
          <t>6</t>
        </is>
      </c>
    </row>
    <row r="703" ht="24" customHeight="1">
      <c r="A703" s="24" t="inlineStr">
        <is>
          <t>OpenDART_fnlttSinglAcntAll</t>
        </is>
      </c>
      <c r="B703" s="24" t="inlineStr">
        <is>
          <t>01021666</t>
        </is>
      </c>
      <c r="C703" s="24" t="inlineStr">
        <is>
          <t>덕산테코피아</t>
        </is>
      </c>
      <c r="D703" s="24" t="inlineStr">
        <is>
          <t>duksan</t>
        </is>
      </c>
      <c r="E703" s="24" t="inlineStr">
        <is>
          <t>317330</t>
        </is>
      </c>
      <c r="F703" s="24" t="inlineStr">
        <is>
          <t>2025</t>
        </is>
      </c>
      <c r="G703" s="24" t="inlineStr">
        <is>
          <t>CFS</t>
        </is>
      </c>
      <c r="H703" s="24" t="inlineStr">
        <is>
          <t>SCE</t>
        </is>
      </c>
      <c r="I703" s="24" t="inlineStr">
        <is>
          <t>자본변동표</t>
        </is>
      </c>
      <c r="J703" s="24" t="inlineStr">
        <is>
          <t>ifrs-full_OtherComprehensiveIncomeNetOfTaxGainsLossesOnRemeasurementsOfDefinedBenefitPlans</t>
        </is>
      </c>
      <c r="K703" s="24" t="inlineStr">
        <is>
          <t>확정급여제도의 재측정손익(세후기타포괄손익)</t>
        </is>
      </c>
      <c r="L703" s="24" t="inlineStr">
        <is>
          <t>자본 [구성요소]|지배기업의 소유주에게 귀속되는 지분 [구성요소]|이익잉여금 [구성요소]</t>
        </is>
      </c>
      <c r="M703" s="24" t="inlineStr">
        <is>
          <t>제 20 기</t>
        </is>
      </c>
      <c r="N703" s="24" t="inlineStr">
        <is>
          <t>121031716.0</t>
        </is>
      </c>
      <c r="O703" s="24" t="inlineStr">
        <is>
          <t>-369009958.0</t>
        </is>
      </c>
      <c r="P703" s="24" t="inlineStr">
        <is>
          <t>KRW</t>
        </is>
      </c>
      <c r="Q703" s="24" t="inlineStr">
        <is>
          <t>6</t>
        </is>
      </c>
    </row>
    <row r="704" ht="24" customHeight="1">
      <c r="A704" s="29" t="inlineStr">
        <is>
          <t>OpenDART_fnlttSinglAcntAll</t>
        </is>
      </c>
      <c r="B704" s="29" t="inlineStr">
        <is>
          <t>01021666</t>
        </is>
      </c>
      <c r="C704" s="29" t="inlineStr">
        <is>
          <t>덕산테코피아</t>
        </is>
      </c>
      <c r="D704" s="29" t="inlineStr">
        <is>
          <t>duksan</t>
        </is>
      </c>
      <c r="E704" s="29" t="inlineStr">
        <is>
          <t>317330</t>
        </is>
      </c>
      <c r="F704" s="29" t="inlineStr">
        <is>
          <t>2025</t>
        </is>
      </c>
      <c r="G704" s="29" t="inlineStr">
        <is>
          <t>CFS</t>
        </is>
      </c>
      <c r="H704" s="29" t="inlineStr">
        <is>
          <t>SCE</t>
        </is>
      </c>
      <c r="I704" s="29" t="inlineStr">
        <is>
          <t>자본변동표</t>
        </is>
      </c>
      <c r="J704" s="29" t="inlineStr">
        <is>
          <t>ifrs-full_OtherComprehensiveIncomeNetOfTaxGainsLossesOnRemeasurementsOfDefinedBenefitPlans</t>
        </is>
      </c>
      <c r="K704" s="29" t="inlineStr">
        <is>
          <t>확정급여제도의 재측정손익(세후기타포괄손익)</t>
        </is>
      </c>
      <c r="L704" s="29" t="inlineStr">
        <is>
          <t>자본 [구성요소]|지배기업의 소유주에게 귀속되는 지분 [구성요소]</t>
        </is>
      </c>
      <c r="M704" s="29" t="inlineStr">
        <is>
          <t>제 20 기</t>
        </is>
      </c>
      <c r="N704" s="29" t="inlineStr">
        <is>
          <t>121031716.0</t>
        </is>
      </c>
      <c r="O704" s="29" t="inlineStr">
        <is>
          <t>-369009958.0</t>
        </is>
      </c>
      <c r="P704" s="29" t="inlineStr">
        <is>
          <t>KRW</t>
        </is>
      </c>
      <c r="Q704" s="29" t="inlineStr">
        <is>
          <t>6</t>
        </is>
      </c>
    </row>
    <row r="705" ht="24" customHeight="1">
      <c r="A705" s="24" t="inlineStr">
        <is>
          <t>OpenDART_fnlttSinglAcntAll</t>
        </is>
      </c>
      <c r="B705" s="24" t="inlineStr">
        <is>
          <t>01021666</t>
        </is>
      </c>
      <c r="C705" s="24" t="inlineStr">
        <is>
          <t>덕산테코피아</t>
        </is>
      </c>
      <c r="D705" s="24" t="inlineStr">
        <is>
          <t>duksan</t>
        </is>
      </c>
      <c r="E705" s="24" t="inlineStr">
        <is>
          <t>317330</t>
        </is>
      </c>
      <c r="F705" s="24" t="inlineStr">
        <is>
          <t>2025</t>
        </is>
      </c>
      <c r="G705" s="24" t="inlineStr">
        <is>
          <t>CFS</t>
        </is>
      </c>
      <c r="H705" s="24" t="inlineStr">
        <is>
          <t>SCE</t>
        </is>
      </c>
      <c r="I705" s="24" t="inlineStr">
        <is>
          <t>자본변동표</t>
        </is>
      </c>
      <c r="J705" s="24" t="inlineStr">
        <is>
          <t>ifrs-full_ProfitLoss</t>
        </is>
      </c>
      <c r="K705" s="24" t="inlineStr">
        <is>
          <t>당기순이익(손실)</t>
        </is>
      </c>
      <c r="L705" s="24" t="inlineStr">
        <is>
          <t>연결재무제표 [member]</t>
        </is>
      </c>
      <c r="M705" s="24" t="inlineStr">
        <is>
          <t>제 20 기</t>
        </is>
      </c>
      <c r="N705" s="24" t="inlineStr">
        <is>
          <t>-105550462258.0</t>
        </is>
      </c>
      <c r="O705" s="24" t="inlineStr">
        <is>
          <t>-72579149118.0</t>
        </is>
      </c>
      <c r="P705" s="24" t="inlineStr">
        <is>
          <t>KRW</t>
        </is>
      </c>
      <c r="Q705" s="24" t="inlineStr">
        <is>
          <t>7</t>
        </is>
      </c>
    </row>
    <row r="706" ht="24" customHeight="1">
      <c r="A706" s="29" t="inlineStr">
        <is>
          <t>OpenDART_fnlttSinglAcntAll</t>
        </is>
      </c>
      <c r="B706" s="29" t="inlineStr">
        <is>
          <t>01021666</t>
        </is>
      </c>
      <c r="C706" s="29" t="inlineStr">
        <is>
          <t>덕산테코피아</t>
        </is>
      </c>
      <c r="D706" s="29" t="inlineStr">
        <is>
          <t>duksan</t>
        </is>
      </c>
      <c r="E706" s="29" t="inlineStr">
        <is>
          <t>317330</t>
        </is>
      </c>
      <c r="F706" s="29" t="inlineStr">
        <is>
          <t>2025</t>
        </is>
      </c>
      <c r="G706" s="29" t="inlineStr">
        <is>
          <t>CFS</t>
        </is>
      </c>
      <c r="H706" s="29" t="inlineStr">
        <is>
          <t>SCE</t>
        </is>
      </c>
      <c r="I706" s="29" t="inlineStr">
        <is>
          <t>자본변동표</t>
        </is>
      </c>
      <c r="J706" s="29" t="inlineStr">
        <is>
          <t>ifrs-full_ProfitLoss</t>
        </is>
      </c>
      <c r="K706" s="29" t="inlineStr">
        <is>
          <t>당기순이익(손실)</t>
        </is>
      </c>
      <c r="L706" s="29" t="inlineStr">
        <is>
          <t>자본 [구성요소]|지배기업의 소유주에게 귀속되는 지분 [구성요소]</t>
        </is>
      </c>
      <c r="M706" s="29" t="inlineStr">
        <is>
          <t>제 20 기</t>
        </is>
      </c>
      <c r="N706" s="29" t="inlineStr">
        <is>
          <t>-76700744016.0</t>
        </is>
      </c>
      <c r="O706" s="29" t="inlineStr">
        <is>
          <t>-53094246031.0</t>
        </is>
      </c>
      <c r="P706" s="29" t="inlineStr">
        <is>
          <t>KRW</t>
        </is>
      </c>
      <c r="Q706" s="29" t="inlineStr">
        <is>
          <t>7</t>
        </is>
      </c>
    </row>
    <row r="707" ht="24" customHeight="1">
      <c r="A707" s="24" t="inlineStr">
        <is>
          <t>OpenDART_fnlttSinglAcntAll</t>
        </is>
      </c>
      <c r="B707" s="24" t="inlineStr">
        <is>
          <t>01021666</t>
        </is>
      </c>
      <c r="C707" s="24" t="inlineStr">
        <is>
          <t>덕산테코피아</t>
        </is>
      </c>
      <c r="D707" s="24" t="inlineStr">
        <is>
          <t>duksan</t>
        </is>
      </c>
      <c r="E707" s="24" t="inlineStr">
        <is>
          <t>317330</t>
        </is>
      </c>
      <c r="F707" s="24" t="inlineStr">
        <is>
          <t>2025</t>
        </is>
      </c>
      <c r="G707" s="24" t="inlineStr">
        <is>
          <t>CFS</t>
        </is>
      </c>
      <c r="H707" s="24" t="inlineStr">
        <is>
          <t>SCE</t>
        </is>
      </c>
      <c r="I707" s="24" t="inlineStr">
        <is>
          <t>자본변동표</t>
        </is>
      </c>
      <c r="J707" s="24" t="inlineStr">
        <is>
          <t>ifrs-full_ProfitLoss</t>
        </is>
      </c>
      <c r="K707" s="24" t="inlineStr">
        <is>
          <t>당기순이익(손실)</t>
        </is>
      </c>
      <c r="L707" s="24" t="inlineStr">
        <is>
          <t>자본 [구성요소]|비지배지분 [구성요소]</t>
        </is>
      </c>
      <c r="M707" s="24" t="inlineStr">
        <is>
          <t>제 20 기</t>
        </is>
      </c>
      <c r="N707" s="24" t="inlineStr">
        <is>
          <t>-28849718242.0</t>
        </is>
      </c>
      <c r="O707" s="24" t="inlineStr">
        <is>
          <t>-19484903087.0</t>
        </is>
      </c>
      <c r="P707" s="24" t="inlineStr">
        <is>
          <t>KRW</t>
        </is>
      </c>
      <c r="Q707" s="24" t="inlineStr">
        <is>
          <t>7</t>
        </is>
      </c>
    </row>
    <row r="708" ht="24" customHeight="1">
      <c r="A708" s="29" t="inlineStr">
        <is>
          <t>OpenDART_fnlttSinglAcntAll</t>
        </is>
      </c>
      <c r="B708" s="29" t="inlineStr">
        <is>
          <t>01021666</t>
        </is>
      </c>
      <c r="C708" s="29" t="inlineStr">
        <is>
          <t>덕산테코피아</t>
        </is>
      </c>
      <c r="D708" s="29" t="inlineStr">
        <is>
          <t>duksan</t>
        </is>
      </c>
      <c r="E708" s="29" t="inlineStr">
        <is>
          <t>317330</t>
        </is>
      </c>
      <c r="F708" s="29" t="inlineStr">
        <is>
          <t>2025</t>
        </is>
      </c>
      <c r="G708" s="29" t="inlineStr">
        <is>
          <t>CFS</t>
        </is>
      </c>
      <c r="H708" s="29" t="inlineStr">
        <is>
          <t>SCE</t>
        </is>
      </c>
      <c r="I708" s="29" t="inlineStr">
        <is>
          <t>자본변동표</t>
        </is>
      </c>
      <c r="J708" s="29" t="inlineStr">
        <is>
          <t>ifrs-full_ProfitLoss</t>
        </is>
      </c>
      <c r="K708" s="29" t="inlineStr">
        <is>
          <t>당기순이익(손실)</t>
        </is>
      </c>
      <c r="L708" s="29" t="inlineStr">
        <is>
          <t>자본 [구성요소]|지배기업의 소유주에게 귀속되는 지분 [구성요소]|이익잉여금 [구성요소]</t>
        </is>
      </c>
      <c r="M708" s="29" t="inlineStr">
        <is>
          <t>제 20 기</t>
        </is>
      </c>
      <c r="N708" s="29" t="inlineStr">
        <is>
          <t>-76700744016.0</t>
        </is>
      </c>
      <c r="O708" s="29" t="inlineStr">
        <is>
          <t>-53094246031.0</t>
        </is>
      </c>
      <c r="P708" s="29" t="inlineStr">
        <is>
          <t>KRW</t>
        </is>
      </c>
      <c r="Q708" s="29" t="inlineStr">
        <is>
          <t>7</t>
        </is>
      </c>
    </row>
    <row r="709" ht="24" customHeight="1">
      <c r="A709" s="24" t="inlineStr">
        <is>
          <t>OpenDART_fnlttSinglAcntAll</t>
        </is>
      </c>
      <c r="B709" s="24" t="inlineStr">
        <is>
          <t>01021666</t>
        </is>
      </c>
      <c r="C709" s="24" t="inlineStr">
        <is>
          <t>덕산테코피아</t>
        </is>
      </c>
      <c r="D709" s="24" t="inlineStr">
        <is>
          <t>duksan</t>
        </is>
      </c>
      <c r="E709" s="24" t="inlineStr">
        <is>
          <t>317330</t>
        </is>
      </c>
      <c r="F709" s="24" t="inlineStr">
        <is>
          <t>2025</t>
        </is>
      </c>
      <c r="G709" s="24" t="inlineStr">
        <is>
          <t>CFS</t>
        </is>
      </c>
      <c r="H709" s="24" t="inlineStr">
        <is>
          <t>SCE</t>
        </is>
      </c>
      <c r="I709" s="24" t="inlineStr">
        <is>
          <t>자본변동표</t>
        </is>
      </c>
      <c r="J709" s="24" t="inlineStr">
        <is>
          <t>ifrs-full_Equity</t>
        </is>
      </c>
      <c r="K709" s="24" t="inlineStr">
        <is>
          <t>자본총계</t>
        </is>
      </c>
      <c r="L709" s="24" t="inlineStr">
        <is>
          <t>자본 [구성요소]|지배기업의 소유주에게 귀속되는 지분 [구성요소]|기타자본구성요소 [구성요소]</t>
        </is>
      </c>
      <c r="M709" s="24" t="inlineStr">
        <is>
          <t>제 20 기</t>
        </is>
      </c>
      <c r="N709" s="24" t="inlineStr">
        <is>
          <t>1455452379.0</t>
        </is>
      </c>
      <c r="O709" s="24" t="inlineStr">
        <is>
          <t>-435013087.0</t>
        </is>
      </c>
      <c r="P709" s="24" t="inlineStr">
        <is>
          <t>KRW</t>
        </is>
      </c>
      <c r="Q709" s="24" t="inlineStr">
        <is>
          <t>8</t>
        </is>
      </c>
    </row>
    <row r="710" ht="24" customHeight="1">
      <c r="A710" s="29" t="inlineStr">
        <is>
          <t>OpenDART_fnlttSinglAcntAll</t>
        </is>
      </c>
      <c r="B710" s="29" t="inlineStr">
        <is>
          <t>01021666</t>
        </is>
      </c>
      <c r="C710" s="29" t="inlineStr">
        <is>
          <t>덕산테코피아</t>
        </is>
      </c>
      <c r="D710" s="29" t="inlineStr">
        <is>
          <t>duksan</t>
        </is>
      </c>
      <c r="E710" s="29" t="inlineStr">
        <is>
          <t>317330</t>
        </is>
      </c>
      <c r="F710" s="29" t="inlineStr">
        <is>
          <t>2025</t>
        </is>
      </c>
      <c r="G710" s="29" t="inlineStr">
        <is>
          <t>CFS</t>
        </is>
      </c>
      <c r="H710" s="29" t="inlineStr">
        <is>
          <t>SCE</t>
        </is>
      </c>
      <c r="I710" s="29" t="inlineStr">
        <is>
          <t>자본변동표</t>
        </is>
      </c>
      <c r="J710" s="29" t="inlineStr">
        <is>
          <t>ifrs-full_Equity</t>
        </is>
      </c>
      <c r="K710" s="29" t="inlineStr">
        <is>
          <t>자본총계</t>
        </is>
      </c>
      <c r="L710" s="29" t="inlineStr">
        <is>
          <t>자본 [구성요소]|지배기업의 소유주에게 귀속되는 지분 [구성요소]|자본금 [구성요소]</t>
        </is>
      </c>
      <c r="M710" s="29" t="inlineStr">
        <is>
          <t>제 20 기</t>
        </is>
      </c>
      <c r="N710" s="29" t="inlineStr">
        <is>
          <t>10238292000.0</t>
        </is>
      </c>
      <c r="O710" s="29" t="inlineStr">
        <is>
          <t>10238292000.0</t>
        </is>
      </c>
      <c r="P710" s="29" t="inlineStr">
        <is>
          <t>KRW</t>
        </is>
      </c>
      <c r="Q710" s="29" t="inlineStr">
        <is>
          <t>8</t>
        </is>
      </c>
    </row>
    <row r="711" ht="24" customHeight="1">
      <c r="A711" s="24" t="inlineStr">
        <is>
          <t>OpenDART_fnlttSinglAcntAll</t>
        </is>
      </c>
      <c r="B711" s="24" t="inlineStr">
        <is>
          <t>01021666</t>
        </is>
      </c>
      <c r="C711" s="24" t="inlineStr">
        <is>
          <t>덕산테코피아</t>
        </is>
      </c>
      <c r="D711" s="24" t="inlineStr">
        <is>
          <t>duksan</t>
        </is>
      </c>
      <c r="E711" s="24" t="inlineStr">
        <is>
          <t>317330</t>
        </is>
      </c>
      <c r="F711" s="24" t="inlineStr">
        <is>
          <t>2025</t>
        </is>
      </c>
      <c r="G711" s="24" t="inlineStr">
        <is>
          <t>CFS</t>
        </is>
      </c>
      <c r="H711" s="24" t="inlineStr">
        <is>
          <t>SCE</t>
        </is>
      </c>
      <c r="I711" s="24" t="inlineStr">
        <is>
          <t>자본변동표</t>
        </is>
      </c>
      <c r="J711" s="24" t="inlineStr">
        <is>
          <t>ifrs-full_Equity</t>
        </is>
      </c>
      <c r="K711" s="24" t="inlineStr">
        <is>
          <t>자본총계</t>
        </is>
      </c>
      <c r="L711" s="24" t="inlineStr">
        <is>
          <t>자본 [구성요소]|비지배지분 [구성요소]</t>
        </is>
      </c>
      <c r="M711" s="24" t="inlineStr">
        <is>
          <t>제 20 기</t>
        </is>
      </c>
      <c r="N711" s="24" t="inlineStr">
        <is>
          <t>-8763240018.0</t>
        </is>
      </c>
      <c r="O711" s="24" t="inlineStr">
        <is>
          <t>7499924016.0</t>
        </is>
      </c>
      <c r="P711" s="24" t="inlineStr">
        <is>
          <t>KRW</t>
        </is>
      </c>
      <c r="Q711" s="24" t="inlineStr">
        <is>
          <t>8</t>
        </is>
      </c>
    </row>
    <row r="712" ht="24" customHeight="1">
      <c r="A712" s="29" t="inlineStr">
        <is>
          <t>OpenDART_fnlttSinglAcntAll</t>
        </is>
      </c>
      <c r="B712" s="29" t="inlineStr">
        <is>
          <t>01021666</t>
        </is>
      </c>
      <c r="C712" s="29" t="inlineStr">
        <is>
          <t>덕산테코피아</t>
        </is>
      </c>
      <c r="D712" s="29" t="inlineStr">
        <is>
          <t>duksan</t>
        </is>
      </c>
      <c r="E712" s="29" t="inlineStr">
        <is>
          <t>317330</t>
        </is>
      </c>
      <c r="F712" s="29" t="inlineStr">
        <is>
          <t>2025</t>
        </is>
      </c>
      <c r="G712" s="29" t="inlineStr">
        <is>
          <t>CFS</t>
        </is>
      </c>
      <c r="H712" s="29" t="inlineStr">
        <is>
          <t>SCE</t>
        </is>
      </c>
      <c r="I712" s="29" t="inlineStr">
        <is>
          <t>자본변동표</t>
        </is>
      </c>
      <c r="J712" s="29" t="inlineStr">
        <is>
          <t>ifrs-full_Equity</t>
        </is>
      </c>
      <c r="K712" s="29" t="inlineStr">
        <is>
          <t>자본총계</t>
        </is>
      </c>
      <c r="L712" s="29" t="inlineStr">
        <is>
          <t>자본 [구성요소]|지배기업의 소유주에게 귀속되는 지분 [구성요소]</t>
        </is>
      </c>
      <c r="M712" s="29" t="inlineStr">
        <is>
          <t>제 20 기</t>
        </is>
      </c>
      <c r="N712" s="29" t="inlineStr">
        <is>
          <t>115238876754.0</t>
        </is>
      </c>
      <c r="O712" s="29" t="inlineStr">
        <is>
          <t>198243689578.0</t>
        </is>
      </c>
      <c r="P712" s="29" t="inlineStr">
        <is>
          <t>KRW</t>
        </is>
      </c>
      <c r="Q712" s="29" t="inlineStr">
        <is>
          <t>8</t>
        </is>
      </c>
    </row>
    <row r="713" ht="24" customHeight="1">
      <c r="A713" s="24" t="inlineStr">
        <is>
          <t>OpenDART_fnlttSinglAcntAll</t>
        </is>
      </c>
      <c r="B713" s="24" t="inlineStr">
        <is>
          <t>01021666</t>
        </is>
      </c>
      <c r="C713" s="24" t="inlineStr">
        <is>
          <t>덕산테코피아</t>
        </is>
      </c>
      <c r="D713" s="24" t="inlineStr">
        <is>
          <t>duksan</t>
        </is>
      </c>
      <c r="E713" s="24" t="inlineStr">
        <is>
          <t>317330</t>
        </is>
      </c>
      <c r="F713" s="24" t="inlineStr">
        <is>
          <t>2025</t>
        </is>
      </c>
      <c r="G713" s="24" t="inlineStr">
        <is>
          <t>CFS</t>
        </is>
      </c>
      <c r="H713" s="24" t="inlineStr">
        <is>
          <t>SCE</t>
        </is>
      </c>
      <c r="I713" s="24" t="inlineStr">
        <is>
          <t>자본변동표</t>
        </is>
      </c>
      <c r="J713" s="24" t="inlineStr">
        <is>
          <t>ifrs-full_Equity</t>
        </is>
      </c>
      <c r="K713" s="24" t="inlineStr">
        <is>
          <t>자본총계</t>
        </is>
      </c>
      <c r="L713" s="24" t="inlineStr">
        <is>
          <t>자본 [구성요소]|지배기업의 소유주에게 귀속되는 지분 [구성요소]|자본잉여금 [구성요소]</t>
        </is>
      </c>
      <c r="M713" s="24" t="inlineStr">
        <is>
          <t>제 20 기</t>
        </is>
      </c>
      <c r="N713" s="24" t="inlineStr">
        <is>
          <t>133838045705.0</t>
        </is>
      </c>
      <c r="O713" s="24" t="inlineStr">
        <is>
          <t>142153611695.0</t>
        </is>
      </c>
      <c r="P713" s="24" t="inlineStr">
        <is>
          <t>KRW</t>
        </is>
      </c>
      <c r="Q713" s="24" t="inlineStr">
        <is>
          <t>8</t>
        </is>
      </c>
    </row>
    <row r="714" ht="24" customHeight="1">
      <c r="A714" s="29" t="inlineStr">
        <is>
          <t>OpenDART_fnlttSinglAcntAll</t>
        </is>
      </c>
      <c r="B714" s="29" t="inlineStr">
        <is>
          <t>01021666</t>
        </is>
      </c>
      <c r="C714" s="29" t="inlineStr">
        <is>
          <t>덕산테코피아</t>
        </is>
      </c>
      <c r="D714" s="29" t="inlineStr">
        <is>
          <t>duksan</t>
        </is>
      </c>
      <c r="E714" s="29" t="inlineStr">
        <is>
          <t>317330</t>
        </is>
      </c>
      <c r="F714" s="29" t="inlineStr">
        <is>
          <t>2025</t>
        </is>
      </c>
      <c r="G714" s="29" t="inlineStr">
        <is>
          <t>CFS</t>
        </is>
      </c>
      <c r="H714" s="29" t="inlineStr">
        <is>
          <t>SCE</t>
        </is>
      </c>
      <c r="I714" s="29" t="inlineStr">
        <is>
          <t>자본변동표</t>
        </is>
      </c>
      <c r="J714" s="29" t="inlineStr">
        <is>
          <t>ifrs-full_Equity</t>
        </is>
      </c>
      <c r="K714" s="29" t="inlineStr">
        <is>
          <t>자본총계</t>
        </is>
      </c>
      <c r="L714" s="29" t="inlineStr">
        <is>
          <t>자본 [구성요소]|지배기업의 소유주에게 귀속되는 지분 [구성요소]|이익잉여금 [구성요소]</t>
        </is>
      </c>
      <c r="M714" s="29" t="inlineStr">
        <is>
          <t>제 20 기</t>
        </is>
      </c>
      <c r="N714" s="29" t="inlineStr">
        <is>
          <t>-30292913330.0</t>
        </is>
      </c>
      <c r="O714" s="29" t="inlineStr">
        <is>
          <t>46286798970.0</t>
        </is>
      </c>
      <c r="P714" s="29" t="inlineStr">
        <is>
          <t>KRW</t>
        </is>
      </c>
      <c r="Q714" s="29" t="inlineStr">
        <is>
          <t>8</t>
        </is>
      </c>
    </row>
    <row r="715" ht="24" customHeight="1">
      <c r="A715" s="24" t="inlineStr">
        <is>
          <t>OpenDART_fnlttSinglAcntAll</t>
        </is>
      </c>
      <c r="B715" s="24" t="inlineStr">
        <is>
          <t>01021666</t>
        </is>
      </c>
      <c r="C715" s="24" t="inlineStr">
        <is>
          <t>덕산테코피아</t>
        </is>
      </c>
      <c r="D715" s="24" t="inlineStr">
        <is>
          <t>duksan</t>
        </is>
      </c>
      <c r="E715" s="24" t="inlineStr">
        <is>
          <t>317330</t>
        </is>
      </c>
      <c r="F715" s="24" t="inlineStr">
        <is>
          <t>2025</t>
        </is>
      </c>
      <c r="G715" s="24" t="inlineStr">
        <is>
          <t>CFS</t>
        </is>
      </c>
      <c r="H715" s="24" t="inlineStr">
        <is>
          <t>SCE</t>
        </is>
      </c>
      <c r="I715" s="24" t="inlineStr">
        <is>
          <t>자본변동표</t>
        </is>
      </c>
      <c r="J715" s="24" t="inlineStr">
        <is>
          <t>ifrs-full_Equity</t>
        </is>
      </c>
      <c r="K715" s="24" t="inlineStr">
        <is>
          <t>자본총계</t>
        </is>
      </c>
      <c r="L715" s="24" t="inlineStr">
        <is>
          <t>연결재무제표 [member]</t>
        </is>
      </c>
      <c r="M715" s="24" t="inlineStr">
        <is>
          <t>제 20 기</t>
        </is>
      </c>
      <c r="N715" s="24" t="inlineStr">
        <is>
          <t>106475636736.0</t>
        </is>
      </c>
      <c r="O715" s="24" t="inlineStr">
        <is>
          <t>205743613594.0</t>
        </is>
      </c>
      <c r="P715" s="24" t="inlineStr">
        <is>
          <t>KRW</t>
        </is>
      </c>
      <c r="Q715" s="24" t="inlineStr">
        <is>
          <t>8</t>
        </is>
      </c>
    </row>
    <row r="716" ht="24" customHeight="1">
      <c r="A716" s="29" t="inlineStr">
        <is>
          <t>OpenDART_fnlttSinglAcntAll</t>
        </is>
      </c>
      <c r="B716" s="29" t="inlineStr">
        <is>
          <t>01021666</t>
        </is>
      </c>
      <c r="C716" s="29" t="inlineStr">
        <is>
          <t>덕산테코피아</t>
        </is>
      </c>
      <c r="D716" s="29" t="inlineStr">
        <is>
          <t>duksan</t>
        </is>
      </c>
      <c r="E716" s="29" t="inlineStr">
        <is>
          <t>317330</t>
        </is>
      </c>
      <c r="F716" s="29" t="inlineStr">
        <is>
          <t>2025</t>
        </is>
      </c>
      <c r="G716" s="29" t="inlineStr">
        <is>
          <t>CFS</t>
        </is>
      </c>
      <c r="H716" s="29" t="inlineStr">
        <is>
          <t>SCE</t>
        </is>
      </c>
      <c r="I716" s="29" t="inlineStr">
        <is>
          <t>자본변동표</t>
        </is>
      </c>
      <c r="J716" s="29" t="inlineStr">
        <is>
          <t>ifrs-full_IncreaseDecreaseThroughTransactionsWithOwners</t>
        </is>
      </c>
      <c r="K716" s="29" t="inlineStr">
        <is>
          <t>소유주와의 거래로 인한 증가(감소), 자본</t>
        </is>
      </c>
      <c r="L716" s="29" t="inlineStr">
        <is>
          <t>자본 [구성요소]|지배기업의 소유주에게 귀속되는 지분 [구성요소]|기타자본구성요소 [구성요소]</t>
        </is>
      </c>
      <c r="M716" s="29" t="inlineStr">
        <is>
          <t>제 20 기</t>
        </is>
      </c>
      <c r="N716" s="29" t="inlineStr">
        <is>
          <t>-486397962.0</t>
        </is>
      </c>
      <c r="O716" s="29" t="inlineStr">
        <is>
          <t>5090228535.0</t>
        </is>
      </c>
      <c r="P716" s="29" t="inlineStr">
        <is>
          <t>KRW</t>
        </is>
      </c>
      <c r="Q716" s="29" t="inlineStr">
        <is>
          <t>9</t>
        </is>
      </c>
    </row>
    <row r="717" ht="24" customHeight="1">
      <c r="A717" s="24" t="inlineStr">
        <is>
          <t>OpenDART_fnlttSinglAcntAll</t>
        </is>
      </c>
      <c r="B717" s="24" t="inlineStr">
        <is>
          <t>01021666</t>
        </is>
      </c>
      <c r="C717" s="24" t="inlineStr">
        <is>
          <t>덕산테코피아</t>
        </is>
      </c>
      <c r="D717" s="24" t="inlineStr">
        <is>
          <t>duksan</t>
        </is>
      </c>
      <c r="E717" s="24" t="inlineStr">
        <is>
          <t>317330</t>
        </is>
      </c>
      <c r="F717" s="24" t="inlineStr">
        <is>
          <t>2025</t>
        </is>
      </c>
      <c r="G717" s="24" t="inlineStr">
        <is>
          <t>CFS</t>
        </is>
      </c>
      <c r="H717" s="24" t="inlineStr">
        <is>
          <t>SCE</t>
        </is>
      </c>
      <c r="I717" s="24" t="inlineStr">
        <is>
          <t>자본변동표</t>
        </is>
      </c>
      <c r="J717" s="24" t="inlineStr">
        <is>
          <t>ifrs-full_IncreaseDecreaseThroughTransactionsWithOwners</t>
        </is>
      </c>
      <c r="K717" s="24" t="inlineStr">
        <is>
          <t>소유주와의 거래로 인한 증가(감소), 자본</t>
        </is>
      </c>
      <c r="L717" s="24" t="inlineStr">
        <is>
          <t>자본 [구성요소]|지배기업의 소유주에게 귀속되는 지분 [구성요소]|자본잉여금 [구성요소]</t>
        </is>
      </c>
      <c r="M717" s="24" t="inlineStr">
        <is>
          <t>제 20 기</t>
        </is>
      </c>
      <c r="N717" s="24" t="inlineStr">
        <is>
          <t>-8315565990.0</t>
        </is>
      </c>
      <c r="O717" s="24" t="inlineStr">
        <is>
          <t>69870615912.0</t>
        </is>
      </c>
      <c r="P717" s="24" t="inlineStr">
        <is>
          <t>KRW</t>
        </is>
      </c>
      <c r="Q717" s="24" t="inlineStr">
        <is>
          <t>9</t>
        </is>
      </c>
    </row>
    <row r="718" ht="24" customHeight="1">
      <c r="A718" s="29" t="inlineStr">
        <is>
          <t>OpenDART_fnlttSinglAcntAll</t>
        </is>
      </c>
      <c r="B718" s="29" t="inlineStr">
        <is>
          <t>01021666</t>
        </is>
      </c>
      <c r="C718" s="29" t="inlineStr">
        <is>
          <t>덕산테코피아</t>
        </is>
      </c>
      <c r="D718" s="29" t="inlineStr">
        <is>
          <t>duksan</t>
        </is>
      </c>
      <c r="E718" s="29" t="inlineStr">
        <is>
          <t>317330</t>
        </is>
      </c>
      <c r="F718" s="29" t="inlineStr">
        <is>
          <t>2025</t>
        </is>
      </c>
      <c r="G718" s="29" t="inlineStr">
        <is>
          <t>CFS</t>
        </is>
      </c>
      <c r="H718" s="29" t="inlineStr">
        <is>
          <t>SCE</t>
        </is>
      </c>
      <c r="I718" s="29" t="inlineStr">
        <is>
          <t>자본변동표</t>
        </is>
      </c>
      <c r="J718" s="29" t="inlineStr">
        <is>
          <t>ifrs-full_IncreaseDecreaseThroughTransactionsWithOwners</t>
        </is>
      </c>
      <c r="K718" s="29" t="inlineStr">
        <is>
          <t>소유주와의 거래로 인한 증가(감소), 자본</t>
        </is>
      </c>
      <c r="L718" s="29" t="inlineStr">
        <is>
          <t>자본 [구성요소]|지배기업의 소유주에게 귀속되는 지분 [구성요소]|이익잉여금 [구성요소]</t>
        </is>
      </c>
      <c r="M718" s="29" t="inlineStr">
        <is>
          <t>제 20 기</t>
        </is>
      </c>
      <c r="N718" s="29" t="inlineStr">
        <is>
          <t>해당 없음</t>
        </is>
      </c>
      <c r="O718" s="29" t="inlineStr">
        <is>
          <t>0.0</t>
        </is>
      </c>
      <c r="P718" s="29" t="inlineStr">
        <is>
          <t>KRW</t>
        </is>
      </c>
      <c r="Q718" s="29" t="inlineStr">
        <is>
          <t>9</t>
        </is>
      </c>
    </row>
    <row r="719" ht="24" customHeight="1">
      <c r="A719" s="24" t="inlineStr">
        <is>
          <t>OpenDART_fnlttSinglAcntAll</t>
        </is>
      </c>
      <c r="B719" s="24" t="inlineStr">
        <is>
          <t>01021666</t>
        </is>
      </c>
      <c r="C719" s="24" t="inlineStr">
        <is>
          <t>덕산테코피아</t>
        </is>
      </c>
      <c r="D719" s="24" t="inlineStr">
        <is>
          <t>duksan</t>
        </is>
      </c>
      <c r="E719" s="24" t="inlineStr">
        <is>
          <t>317330</t>
        </is>
      </c>
      <c r="F719" s="24" t="inlineStr">
        <is>
          <t>2025</t>
        </is>
      </c>
      <c r="G719" s="24" t="inlineStr">
        <is>
          <t>CFS</t>
        </is>
      </c>
      <c r="H719" s="24" t="inlineStr">
        <is>
          <t>SCE</t>
        </is>
      </c>
      <c r="I719" s="24" t="inlineStr">
        <is>
          <t>자본변동표</t>
        </is>
      </c>
      <c r="J719" s="24" t="inlineStr">
        <is>
          <t>ifrs-full_IncreaseDecreaseThroughTransactionsWithOwners</t>
        </is>
      </c>
      <c r="K719" s="24" t="inlineStr">
        <is>
          <t>소유주와의 거래로 인한 증가(감소), 자본</t>
        </is>
      </c>
      <c r="L719" s="24" t="inlineStr">
        <is>
          <t>자본 [구성요소]|지배기업의 소유주에게 귀속되는 지분 [구성요소]</t>
        </is>
      </c>
      <c r="M719" s="24" t="inlineStr">
        <is>
          <t>제 20 기</t>
        </is>
      </c>
      <c r="N719" s="24" t="inlineStr">
        <is>
          <t>-8801963952.0</t>
        </is>
      </c>
      <c r="O719" s="24" t="inlineStr">
        <is>
          <t>76010422447.0</t>
        </is>
      </c>
      <c r="P719" s="24" t="inlineStr">
        <is>
          <t>KRW</t>
        </is>
      </c>
      <c r="Q719" s="24" t="inlineStr">
        <is>
          <t>9</t>
        </is>
      </c>
    </row>
    <row r="720" ht="24" customHeight="1">
      <c r="A720" s="29" t="inlineStr">
        <is>
          <t>OpenDART_fnlttSinglAcntAll</t>
        </is>
      </c>
      <c r="B720" s="29" t="inlineStr">
        <is>
          <t>01021666</t>
        </is>
      </c>
      <c r="C720" s="29" t="inlineStr">
        <is>
          <t>덕산테코피아</t>
        </is>
      </c>
      <c r="D720" s="29" t="inlineStr">
        <is>
          <t>duksan</t>
        </is>
      </c>
      <c r="E720" s="29" t="inlineStr">
        <is>
          <t>317330</t>
        </is>
      </c>
      <c r="F720" s="29" t="inlineStr">
        <is>
          <t>2025</t>
        </is>
      </c>
      <c r="G720" s="29" t="inlineStr">
        <is>
          <t>CFS</t>
        </is>
      </c>
      <c r="H720" s="29" t="inlineStr">
        <is>
          <t>SCE</t>
        </is>
      </c>
      <c r="I720" s="29" t="inlineStr">
        <is>
          <t>자본변동표</t>
        </is>
      </c>
      <c r="J720" s="29" t="inlineStr">
        <is>
          <t>ifrs-full_IncreaseDecreaseThroughTransactionsWithOwners</t>
        </is>
      </c>
      <c r="K720" s="29" t="inlineStr">
        <is>
          <t>소유주와의 거래로 인한 증가(감소), 자본</t>
        </is>
      </c>
      <c r="L720" s="29" t="inlineStr">
        <is>
          <t>자본 [구성요소]|지배기업의 소유주에게 귀속되는 지분 [구성요소]|자본금 [구성요소]</t>
        </is>
      </c>
      <c r="M720" s="29" t="inlineStr">
        <is>
          <t>제 20 기</t>
        </is>
      </c>
      <c r="N720" s="29" t="inlineStr">
        <is>
          <t>해당 없음</t>
        </is>
      </c>
      <c r="O720" s="29" t="inlineStr">
        <is>
          <t>1049578000.0</t>
        </is>
      </c>
      <c r="P720" s="29" t="inlineStr">
        <is>
          <t>KRW</t>
        </is>
      </c>
      <c r="Q720" s="29" t="inlineStr">
        <is>
          <t>9</t>
        </is>
      </c>
    </row>
    <row r="721" ht="24" customHeight="1">
      <c r="A721" s="24" t="inlineStr">
        <is>
          <t>OpenDART_fnlttSinglAcntAll</t>
        </is>
      </c>
      <c r="B721" s="24" t="inlineStr">
        <is>
          <t>01021666</t>
        </is>
      </c>
      <c r="C721" s="24" t="inlineStr">
        <is>
          <t>덕산테코피아</t>
        </is>
      </c>
      <c r="D721" s="24" t="inlineStr">
        <is>
          <t>duksan</t>
        </is>
      </c>
      <c r="E721" s="24" t="inlineStr">
        <is>
          <t>317330</t>
        </is>
      </c>
      <c r="F721" s="24" t="inlineStr">
        <is>
          <t>2025</t>
        </is>
      </c>
      <c r="G721" s="24" t="inlineStr">
        <is>
          <t>CFS</t>
        </is>
      </c>
      <c r="H721" s="24" t="inlineStr">
        <is>
          <t>SCE</t>
        </is>
      </c>
      <c r="I721" s="24" t="inlineStr">
        <is>
          <t>자본변동표</t>
        </is>
      </c>
      <c r="J721" s="24" t="inlineStr">
        <is>
          <t>ifrs-full_IncreaseDecreaseThroughTransactionsWithOwners</t>
        </is>
      </c>
      <c r="K721" s="24" t="inlineStr">
        <is>
          <t>소유주와의 거래로 인한 증가(감소), 자본</t>
        </is>
      </c>
      <c r="L721" s="24" t="inlineStr">
        <is>
          <t>연결재무제표 [member]</t>
        </is>
      </c>
      <c r="M721" s="24" t="inlineStr">
        <is>
          <t>제 20 기</t>
        </is>
      </c>
      <c r="N721" s="24" t="inlineStr">
        <is>
          <t>2725932782.0</t>
        </is>
      </c>
      <c r="O721" s="24" t="inlineStr">
        <is>
          <t>96241740405.0</t>
        </is>
      </c>
      <c r="P721" s="24" t="inlineStr">
        <is>
          <t>KRW</t>
        </is>
      </c>
      <c r="Q721" s="24" t="inlineStr">
        <is>
          <t>9</t>
        </is>
      </c>
    </row>
    <row r="722" ht="24" customHeight="1">
      <c r="A722" s="29" t="inlineStr">
        <is>
          <t>OpenDART_fnlttSinglAcntAll</t>
        </is>
      </c>
      <c r="B722" s="29" t="inlineStr">
        <is>
          <t>01021666</t>
        </is>
      </c>
      <c r="C722" s="29" t="inlineStr">
        <is>
          <t>덕산테코피아</t>
        </is>
      </c>
      <c r="D722" s="29" t="inlineStr">
        <is>
          <t>duksan</t>
        </is>
      </c>
      <c r="E722" s="29" t="inlineStr">
        <is>
          <t>317330</t>
        </is>
      </c>
      <c r="F722" s="29" t="inlineStr">
        <is>
          <t>2025</t>
        </is>
      </c>
      <c r="G722" s="29" t="inlineStr">
        <is>
          <t>CFS</t>
        </is>
      </c>
      <c r="H722" s="29" t="inlineStr">
        <is>
          <t>SCE</t>
        </is>
      </c>
      <c r="I722" s="29" t="inlineStr">
        <is>
          <t>자본변동표</t>
        </is>
      </c>
      <c r="J722" s="29" t="inlineStr">
        <is>
          <t>ifrs-full_IncreaseDecreaseThroughTransactionsWithOwners</t>
        </is>
      </c>
      <c r="K722" s="29" t="inlineStr">
        <is>
          <t>소유주와의 거래로 인한 증가(감소), 자본</t>
        </is>
      </c>
      <c r="L722" s="29" t="inlineStr">
        <is>
          <t>자본 [구성요소]|비지배지분 [구성요소]</t>
        </is>
      </c>
      <c r="M722" s="29" t="inlineStr">
        <is>
          <t>제 20 기</t>
        </is>
      </c>
      <c r="N722" s="29" t="inlineStr">
        <is>
          <t>11527896734.0</t>
        </is>
      </c>
      <c r="O722" s="29" t="inlineStr">
        <is>
          <t>20231317958.0</t>
        </is>
      </c>
      <c r="P722" s="29" t="inlineStr">
        <is>
          <t>KRW</t>
        </is>
      </c>
      <c r="Q722" s="29" t="inlineStr">
        <is>
          <t>9</t>
        </is>
      </c>
    </row>
    <row r="723" ht="24" customHeight="1">
      <c r="A723" s="24" t="inlineStr">
        <is>
          <t>OpenDART_fnlttSinglAcntAll</t>
        </is>
      </c>
      <c r="B723" s="24" t="inlineStr">
        <is>
          <t>01021666</t>
        </is>
      </c>
      <c r="C723" s="24" t="inlineStr">
        <is>
          <t>덕산테코피아</t>
        </is>
      </c>
      <c r="D723" s="24" t="inlineStr">
        <is>
          <t>duksan</t>
        </is>
      </c>
      <c r="E723" s="24" t="inlineStr">
        <is>
          <t>317330</t>
        </is>
      </c>
      <c r="F723" s="24" t="inlineStr">
        <is>
          <t>2025</t>
        </is>
      </c>
      <c r="G723" s="24" t="inlineStr">
        <is>
          <t>CFS</t>
        </is>
      </c>
      <c r="H723" s="24" t="inlineStr">
        <is>
          <t>SCE</t>
        </is>
      </c>
      <c r="I723" s="24" t="inlineStr">
        <is>
          <t>자본변동표</t>
        </is>
      </c>
      <c r="J723" s="24" t="inlineStr">
        <is>
          <t>dart_CompoundFinancialInstrumentConversion</t>
        </is>
      </c>
      <c r="K723" s="24" t="inlineStr">
        <is>
          <t>복합금융상품 전환</t>
        </is>
      </c>
      <c r="L723" s="24" t="inlineStr">
        <is>
          <t>자본 [구성요소]|지배기업의 소유주에게 귀속되는 지분 [구성요소]</t>
        </is>
      </c>
      <c r="M723" s="24" t="inlineStr">
        <is>
          <t>제 20 기</t>
        </is>
      </c>
      <c r="N723" s="24" t="inlineStr">
        <is>
          <t>해당 없음</t>
        </is>
      </c>
      <c r="O723" s="24" t="inlineStr">
        <is>
          <t>83746083093.0</t>
        </is>
      </c>
      <c r="P723" s="24" t="inlineStr">
        <is>
          <t>KRW</t>
        </is>
      </c>
      <c r="Q723" s="24" t="inlineStr">
        <is>
          <t>10</t>
        </is>
      </c>
    </row>
    <row r="724" ht="24" customHeight="1">
      <c r="A724" s="29" t="inlineStr">
        <is>
          <t>OpenDART_fnlttSinglAcntAll</t>
        </is>
      </c>
      <c r="B724" s="29" t="inlineStr">
        <is>
          <t>01021666</t>
        </is>
      </c>
      <c r="C724" s="29" t="inlineStr">
        <is>
          <t>덕산테코피아</t>
        </is>
      </c>
      <c r="D724" s="29" t="inlineStr">
        <is>
          <t>duksan</t>
        </is>
      </c>
      <c r="E724" s="29" t="inlineStr">
        <is>
          <t>317330</t>
        </is>
      </c>
      <c r="F724" s="29" t="inlineStr">
        <is>
          <t>2025</t>
        </is>
      </c>
      <c r="G724" s="29" t="inlineStr">
        <is>
          <t>CFS</t>
        </is>
      </c>
      <c r="H724" s="29" t="inlineStr">
        <is>
          <t>SCE</t>
        </is>
      </c>
      <c r="I724" s="29" t="inlineStr">
        <is>
          <t>자본변동표</t>
        </is>
      </c>
      <c r="J724" s="29" t="inlineStr">
        <is>
          <t>dart_CompoundFinancialInstrumentConversion</t>
        </is>
      </c>
      <c r="K724" s="29" t="inlineStr">
        <is>
          <t>복합금융상품 전환</t>
        </is>
      </c>
      <c r="L724" s="29" t="inlineStr">
        <is>
          <t>연결재무제표 [member]</t>
        </is>
      </c>
      <c r="M724" s="29" t="inlineStr">
        <is>
          <t>제 20 기</t>
        </is>
      </c>
      <c r="N724" s="29" t="inlineStr">
        <is>
          <t>해당 없음</t>
        </is>
      </c>
      <c r="O724" s="29" t="inlineStr">
        <is>
          <t>83746083093.0</t>
        </is>
      </c>
      <c r="P724" s="29" t="inlineStr">
        <is>
          <t>KRW</t>
        </is>
      </c>
      <c r="Q724" s="29" t="inlineStr">
        <is>
          <t>10</t>
        </is>
      </c>
    </row>
    <row r="725" ht="24" customHeight="1">
      <c r="A725" s="24" t="inlineStr">
        <is>
          <t>OpenDART_fnlttSinglAcntAll</t>
        </is>
      </c>
      <c r="B725" s="24" t="inlineStr">
        <is>
          <t>01021666</t>
        </is>
      </c>
      <c r="C725" s="24" t="inlineStr">
        <is>
          <t>덕산테코피아</t>
        </is>
      </c>
      <c r="D725" s="24" t="inlineStr">
        <is>
          <t>duksan</t>
        </is>
      </c>
      <c r="E725" s="24" t="inlineStr">
        <is>
          <t>317330</t>
        </is>
      </c>
      <c r="F725" s="24" t="inlineStr">
        <is>
          <t>2025</t>
        </is>
      </c>
      <c r="G725" s="24" t="inlineStr">
        <is>
          <t>CFS</t>
        </is>
      </c>
      <c r="H725" s="24" t="inlineStr">
        <is>
          <t>SCE</t>
        </is>
      </c>
      <c r="I725" s="24" t="inlineStr">
        <is>
          <t>자본변동표</t>
        </is>
      </c>
      <c r="J725" s="24" t="inlineStr">
        <is>
          <t>dart_CompoundFinancialInstrumentConversion</t>
        </is>
      </c>
      <c r="K725" s="24" t="inlineStr">
        <is>
          <t>복합금융상품 전환</t>
        </is>
      </c>
      <c r="L725" s="24" t="inlineStr">
        <is>
          <t>자본 [구성요소]|지배기업의 소유주에게 귀속되는 지분 [구성요소]|자본금 [구성요소]</t>
        </is>
      </c>
      <c r="M725" s="24" t="inlineStr">
        <is>
          <t>제 20 기</t>
        </is>
      </c>
      <c r="N725" s="24" t="inlineStr">
        <is>
          <t>해당 없음</t>
        </is>
      </c>
      <c r="O725" s="24" t="inlineStr">
        <is>
          <t>999318000.0</t>
        </is>
      </c>
      <c r="P725" s="24" t="inlineStr">
        <is>
          <t>KRW</t>
        </is>
      </c>
      <c r="Q725" s="24" t="inlineStr">
        <is>
          <t>10</t>
        </is>
      </c>
    </row>
    <row r="726" ht="24" customHeight="1">
      <c r="A726" s="29" t="inlineStr">
        <is>
          <t>OpenDART_fnlttSinglAcntAll</t>
        </is>
      </c>
      <c r="B726" s="29" t="inlineStr">
        <is>
          <t>01021666</t>
        </is>
      </c>
      <c r="C726" s="29" t="inlineStr">
        <is>
          <t>덕산테코피아</t>
        </is>
      </c>
      <c r="D726" s="29" t="inlineStr">
        <is>
          <t>duksan</t>
        </is>
      </c>
      <c r="E726" s="29" t="inlineStr">
        <is>
          <t>317330</t>
        </is>
      </c>
      <c r="F726" s="29" t="inlineStr">
        <is>
          <t>2025</t>
        </is>
      </c>
      <c r="G726" s="29" t="inlineStr">
        <is>
          <t>CFS</t>
        </is>
      </c>
      <c r="H726" s="29" t="inlineStr">
        <is>
          <t>SCE</t>
        </is>
      </c>
      <c r="I726" s="29" t="inlineStr">
        <is>
          <t>자본변동표</t>
        </is>
      </c>
      <c r="J726" s="29" t="inlineStr">
        <is>
          <t>dart_CompoundFinancialInstrumentConversion</t>
        </is>
      </c>
      <c r="K726" s="29" t="inlineStr">
        <is>
          <t>복합금융상품 전환</t>
        </is>
      </c>
      <c r="L726" s="29" t="inlineStr">
        <is>
          <t>자본 [구성요소]|지배기업의 소유주에게 귀속되는 지분 [구성요소]|자본잉여금 [구성요소]</t>
        </is>
      </c>
      <c r="M726" s="29" t="inlineStr">
        <is>
          <t>제 20 기</t>
        </is>
      </c>
      <c r="N726" s="29" t="inlineStr">
        <is>
          <t>해당 없음</t>
        </is>
      </c>
      <c r="O726" s="29" t="inlineStr">
        <is>
          <t>82746765093.0</t>
        </is>
      </c>
      <c r="P726" s="29" t="inlineStr">
        <is>
          <t>KRW</t>
        </is>
      </c>
      <c r="Q726" s="29" t="inlineStr">
        <is>
          <t>10</t>
        </is>
      </c>
    </row>
    <row r="727" ht="24" customHeight="1">
      <c r="A727" s="24" t="inlineStr">
        <is>
          <t>OpenDART_fnlttSinglAcntAll</t>
        </is>
      </c>
      <c r="B727" s="24" t="inlineStr">
        <is>
          <t>01021666</t>
        </is>
      </c>
      <c r="C727" s="24" t="inlineStr">
        <is>
          <t>덕산테코피아</t>
        </is>
      </c>
      <c r="D727" s="24" t="inlineStr">
        <is>
          <t>duksan</t>
        </is>
      </c>
      <c r="E727" s="24" t="inlineStr">
        <is>
          <t>317330</t>
        </is>
      </c>
      <c r="F727" s="24" t="inlineStr">
        <is>
          <t>2025</t>
        </is>
      </c>
      <c r="G727" s="24" t="inlineStr">
        <is>
          <t>CFS</t>
        </is>
      </c>
      <c r="H727" s="24" t="inlineStr">
        <is>
          <t>SCE</t>
        </is>
      </c>
      <c r="I727" s="24" t="inlineStr">
        <is>
          <t>자본변동표</t>
        </is>
      </c>
      <c r="J727" s="24" t="inlineStr">
        <is>
          <t>ifrs-full_IncreaseDecreaseThroughSharebasedPaymentTransactions</t>
        </is>
      </c>
      <c r="K727" s="24" t="inlineStr">
        <is>
          <t>주식기준보상거래에 따른 증가(감소), 지분</t>
        </is>
      </c>
      <c r="L727" s="24" t="inlineStr">
        <is>
          <t>자본 [구성요소]|지배기업의 소유주에게 귀속되는 지분 [구성요소]|자본잉여금 [구성요소]</t>
        </is>
      </c>
      <c r="M727" s="24" t="inlineStr">
        <is>
          <t>제 20 기</t>
        </is>
      </c>
      <c r="N727" s="24" t="inlineStr">
        <is>
          <t>-337186282.0</t>
        </is>
      </c>
      <c r="O727" s="24" t="inlineStr">
        <is>
          <t>2272910137.0</t>
        </is>
      </c>
      <c r="P727" s="24" t="inlineStr">
        <is>
          <t>KRW</t>
        </is>
      </c>
      <c r="Q727" s="24" t="inlineStr">
        <is>
          <t>12</t>
        </is>
      </c>
    </row>
    <row r="728" ht="24" customHeight="1">
      <c r="A728" s="29" t="inlineStr">
        <is>
          <t>OpenDART_fnlttSinglAcntAll</t>
        </is>
      </c>
      <c r="B728" s="29" t="inlineStr">
        <is>
          <t>01021666</t>
        </is>
      </c>
      <c r="C728" s="29" t="inlineStr">
        <is>
          <t>덕산테코피아</t>
        </is>
      </c>
      <c r="D728" s="29" t="inlineStr">
        <is>
          <t>duksan</t>
        </is>
      </c>
      <c r="E728" s="29" t="inlineStr">
        <is>
          <t>317330</t>
        </is>
      </c>
      <c r="F728" s="29" t="inlineStr">
        <is>
          <t>2025</t>
        </is>
      </c>
      <c r="G728" s="29" t="inlineStr">
        <is>
          <t>CFS</t>
        </is>
      </c>
      <c r="H728" s="29" t="inlineStr">
        <is>
          <t>SCE</t>
        </is>
      </c>
      <c r="I728" s="29" t="inlineStr">
        <is>
          <t>자본변동표</t>
        </is>
      </c>
      <c r="J728" s="29" t="inlineStr">
        <is>
          <t>ifrs-full_IncreaseDecreaseThroughSharebasedPaymentTransactions</t>
        </is>
      </c>
      <c r="K728" s="29" t="inlineStr">
        <is>
          <t>주식기준보상거래에 따른 증가(감소), 지분</t>
        </is>
      </c>
      <c r="L728" s="29" t="inlineStr">
        <is>
          <t>자본 [구성요소]|지배기업의 소유주에게 귀속되는 지분 [구성요소]|자본금 [구성요소]</t>
        </is>
      </c>
      <c r="M728" s="29" t="inlineStr">
        <is>
          <t>제 20 기</t>
        </is>
      </c>
      <c r="N728" s="29" t="inlineStr">
        <is>
          <t>해당 없음</t>
        </is>
      </c>
      <c r="O728" s="29" t="inlineStr">
        <is>
          <t>50260000.0</t>
        </is>
      </c>
      <c r="P728" s="29" t="inlineStr">
        <is>
          <t>KRW</t>
        </is>
      </c>
      <c r="Q728" s="29" t="inlineStr">
        <is>
          <t>12</t>
        </is>
      </c>
    </row>
    <row r="729" ht="24" customHeight="1">
      <c r="A729" s="24" t="inlineStr">
        <is>
          <t>OpenDART_fnlttSinglAcntAll</t>
        </is>
      </c>
      <c r="B729" s="24" t="inlineStr">
        <is>
          <t>01021666</t>
        </is>
      </c>
      <c r="C729" s="24" t="inlineStr">
        <is>
          <t>덕산테코피아</t>
        </is>
      </c>
      <c r="D729" s="24" t="inlineStr">
        <is>
          <t>duksan</t>
        </is>
      </c>
      <c r="E729" s="24" t="inlineStr">
        <is>
          <t>317330</t>
        </is>
      </c>
      <c r="F729" s="24" t="inlineStr">
        <is>
          <t>2025</t>
        </is>
      </c>
      <c r="G729" s="24" t="inlineStr">
        <is>
          <t>CFS</t>
        </is>
      </c>
      <c r="H729" s="24" t="inlineStr">
        <is>
          <t>SCE</t>
        </is>
      </c>
      <c r="I729" s="24" t="inlineStr">
        <is>
          <t>자본변동표</t>
        </is>
      </c>
      <c r="J729" s="24" t="inlineStr">
        <is>
          <t>ifrs-full_IncreaseDecreaseThroughSharebasedPaymentTransactions</t>
        </is>
      </c>
      <c r="K729" s="24" t="inlineStr">
        <is>
          <t>주식기준보상거래에 따른 증가(감소), 지분</t>
        </is>
      </c>
      <c r="L729" s="24" t="inlineStr">
        <is>
          <t>자본 [구성요소]|지배기업의 소유주에게 귀속되는 지분 [구성요소]|기타자본구성요소 [구성요소]</t>
        </is>
      </c>
      <c r="M729" s="24" t="inlineStr">
        <is>
          <t>제 20 기</t>
        </is>
      </c>
      <c r="N729" s="24" t="inlineStr">
        <is>
          <t>513595738.0</t>
        </is>
      </c>
      <c r="O729" s="24" t="inlineStr">
        <is>
          <t>90297485.0</t>
        </is>
      </c>
      <c r="P729" s="24" t="inlineStr">
        <is>
          <t>KRW</t>
        </is>
      </c>
      <c r="Q729" s="24" t="inlineStr">
        <is>
          <t>12</t>
        </is>
      </c>
    </row>
    <row r="730" ht="24" customHeight="1">
      <c r="A730" s="29" t="inlineStr">
        <is>
          <t>OpenDART_fnlttSinglAcntAll</t>
        </is>
      </c>
      <c r="B730" s="29" t="inlineStr">
        <is>
          <t>01021666</t>
        </is>
      </c>
      <c r="C730" s="29" t="inlineStr">
        <is>
          <t>덕산테코피아</t>
        </is>
      </c>
      <c r="D730" s="29" t="inlineStr">
        <is>
          <t>duksan</t>
        </is>
      </c>
      <c r="E730" s="29" t="inlineStr">
        <is>
          <t>317330</t>
        </is>
      </c>
      <c r="F730" s="29" t="inlineStr">
        <is>
          <t>2025</t>
        </is>
      </c>
      <c r="G730" s="29" t="inlineStr">
        <is>
          <t>CFS</t>
        </is>
      </c>
      <c r="H730" s="29" t="inlineStr">
        <is>
          <t>SCE</t>
        </is>
      </c>
      <c r="I730" s="29" t="inlineStr">
        <is>
          <t>자본변동표</t>
        </is>
      </c>
      <c r="J730" s="29" t="inlineStr">
        <is>
          <t>ifrs-full_IncreaseDecreaseThroughSharebasedPaymentTransactions</t>
        </is>
      </c>
      <c r="K730" s="29" t="inlineStr">
        <is>
          <t>주식기준보상거래에 따른 증가(감소), 지분</t>
        </is>
      </c>
      <c r="L730" s="29" t="inlineStr">
        <is>
          <t>자본 [구성요소]|비지배지분 [구성요소]</t>
        </is>
      </c>
      <c r="M730" s="29" t="inlineStr">
        <is>
          <t>제 20 기</t>
        </is>
      </c>
      <c r="N730" s="29" t="inlineStr">
        <is>
          <t>3549517026.0</t>
        </is>
      </c>
      <c r="O730" s="29" t="inlineStr">
        <is>
          <t>1174432886.0</t>
        </is>
      </c>
      <c r="P730" s="29" t="inlineStr">
        <is>
          <t>KRW</t>
        </is>
      </c>
      <c r="Q730" s="29" t="inlineStr">
        <is>
          <t>12</t>
        </is>
      </c>
    </row>
    <row r="731" ht="24" customHeight="1">
      <c r="A731" s="24" t="inlineStr">
        <is>
          <t>OpenDART_fnlttSinglAcntAll</t>
        </is>
      </c>
      <c r="B731" s="24" t="inlineStr">
        <is>
          <t>01021666</t>
        </is>
      </c>
      <c r="C731" s="24" t="inlineStr">
        <is>
          <t>덕산테코피아</t>
        </is>
      </c>
      <c r="D731" s="24" t="inlineStr">
        <is>
          <t>duksan</t>
        </is>
      </c>
      <c r="E731" s="24" t="inlineStr">
        <is>
          <t>317330</t>
        </is>
      </c>
      <c r="F731" s="24" t="inlineStr">
        <is>
          <t>2025</t>
        </is>
      </c>
      <c r="G731" s="24" t="inlineStr">
        <is>
          <t>CFS</t>
        </is>
      </c>
      <c r="H731" s="24" t="inlineStr">
        <is>
          <t>SCE</t>
        </is>
      </c>
      <c r="I731" s="24" t="inlineStr">
        <is>
          <t>자본변동표</t>
        </is>
      </c>
      <c r="J731" s="24" t="inlineStr">
        <is>
          <t>ifrs-full_IncreaseDecreaseThroughSharebasedPaymentTransactions</t>
        </is>
      </c>
      <c r="K731" s="24" t="inlineStr">
        <is>
          <t>주식기준보상거래에 따른 증가(감소), 지분</t>
        </is>
      </c>
      <c r="L731" s="24" t="inlineStr">
        <is>
          <t>연결재무제표 [member]</t>
        </is>
      </c>
      <c r="M731" s="24" t="inlineStr">
        <is>
          <t>제 20 기</t>
        </is>
      </c>
      <c r="N731" s="24" t="inlineStr">
        <is>
          <t>3725926482.0</t>
        </is>
      </c>
      <c r="O731" s="24" t="inlineStr">
        <is>
          <t>3587900508.0</t>
        </is>
      </c>
      <c r="P731" s="24" t="inlineStr">
        <is>
          <t>KRW</t>
        </is>
      </c>
      <c r="Q731" s="24" t="inlineStr">
        <is>
          <t>12</t>
        </is>
      </c>
    </row>
    <row r="732" ht="24" customHeight="1">
      <c r="A732" s="29" t="inlineStr">
        <is>
          <t>OpenDART_fnlttSinglAcntAll</t>
        </is>
      </c>
      <c r="B732" s="29" t="inlineStr">
        <is>
          <t>01021666</t>
        </is>
      </c>
      <c r="C732" s="29" t="inlineStr">
        <is>
          <t>덕산테코피아</t>
        </is>
      </c>
      <c r="D732" s="29" t="inlineStr">
        <is>
          <t>duksan</t>
        </is>
      </c>
      <c r="E732" s="29" t="inlineStr">
        <is>
          <t>317330</t>
        </is>
      </c>
      <c r="F732" s="29" t="inlineStr">
        <is>
          <t>2025</t>
        </is>
      </c>
      <c r="G732" s="29" t="inlineStr">
        <is>
          <t>CFS</t>
        </is>
      </c>
      <c r="H732" s="29" t="inlineStr">
        <is>
          <t>SCE</t>
        </is>
      </c>
      <c r="I732" s="29" t="inlineStr">
        <is>
          <t>자본변동표</t>
        </is>
      </c>
      <c r="J732" s="29" t="inlineStr">
        <is>
          <t>ifrs-full_IncreaseDecreaseThroughSharebasedPaymentTransactions</t>
        </is>
      </c>
      <c r="K732" s="29" t="inlineStr">
        <is>
          <t>주식기준보상거래에 따른 증가(감소), 지분</t>
        </is>
      </c>
      <c r="L732" s="29" t="inlineStr">
        <is>
          <t>자본 [구성요소]|지배기업의 소유주에게 귀속되는 지분 [구성요소]</t>
        </is>
      </c>
      <c r="M732" s="29" t="inlineStr">
        <is>
          <t>제 20 기</t>
        </is>
      </c>
      <c r="N732" s="29" t="inlineStr">
        <is>
          <t>176409456.0</t>
        </is>
      </c>
      <c r="O732" s="29" t="inlineStr">
        <is>
          <t>2413467622.0</t>
        </is>
      </c>
      <c r="P732" s="29" t="inlineStr">
        <is>
          <t>KRW</t>
        </is>
      </c>
      <c r="Q732" s="29" t="inlineStr">
        <is>
          <t>12</t>
        </is>
      </c>
    </row>
    <row r="733" ht="24" customHeight="1">
      <c r="A733" s="24" t="inlineStr">
        <is>
          <t>OpenDART_fnlttSinglAcntAll</t>
        </is>
      </c>
      <c r="B733" s="24" t="inlineStr">
        <is>
          <t>01021666</t>
        </is>
      </c>
      <c r="C733" s="24" t="inlineStr">
        <is>
          <t>덕산테코피아</t>
        </is>
      </c>
      <c r="D733" s="24" t="inlineStr">
        <is>
          <t>duksan</t>
        </is>
      </c>
      <c r="E733" s="24" t="inlineStr">
        <is>
          <t>317330</t>
        </is>
      </c>
      <c r="F733" s="24" t="inlineStr">
        <is>
          <t>2025</t>
        </is>
      </c>
      <c r="G733" s="24" t="inlineStr">
        <is>
          <t>CFS</t>
        </is>
      </c>
      <c r="H733" s="24" t="inlineStr">
        <is>
          <t>SCE</t>
        </is>
      </c>
      <c r="I733" s="24" t="inlineStr">
        <is>
          <t>자본변동표</t>
        </is>
      </c>
      <c r="J733" s="24" t="inlineStr">
        <is>
          <t>ifrs-full_IssueOfEquity</t>
        </is>
      </c>
      <c r="K733" s="24" t="inlineStr">
        <is>
          <t>지분의 발행</t>
        </is>
      </c>
      <c r="L733" s="24" t="inlineStr">
        <is>
          <t>자본 [구성요소]|지배기업의 소유주에게 귀속되는 지분 [구성요소]</t>
        </is>
      </c>
      <c r="M733" s="24" t="inlineStr">
        <is>
          <t>제 20 기</t>
        </is>
      </c>
      <c r="N733" s="24" t="inlineStr">
        <is>
          <t>-7978379708.0</t>
        </is>
      </c>
      <c r="O733" s="24" t="inlineStr">
        <is>
          <t>-19059451912.0</t>
        </is>
      </c>
      <c r="P733" s="24" t="inlineStr">
        <is>
          <t>KRW</t>
        </is>
      </c>
      <c r="Q733" s="24" t="inlineStr">
        <is>
          <t>13</t>
        </is>
      </c>
    </row>
    <row r="734" ht="24" customHeight="1">
      <c r="A734" s="29" t="inlineStr">
        <is>
          <t>OpenDART_fnlttSinglAcntAll</t>
        </is>
      </c>
      <c r="B734" s="29" t="inlineStr">
        <is>
          <t>01021666</t>
        </is>
      </c>
      <c r="C734" s="29" t="inlineStr">
        <is>
          <t>덕산테코피아</t>
        </is>
      </c>
      <c r="D734" s="29" t="inlineStr">
        <is>
          <t>duksan</t>
        </is>
      </c>
      <c r="E734" s="29" t="inlineStr">
        <is>
          <t>317330</t>
        </is>
      </c>
      <c r="F734" s="29" t="inlineStr">
        <is>
          <t>2025</t>
        </is>
      </c>
      <c r="G734" s="29" t="inlineStr">
        <is>
          <t>CFS</t>
        </is>
      </c>
      <c r="H734" s="29" t="inlineStr">
        <is>
          <t>SCE</t>
        </is>
      </c>
      <c r="I734" s="29" t="inlineStr">
        <is>
          <t>자본변동표</t>
        </is>
      </c>
      <c r="J734" s="29" t="inlineStr">
        <is>
          <t>ifrs-full_IssueOfEquity</t>
        </is>
      </c>
      <c r="K734" s="29" t="inlineStr">
        <is>
          <t>지분의 발행</t>
        </is>
      </c>
      <c r="L734" s="29" t="inlineStr">
        <is>
          <t>자본 [구성요소]|비지배지분 [구성요소]</t>
        </is>
      </c>
      <c r="M734" s="29" t="inlineStr">
        <is>
          <t>제 20 기</t>
        </is>
      </c>
      <c r="N734" s="29" t="inlineStr">
        <is>
          <t>7978379708.0</t>
        </is>
      </c>
      <c r="O734" s="29" t="inlineStr">
        <is>
          <t>19056885072.0</t>
        </is>
      </c>
      <c r="P734" s="29" t="inlineStr">
        <is>
          <t>KRW</t>
        </is>
      </c>
      <c r="Q734" s="29" t="inlineStr">
        <is>
          <t>13</t>
        </is>
      </c>
    </row>
    <row r="735" ht="24" customHeight="1">
      <c r="A735" s="24" t="inlineStr">
        <is>
          <t>OpenDART_fnlttSinglAcntAll</t>
        </is>
      </c>
      <c r="B735" s="24" t="inlineStr">
        <is>
          <t>01021666</t>
        </is>
      </c>
      <c r="C735" s="24" t="inlineStr">
        <is>
          <t>덕산테코피아</t>
        </is>
      </c>
      <c r="D735" s="24" t="inlineStr">
        <is>
          <t>duksan</t>
        </is>
      </c>
      <c r="E735" s="24" t="inlineStr">
        <is>
          <t>317330</t>
        </is>
      </c>
      <c r="F735" s="24" t="inlineStr">
        <is>
          <t>2025</t>
        </is>
      </c>
      <c r="G735" s="24" t="inlineStr">
        <is>
          <t>CFS</t>
        </is>
      </c>
      <c r="H735" s="24" t="inlineStr">
        <is>
          <t>SCE</t>
        </is>
      </c>
      <c r="I735" s="24" t="inlineStr">
        <is>
          <t>자본변동표</t>
        </is>
      </c>
      <c r="J735" s="24" t="inlineStr">
        <is>
          <t>ifrs-full_IssueOfEquity</t>
        </is>
      </c>
      <c r="K735" s="24" t="inlineStr">
        <is>
          <t>지분의 발행</t>
        </is>
      </c>
      <c r="L735" s="24" t="inlineStr">
        <is>
          <t>연결재무제표 [member]</t>
        </is>
      </c>
      <c r="M735" s="24" t="inlineStr">
        <is>
          <t>제 20 기</t>
        </is>
      </c>
      <c r="N735" s="24" t="inlineStr">
        <is>
          <t>해당 없음</t>
        </is>
      </c>
      <c r="O735" s="24" t="inlineStr">
        <is>
          <t>-2566840.0</t>
        </is>
      </c>
      <c r="P735" s="24" t="inlineStr">
        <is>
          <t>KRW</t>
        </is>
      </c>
      <c r="Q735" s="24" t="inlineStr">
        <is>
          <t>13</t>
        </is>
      </c>
    </row>
    <row r="736" ht="24" customHeight="1">
      <c r="A736" s="29" t="inlineStr">
        <is>
          <t>OpenDART_fnlttSinglAcntAll</t>
        </is>
      </c>
      <c r="B736" s="29" t="inlineStr">
        <is>
          <t>01021666</t>
        </is>
      </c>
      <c r="C736" s="29" t="inlineStr">
        <is>
          <t>덕산테코피아</t>
        </is>
      </c>
      <c r="D736" s="29" t="inlineStr">
        <is>
          <t>duksan</t>
        </is>
      </c>
      <c r="E736" s="29" t="inlineStr">
        <is>
          <t>317330</t>
        </is>
      </c>
      <c r="F736" s="29" t="inlineStr">
        <is>
          <t>2025</t>
        </is>
      </c>
      <c r="G736" s="29" t="inlineStr">
        <is>
          <t>CFS</t>
        </is>
      </c>
      <c r="H736" s="29" t="inlineStr">
        <is>
          <t>SCE</t>
        </is>
      </c>
      <c r="I736" s="29" t="inlineStr">
        <is>
          <t>자본변동표</t>
        </is>
      </c>
      <c r="J736" s="29" t="inlineStr">
        <is>
          <t>ifrs-full_IssueOfEquity</t>
        </is>
      </c>
      <c r="K736" s="29" t="inlineStr">
        <is>
          <t>지분의 발행</t>
        </is>
      </c>
      <c r="L736" s="29" t="inlineStr">
        <is>
          <t>자본 [구성요소]|지배기업의 소유주에게 귀속되는 지분 [구성요소]|자본잉여금 [구성요소]</t>
        </is>
      </c>
      <c r="M736" s="29" t="inlineStr">
        <is>
          <t>제 20 기</t>
        </is>
      </c>
      <c r="N736" s="29" t="inlineStr">
        <is>
          <t>-7978379708.0</t>
        </is>
      </c>
      <c r="O736" s="29" t="inlineStr">
        <is>
          <t>-19059451912.0</t>
        </is>
      </c>
      <c r="P736" s="29" t="inlineStr">
        <is>
          <t>KRW</t>
        </is>
      </c>
      <c r="Q736" s="29" t="inlineStr">
        <is>
          <t>13</t>
        </is>
      </c>
    </row>
    <row r="737" ht="24" customHeight="1">
      <c r="A737" s="24" t="inlineStr">
        <is>
          <t>OpenDART_fnlttSinglAcntAll</t>
        </is>
      </c>
      <c r="B737" s="24" t="inlineStr">
        <is>
          <t>01021666</t>
        </is>
      </c>
      <c r="C737" s="24" t="inlineStr">
        <is>
          <t>덕산테코피아</t>
        </is>
      </c>
      <c r="D737" s="24" t="inlineStr">
        <is>
          <t>duksan</t>
        </is>
      </c>
      <c r="E737" s="24" t="inlineStr">
        <is>
          <t>317330</t>
        </is>
      </c>
      <c r="F737" s="24" t="inlineStr">
        <is>
          <t>2025</t>
        </is>
      </c>
      <c r="G737" s="24" t="inlineStr">
        <is>
          <t>CFS</t>
        </is>
      </c>
      <c r="H737" s="24" t="inlineStr">
        <is>
          <t>SCE</t>
        </is>
      </c>
      <c r="I737" s="24" t="inlineStr">
        <is>
          <t>자본변동표</t>
        </is>
      </c>
      <c r="J737" s="24" t="inlineStr">
        <is>
          <t>ifrs-full_PurchaseOfTreasuryShares</t>
        </is>
      </c>
      <c r="K737" s="24" t="inlineStr">
        <is>
          <t>자기주식의 취득</t>
        </is>
      </c>
      <c r="L737" s="24" t="inlineStr">
        <is>
          <t>연결재무제표 [member]</t>
        </is>
      </c>
      <c r="M737" s="24" t="inlineStr">
        <is>
          <t>제 20 기</t>
        </is>
      </c>
      <c r="N737" s="24" t="inlineStr">
        <is>
          <t>-999993700.0</t>
        </is>
      </c>
      <c r="O737" s="24" t="inlineStr">
        <is>
          <t>해당 없음</t>
        </is>
      </c>
      <c r="P737" s="24" t="inlineStr">
        <is>
          <t>KRW</t>
        </is>
      </c>
      <c r="Q737" s="24" t="inlineStr">
        <is>
          <t>14</t>
        </is>
      </c>
    </row>
    <row r="738" ht="24" customHeight="1">
      <c r="A738" s="29" t="inlineStr">
        <is>
          <t>OpenDART_fnlttSinglAcntAll</t>
        </is>
      </c>
      <c r="B738" s="29" t="inlineStr">
        <is>
          <t>01021666</t>
        </is>
      </c>
      <c r="C738" s="29" t="inlineStr">
        <is>
          <t>덕산테코피아</t>
        </is>
      </c>
      <c r="D738" s="29" t="inlineStr">
        <is>
          <t>duksan</t>
        </is>
      </c>
      <c r="E738" s="29" t="inlineStr">
        <is>
          <t>317330</t>
        </is>
      </c>
      <c r="F738" s="29" t="inlineStr">
        <is>
          <t>2025</t>
        </is>
      </c>
      <c r="G738" s="29" t="inlineStr">
        <is>
          <t>CFS</t>
        </is>
      </c>
      <c r="H738" s="29" t="inlineStr">
        <is>
          <t>SCE</t>
        </is>
      </c>
      <c r="I738" s="29" t="inlineStr">
        <is>
          <t>자본변동표</t>
        </is>
      </c>
      <c r="J738" s="29" t="inlineStr">
        <is>
          <t>ifrs-full_PurchaseOfTreasuryShares</t>
        </is>
      </c>
      <c r="K738" s="29" t="inlineStr">
        <is>
          <t>자기주식의 취득</t>
        </is>
      </c>
      <c r="L738" s="29" t="inlineStr">
        <is>
          <t>자본 [구성요소]|지배기업의 소유주에게 귀속되는 지분 [구성요소]</t>
        </is>
      </c>
      <c r="M738" s="29" t="inlineStr">
        <is>
          <t>제 20 기</t>
        </is>
      </c>
      <c r="N738" s="29" t="inlineStr">
        <is>
          <t>-999993700.0</t>
        </is>
      </c>
      <c r="O738" s="29" t="inlineStr">
        <is>
          <t>해당 없음</t>
        </is>
      </c>
      <c r="P738" s="29" t="inlineStr">
        <is>
          <t>KRW</t>
        </is>
      </c>
      <c r="Q738" s="29" t="inlineStr">
        <is>
          <t>14</t>
        </is>
      </c>
    </row>
    <row r="739" ht="24" customHeight="1">
      <c r="A739" s="24" t="inlineStr">
        <is>
          <t>OpenDART_fnlttSinglAcntAll</t>
        </is>
      </c>
      <c r="B739" s="24" t="inlineStr">
        <is>
          <t>01021666</t>
        </is>
      </c>
      <c r="C739" s="24" t="inlineStr">
        <is>
          <t>덕산테코피아</t>
        </is>
      </c>
      <c r="D739" s="24" t="inlineStr">
        <is>
          <t>duksan</t>
        </is>
      </c>
      <c r="E739" s="24" t="inlineStr">
        <is>
          <t>317330</t>
        </is>
      </c>
      <c r="F739" s="24" t="inlineStr">
        <is>
          <t>2025</t>
        </is>
      </c>
      <c r="G739" s="24" t="inlineStr">
        <is>
          <t>CFS</t>
        </is>
      </c>
      <c r="H739" s="24" t="inlineStr">
        <is>
          <t>SCE</t>
        </is>
      </c>
      <c r="I739" s="24" t="inlineStr">
        <is>
          <t>자본변동표</t>
        </is>
      </c>
      <c r="J739" s="24" t="inlineStr">
        <is>
          <t>ifrs-full_PurchaseOfTreasuryShares</t>
        </is>
      </c>
      <c r="K739" s="24" t="inlineStr">
        <is>
          <t>자기주식의 취득</t>
        </is>
      </c>
      <c r="L739" s="24" t="inlineStr">
        <is>
          <t>자본 [구성요소]|지배기업의 소유주에게 귀속되는 지분 [구성요소]|기타자본구성요소 [구성요소]</t>
        </is>
      </c>
      <c r="M739" s="24" t="inlineStr">
        <is>
          <t>제 20 기</t>
        </is>
      </c>
      <c r="N739" s="24" t="inlineStr">
        <is>
          <t>-999993700.0</t>
        </is>
      </c>
      <c r="O739" s="24" t="inlineStr">
        <is>
          <t>해당 없음</t>
        </is>
      </c>
      <c r="P739" s="24" t="inlineStr">
        <is>
          <t>KRW</t>
        </is>
      </c>
      <c r="Q739" s="24" t="inlineStr">
        <is>
          <t>14</t>
        </is>
      </c>
    </row>
    <row r="740" ht="24" customHeight="1">
      <c r="A740" s="29" t="inlineStr">
        <is>
          <t>OpenDART_fnlttSinglAcntAll</t>
        </is>
      </c>
      <c r="B740" s="29" t="inlineStr">
        <is>
          <t>01021666</t>
        </is>
      </c>
      <c r="C740" s="29" t="inlineStr">
        <is>
          <t>덕산테코피아</t>
        </is>
      </c>
      <c r="D740" s="29" t="inlineStr">
        <is>
          <t>duksan</t>
        </is>
      </c>
      <c r="E740" s="29" t="inlineStr">
        <is>
          <t>317330</t>
        </is>
      </c>
      <c r="F740" s="29" t="inlineStr">
        <is>
          <t>2025</t>
        </is>
      </c>
      <c r="G740" s="29" t="inlineStr">
        <is>
          <t>CFS</t>
        </is>
      </c>
      <c r="H740" s="29" t="inlineStr">
        <is>
          <t>SCE</t>
        </is>
      </c>
      <c r="I740" s="29" t="inlineStr">
        <is>
          <t>자본변동표</t>
        </is>
      </c>
      <c r="J740" s="29" t="inlineStr">
        <is>
          <t>ifrs-full_SaleOrIssueOfTreasuryShares</t>
        </is>
      </c>
      <c r="K740" s="29" t="inlineStr">
        <is>
          <t>자기주식의 처분 및 발행</t>
        </is>
      </c>
      <c r="L740" s="29" t="inlineStr">
        <is>
          <t>연결재무제표 [member]</t>
        </is>
      </c>
      <c r="M740" s="29" t="inlineStr">
        <is>
          <t>제 20 기</t>
        </is>
      </c>
      <c r="N740" s="29" t="inlineStr">
        <is>
          <t>해당 없음</t>
        </is>
      </c>
      <c r="O740" s="29" t="inlineStr">
        <is>
          <t>8910323644.0</t>
        </is>
      </c>
      <c r="P740" s="29" t="inlineStr">
        <is>
          <t>KRW</t>
        </is>
      </c>
      <c r="Q740" s="29" t="inlineStr">
        <is>
          <t>15</t>
        </is>
      </c>
    </row>
    <row r="741" ht="24" customHeight="1">
      <c r="A741" s="24" t="inlineStr">
        <is>
          <t>OpenDART_fnlttSinglAcntAll</t>
        </is>
      </c>
      <c r="B741" s="24" t="inlineStr">
        <is>
          <t>01021666</t>
        </is>
      </c>
      <c r="C741" s="24" t="inlineStr">
        <is>
          <t>덕산테코피아</t>
        </is>
      </c>
      <c r="D741" s="24" t="inlineStr">
        <is>
          <t>duksan</t>
        </is>
      </c>
      <c r="E741" s="24" t="inlineStr">
        <is>
          <t>317330</t>
        </is>
      </c>
      <c r="F741" s="24" t="inlineStr">
        <is>
          <t>2025</t>
        </is>
      </c>
      <c r="G741" s="24" t="inlineStr">
        <is>
          <t>CFS</t>
        </is>
      </c>
      <c r="H741" s="24" t="inlineStr">
        <is>
          <t>SCE</t>
        </is>
      </c>
      <c r="I741" s="24" t="inlineStr">
        <is>
          <t>자본변동표</t>
        </is>
      </c>
      <c r="J741" s="24" t="inlineStr">
        <is>
          <t>ifrs-full_SaleOrIssueOfTreasuryShares</t>
        </is>
      </c>
      <c r="K741" s="24" t="inlineStr">
        <is>
          <t>자기주식의 처분 및 발행</t>
        </is>
      </c>
      <c r="L741" s="24" t="inlineStr">
        <is>
          <t>자본 [구성요소]|지배기업의 소유주에게 귀속되는 지분 [구성요소]</t>
        </is>
      </c>
      <c r="M741" s="24" t="inlineStr">
        <is>
          <t>제 20 기</t>
        </is>
      </c>
      <c r="N741" s="24" t="inlineStr">
        <is>
          <t>해당 없음</t>
        </is>
      </c>
      <c r="O741" s="24" t="inlineStr">
        <is>
          <t>8910323644.0</t>
        </is>
      </c>
      <c r="P741" s="24" t="inlineStr">
        <is>
          <t>KRW</t>
        </is>
      </c>
      <c r="Q741" s="24" t="inlineStr">
        <is>
          <t>15</t>
        </is>
      </c>
    </row>
    <row r="742" ht="24" customHeight="1">
      <c r="A742" s="29" t="inlineStr">
        <is>
          <t>OpenDART_fnlttSinglAcntAll</t>
        </is>
      </c>
      <c r="B742" s="29" t="inlineStr">
        <is>
          <t>01021666</t>
        </is>
      </c>
      <c r="C742" s="29" t="inlineStr">
        <is>
          <t>덕산테코피아</t>
        </is>
      </c>
      <c r="D742" s="29" t="inlineStr">
        <is>
          <t>duksan</t>
        </is>
      </c>
      <c r="E742" s="29" t="inlineStr">
        <is>
          <t>317330</t>
        </is>
      </c>
      <c r="F742" s="29" t="inlineStr">
        <is>
          <t>2025</t>
        </is>
      </c>
      <c r="G742" s="29" t="inlineStr">
        <is>
          <t>CFS</t>
        </is>
      </c>
      <c r="H742" s="29" t="inlineStr">
        <is>
          <t>SCE</t>
        </is>
      </c>
      <c r="I742" s="29" t="inlineStr">
        <is>
          <t>자본변동표</t>
        </is>
      </c>
      <c r="J742" s="29" t="inlineStr">
        <is>
          <t>ifrs-full_SaleOrIssueOfTreasuryShares</t>
        </is>
      </c>
      <c r="K742" s="29" t="inlineStr">
        <is>
          <t>자기주식의 처분 및 발행</t>
        </is>
      </c>
      <c r="L742" s="29" t="inlineStr">
        <is>
          <t>자본 [구성요소]|지배기업의 소유주에게 귀속되는 지분 [구성요소]|기타자본구성요소 [구성요소]</t>
        </is>
      </c>
      <c r="M742" s="29" t="inlineStr">
        <is>
          <t>제 20 기</t>
        </is>
      </c>
      <c r="N742" s="29" t="inlineStr">
        <is>
          <t>해당 없음</t>
        </is>
      </c>
      <c r="O742" s="29" t="inlineStr">
        <is>
          <t>4999931050.0</t>
        </is>
      </c>
      <c r="P742" s="29" t="inlineStr">
        <is>
          <t>KRW</t>
        </is>
      </c>
      <c r="Q742" s="29" t="inlineStr">
        <is>
          <t>15</t>
        </is>
      </c>
    </row>
    <row r="743" ht="24" customHeight="1">
      <c r="A743" s="24" t="inlineStr">
        <is>
          <t>OpenDART_fnlttSinglAcntAll</t>
        </is>
      </c>
      <c r="B743" s="24" t="inlineStr">
        <is>
          <t>01021666</t>
        </is>
      </c>
      <c r="C743" s="24" t="inlineStr">
        <is>
          <t>덕산테코피아</t>
        </is>
      </c>
      <c r="D743" s="24" t="inlineStr">
        <is>
          <t>duksan</t>
        </is>
      </c>
      <c r="E743" s="24" t="inlineStr">
        <is>
          <t>317330</t>
        </is>
      </c>
      <c r="F743" s="24" t="inlineStr">
        <is>
          <t>2025</t>
        </is>
      </c>
      <c r="G743" s="24" t="inlineStr">
        <is>
          <t>CFS</t>
        </is>
      </c>
      <c r="H743" s="24" t="inlineStr">
        <is>
          <t>SCE</t>
        </is>
      </c>
      <c r="I743" s="24" t="inlineStr">
        <is>
          <t>자본변동표</t>
        </is>
      </c>
      <c r="J743" s="24" t="inlineStr">
        <is>
          <t>ifrs-full_SaleOrIssueOfTreasuryShares</t>
        </is>
      </c>
      <c r="K743" s="24" t="inlineStr">
        <is>
          <t>자기주식의 처분 및 발행</t>
        </is>
      </c>
      <c r="L743" s="24" t="inlineStr">
        <is>
          <t>자본 [구성요소]|지배기업의 소유주에게 귀속되는 지분 [구성요소]|자본잉여금 [구성요소]</t>
        </is>
      </c>
      <c r="M743" s="24" t="inlineStr">
        <is>
          <t>제 20 기</t>
        </is>
      </c>
      <c r="N743" s="24" t="inlineStr">
        <is>
          <t>해당 없음</t>
        </is>
      </c>
      <c r="O743" s="24" t="inlineStr">
        <is>
          <t>3910392594.0</t>
        </is>
      </c>
      <c r="P743" s="24" t="inlineStr">
        <is>
          <t>KRW</t>
        </is>
      </c>
      <c r="Q743" s="24" t="inlineStr">
        <is>
          <t>15</t>
        </is>
      </c>
    </row>
  </sheetData>
  <autoFilter ref="A2:Q743"/>
  <mergeCells count="1">
    <mergeCell ref="A1:F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E7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3" customWidth="1" min="31" max="31"/>
  </cols>
  <sheetData>
    <row r="1" ht="30" customHeight="1">
      <c r="A1" s="16" t="inlineStr">
        <is>
          <t>주가 데이터·기술적 지표</t>
        </is>
      </c>
    </row>
    <row r="2" ht="28" customHeight="1">
      <c r="A2" s="17" t="inlineStr">
        <is>
          <t>Valuation Agent 전용 주가 intake: 종가·이동평균·수익률·MDD·롤링 변동성</t>
        </is>
      </c>
    </row>
    <row r="3" ht="24" customHeight="1"/>
    <row r="4" ht="24" customHeight="1">
      <c r="A4" s="22" t="inlineStr">
        <is>
          <t>주가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데이터 행 수</t>
        </is>
      </c>
      <c r="B6" s="30" t="n">
        <v>1221</v>
      </c>
      <c r="C6" s="24" t="inlineStr">
        <is>
          <t>valuation_price_history.csv 기준</t>
        </is>
      </c>
    </row>
    <row r="7" ht="24" customHeight="1">
      <c r="A7" s="29" t="inlineStr">
        <is>
          <t>수집 시작일</t>
        </is>
      </c>
      <c r="B7" s="29" t="inlineStr">
        <is>
          <t>2021-05-20</t>
        </is>
      </c>
      <c r="C7" s="29" t="inlineStr">
        <is>
          <t>가격 데이터 시작</t>
        </is>
      </c>
    </row>
    <row r="8" ht="24" customHeight="1">
      <c r="A8" s="24" t="inlineStr">
        <is>
          <t>수집 종료일</t>
        </is>
      </c>
      <c r="B8" s="24" t="inlineStr">
        <is>
          <t>2026-05-20</t>
        </is>
      </c>
      <c r="C8" s="24" t="inlineStr">
        <is>
          <t>가격 데이터 종료</t>
        </is>
      </c>
    </row>
    <row r="9" ht="24" customHeight="1">
      <c r="A9" s="29" t="inlineStr">
        <is>
          <t>현재가</t>
        </is>
      </c>
      <c r="B9" s="31" t="n">
        <v>20200</v>
      </c>
      <c r="C9" s="29" t="inlineStr">
        <is>
          <t>최근 종가</t>
        </is>
      </c>
    </row>
    <row r="10" ht="24" customHeight="1">
      <c r="A10" s="24" t="inlineStr">
        <is>
          <t>1년 수익률</t>
        </is>
      </c>
      <c r="B10" s="30" t="n">
        <v>0.01050525262631319</v>
      </c>
      <c r="C10" s="24" t="inlineStr">
        <is>
          <t>최근 약 1년</t>
        </is>
      </c>
    </row>
    <row r="11" ht="24" customHeight="1">
      <c r="A11" s="29" t="inlineStr">
        <is>
          <t>연환산 변동성</t>
        </is>
      </c>
      <c r="B11" s="31" t="n">
        <v>0.6804966551176381</v>
      </c>
      <c r="C11" s="29" t="inlineStr">
        <is>
          <t>일수익률 × √252</t>
        </is>
      </c>
    </row>
    <row r="12" ht="24" customHeight="1">
      <c r="A12" s="24" t="inlineStr">
        <is>
          <t>MDD</t>
        </is>
      </c>
      <c r="B12" s="30" t="n">
        <v>-0.7666123778501629</v>
      </c>
      <c r="C12" s="24" t="inlineStr">
        <is>
          <t>기간 중 최대 낙폭</t>
        </is>
      </c>
    </row>
    <row r="13" ht="24" customHeight="1">
      <c r="A13" s="29" t="inlineStr">
        <is>
          <t>52주 고가</t>
        </is>
      </c>
      <c r="B13" s="31" t="n">
        <v>31250</v>
      </c>
      <c r="C13" s="29" t="inlineStr">
        <is>
          <t>최근 252거래일</t>
        </is>
      </c>
    </row>
    <row r="14" ht="24" customHeight="1">
      <c r="A14" s="24" t="inlineStr">
        <is>
          <t>52주 저가</t>
        </is>
      </c>
      <c r="B14" s="30" t="n">
        <v>14330</v>
      </c>
      <c r="C14" s="24" t="inlineStr">
        <is>
          <t>최근 252거래일</t>
        </is>
      </c>
    </row>
    <row r="15" ht="24" customHeight="1">
      <c r="A15" s="29" t="inlineStr">
        <is>
          <t>발행주식 수</t>
        </is>
      </c>
      <c r="B15" s="31" t="n">
        <v>20476584</v>
      </c>
      <c r="C15" s="29" t="inlineStr">
        <is>
          <t>DART stockTotqySttus</t>
        </is>
      </c>
    </row>
    <row r="16" ht="24" customHeight="1">
      <c r="A16" s="24" t="inlineStr">
        <is>
          <t>시가총액</t>
        </is>
      </c>
      <c r="B16" s="30" t="n">
        <v>413626996800</v>
      </c>
      <c r="C16" s="24" t="inlineStr">
        <is>
          <t>현재가 × 발행주식 수</t>
        </is>
      </c>
    </row>
    <row r="17" ht="24" customHeight="1">
      <c r="A17" s="22" t="inlineStr">
        <is>
          <t>최근 주가 원천 데이터</t>
        </is>
      </c>
      <c r="B17" s="32" t="n"/>
      <c r="C17" s="32" t="n"/>
      <c r="D17" s="32" t="n"/>
      <c r="E17" s="32" t="n"/>
      <c r="F17" s="33" t="n"/>
    </row>
    <row r="18" ht="24" customHeight="1">
      <c r="A18" s="25" t="inlineStr">
        <is>
          <t>일자</t>
        </is>
      </c>
      <c r="B18" s="34" t="inlineStr">
        <is>
          <t>시가</t>
        </is>
      </c>
      <c r="C18" s="25" t="inlineStr">
        <is>
          <t>고가</t>
        </is>
      </c>
      <c r="D18" s="25" t="inlineStr">
        <is>
          <t>저가</t>
        </is>
      </c>
      <c r="E18" s="25" t="inlineStr">
        <is>
          <t>종가</t>
        </is>
      </c>
      <c r="F18" s="25" t="inlineStr">
        <is>
          <t>수정종가</t>
        </is>
      </c>
      <c r="G18" s="25" t="inlineStr">
        <is>
          <t>거래량</t>
        </is>
      </c>
      <c r="H18" s="25" t="inlineStr">
        <is>
          <t>일수익률</t>
        </is>
      </c>
      <c r="I18" s="25" t="inlineStr">
        <is>
          <t>드로다운</t>
        </is>
      </c>
      <c r="J18" s="25" t="inlineStr">
        <is>
          <t>20일선</t>
        </is>
      </c>
      <c r="K18" s="25" t="inlineStr">
        <is>
          <t>60일선</t>
        </is>
      </c>
      <c r="L18" s="25" t="inlineStr">
        <is>
          <t>120일선</t>
        </is>
      </c>
      <c r="M18" s="25" t="inlineStr">
        <is>
          <t>20일 변동성</t>
        </is>
      </c>
      <c r="N18" s="25" t="inlineStr">
        <is>
          <t>60일 변동성</t>
        </is>
      </c>
      <c r="O18" s="25" t="inlineStr">
        <is>
          <t>20일 수익률</t>
        </is>
      </c>
      <c r="P18" s="25" t="inlineStr">
        <is>
          <t>60일 수익률</t>
        </is>
      </c>
      <c r="Q18" s="25" t="inlineStr">
        <is>
          <t>120일 수익률</t>
        </is>
      </c>
      <c r="R18" s="25" t="inlineStr">
        <is>
          <t>20일선 괴리</t>
        </is>
      </c>
      <c r="S18" s="25" t="inlineStr">
        <is>
          <t>60일선 괴리</t>
        </is>
      </c>
      <c r="T18" s="25" t="inlineStr">
        <is>
          <t>120일선 괴리</t>
        </is>
      </c>
      <c r="U18" s="25" t="inlineStr">
        <is>
          <t>52주 고가</t>
        </is>
      </c>
      <c r="V18" s="25" t="inlineStr">
        <is>
          <t>52주 저가</t>
        </is>
      </c>
      <c r="W18" s="25" t="inlineStr">
        <is>
          <t>52주 고가 대비</t>
        </is>
      </c>
      <c r="X18" s="25" t="inlineStr">
        <is>
          <t>52주 저가 대비</t>
        </is>
      </c>
      <c r="Y18" s="25" t="inlineStr">
        <is>
          <t>발행주식 수</t>
        </is>
      </c>
      <c r="Z18" s="25" t="inlineStr">
        <is>
          <t>시가총액</t>
        </is>
      </c>
      <c r="AA18" s="25" t="inlineStr">
        <is>
          <t>거래대금</t>
        </is>
      </c>
      <c r="AB18" s="25" t="inlineStr">
        <is>
          <t>20일 평균 거래대금</t>
        </is>
      </c>
      <c r="AC18" s="25" t="inlineStr">
        <is>
          <t>거래회전율</t>
        </is>
      </c>
      <c r="AD18" s="25" t="inlineStr">
        <is>
          <t>출처</t>
        </is>
      </c>
      <c r="AE18" s="25" t="inlineStr">
        <is>
          <t>티커</t>
        </is>
      </c>
    </row>
    <row r="19" ht="24" customHeight="1">
      <c r="A19" s="24" t="inlineStr">
        <is>
          <t>2023-07-03</t>
        </is>
      </c>
      <c r="B19" s="30" t="n">
        <v>17640</v>
      </c>
      <c r="C19" s="30" t="n">
        <v>18510</v>
      </c>
      <c r="D19" s="30" t="n">
        <v>17640</v>
      </c>
      <c r="E19" s="30" t="n">
        <v>18330</v>
      </c>
      <c r="F19" s="30" t="n">
        <v>18330</v>
      </c>
      <c r="G19" s="30" t="n">
        <v>129162</v>
      </c>
      <c r="H19" s="35" t="n">
        <v>0.03970504821327281</v>
      </c>
      <c r="I19" s="35" t="n">
        <v>-0.4814710042432815</v>
      </c>
      <c r="J19" s="30" t="n">
        <v>18645.5</v>
      </c>
      <c r="K19" s="30" t="n">
        <v>19820.66666666667</v>
      </c>
      <c r="L19" s="30" t="n">
        <v>18136.41666666667</v>
      </c>
      <c r="M19" s="35" t="n">
        <v>0.2637737816084805</v>
      </c>
      <c r="N19" s="35" t="n">
        <v>0.5549482537392836</v>
      </c>
      <c r="O19" s="35" t="n">
        <v>-0.03475513428120058</v>
      </c>
      <c r="P19" s="35" t="n">
        <v>-0.02448110697179351</v>
      </c>
      <c r="Q19" s="35" t="n">
        <v>0.3379562043795621</v>
      </c>
      <c r="R19" s="35" t="n">
        <v>-0.01692097288890082</v>
      </c>
      <c r="S19" s="35" t="n">
        <v>-0.07520769567118502</v>
      </c>
      <c r="T19" s="35" t="n">
        <v>0.010673736542959</v>
      </c>
      <c r="U19" s="30" t="n">
        <v>24600</v>
      </c>
      <c r="V19" s="30" t="n">
        <v>13250</v>
      </c>
      <c r="W19" s="35" t="n">
        <v>-0.2548780487804878</v>
      </c>
      <c r="X19" s="35" t="n">
        <v>0.3833962264150943</v>
      </c>
      <c r="Y19" s="30" t="n">
        <v>20476584</v>
      </c>
      <c r="Z19" s="30" t="n">
        <v>375335784720</v>
      </c>
      <c r="AA19" s="30" t="n">
        <v>2367539460</v>
      </c>
      <c r="AB19" s="30" t="n">
        <v>2560765584.5</v>
      </c>
      <c r="AC19" s="35" t="n">
        <v>0.006307790400977038</v>
      </c>
      <c r="AD19" s="24" t="inlineStr">
        <is>
          <t>yfinance_download</t>
        </is>
      </c>
      <c r="AE19" s="24" t="inlineStr">
        <is>
          <t>317330.KQ</t>
        </is>
      </c>
    </row>
    <row r="20" ht="24" customHeight="1">
      <c r="A20" s="29" t="inlineStr">
        <is>
          <t>2023-07-04</t>
        </is>
      </c>
      <c r="B20" s="31" t="n">
        <v>18480</v>
      </c>
      <c r="C20" s="31" t="n">
        <v>19210</v>
      </c>
      <c r="D20" s="31" t="n">
        <v>18300</v>
      </c>
      <c r="E20" s="31" t="n">
        <v>18940</v>
      </c>
      <c r="F20" s="31" t="n">
        <v>18940</v>
      </c>
      <c r="G20" s="31" t="n">
        <v>176231</v>
      </c>
      <c r="H20" s="36" t="n">
        <v>0.03327877795962908</v>
      </c>
      <c r="I20" s="36" t="n">
        <v>-0.4642149929278642</v>
      </c>
      <c r="J20" s="31" t="n">
        <v>18639.5</v>
      </c>
      <c r="K20" s="31" t="n">
        <v>19812.5</v>
      </c>
      <c r="L20" s="31" t="n">
        <v>18177.16666666667</v>
      </c>
      <c r="M20" s="36" t="n">
        <v>0.291185413255075</v>
      </c>
      <c r="N20" s="36" t="n">
        <v>0.5547465493638742</v>
      </c>
      <c r="O20" s="36" t="n">
        <v>-0.006295907660020972</v>
      </c>
      <c r="P20" s="36" t="n">
        <v>-0.02521873391662377</v>
      </c>
      <c r="Q20" s="36" t="n">
        <v>0.3480427046263346</v>
      </c>
      <c r="R20" s="36" t="n">
        <v>0.01612167708361278</v>
      </c>
      <c r="S20" s="36" t="n">
        <v>-0.04403785488958989</v>
      </c>
      <c r="T20" s="36" t="n">
        <v>0.04196656978076874</v>
      </c>
      <c r="U20" s="31" t="n">
        <v>24600</v>
      </c>
      <c r="V20" s="31" t="n">
        <v>13250</v>
      </c>
      <c r="W20" s="36" t="n">
        <v>-0.2300813008130081</v>
      </c>
      <c r="X20" s="36" t="n">
        <v>0.429433962264151</v>
      </c>
      <c r="Y20" s="31" t="n">
        <v>20476584</v>
      </c>
      <c r="Z20" s="31" t="n">
        <v>387826500960</v>
      </c>
      <c r="AA20" s="31" t="n">
        <v>3337815140</v>
      </c>
      <c r="AB20" s="31" t="n">
        <v>2648749847.5</v>
      </c>
      <c r="AC20" s="36" t="n">
        <v>0.008606464828313161</v>
      </c>
      <c r="AD20" s="29" t="inlineStr">
        <is>
          <t>yfinance_download</t>
        </is>
      </c>
      <c r="AE20" s="29" t="inlineStr">
        <is>
          <t>317330.KQ</t>
        </is>
      </c>
    </row>
    <row r="21" ht="24" customHeight="1">
      <c r="A21" s="24" t="inlineStr">
        <is>
          <t>2023-07-05</t>
        </is>
      </c>
      <c r="B21" s="30" t="n">
        <v>19000</v>
      </c>
      <c r="C21" s="30" t="n">
        <v>19650</v>
      </c>
      <c r="D21" s="30" t="n">
        <v>18650</v>
      </c>
      <c r="E21" s="30" t="n">
        <v>19210</v>
      </c>
      <c r="F21" s="30" t="n">
        <v>19210</v>
      </c>
      <c r="G21" s="30" t="n">
        <v>313016</v>
      </c>
      <c r="H21" s="35" t="n">
        <v>0.01425554382259775</v>
      </c>
      <c r="I21" s="35" t="n">
        <v>-0.4565770862800566</v>
      </c>
      <c r="J21" s="30" t="n">
        <v>18647.5</v>
      </c>
      <c r="K21" s="30" t="n">
        <v>19791</v>
      </c>
      <c r="L21" s="30" t="n">
        <v>18217.66666666667</v>
      </c>
      <c r="M21" s="35" t="n">
        <v>0.2956303207137285</v>
      </c>
      <c r="N21" s="35" t="n">
        <v>0.543684699344957</v>
      </c>
      <c r="O21" s="35" t="n">
        <v>0.008398950131233596</v>
      </c>
      <c r="P21" s="35" t="n">
        <v>-0.06292682926829263</v>
      </c>
      <c r="Q21" s="35" t="n">
        <v>0.3386759581881533</v>
      </c>
      <c r="R21" s="35" t="n">
        <v>0.03016490146132189</v>
      </c>
      <c r="S21" s="35" t="n">
        <v>-0.02935677833358596</v>
      </c>
      <c r="T21" s="35" t="n">
        <v>0.05447093480687237</v>
      </c>
      <c r="U21" s="30" t="n">
        <v>24600</v>
      </c>
      <c r="V21" s="30" t="n">
        <v>13250</v>
      </c>
      <c r="W21" s="35" t="n">
        <v>-0.2191056910569106</v>
      </c>
      <c r="X21" s="35" t="n">
        <v>0.449811320754717</v>
      </c>
      <c r="Y21" s="30" t="n">
        <v>20476584</v>
      </c>
      <c r="Z21" s="30" t="n">
        <v>393355178640</v>
      </c>
      <c r="AA21" s="30" t="n">
        <v>6013037360</v>
      </c>
      <c r="AB21" s="30" t="n">
        <v>2859073283</v>
      </c>
      <c r="AC21" s="35" t="n">
        <v>0.01528653412112098</v>
      </c>
      <c r="AD21" s="24" t="inlineStr">
        <is>
          <t>yfinance_download</t>
        </is>
      </c>
      <c r="AE21" s="24" t="inlineStr">
        <is>
          <t>317330.KQ</t>
        </is>
      </c>
    </row>
    <row r="22" ht="24" customHeight="1">
      <c r="A22" s="29" t="inlineStr">
        <is>
          <t>2023-07-06</t>
        </is>
      </c>
      <c r="B22" s="31" t="n">
        <v>19210</v>
      </c>
      <c r="C22" s="31" t="n">
        <v>19300</v>
      </c>
      <c r="D22" s="31" t="n">
        <v>18170</v>
      </c>
      <c r="E22" s="31" t="n">
        <v>18240</v>
      </c>
      <c r="F22" s="31" t="n">
        <v>18240</v>
      </c>
      <c r="G22" s="31" t="n">
        <v>189036</v>
      </c>
      <c r="H22" s="36" t="n">
        <v>-0.05049453409682458</v>
      </c>
      <c r="I22" s="36" t="n">
        <v>-0.484016973125884</v>
      </c>
      <c r="J22" s="31" t="n">
        <v>18625.5</v>
      </c>
      <c r="K22" s="31" t="n">
        <v>19694.16666666667</v>
      </c>
      <c r="L22" s="31" t="n">
        <v>18249.66666666667</v>
      </c>
      <c r="M22" s="36" t="n">
        <v>0.3406618824784604</v>
      </c>
      <c r="N22" s="36" t="n">
        <v>0.4169263800369374</v>
      </c>
      <c r="O22" s="36" t="n">
        <v>-0.02355460385438968</v>
      </c>
      <c r="P22" s="36" t="n">
        <v>-0.2415800415800415</v>
      </c>
      <c r="Q22" s="36" t="n">
        <v>0.2666666666666666</v>
      </c>
      <c r="R22" s="36" t="n">
        <v>-0.02069743094145127</v>
      </c>
      <c r="S22" s="36" t="n">
        <v>-0.07383743071129356</v>
      </c>
      <c r="T22" s="36" t="n">
        <v>-0.0005296900400008075</v>
      </c>
      <c r="U22" s="31" t="n">
        <v>24600</v>
      </c>
      <c r="V22" s="31" t="n">
        <v>13250</v>
      </c>
      <c r="W22" s="36" t="n">
        <v>-0.2585365853658537</v>
      </c>
      <c r="X22" s="36" t="n">
        <v>0.3766037735849057</v>
      </c>
      <c r="Y22" s="31" t="n">
        <v>20476584</v>
      </c>
      <c r="Z22" s="31" t="n">
        <v>373492892160</v>
      </c>
      <c r="AA22" s="31" t="n">
        <v>3448016640</v>
      </c>
      <c r="AB22" s="31" t="n">
        <v>2926958581</v>
      </c>
      <c r="AC22" s="36" t="n">
        <v>0.009231813275104871</v>
      </c>
      <c r="AD22" s="29" t="inlineStr">
        <is>
          <t>yfinance_download</t>
        </is>
      </c>
      <c r="AE22" s="29" t="inlineStr">
        <is>
          <t>317330.KQ</t>
        </is>
      </c>
    </row>
    <row r="23" ht="24" customHeight="1">
      <c r="A23" s="24" t="inlineStr">
        <is>
          <t>2023-07-07</t>
        </is>
      </c>
      <c r="B23" s="30" t="n">
        <v>18150</v>
      </c>
      <c r="C23" s="30" t="n">
        <v>18320</v>
      </c>
      <c r="D23" s="30" t="n">
        <v>17800</v>
      </c>
      <c r="E23" s="30" t="n">
        <v>17820</v>
      </c>
      <c r="F23" s="30" t="n">
        <v>17820</v>
      </c>
      <c r="G23" s="30" t="n">
        <v>85691</v>
      </c>
      <c r="H23" s="35" t="n">
        <v>-0.02302631578947367</v>
      </c>
      <c r="I23" s="35" t="n">
        <v>-0.4958981612446959</v>
      </c>
      <c r="J23" s="30" t="n">
        <v>18561</v>
      </c>
      <c r="K23" s="30" t="n">
        <v>19581.16666666667</v>
      </c>
      <c r="L23" s="30" t="n">
        <v>18276.91666666667</v>
      </c>
      <c r="M23" s="35" t="n">
        <v>0.3368414998308735</v>
      </c>
      <c r="N23" s="35" t="n">
        <v>0.4147768288502243</v>
      </c>
      <c r="O23" s="35" t="n">
        <v>-0.06750392464678179</v>
      </c>
      <c r="P23" s="35" t="n">
        <v>-0.275609756097561</v>
      </c>
      <c r="Q23" s="35" t="n">
        <v>0.2247422680412372</v>
      </c>
      <c r="R23" s="35" t="n">
        <v>-0.03992241797316953</v>
      </c>
      <c r="S23" s="35" t="n">
        <v>-0.08994186590856867</v>
      </c>
      <c r="T23" s="35" t="n">
        <v>-0.02499965803860071</v>
      </c>
      <c r="U23" s="30" t="n">
        <v>24600</v>
      </c>
      <c r="V23" s="30" t="n">
        <v>13250</v>
      </c>
      <c r="W23" s="35" t="n">
        <v>-0.275609756097561</v>
      </c>
      <c r="X23" s="35" t="n">
        <v>0.3449056603773586</v>
      </c>
      <c r="Y23" s="30" t="n">
        <v>20476584</v>
      </c>
      <c r="Z23" s="30" t="n">
        <v>364892726880</v>
      </c>
      <c r="AA23" s="30" t="n">
        <v>1527013620</v>
      </c>
      <c r="AB23" s="30" t="n">
        <v>2854606708</v>
      </c>
      <c r="AC23" s="35" t="n">
        <v>0.004184828875753886</v>
      </c>
      <c r="AD23" s="24" t="inlineStr">
        <is>
          <t>yfinance_download</t>
        </is>
      </c>
      <c r="AE23" s="24" t="inlineStr">
        <is>
          <t>317330.KQ</t>
        </is>
      </c>
    </row>
    <row r="24" ht="24" customHeight="1">
      <c r="A24" s="29" t="inlineStr">
        <is>
          <t>2023-07-10</t>
        </is>
      </c>
      <c r="B24" s="31" t="n">
        <v>17820</v>
      </c>
      <c r="C24" s="31" t="n">
        <v>17900</v>
      </c>
      <c r="D24" s="31" t="n">
        <v>17020</v>
      </c>
      <c r="E24" s="31" t="n">
        <v>17030</v>
      </c>
      <c r="F24" s="31" t="n">
        <v>17030</v>
      </c>
      <c r="G24" s="31" t="n">
        <v>145958</v>
      </c>
      <c r="H24" s="36" t="n">
        <v>-0.04433221099887763</v>
      </c>
      <c r="I24" s="36" t="n">
        <v>-0.5182461103253182</v>
      </c>
      <c r="J24" s="31" t="n">
        <v>18453</v>
      </c>
      <c r="K24" s="31" t="n">
        <v>19460.83333333333</v>
      </c>
      <c r="L24" s="31" t="n">
        <v>18298.41666666667</v>
      </c>
      <c r="M24" s="36" t="n">
        <v>0.3654065357228809</v>
      </c>
      <c r="N24" s="36" t="n">
        <v>0.4221537599381307</v>
      </c>
      <c r="O24" s="36" t="n">
        <v>-0.112558624283481</v>
      </c>
      <c r="P24" s="36" t="n">
        <v>-0.2977319587628866</v>
      </c>
      <c r="Q24" s="36" t="n">
        <v>0.1785467128027682</v>
      </c>
      <c r="R24" s="36" t="n">
        <v>-0.07711483227659455</v>
      </c>
      <c r="S24" s="36" t="n">
        <v>-0.1249090052669892</v>
      </c>
      <c r="T24" s="36" t="n">
        <v>-0.06931838364885856</v>
      </c>
      <c r="U24" s="31" t="n">
        <v>24600</v>
      </c>
      <c r="V24" s="31" t="n">
        <v>13250</v>
      </c>
      <c r="W24" s="36" t="n">
        <v>-0.3077235772357724</v>
      </c>
      <c r="X24" s="36" t="n">
        <v>0.2852830188679245</v>
      </c>
      <c r="Y24" s="31" t="n">
        <v>20476584</v>
      </c>
      <c r="Z24" s="31" t="n">
        <v>348716225520</v>
      </c>
      <c r="AA24" s="31" t="n">
        <v>2485664740</v>
      </c>
      <c r="AB24" s="31" t="n">
        <v>2857797207</v>
      </c>
      <c r="AC24" s="36" t="n">
        <v>0.007128044404281495</v>
      </c>
      <c r="AD24" s="29" t="inlineStr">
        <is>
          <t>yfinance_download</t>
        </is>
      </c>
      <c r="AE24" s="29" t="inlineStr">
        <is>
          <t>317330.KQ</t>
        </is>
      </c>
    </row>
    <row r="25" ht="24" customHeight="1">
      <c r="A25" s="24" t="inlineStr">
        <is>
          <t>2023-07-12</t>
        </is>
      </c>
      <c r="B25" s="30" t="n">
        <v>17190</v>
      </c>
      <c r="C25" s="30" t="n">
        <v>17580</v>
      </c>
      <c r="D25" s="30" t="n">
        <v>17140</v>
      </c>
      <c r="E25" s="30" t="n">
        <v>17540</v>
      </c>
      <c r="F25" s="30" t="n">
        <v>17540</v>
      </c>
      <c r="G25" s="30" t="n">
        <v>65748</v>
      </c>
      <c r="H25" s="35" t="n">
        <v>0.02994715208455667</v>
      </c>
      <c r="I25" s="35" t="n">
        <v>-0.5038189533239038</v>
      </c>
      <c r="J25" s="30" t="n">
        <v>18367</v>
      </c>
      <c r="K25" s="30" t="n">
        <v>19362.33333333333</v>
      </c>
      <c r="L25" s="30" t="n">
        <v>18324.16666666667</v>
      </c>
      <c r="M25" s="35" t="n">
        <v>0.3856914068822138</v>
      </c>
      <c r="N25" s="35" t="n">
        <v>0.4243621307955378</v>
      </c>
      <c r="O25" s="35" t="n">
        <v>-0.08930425752855664</v>
      </c>
      <c r="P25" s="35" t="n">
        <v>-0.2520255863539446</v>
      </c>
      <c r="Q25" s="35" t="n">
        <v>0.2138408304498269</v>
      </c>
      <c r="R25" s="35" t="n">
        <v>-0.04502640605433661</v>
      </c>
      <c r="S25" s="35" t="n">
        <v>-0.09411744452287085</v>
      </c>
      <c r="T25" s="35" t="n">
        <v>-0.04279412433489482</v>
      </c>
      <c r="U25" s="30" t="n">
        <v>24600</v>
      </c>
      <c r="V25" s="30" t="n">
        <v>13250</v>
      </c>
      <c r="W25" s="35" t="n">
        <v>-0.2869918699186992</v>
      </c>
      <c r="X25" s="35" t="n">
        <v>0.3237735849056604</v>
      </c>
      <c r="Y25" s="30" t="n">
        <v>20476584</v>
      </c>
      <c r="Z25" s="30" t="n">
        <v>359159283360</v>
      </c>
      <c r="AA25" s="30" t="n">
        <v>1153219920</v>
      </c>
      <c r="AB25" s="30" t="n">
        <v>2706208896</v>
      </c>
      <c r="AC25" s="35" t="n">
        <v>0.003210887128439002</v>
      </c>
      <c r="AD25" s="24" t="inlineStr">
        <is>
          <t>yfinance_download</t>
        </is>
      </c>
      <c r="AE25" s="24" t="inlineStr">
        <is>
          <t>317330.KQ</t>
        </is>
      </c>
    </row>
    <row r="26" ht="24" customHeight="1">
      <c r="A26" s="29" t="inlineStr">
        <is>
          <t>2023-07-13</t>
        </is>
      </c>
      <c r="B26" s="31" t="n">
        <v>17600</v>
      </c>
      <c r="C26" s="31" t="n">
        <v>17940</v>
      </c>
      <c r="D26" s="31" t="n">
        <v>17600</v>
      </c>
      <c r="E26" s="31" t="n">
        <v>17720</v>
      </c>
      <c r="F26" s="31" t="n">
        <v>17720</v>
      </c>
      <c r="G26" s="31" t="n">
        <v>64387</v>
      </c>
      <c r="H26" s="36" t="n">
        <v>0.01026225769669331</v>
      </c>
      <c r="I26" s="36" t="n">
        <v>-0.4987270155586987</v>
      </c>
      <c r="J26" s="31" t="n">
        <v>18302.5</v>
      </c>
      <c r="K26" s="31" t="n">
        <v>19252.66666666667</v>
      </c>
      <c r="L26" s="31" t="n">
        <v>18351.41666666667</v>
      </c>
      <c r="M26" s="36" t="n">
        <v>0.3876404081816959</v>
      </c>
      <c r="N26" s="36" t="n">
        <v>0.4169893105075598</v>
      </c>
      <c r="O26" s="36" t="n">
        <v>-0.06785902156759605</v>
      </c>
      <c r="P26" s="36" t="n">
        <v>-0.2707818930041153</v>
      </c>
      <c r="Q26" s="36" t="n">
        <v>0.2262975778546712</v>
      </c>
      <c r="R26" s="36" t="n">
        <v>-0.03182625324409238</v>
      </c>
      <c r="S26" s="36" t="n">
        <v>-0.07960801966827113</v>
      </c>
      <c r="T26" s="36" t="n">
        <v>-0.03440697130557591</v>
      </c>
      <c r="U26" s="31" t="n">
        <v>24600</v>
      </c>
      <c r="V26" s="31" t="n">
        <v>13250</v>
      </c>
      <c r="W26" s="36" t="n">
        <v>-0.2796747967479675</v>
      </c>
      <c r="X26" s="36" t="n">
        <v>0.3373584905660378</v>
      </c>
      <c r="Y26" s="31" t="n">
        <v>20476584</v>
      </c>
      <c r="Z26" s="31" t="n">
        <v>362845068480</v>
      </c>
      <c r="AA26" s="31" t="n">
        <v>1140937640</v>
      </c>
      <c r="AB26" s="31" t="n">
        <v>2323068772.5</v>
      </c>
      <c r="AC26" s="36" t="n">
        <v>0.003144420963965474</v>
      </c>
      <c r="AD26" s="29" t="inlineStr">
        <is>
          <t>yfinance_download</t>
        </is>
      </c>
      <c r="AE26" s="29" t="inlineStr">
        <is>
          <t>317330.KQ</t>
        </is>
      </c>
    </row>
    <row r="27" ht="24" customHeight="1">
      <c r="A27" s="24" t="inlineStr">
        <is>
          <t>2023-07-14</t>
        </is>
      </c>
      <c r="B27" s="30" t="n">
        <v>17880</v>
      </c>
      <c r="C27" s="30" t="n">
        <v>17880</v>
      </c>
      <c r="D27" s="30" t="n">
        <v>17410</v>
      </c>
      <c r="E27" s="30" t="n">
        <v>17520</v>
      </c>
      <c r="F27" s="30" t="n">
        <v>17520</v>
      </c>
      <c r="G27" s="30" t="n">
        <v>77762</v>
      </c>
      <c r="H27" s="35" t="n">
        <v>-0.01128668171557567</v>
      </c>
      <c r="I27" s="35" t="n">
        <v>-0.5043847241867043</v>
      </c>
      <c r="J27" s="30" t="n">
        <v>18206.5</v>
      </c>
      <c r="K27" s="30" t="n">
        <v>19145.5</v>
      </c>
      <c r="L27" s="30" t="n">
        <v>18379.5</v>
      </c>
      <c r="M27" s="35" t="n">
        <v>0.3761751529046671</v>
      </c>
      <c r="N27" s="35" t="n">
        <v>0.4167349991014487</v>
      </c>
      <c r="O27" s="35" t="n">
        <v>-0.09876543209876543</v>
      </c>
      <c r="P27" s="35" t="n">
        <v>-0.2684759916492693</v>
      </c>
      <c r="Q27" s="35" t="n">
        <v>0.2381625441696114</v>
      </c>
      <c r="R27" s="35" t="n">
        <v>-0.03770631367918054</v>
      </c>
      <c r="S27" s="35" t="n">
        <v>-0.08490245749653968</v>
      </c>
      <c r="T27" s="35" t="n">
        <v>-0.04676405778176773</v>
      </c>
      <c r="U27" s="30" t="n">
        <v>24600</v>
      </c>
      <c r="V27" s="30" t="n">
        <v>13250</v>
      </c>
      <c r="W27" s="35" t="n">
        <v>-0.2878048780487805</v>
      </c>
      <c r="X27" s="35" t="n">
        <v>0.3222641509433963</v>
      </c>
      <c r="Y27" s="30" t="n">
        <v>20476584</v>
      </c>
      <c r="Z27" s="30" t="n">
        <v>358749751680</v>
      </c>
      <c r="AA27" s="30" t="n">
        <v>1362390240</v>
      </c>
      <c r="AB27" s="30" t="n">
        <v>2141418304.5</v>
      </c>
      <c r="AC27" s="35" t="n">
        <v>0.003797606085077472</v>
      </c>
      <c r="AD27" s="24" t="inlineStr">
        <is>
          <t>yfinance_download</t>
        </is>
      </c>
      <c r="AE27" s="24" t="inlineStr">
        <is>
          <t>317330.KQ</t>
        </is>
      </c>
    </row>
    <row r="28" ht="24" customHeight="1">
      <c r="A28" s="29" t="inlineStr">
        <is>
          <t>2023-07-17</t>
        </is>
      </c>
      <c r="B28" s="31" t="n">
        <v>17530</v>
      </c>
      <c r="C28" s="31" t="n">
        <v>17940</v>
      </c>
      <c r="D28" s="31" t="n">
        <v>17300</v>
      </c>
      <c r="E28" s="31" t="n">
        <v>17770</v>
      </c>
      <c r="F28" s="31" t="n">
        <v>17770</v>
      </c>
      <c r="G28" s="31" t="n">
        <v>66687</v>
      </c>
      <c r="H28" s="36" t="n">
        <v>0.01426940639269403</v>
      </c>
      <c r="I28" s="36" t="n">
        <v>-0.4973125884016973</v>
      </c>
      <c r="J28" s="31" t="n">
        <v>18117.5</v>
      </c>
      <c r="K28" s="31" t="n">
        <v>19056.66666666667</v>
      </c>
      <c r="L28" s="31" t="n">
        <v>18411.33333333333</v>
      </c>
      <c r="M28" s="36" t="n">
        <v>0.3806019478620018</v>
      </c>
      <c r="N28" s="36" t="n">
        <v>0.4135762454376931</v>
      </c>
      <c r="O28" s="36" t="n">
        <v>-0.09104859335038362</v>
      </c>
      <c r="P28" s="36" t="n">
        <v>-0.2307359307359307</v>
      </c>
      <c r="Q28" s="36" t="n">
        <v>0.2738351254480287</v>
      </c>
      <c r="R28" s="36" t="n">
        <v>-0.01918035048985789</v>
      </c>
      <c r="S28" s="36" t="n">
        <v>-0.06751792898373277</v>
      </c>
      <c r="T28" s="36" t="n">
        <v>-0.0348336169750515</v>
      </c>
      <c r="U28" s="31" t="n">
        <v>24600</v>
      </c>
      <c r="V28" s="31" t="n">
        <v>13250</v>
      </c>
      <c r="W28" s="36" t="n">
        <v>-0.2776422764227642</v>
      </c>
      <c r="X28" s="36" t="n">
        <v>0.3411320754716982</v>
      </c>
      <c r="Y28" s="31" t="n">
        <v>20476584</v>
      </c>
      <c r="Z28" s="31" t="n">
        <v>363868897680</v>
      </c>
      <c r="AA28" s="31" t="n">
        <v>1185027990</v>
      </c>
      <c r="AB28" s="31" t="n">
        <v>2069909529</v>
      </c>
      <c r="AC28" s="36" t="n">
        <v>0.003256744386661369</v>
      </c>
      <c r="AD28" s="29" t="inlineStr">
        <is>
          <t>yfinance_download</t>
        </is>
      </c>
      <c r="AE28" s="29" t="inlineStr">
        <is>
          <t>317330.KQ</t>
        </is>
      </c>
    </row>
    <row r="29" ht="24" customHeight="1">
      <c r="A29" s="24" t="inlineStr">
        <is>
          <t>2023-07-18</t>
        </is>
      </c>
      <c r="B29" s="30" t="n">
        <v>17770</v>
      </c>
      <c r="C29" s="30" t="n">
        <v>18190</v>
      </c>
      <c r="D29" s="30" t="n">
        <v>17600</v>
      </c>
      <c r="E29" s="30" t="n">
        <v>17950</v>
      </c>
      <c r="F29" s="30" t="n">
        <v>17950</v>
      </c>
      <c r="G29" s="30" t="n">
        <v>106841</v>
      </c>
      <c r="H29" s="35" t="n">
        <v>0.0101294316263365</v>
      </c>
      <c r="I29" s="35" t="n">
        <v>-0.4922206506364922</v>
      </c>
      <c r="J29" s="30" t="n">
        <v>18054.5</v>
      </c>
      <c r="K29" s="30" t="n">
        <v>18982.5</v>
      </c>
      <c r="L29" s="30" t="n">
        <v>18444.66666666667</v>
      </c>
      <c r="M29" s="35" t="n">
        <v>0.3807634283495213</v>
      </c>
      <c r="N29" s="35" t="n">
        <v>0.4108959932542453</v>
      </c>
      <c r="O29" s="35" t="n">
        <v>-0.06559083810515354</v>
      </c>
      <c r="P29" s="35" t="n">
        <v>-0.1986607142857143</v>
      </c>
      <c r="Q29" s="35" t="n">
        <v>0.2867383512544803</v>
      </c>
      <c r="R29" s="35" t="n">
        <v>-0.005788030684870771</v>
      </c>
      <c r="S29" s="35" t="n">
        <v>-0.05439220334518635</v>
      </c>
      <c r="T29" s="35" t="n">
        <v>-0.0268189539885062</v>
      </c>
      <c r="U29" s="30" t="n">
        <v>24600</v>
      </c>
      <c r="V29" s="30" t="n">
        <v>13250</v>
      </c>
      <c r="W29" s="35" t="n">
        <v>-0.2703252032520326</v>
      </c>
      <c r="X29" s="35" t="n">
        <v>0.3547169811320754</v>
      </c>
      <c r="Y29" s="30" t="n">
        <v>20476584</v>
      </c>
      <c r="Z29" s="30" t="n">
        <v>367554682800</v>
      </c>
      <c r="AA29" s="30" t="n">
        <v>1917795950</v>
      </c>
      <c r="AB29" s="30" t="n">
        <v>2060871425</v>
      </c>
      <c r="AC29" s="35" t="n">
        <v>0.005217716001848746</v>
      </c>
      <c r="AD29" s="24" t="inlineStr">
        <is>
          <t>yfinance_download</t>
        </is>
      </c>
      <c r="AE29" s="24" t="inlineStr">
        <is>
          <t>317330.KQ</t>
        </is>
      </c>
    </row>
    <row r="30" ht="24" customHeight="1">
      <c r="A30" s="29" t="inlineStr">
        <is>
          <t>2023-07-19</t>
        </is>
      </c>
      <c r="B30" s="31" t="n">
        <v>18100</v>
      </c>
      <c r="C30" s="31" t="n">
        <v>18110</v>
      </c>
      <c r="D30" s="31" t="n">
        <v>17300</v>
      </c>
      <c r="E30" s="31" t="n">
        <v>17390</v>
      </c>
      <c r="F30" s="31" t="n">
        <v>17390</v>
      </c>
      <c r="G30" s="31" t="n">
        <v>127229</v>
      </c>
      <c r="H30" s="36" t="n">
        <v>-0.03119777158774373</v>
      </c>
      <c r="I30" s="36" t="n">
        <v>-0.5080622347949081</v>
      </c>
      <c r="J30" s="31" t="n">
        <v>17980.5</v>
      </c>
      <c r="K30" s="31" t="n">
        <v>18874.83333333333</v>
      </c>
      <c r="L30" s="31" t="n">
        <v>18471.66666666667</v>
      </c>
      <c r="M30" s="36" t="n">
        <v>0.3905126421257624</v>
      </c>
      <c r="N30" s="36" t="n">
        <v>0.389478455774831</v>
      </c>
      <c r="O30" s="36" t="n">
        <v>-0.07843137254901966</v>
      </c>
      <c r="P30" s="36" t="n">
        <v>-0.2708595387840671</v>
      </c>
      <c r="Q30" s="36" t="n">
        <v>0.2289752650176677</v>
      </c>
      <c r="R30" s="36" t="n">
        <v>-0.03284113345012651</v>
      </c>
      <c r="S30" s="36" t="n">
        <v>-0.07866736130120344</v>
      </c>
      <c r="T30" s="36" t="n">
        <v>-0.05855815212487603</v>
      </c>
      <c r="U30" s="31" t="n">
        <v>24600</v>
      </c>
      <c r="V30" s="31" t="n">
        <v>13250</v>
      </c>
      <c r="W30" s="36" t="n">
        <v>-0.2930894308943089</v>
      </c>
      <c r="X30" s="36" t="n">
        <v>0.3124528301886793</v>
      </c>
      <c r="Y30" s="31" t="n">
        <v>20476584</v>
      </c>
      <c r="Z30" s="31" t="n">
        <v>356087795760</v>
      </c>
      <c r="AA30" s="31" t="n">
        <v>2212512310</v>
      </c>
      <c r="AB30" s="31" t="n">
        <v>2055066310</v>
      </c>
      <c r="AC30" s="36" t="n">
        <v>0.006213389889641749</v>
      </c>
      <c r="AD30" s="29" t="inlineStr">
        <is>
          <t>yfinance_download</t>
        </is>
      </c>
      <c r="AE30" s="29" t="inlineStr">
        <is>
          <t>317330.KQ</t>
        </is>
      </c>
    </row>
    <row r="31" ht="24" customHeight="1">
      <c r="A31" s="24" t="inlineStr">
        <is>
          <t>2023-07-20</t>
        </is>
      </c>
      <c r="B31" s="30" t="n">
        <v>17030</v>
      </c>
      <c r="C31" s="30" t="n">
        <v>17720</v>
      </c>
      <c r="D31" s="30" t="n">
        <v>17030</v>
      </c>
      <c r="E31" s="30" t="n">
        <v>17470</v>
      </c>
      <c r="F31" s="30" t="n">
        <v>17470</v>
      </c>
      <c r="G31" s="30" t="n">
        <v>87354</v>
      </c>
      <c r="H31" s="35" t="n">
        <v>0.004600345025876917</v>
      </c>
      <c r="I31" s="35" t="n">
        <v>-0.5057991513437058</v>
      </c>
      <c r="J31" s="30" t="n">
        <v>17942.5</v>
      </c>
      <c r="K31" s="30" t="n">
        <v>18783.5</v>
      </c>
      <c r="L31" s="30" t="n">
        <v>18496.41666666667</v>
      </c>
      <c r="M31" s="35" t="n">
        <v>0.3747114266834388</v>
      </c>
      <c r="N31" s="35" t="n">
        <v>0.3838809136170557</v>
      </c>
      <c r="O31" s="35" t="n">
        <v>-0.04168952276467364</v>
      </c>
      <c r="P31" s="35" t="n">
        <v>-0.2387799564270152</v>
      </c>
      <c r="Q31" s="35" t="n">
        <v>0.2048275862068965</v>
      </c>
      <c r="R31" s="35" t="n">
        <v>-0.02633412289257353</v>
      </c>
      <c r="S31" s="35" t="n">
        <v>-0.06992839460164502</v>
      </c>
      <c r="T31" s="35" t="n">
        <v>-0.05549273057394011</v>
      </c>
      <c r="U31" s="30" t="n">
        <v>24600</v>
      </c>
      <c r="V31" s="30" t="n">
        <v>13250</v>
      </c>
      <c r="W31" s="35" t="n">
        <v>-0.2898373983739837</v>
      </c>
      <c r="X31" s="35" t="n">
        <v>0.318490566037736</v>
      </c>
      <c r="Y31" s="30" t="n">
        <v>20476584</v>
      </c>
      <c r="Z31" s="30" t="n">
        <v>357725922480</v>
      </c>
      <c r="AA31" s="30" t="n">
        <v>1526074380</v>
      </c>
      <c r="AB31" s="30" t="n">
        <v>1987652912.5</v>
      </c>
      <c r="AC31" s="35" t="n">
        <v>0.004266043593990091</v>
      </c>
      <c r="AD31" s="24" t="inlineStr">
        <is>
          <t>yfinance_download</t>
        </is>
      </c>
      <c r="AE31" s="24" t="inlineStr">
        <is>
          <t>317330.KQ</t>
        </is>
      </c>
    </row>
    <row r="32" ht="24" customHeight="1">
      <c r="A32" s="29" t="inlineStr">
        <is>
          <t>2023-07-21</t>
        </is>
      </c>
      <c r="B32" s="31" t="n">
        <v>17330</v>
      </c>
      <c r="C32" s="31" t="n">
        <v>17350</v>
      </c>
      <c r="D32" s="31" t="n">
        <v>17080</v>
      </c>
      <c r="E32" s="31" t="n">
        <v>17120</v>
      </c>
      <c r="F32" s="31" t="n">
        <v>17120</v>
      </c>
      <c r="G32" s="31" t="n">
        <v>76528</v>
      </c>
      <c r="H32" s="36" t="n">
        <v>-0.02003434459072695</v>
      </c>
      <c r="I32" s="36" t="n">
        <v>-0.5157001414427157</v>
      </c>
      <c r="J32" s="31" t="n">
        <v>17891</v>
      </c>
      <c r="K32" s="31" t="n">
        <v>18674.66666666667</v>
      </c>
      <c r="L32" s="31" t="n">
        <v>18516.08333333333</v>
      </c>
      <c r="M32" s="36" t="n">
        <v>0.3801871369980064</v>
      </c>
      <c r="N32" s="36" t="n">
        <v>0.3782736683169164</v>
      </c>
      <c r="O32" s="36" t="n">
        <v>-0.05674931129476579</v>
      </c>
      <c r="P32" s="36" t="n">
        <v>-0.2761099365750529</v>
      </c>
      <c r="Q32" s="36" t="n">
        <v>0.1598915989159893</v>
      </c>
      <c r="R32" s="36" t="n">
        <v>-0.04309429322005476</v>
      </c>
      <c r="S32" s="36" t="n">
        <v>-0.08325003569898626</v>
      </c>
      <c r="T32" s="36" t="n">
        <v>-0.07539841489155819</v>
      </c>
      <c r="U32" s="31" t="n">
        <v>24600</v>
      </c>
      <c r="V32" s="31" t="n">
        <v>13250</v>
      </c>
      <c r="W32" s="36" t="n">
        <v>-0.3040650406504065</v>
      </c>
      <c r="X32" s="36" t="n">
        <v>0.2920754716981131</v>
      </c>
      <c r="Y32" s="31" t="n">
        <v>20476584</v>
      </c>
      <c r="Z32" s="31" t="n">
        <v>350559118080</v>
      </c>
      <c r="AA32" s="31" t="n">
        <v>1310159360</v>
      </c>
      <c r="AB32" s="31" t="n">
        <v>1988534175.5</v>
      </c>
      <c r="AC32" s="36" t="n">
        <v>0.003737342126987587</v>
      </c>
      <c r="AD32" s="29" t="inlineStr">
        <is>
          <t>yfinance_download</t>
        </is>
      </c>
      <c r="AE32" s="29" t="inlineStr">
        <is>
          <t>317330.KQ</t>
        </is>
      </c>
    </row>
    <row r="33" ht="24" customHeight="1">
      <c r="A33" s="24" t="inlineStr">
        <is>
          <t>2023-07-24</t>
        </is>
      </c>
      <c r="B33" s="30" t="n">
        <v>17050</v>
      </c>
      <c r="C33" s="30" t="n">
        <v>17050</v>
      </c>
      <c r="D33" s="30" t="n">
        <v>16390</v>
      </c>
      <c r="E33" s="30" t="n">
        <v>16400</v>
      </c>
      <c r="F33" s="30" t="n">
        <v>16400</v>
      </c>
      <c r="G33" s="30" t="n">
        <v>180649</v>
      </c>
      <c r="H33" s="35" t="n">
        <v>-0.04205607476635509</v>
      </c>
      <c r="I33" s="35" t="n">
        <v>-0.536067892503536</v>
      </c>
      <c r="J33" s="30" t="n">
        <v>17804</v>
      </c>
      <c r="K33" s="30" t="n">
        <v>18569.66666666667</v>
      </c>
      <c r="L33" s="30" t="n">
        <v>18530.25</v>
      </c>
      <c r="M33" s="35" t="n">
        <v>0.4049011786446072</v>
      </c>
      <c r="N33" s="35" t="n">
        <v>0.3790401086800272</v>
      </c>
      <c r="O33" s="35" t="n">
        <v>-0.09592061742006619</v>
      </c>
      <c r="P33" s="35" t="n">
        <v>-0.2775330396475771</v>
      </c>
      <c r="Q33" s="35" t="n">
        <v>0.1156462585034013</v>
      </c>
      <c r="R33" s="35" t="n">
        <v>-0.07885868344192315</v>
      </c>
      <c r="S33" s="35" t="n">
        <v>-0.1168392898813477</v>
      </c>
      <c r="T33" s="35" t="n">
        <v>-0.1149606724140257</v>
      </c>
      <c r="U33" s="30" t="n">
        <v>24600</v>
      </c>
      <c r="V33" s="30" t="n">
        <v>13250</v>
      </c>
      <c r="W33" s="35" t="n">
        <v>-0.3333333333333334</v>
      </c>
      <c r="X33" s="35" t="n">
        <v>0.2377358490566037</v>
      </c>
      <c r="Y33" s="30" t="n">
        <v>20476584</v>
      </c>
      <c r="Z33" s="30" t="n">
        <v>335815977600</v>
      </c>
      <c r="AA33" s="30" t="n">
        <v>2962643600</v>
      </c>
      <c r="AB33" s="30" t="n">
        <v>2061706433.5</v>
      </c>
      <c r="AC33" s="35" t="n">
        <v>0.008822223472430753</v>
      </c>
      <c r="AD33" s="24" t="inlineStr">
        <is>
          <t>yfinance_download</t>
        </is>
      </c>
      <c r="AE33" s="24" t="inlineStr">
        <is>
          <t>317330.KQ</t>
        </is>
      </c>
    </row>
    <row r="34" ht="24" customHeight="1">
      <c r="A34" s="29" t="inlineStr">
        <is>
          <t>2023-07-25</t>
        </is>
      </c>
      <c r="B34" s="31" t="n">
        <v>16460</v>
      </c>
      <c r="C34" s="31" t="n">
        <v>16550</v>
      </c>
      <c r="D34" s="31" t="n">
        <v>15970</v>
      </c>
      <c r="E34" s="31" t="n">
        <v>16000</v>
      </c>
      <c r="F34" s="31" t="n">
        <v>16000</v>
      </c>
      <c r="G34" s="31" t="n">
        <v>174589</v>
      </c>
      <c r="H34" s="36" t="n">
        <v>-0.02439024390243905</v>
      </c>
      <c r="I34" s="36" t="n">
        <v>-0.5473833097595474</v>
      </c>
      <c r="J34" s="31" t="n">
        <v>17696.5</v>
      </c>
      <c r="K34" s="31" t="n">
        <v>18493</v>
      </c>
      <c r="L34" s="31" t="n">
        <v>18543.08333333333</v>
      </c>
      <c r="M34" s="36" t="n">
        <v>0.4102401574655353</v>
      </c>
      <c r="N34" s="36" t="n">
        <v>0.335121756463685</v>
      </c>
      <c r="O34" s="36" t="n">
        <v>-0.1184573002754821</v>
      </c>
      <c r="P34" s="36" t="n">
        <v>-0.2233009708737864</v>
      </c>
      <c r="Q34" s="36" t="n">
        <v>0.1065006915629323</v>
      </c>
      <c r="R34" s="36" t="n">
        <v>-0.09586641426270737</v>
      </c>
      <c r="S34" s="36" t="n">
        <v>-0.1348077651003082</v>
      </c>
      <c r="T34" s="36" t="n">
        <v>-0.1371445777176574</v>
      </c>
      <c r="U34" s="31" t="n">
        <v>24600</v>
      </c>
      <c r="V34" s="31" t="n">
        <v>13250</v>
      </c>
      <c r="W34" s="36" t="n">
        <v>-0.3495934959349594</v>
      </c>
      <c r="X34" s="36" t="n">
        <v>0.2075471698113207</v>
      </c>
      <c r="Y34" s="31" t="n">
        <v>20476584</v>
      </c>
      <c r="Z34" s="31" t="n">
        <v>327625344000</v>
      </c>
      <c r="AA34" s="31" t="n">
        <v>2793424000</v>
      </c>
      <c r="AB34" s="31" t="n">
        <v>2126882773.5</v>
      </c>
      <c r="AC34" s="36" t="n">
        <v>0.008526275671762439</v>
      </c>
      <c r="AD34" s="29" t="inlineStr">
        <is>
          <t>yfinance_download</t>
        </is>
      </c>
      <c r="AE34" s="29" t="inlineStr">
        <is>
          <t>317330.KQ</t>
        </is>
      </c>
    </row>
    <row r="35" ht="24" customHeight="1">
      <c r="A35" s="24" t="inlineStr">
        <is>
          <t>2023-07-26</t>
        </is>
      </c>
      <c r="B35" s="30" t="n">
        <v>16030</v>
      </c>
      <c r="C35" s="30" t="n">
        <v>16030</v>
      </c>
      <c r="D35" s="30" t="n">
        <v>15070</v>
      </c>
      <c r="E35" s="30" t="n">
        <v>15110</v>
      </c>
      <c r="F35" s="30" t="n">
        <v>15110</v>
      </c>
      <c r="G35" s="30" t="n">
        <v>237757</v>
      </c>
      <c r="H35" s="35" t="n">
        <v>-0.05562500000000004</v>
      </c>
      <c r="I35" s="35" t="n">
        <v>-0.5725601131541725</v>
      </c>
      <c r="J35" s="30" t="n">
        <v>17547.5</v>
      </c>
      <c r="K35" s="30" t="n">
        <v>18412.33333333333</v>
      </c>
      <c r="L35" s="30" t="n">
        <v>18548.16666666667</v>
      </c>
      <c r="M35" s="35" t="n">
        <v>0.4462021157733758</v>
      </c>
      <c r="N35" s="35" t="n">
        <v>0.3470005964951966</v>
      </c>
      <c r="O35" s="35" t="n">
        <v>-0.1647318960751797</v>
      </c>
      <c r="P35" s="35" t="n">
        <v>-0.2426065162907268</v>
      </c>
      <c r="Q35" s="35" t="n">
        <v>0.04206896551724149</v>
      </c>
      <c r="R35" s="35" t="n">
        <v>-0.1389086764496367</v>
      </c>
      <c r="S35" s="35" t="n">
        <v>-0.1793544182341545</v>
      </c>
      <c r="T35" s="35" t="n">
        <v>-0.1853642318647846</v>
      </c>
      <c r="U35" s="30" t="n">
        <v>24600</v>
      </c>
      <c r="V35" s="30" t="n">
        <v>13250</v>
      </c>
      <c r="W35" s="35" t="n">
        <v>-0.3857723577235772</v>
      </c>
      <c r="X35" s="35" t="n">
        <v>0.1403773584905661</v>
      </c>
      <c r="Y35" s="30" t="n">
        <v>20476584</v>
      </c>
      <c r="Z35" s="30" t="n">
        <v>309401184240</v>
      </c>
      <c r="AA35" s="30" t="n">
        <v>3592508270</v>
      </c>
      <c r="AB35" s="30" t="n">
        <v>2238718625.5</v>
      </c>
      <c r="AC35" s="35" t="n">
        <v>0.01161116522169909</v>
      </c>
      <c r="AD35" s="24" t="inlineStr">
        <is>
          <t>yfinance_download</t>
        </is>
      </c>
      <c r="AE35" s="24" t="inlineStr">
        <is>
          <t>317330.KQ</t>
        </is>
      </c>
    </row>
    <row r="36" ht="24" customHeight="1">
      <c r="A36" s="29" t="inlineStr">
        <is>
          <t>2023-07-27</t>
        </is>
      </c>
      <c r="B36" s="31" t="n">
        <v>14910</v>
      </c>
      <c r="C36" s="31" t="n">
        <v>15990</v>
      </c>
      <c r="D36" s="31" t="n">
        <v>14910</v>
      </c>
      <c r="E36" s="31" t="n">
        <v>15660</v>
      </c>
      <c r="F36" s="31" t="n">
        <v>15660</v>
      </c>
      <c r="G36" s="31" t="n">
        <v>106999</v>
      </c>
      <c r="H36" s="36" t="n">
        <v>0.03639973527465257</v>
      </c>
      <c r="I36" s="36" t="n">
        <v>-0.557001414427157</v>
      </c>
      <c r="J36" s="31" t="n">
        <v>17435</v>
      </c>
      <c r="K36" s="31" t="n">
        <v>18330.83333333333</v>
      </c>
      <c r="L36" s="31" t="n">
        <v>18556.25</v>
      </c>
      <c r="M36" s="36" t="n">
        <v>0.4737950176386336</v>
      </c>
      <c r="N36" s="36" t="n">
        <v>0.3499130799760018</v>
      </c>
      <c r="O36" s="36" t="n">
        <v>-0.1256281407035176</v>
      </c>
      <c r="P36" s="36" t="n">
        <v>-0.237956204379562</v>
      </c>
      <c r="Q36" s="36" t="n">
        <v>0.06603131381892435</v>
      </c>
      <c r="R36" s="36" t="n">
        <v>-0.1018067106395182</v>
      </c>
      <c r="S36" s="36" t="n">
        <v>-0.1457016865936264</v>
      </c>
      <c r="T36" s="36" t="n">
        <v>-0.1560794880431121</v>
      </c>
      <c r="U36" s="31" t="n">
        <v>24600</v>
      </c>
      <c r="V36" s="31" t="n">
        <v>13250</v>
      </c>
      <c r="W36" s="36" t="n">
        <v>-0.3634146341463415</v>
      </c>
      <c r="X36" s="36" t="n">
        <v>0.1818867924528302</v>
      </c>
      <c r="Y36" s="31" t="n">
        <v>20476584</v>
      </c>
      <c r="Z36" s="31" t="n">
        <v>320663305440</v>
      </c>
      <c r="AA36" s="31" t="n">
        <v>1675604340</v>
      </c>
      <c r="AB36" s="31" t="n">
        <v>2257731805</v>
      </c>
      <c r="AC36" s="36" t="n">
        <v>0.005225432132625246</v>
      </c>
      <c r="AD36" s="29" t="inlineStr">
        <is>
          <t>yfinance_download</t>
        </is>
      </c>
      <c r="AE36" s="29" t="inlineStr">
        <is>
          <t>317330.KQ</t>
        </is>
      </c>
    </row>
    <row r="37" ht="24" customHeight="1">
      <c r="A37" s="24" t="inlineStr">
        <is>
          <t>2023-07-28</t>
        </is>
      </c>
      <c r="B37" s="30" t="n">
        <v>15500</v>
      </c>
      <c r="C37" s="30" t="n">
        <v>16420</v>
      </c>
      <c r="D37" s="30" t="n">
        <v>15500</v>
      </c>
      <c r="E37" s="30" t="n">
        <v>16350</v>
      </c>
      <c r="F37" s="30" t="n">
        <v>16350</v>
      </c>
      <c r="G37" s="30" t="n">
        <v>78694</v>
      </c>
      <c r="H37" s="35" t="n">
        <v>0.04406130268199226</v>
      </c>
      <c r="I37" s="35" t="n">
        <v>-0.5374823196605375</v>
      </c>
      <c r="J37" s="30" t="n">
        <v>17360</v>
      </c>
      <c r="K37" s="30" t="n">
        <v>18270</v>
      </c>
      <c r="L37" s="30" t="n">
        <v>18567.66666666667</v>
      </c>
      <c r="M37" s="35" t="n">
        <v>0.5064272746086004</v>
      </c>
      <c r="N37" s="35" t="n">
        <v>0.3604215165974962</v>
      </c>
      <c r="O37" s="35" t="n">
        <v>-0.08403361344537819</v>
      </c>
      <c r="P37" s="35" t="n">
        <v>-0.1825</v>
      </c>
      <c r="Q37" s="35" t="n">
        <v>0.09145527369826434</v>
      </c>
      <c r="R37" s="35" t="n">
        <v>-0.05817972350230416</v>
      </c>
      <c r="S37" s="35" t="n">
        <v>-0.1050903119868637</v>
      </c>
      <c r="T37" s="35" t="n">
        <v>-0.1194370141644078</v>
      </c>
      <c r="U37" s="30" t="n">
        <v>24600</v>
      </c>
      <c r="V37" s="30" t="n">
        <v>13250</v>
      </c>
      <c r="W37" s="35" t="n">
        <v>-0.3353658536585366</v>
      </c>
      <c r="X37" s="35" t="n">
        <v>0.2339622641509433</v>
      </c>
      <c r="Y37" s="30" t="n">
        <v>20476584</v>
      </c>
      <c r="Z37" s="30" t="n">
        <v>334792148400</v>
      </c>
      <c r="AA37" s="30" t="n">
        <v>1286646900</v>
      </c>
      <c r="AB37" s="30" t="n">
        <v>2258559205</v>
      </c>
      <c r="AC37" s="35" t="n">
        <v>0.003843121489404678</v>
      </c>
      <c r="AD37" s="24" t="inlineStr">
        <is>
          <t>yfinance_download</t>
        </is>
      </c>
      <c r="AE37" s="24" t="inlineStr">
        <is>
          <t>317330.KQ</t>
        </is>
      </c>
    </row>
    <row r="38" ht="24" customHeight="1">
      <c r="A38" s="29" t="inlineStr">
        <is>
          <t>2023-07-31</t>
        </is>
      </c>
      <c r="B38" s="31" t="n">
        <v>16590</v>
      </c>
      <c r="C38" s="31" t="n">
        <v>16590</v>
      </c>
      <c r="D38" s="31" t="n">
        <v>16090</v>
      </c>
      <c r="E38" s="31" t="n">
        <v>16110</v>
      </c>
      <c r="F38" s="31" t="n">
        <v>16110</v>
      </c>
      <c r="G38" s="31" t="n">
        <v>78839</v>
      </c>
      <c r="H38" s="36" t="n">
        <v>-0.01467889908256881</v>
      </c>
      <c r="I38" s="36" t="n">
        <v>-0.5442715700141443</v>
      </c>
      <c r="J38" s="31" t="n">
        <v>17284</v>
      </c>
      <c r="K38" s="31" t="n">
        <v>18202.66666666667</v>
      </c>
      <c r="L38" s="31" t="n">
        <v>18578</v>
      </c>
      <c r="M38" s="36" t="n">
        <v>0.5070156936982924</v>
      </c>
      <c r="N38" s="36" t="n">
        <v>0.3605018798271246</v>
      </c>
      <c r="O38" s="36" t="n">
        <v>-0.08621667612024952</v>
      </c>
      <c r="P38" s="36" t="n">
        <v>-0.2004962779156327</v>
      </c>
      <c r="Q38" s="36" t="n">
        <v>0.08338937457969076</v>
      </c>
      <c r="R38" s="36" t="n">
        <v>-0.06792409164545243</v>
      </c>
      <c r="S38" s="36" t="n">
        <v>-0.1149648403164372</v>
      </c>
      <c r="T38" s="36" t="n">
        <v>-0.13284530089353</v>
      </c>
      <c r="U38" s="31" t="n">
        <v>24600</v>
      </c>
      <c r="V38" s="31" t="n">
        <v>13250</v>
      </c>
      <c r="W38" s="36" t="n">
        <v>-0.3451219512195122</v>
      </c>
      <c r="X38" s="36" t="n">
        <v>0.2158490566037736</v>
      </c>
      <c r="Y38" s="31" t="n">
        <v>20476584</v>
      </c>
      <c r="Z38" s="31" t="n">
        <v>329877768240</v>
      </c>
      <c r="AA38" s="31" t="n">
        <v>1270096290</v>
      </c>
      <c r="AB38" s="31" t="n">
        <v>2228406407.5</v>
      </c>
      <c r="AC38" s="36" t="n">
        <v>0.003850202748661593</v>
      </c>
      <c r="AD38" s="29" t="inlineStr">
        <is>
          <t>yfinance_download</t>
        </is>
      </c>
      <c r="AE38" s="29" t="inlineStr">
        <is>
          <t>317330.KQ</t>
        </is>
      </c>
    </row>
    <row r="39" ht="24" customHeight="1">
      <c r="A39" s="24" t="inlineStr">
        <is>
          <t>2023-08-01</t>
        </is>
      </c>
      <c r="B39" s="30" t="n">
        <v>16200</v>
      </c>
      <c r="C39" s="30" t="n">
        <v>16210</v>
      </c>
      <c r="D39" s="30" t="n">
        <v>15800</v>
      </c>
      <c r="E39" s="30" t="n">
        <v>16090</v>
      </c>
      <c r="F39" s="30" t="n">
        <v>16090</v>
      </c>
      <c r="G39" s="30" t="n">
        <v>82944</v>
      </c>
      <c r="H39" s="35" t="n">
        <v>-0.001241464928615765</v>
      </c>
      <c r="I39" s="35" t="n">
        <v>-0.5448373408769449</v>
      </c>
      <c r="J39" s="30" t="n">
        <v>17172</v>
      </c>
      <c r="K39" s="30" t="n">
        <v>18140.16666666667</v>
      </c>
      <c r="L39" s="30" t="n">
        <v>18585.41666666667</v>
      </c>
      <c r="M39" s="35" t="n">
        <v>0.4803207617412195</v>
      </c>
      <c r="N39" s="35" t="n">
        <v>0.3596693834330491</v>
      </c>
      <c r="O39" s="35" t="n">
        <v>-0.1222040370976542</v>
      </c>
      <c r="P39" s="35" t="n">
        <v>-0.1890120967741935</v>
      </c>
      <c r="Q39" s="35" t="n">
        <v>0.0585526315789473</v>
      </c>
      <c r="R39" s="35" t="n">
        <v>-0.06300955043093404</v>
      </c>
      <c r="S39" s="35" t="n">
        <v>-0.113018072233809</v>
      </c>
      <c r="T39" s="35" t="n">
        <v>-0.1342674588050667</v>
      </c>
      <c r="U39" s="30" t="n">
        <v>24600</v>
      </c>
      <c r="V39" s="30" t="n">
        <v>13250</v>
      </c>
      <c r="W39" s="35" t="n">
        <v>-0.3459349593495935</v>
      </c>
      <c r="X39" s="35" t="n">
        <v>0.2143396226415095</v>
      </c>
      <c r="Y39" s="30" t="n">
        <v>20476584</v>
      </c>
      <c r="Z39" s="30" t="n">
        <v>329468236560</v>
      </c>
      <c r="AA39" s="30" t="n">
        <v>1334568960</v>
      </c>
      <c r="AB39" s="30" t="n">
        <v>2176757882.5</v>
      </c>
      <c r="AC39" s="35" t="n">
        <v>0.004050675640038397</v>
      </c>
      <c r="AD39" s="24" t="inlineStr">
        <is>
          <t>yfinance_download</t>
        </is>
      </c>
      <c r="AE39" s="24" t="inlineStr">
        <is>
          <t>317330.KQ</t>
        </is>
      </c>
    </row>
    <row r="40" ht="24" customHeight="1">
      <c r="A40" s="29" t="inlineStr">
        <is>
          <t>2023-08-02</t>
        </is>
      </c>
      <c r="B40" s="31" t="n">
        <v>15890</v>
      </c>
      <c r="C40" s="31" t="n">
        <v>16130</v>
      </c>
      <c r="D40" s="31" t="n">
        <v>15560</v>
      </c>
      <c r="E40" s="31" t="n">
        <v>15680</v>
      </c>
      <c r="F40" s="31" t="n">
        <v>15680</v>
      </c>
      <c r="G40" s="31" t="n">
        <v>90256</v>
      </c>
      <c r="H40" s="36" t="n">
        <v>-0.02548166563082666</v>
      </c>
      <c r="I40" s="36" t="n">
        <v>-0.5564356435643565</v>
      </c>
      <c r="J40" s="31" t="n">
        <v>17009</v>
      </c>
      <c r="K40" s="31" t="n">
        <v>18081.5</v>
      </c>
      <c r="L40" s="31" t="n">
        <v>18584</v>
      </c>
      <c r="M40" s="36" t="n">
        <v>0.4614098573149082</v>
      </c>
      <c r="N40" s="36" t="n">
        <v>0.3575957964604524</v>
      </c>
      <c r="O40" s="36" t="n">
        <v>-0.1721224920802534</v>
      </c>
      <c r="P40" s="36" t="n">
        <v>-0.1833333333333333</v>
      </c>
      <c r="Q40" s="36" t="n">
        <v>-0.01072555205047321</v>
      </c>
      <c r="R40" s="36" t="n">
        <v>-0.0781351049444412</v>
      </c>
      <c r="S40" s="36" t="n">
        <v>-0.1328153084644527</v>
      </c>
      <c r="T40" s="36" t="n">
        <v>-0.1562634524321997</v>
      </c>
      <c r="U40" s="31" t="n">
        <v>24600</v>
      </c>
      <c r="V40" s="31" t="n">
        <v>13250</v>
      </c>
      <c r="W40" s="36" t="n">
        <v>-0.3626016260162601</v>
      </c>
      <c r="X40" s="36" t="n">
        <v>0.1833962264150943</v>
      </c>
      <c r="Y40" s="31" t="n">
        <v>20476584</v>
      </c>
      <c r="Z40" s="31" t="n">
        <v>321072837120</v>
      </c>
      <c r="AA40" s="31" t="n">
        <v>1415214080</v>
      </c>
      <c r="AB40" s="31" t="n">
        <v>2080627829.5</v>
      </c>
      <c r="AC40" s="36" t="n">
        <v>0.004407766451669869</v>
      </c>
      <c r="AD40" s="29" t="inlineStr">
        <is>
          <t>yfinance_download</t>
        </is>
      </c>
      <c r="AE40" s="29" t="inlineStr">
        <is>
          <t>317330.KQ</t>
        </is>
      </c>
    </row>
    <row r="41" ht="24" customHeight="1">
      <c r="A41" s="24" t="inlineStr">
        <is>
          <t>2023-08-03</t>
        </is>
      </c>
      <c r="B41" s="30" t="n">
        <v>15640</v>
      </c>
      <c r="C41" s="30" t="n">
        <v>15680</v>
      </c>
      <c r="D41" s="30" t="n">
        <v>15240</v>
      </c>
      <c r="E41" s="30" t="n">
        <v>15640</v>
      </c>
      <c r="F41" s="30" t="n">
        <v>15640</v>
      </c>
      <c r="G41" s="30" t="n">
        <v>59978</v>
      </c>
      <c r="H41" s="35" t="n">
        <v>-0.00255102040816324</v>
      </c>
      <c r="I41" s="35" t="n">
        <v>-0.5575671852899575</v>
      </c>
      <c r="J41" s="30" t="n">
        <v>16830.5</v>
      </c>
      <c r="K41" s="30" t="n">
        <v>18025.5</v>
      </c>
      <c r="L41" s="30" t="n">
        <v>18583.08333333333</v>
      </c>
      <c r="M41" s="35" t="n">
        <v>0.453973725745691</v>
      </c>
      <c r="N41" s="35" t="n">
        <v>0.35727344776725</v>
      </c>
      <c r="O41" s="35" t="n">
        <v>-0.1858407079646017</v>
      </c>
      <c r="P41" s="35" t="n">
        <v>-0.1768421052631579</v>
      </c>
      <c r="Q41" s="35" t="n">
        <v>-0.006984126984126982</v>
      </c>
      <c r="R41" s="35" t="n">
        <v>-0.07073467811413803</v>
      </c>
      <c r="S41" s="35" t="n">
        <v>-0.1323402956922138</v>
      </c>
      <c r="T41" s="35" t="n">
        <v>-0.1583743279057566</v>
      </c>
      <c r="U41" s="30" t="n">
        <v>24600</v>
      </c>
      <c r="V41" s="30" t="n">
        <v>13250</v>
      </c>
      <c r="W41" s="35" t="n">
        <v>-0.3642276422764228</v>
      </c>
      <c r="X41" s="35" t="n">
        <v>0.1803773584905661</v>
      </c>
      <c r="Y41" s="30" t="n">
        <v>20476584</v>
      </c>
      <c r="Z41" s="30" t="n">
        <v>320253773760</v>
      </c>
      <c r="AA41" s="30" t="n">
        <v>938055920</v>
      </c>
      <c r="AB41" s="30" t="n">
        <v>1826878757.5</v>
      </c>
      <c r="AC41" s="35" t="n">
        <v>0.002929101846284517</v>
      </c>
      <c r="AD41" s="24" t="inlineStr">
        <is>
          <t>yfinance_download</t>
        </is>
      </c>
      <c r="AE41" s="24" t="inlineStr">
        <is>
          <t>317330.KQ</t>
        </is>
      </c>
    </row>
    <row r="42" ht="24" customHeight="1">
      <c r="A42" s="29" t="inlineStr">
        <is>
          <t>2023-08-04</t>
        </is>
      </c>
      <c r="B42" s="31" t="n">
        <v>15600</v>
      </c>
      <c r="C42" s="31" t="n">
        <v>15770</v>
      </c>
      <c r="D42" s="31" t="n">
        <v>15410</v>
      </c>
      <c r="E42" s="31" t="n">
        <v>15520</v>
      </c>
      <c r="F42" s="31" t="n">
        <v>15520</v>
      </c>
      <c r="G42" s="31" t="n">
        <v>37837</v>
      </c>
      <c r="H42" s="36" t="n">
        <v>-0.007672634271099765</v>
      </c>
      <c r="I42" s="36" t="n">
        <v>-0.560961810466761</v>
      </c>
      <c r="J42" s="31" t="n">
        <v>16694.5</v>
      </c>
      <c r="K42" s="31" t="n">
        <v>17972.83333333333</v>
      </c>
      <c r="L42" s="31" t="n">
        <v>18579.75</v>
      </c>
      <c r="M42" s="36" t="n">
        <v>0.4278001934352973</v>
      </c>
      <c r="N42" s="36" t="n">
        <v>0.3562475646189993</v>
      </c>
      <c r="O42" s="36" t="n">
        <v>-0.1491228070175439</v>
      </c>
      <c r="P42" s="36" t="n">
        <v>-0.1691648822269807</v>
      </c>
      <c r="Q42" s="36" t="n">
        <v>-0.02512562814070352</v>
      </c>
      <c r="R42" s="36" t="n">
        <v>-0.07035251130611875</v>
      </c>
      <c r="S42" s="36" t="n">
        <v>-0.1364744939121081</v>
      </c>
      <c r="T42" s="36" t="n">
        <v>-0.1646819790363164</v>
      </c>
      <c r="U42" s="31" t="n">
        <v>24600</v>
      </c>
      <c r="V42" s="31" t="n">
        <v>13250</v>
      </c>
      <c r="W42" s="36" t="n">
        <v>-0.3691056910569106</v>
      </c>
      <c r="X42" s="36" t="n">
        <v>0.171320754716981</v>
      </c>
      <c r="Y42" s="31" t="n">
        <v>20476584</v>
      </c>
      <c r="Z42" s="31" t="n">
        <v>317796583680</v>
      </c>
      <c r="AA42" s="31" t="n">
        <v>587230240</v>
      </c>
      <c r="AB42" s="31" t="n">
        <v>1683839437.5</v>
      </c>
      <c r="AC42" s="36" t="n">
        <v>0.001847817975888947</v>
      </c>
      <c r="AD42" s="29" t="inlineStr">
        <is>
          <t>yfinance_download</t>
        </is>
      </c>
      <c r="AE42" s="29" t="inlineStr">
        <is>
          <t>317330.KQ</t>
        </is>
      </c>
    </row>
    <row r="43" ht="24" customHeight="1">
      <c r="A43" s="24" t="inlineStr">
        <is>
          <t>2023-08-07</t>
        </is>
      </c>
      <c r="B43" s="30" t="n">
        <v>15420</v>
      </c>
      <c r="C43" s="30" t="n">
        <v>15580</v>
      </c>
      <c r="D43" s="30" t="n">
        <v>15150</v>
      </c>
      <c r="E43" s="30" t="n">
        <v>15310</v>
      </c>
      <c r="F43" s="30" t="n">
        <v>15310</v>
      </c>
      <c r="G43" s="30" t="n">
        <v>51406</v>
      </c>
      <c r="H43" s="35" t="n">
        <v>-0.0135309278350515</v>
      </c>
      <c r="I43" s="35" t="n">
        <v>-0.5669024045261669</v>
      </c>
      <c r="J43" s="30" t="n">
        <v>16569</v>
      </c>
      <c r="K43" s="30" t="n">
        <v>17925.83333333333</v>
      </c>
      <c r="L43" s="30" t="n">
        <v>18576.33333333333</v>
      </c>
      <c r="M43" s="35" t="n">
        <v>0.424602749476188</v>
      </c>
      <c r="N43" s="35" t="n">
        <v>0.35264580635049</v>
      </c>
      <c r="O43" s="35" t="n">
        <v>-0.1408529741863075</v>
      </c>
      <c r="P43" s="35" t="n">
        <v>-0.1555432984004412</v>
      </c>
      <c r="Q43" s="35" t="n">
        <v>-0.02608142493638677</v>
      </c>
      <c r="R43" s="35" t="n">
        <v>-0.07598527370390484</v>
      </c>
      <c r="S43" s="35" t="n">
        <v>-0.1459253405234531</v>
      </c>
      <c r="T43" s="35" t="n">
        <v>-0.175833049220334</v>
      </c>
      <c r="U43" s="30" t="n">
        <v>24600</v>
      </c>
      <c r="V43" s="30" t="n">
        <v>13250</v>
      </c>
      <c r="W43" s="35" t="n">
        <v>-0.3776422764227643</v>
      </c>
      <c r="X43" s="35" t="n">
        <v>0.1554716981132076</v>
      </c>
      <c r="Y43" s="30" t="n">
        <v>20476584</v>
      </c>
      <c r="Z43" s="30" t="n">
        <v>313496501040</v>
      </c>
      <c r="AA43" s="30" t="n">
        <v>787025860</v>
      </c>
      <c r="AB43" s="30" t="n">
        <v>1646840049.5</v>
      </c>
      <c r="AC43" s="35" t="n">
        <v>0.00251047733352399</v>
      </c>
      <c r="AD43" s="24" t="inlineStr">
        <is>
          <t>yfinance_download</t>
        </is>
      </c>
      <c r="AE43" s="24" t="inlineStr">
        <is>
          <t>317330.KQ</t>
        </is>
      </c>
    </row>
    <row r="44" ht="24" customHeight="1">
      <c r="A44" s="29" t="inlineStr">
        <is>
          <t>2023-08-08</t>
        </is>
      </c>
      <c r="B44" s="31" t="n">
        <v>15320</v>
      </c>
      <c r="C44" s="31" t="n">
        <v>15450</v>
      </c>
      <c r="D44" s="31" t="n">
        <v>15160</v>
      </c>
      <c r="E44" s="31" t="n">
        <v>15200</v>
      </c>
      <c r="F44" s="31" t="n">
        <v>15200</v>
      </c>
      <c r="G44" s="31" t="n">
        <v>45670</v>
      </c>
      <c r="H44" s="36" t="n">
        <v>-0.007184846505551956</v>
      </c>
      <c r="I44" s="36" t="n">
        <v>-0.57001414427157</v>
      </c>
      <c r="J44" s="31" t="n">
        <v>16477.5</v>
      </c>
      <c r="K44" s="31" t="n">
        <v>17876.66666666667</v>
      </c>
      <c r="L44" s="31" t="n">
        <v>18575.25</v>
      </c>
      <c r="M44" s="36" t="n">
        <v>0.4013792450007926</v>
      </c>
      <c r="N44" s="36" t="n">
        <v>0.3526860663178261</v>
      </c>
      <c r="O44" s="36" t="n">
        <v>-0.1074574280681151</v>
      </c>
      <c r="P44" s="36" t="n">
        <v>-0.162534435261708</v>
      </c>
      <c r="Q44" s="36" t="n">
        <v>-0.008480104370515384</v>
      </c>
      <c r="R44" s="36" t="n">
        <v>-0.07752996510392962</v>
      </c>
      <c r="S44" s="36" t="n">
        <v>-0.1497296289390267</v>
      </c>
      <c r="T44" s="36" t="n">
        <v>-0.1817068410923137</v>
      </c>
      <c r="U44" s="31" t="n">
        <v>24600</v>
      </c>
      <c r="V44" s="31" t="n">
        <v>13250</v>
      </c>
      <c r="W44" s="36" t="n">
        <v>-0.3821138211382114</v>
      </c>
      <c r="X44" s="36" t="n">
        <v>0.1471698113207547</v>
      </c>
      <c r="Y44" s="31" t="n">
        <v>20476584</v>
      </c>
      <c r="Z44" s="31" t="n">
        <v>311244076800</v>
      </c>
      <c r="AA44" s="31" t="n">
        <v>694184000</v>
      </c>
      <c r="AB44" s="31" t="n">
        <v>1557266012.5</v>
      </c>
      <c r="AC44" s="36" t="n">
        <v>0.002230352484574575</v>
      </c>
      <c r="AD44" s="29" t="inlineStr">
        <is>
          <t>yfinance_download</t>
        </is>
      </c>
      <c r="AE44" s="29" t="inlineStr">
        <is>
          <t>317330.KQ</t>
        </is>
      </c>
    </row>
    <row r="45" ht="24" customHeight="1">
      <c r="A45" s="24" t="inlineStr">
        <is>
          <t>2023-08-09</t>
        </is>
      </c>
      <c r="B45" s="30" t="n">
        <v>15200</v>
      </c>
      <c r="C45" s="30" t="n">
        <v>15790</v>
      </c>
      <c r="D45" s="30" t="n">
        <v>15140</v>
      </c>
      <c r="E45" s="30" t="n">
        <v>15570</v>
      </c>
      <c r="F45" s="30" t="n">
        <v>15570</v>
      </c>
      <c r="G45" s="30" t="n">
        <v>65345</v>
      </c>
      <c r="H45" s="35" t="n">
        <v>0.02434210526315783</v>
      </c>
      <c r="I45" s="35" t="n">
        <v>-0.5595473833097595</v>
      </c>
      <c r="J45" s="30" t="n">
        <v>16379</v>
      </c>
      <c r="K45" s="30" t="n">
        <v>17836.16666666667</v>
      </c>
      <c r="L45" s="30" t="n">
        <v>18574</v>
      </c>
      <c r="M45" s="35" t="n">
        <v>0.3952861939450382</v>
      </c>
      <c r="N45" s="35" t="n">
        <v>0.3567988234025553</v>
      </c>
      <c r="O45" s="35" t="n">
        <v>-0.1123147092360319</v>
      </c>
      <c r="P45" s="35" t="n">
        <v>-0.135</v>
      </c>
      <c r="Q45" s="35" t="n">
        <v>-0.009541984732824416</v>
      </c>
      <c r="R45" s="35" t="n">
        <v>-0.04939251480554363</v>
      </c>
      <c r="S45" s="35" t="n">
        <v>-0.12705458011344</v>
      </c>
      <c r="T45" s="35" t="n">
        <v>-0.1617314525681059</v>
      </c>
      <c r="U45" s="30" t="n">
        <v>24600</v>
      </c>
      <c r="V45" s="30" t="n">
        <v>13250</v>
      </c>
      <c r="W45" s="35" t="n">
        <v>-0.3670731707317073</v>
      </c>
      <c r="X45" s="35" t="n">
        <v>0.1750943396226414</v>
      </c>
      <c r="Y45" s="30" t="n">
        <v>20476584</v>
      </c>
      <c r="Z45" s="30" t="n">
        <v>318820412880</v>
      </c>
      <c r="AA45" s="30" t="n">
        <v>1017421650</v>
      </c>
      <c r="AB45" s="30" t="n">
        <v>1550476099</v>
      </c>
      <c r="AC45" s="35" t="n">
        <v>0.003191206111331851</v>
      </c>
      <c r="AD45" s="24" t="inlineStr">
        <is>
          <t>yfinance_download</t>
        </is>
      </c>
      <c r="AE45" s="24" t="inlineStr">
        <is>
          <t>317330.KQ</t>
        </is>
      </c>
    </row>
    <row r="46" ht="24" customHeight="1">
      <c r="A46" s="29" t="inlineStr">
        <is>
          <t>2023-08-10</t>
        </is>
      </c>
      <c r="B46" s="31" t="n">
        <v>15570</v>
      </c>
      <c r="C46" s="31" t="n">
        <v>15570</v>
      </c>
      <c r="D46" s="31" t="n">
        <v>15290</v>
      </c>
      <c r="E46" s="31" t="n">
        <v>15350</v>
      </c>
      <c r="F46" s="31" t="n">
        <v>15350</v>
      </c>
      <c r="G46" s="31" t="n">
        <v>34966</v>
      </c>
      <c r="H46" s="36" t="n">
        <v>-0.01412973667308925</v>
      </c>
      <c r="I46" s="36" t="n">
        <v>-0.5657708628005658</v>
      </c>
      <c r="J46" s="31" t="n">
        <v>16260.5</v>
      </c>
      <c r="K46" s="31" t="n">
        <v>17794</v>
      </c>
      <c r="L46" s="31" t="n">
        <v>18571.66666666667</v>
      </c>
      <c r="M46" s="36" t="n">
        <v>0.3917350997978033</v>
      </c>
      <c r="N46" s="36" t="n">
        <v>0.3575280360177388</v>
      </c>
      <c r="O46" s="36" t="n">
        <v>-0.1337471783295711</v>
      </c>
      <c r="P46" s="36" t="n">
        <v>-0.1414988814317674</v>
      </c>
      <c r="Q46" s="36" t="n">
        <v>-0.01791426743442104</v>
      </c>
      <c r="R46" s="36" t="n">
        <v>-0.05599458811229663</v>
      </c>
      <c r="S46" s="36" t="n">
        <v>-0.1373496684275598</v>
      </c>
      <c r="T46" s="36" t="n">
        <v>-0.1734721349726286</v>
      </c>
      <c r="U46" s="31" t="n">
        <v>24600</v>
      </c>
      <c r="V46" s="31" t="n">
        <v>13250</v>
      </c>
      <c r="W46" s="36" t="n">
        <v>-0.3760162601626016</v>
      </c>
      <c r="X46" s="36" t="n">
        <v>0.1584905660377358</v>
      </c>
      <c r="Y46" s="31" t="n">
        <v>20476584</v>
      </c>
      <c r="Z46" s="31" t="n">
        <v>314315564400</v>
      </c>
      <c r="AA46" s="31" t="n">
        <v>536728100</v>
      </c>
      <c r="AB46" s="31" t="n">
        <v>1520265622</v>
      </c>
      <c r="AC46" s="36" t="n">
        <v>0.001707609042602028</v>
      </c>
      <c r="AD46" s="29" t="inlineStr">
        <is>
          <t>yfinance_download</t>
        </is>
      </c>
      <c r="AE46" s="29" t="inlineStr">
        <is>
          <t>317330.KQ</t>
        </is>
      </c>
    </row>
    <row r="47" ht="24" customHeight="1">
      <c r="A47" s="24" t="inlineStr">
        <is>
          <t>2023-08-11</t>
        </is>
      </c>
      <c r="B47" s="30" t="n">
        <v>15360</v>
      </c>
      <c r="C47" s="30" t="n">
        <v>15620</v>
      </c>
      <c r="D47" s="30" t="n">
        <v>15360</v>
      </c>
      <c r="E47" s="30" t="n">
        <v>15450</v>
      </c>
      <c r="F47" s="30" t="n">
        <v>15450</v>
      </c>
      <c r="G47" s="30" t="n">
        <v>34301</v>
      </c>
      <c r="H47" s="35" t="n">
        <v>0.006514657980456029</v>
      </c>
      <c r="I47" s="35" t="n">
        <v>-0.562942008486563</v>
      </c>
      <c r="J47" s="30" t="n">
        <v>16157</v>
      </c>
      <c r="K47" s="30" t="n">
        <v>17752.33333333333</v>
      </c>
      <c r="L47" s="30" t="n">
        <v>18565.83333333333</v>
      </c>
      <c r="M47" s="35" t="n">
        <v>0.3941576707419421</v>
      </c>
      <c r="N47" s="35" t="n">
        <v>0.3577603563398458</v>
      </c>
      <c r="O47" s="35" t="n">
        <v>-0.1181506849315068</v>
      </c>
      <c r="P47" s="35" t="n">
        <v>-0.1392757660167131</v>
      </c>
      <c r="Q47" s="35" t="n">
        <v>-0.04334365325077394</v>
      </c>
      <c r="R47" s="35" t="n">
        <v>-0.04375812341400009</v>
      </c>
      <c r="S47" s="35" t="n">
        <v>-0.1296918714910715</v>
      </c>
      <c r="T47" s="35" t="n">
        <v>-0.1678262040486557</v>
      </c>
      <c r="U47" s="30" t="n">
        <v>24600</v>
      </c>
      <c r="V47" s="30" t="n">
        <v>13250</v>
      </c>
      <c r="W47" s="35" t="n">
        <v>-0.3719512195121951</v>
      </c>
      <c r="X47" s="35" t="n">
        <v>0.1660377358490566</v>
      </c>
      <c r="Y47" s="30" t="n">
        <v>20476584</v>
      </c>
      <c r="Z47" s="30" t="n">
        <v>316363222800</v>
      </c>
      <c r="AA47" s="30" t="n">
        <v>529950450</v>
      </c>
      <c r="AB47" s="30" t="n">
        <v>1478643632.5</v>
      </c>
      <c r="AC47" s="35" t="n">
        <v>0.001675132922561693</v>
      </c>
      <c r="AD47" s="24" t="inlineStr">
        <is>
          <t>yfinance_download</t>
        </is>
      </c>
      <c r="AE47" s="24" t="inlineStr">
        <is>
          <t>317330.KQ</t>
        </is>
      </c>
    </row>
    <row r="48" ht="24" customHeight="1">
      <c r="A48" s="29" t="inlineStr">
        <is>
          <t>2023-08-14</t>
        </is>
      </c>
      <c r="B48" s="31" t="n">
        <v>15510</v>
      </c>
      <c r="C48" s="31" t="n">
        <v>15590</v>
      </c>
      <c r="D48" s="31" t="n">
        <v>15170</v>
      </c>
      <c r="E48" s="31" t="n">
        <v>15170</v>
      </c>
      <c r="F48" s="31" t="n">
        <v>15170</v>
      </c>
      <c r="G48" s="31" t="n">
        <v>42388</v>
      </c>
      <c r="H48" s="36" t="n">
        <v>-0.01812297734627832</v>
      </c>
      <c r="I48" s="36" t="n">
        <v>-0.5708628005657709</v>
      </c>
      <c r="J48" s="31" t="n">
        <v>16027</v>
      </c>
      <c r="K48" s="31" t="n">
        <v>17700.83333333333</v>
      </c>
      <c r="L48" s="31" t="n">
        <v>18561.08333333333</v>
      </c>
      <c r="M48" s="36" t="n">
        <v>0.3888287912490583</v>
      </c>
      <c r="N48" s="36" t="n">
        <v>0.3568655504446818</v>
      </c>
      <c r="O48" s="36" t="n">
        <v>-0.1463140123804164</v>
      </c>
      <c r="P48" s="36" t="n">
        <v>-0.1692223439211391</v>
      </c>
      <c r="Q48" s="36" t="n">
        <v>-0.03621346886912324</v>
      </c>
      <c r="R48" s="36" t="n">
        <v>-0.05347226555188123</v>
      </c>
      <c r="S48" s="36" t="n">
        <v>-0.1429782025328373</v>
      </c>
      <c r="T48" s="36" t="n">
        <v>-0.1826985673429622</v>
      </c>
      <c r="U48" s="31" t="n">
        <v>24600</v>
      </c>
      <c r="V48" s="31" t="n">
        <v>13250</v>
      </c>
      <c r="W48" s="36" t="n">
        <v>-0.3833333333333333</v>
      </c>
      <c r="X48" s="36" t="n">
        <v>0.1449056603773584</v>
      </c>
      <c r="Y48" s="31" t="n">
        <v>20476584</v>
      </c>
      <c r="Z48" s="31" t="n">
        <v>310629779280</v>
      </c>
      <c r="AA48" s="31" t="n">
        <v>643025960</v>
      </c>
      <c r="AB48" s="31" t="n">
        <v>1451543531</v>
      </c>
      <c r="AC48" s="36" t="n">
        <v>0.002070071844014607</v>
      </c>
      <c r="AD48" s="29" t="inlineStr">
        <is>
          <t>yfinance_download</t>
        </is>
      </c>
      <c r="AE48" s="29" t="inlineStr">
        <is>
          <t>317330.KQ</t>
        </is>
      </c>
    </row>
    <row r="49" ht="24" customHeight="1">
      <c r="A49" s="24" t="inlineStr">
        <is>
          <t>2023-08-16</t>
        </is>
      </c>
      <c r="B49" s="30" t="n">
        <v>15060</v>
      </c>
      <c r="C49" s="30" t="n">
        <v>15170</v>
      </c>
      <c r="D49" s="30" t="n">
        <v>14620</v>
      </c>
      <c r="E49" s="30" t="n">
        <v>14640</v>
      </c>
      <c r="F49" s="30" t="n">
        <v>14640</v>
      </c>
      <c r="G49" s="30" t="n">
        <v>70582</v>
      </c>
      <c r="H49" s="35" t="n">
        <v>-0.03493737640079109</v>
      </c>
      <c r="I49" s="35" t="n">
        <v>-0.5858557284299859</v>
      </c>
      <c r="J49" s="30" t="n">
        <v>15861.5</v>
      </c>
      <c r="K49" s="30" t="n">
        <v>17635.66666666667</v>
      </c>
      <c r="L49" s="30" t="n">
        <v>18550.91666666667</v>
      </c>
      <c r="M49" s="35" t="n">
        <v>0.3944525921049451</v>
      </c>
      <c r="N49" s="35" t="n">
        <v>0.360657818886227</v>
      </c>
      <c r="O49" s="35" t="n">
        <v>-0.1844011142061281</v>
      </c>
      <c r="P49" s="35" t="n">
        <v>-0.2107816711590297</v>
      </c>
      <c r="Q49" s="35" t="n">
        <v>-0.07692307692307687</v>
      </c>
      <c r="R49" s="35" t="n">
        <v>-0.07701037102417807</v>
      </c>
      <c r="S49" s="35" t="n">
        <v>-0.1698641011586369</v>
      </c>
      <c r="T49" s="35" t="n">
        <v>-0.2108206692391661</v>
      </c>
      <c r="U49" s="30" t="n">
        <v>24600</v>
      </c>
      <c r="V49" s="30" t="n">
        <v>13250</v>
      </c>
      <c r="W49" s="35" t="n">
        <v>-0.4048780487804878</v>
      </c>
      <c r="X49" s="35" t="n">
        <v>0.1049056603773586</v>
      </c>
      <c r="Y49" s="30" t="n">
        <v>20476584</v>
      </c>
      <c r="Z49" s="30" t="n">
        <v>299777189760</v>
      </c>
      <c r="AA49" s="30" t="n">
        <v>1033320480</v>
      </c>
      <c r="AB49" s="30" t="n">
        <v>1407319757.5</v>
      </c>
      <c r="AC49" s="35" t="n">
        <v>0.00344696166118333</v>
      </c>
      <c r="AD49" s="24" t="inlineStr">
        <is>
          <t>yfinance_download</t>
        </is>
      </c>
      <c r="AE49" s="24" t="inlineStr">
        <is>
          <t>317330.KQ</t>
        </is>
      </c>
    </row>
    <row r="50" ht="24" customHeight="1">
      <c r="A50" s="29" t="inlineStr">
        <is>
          <t>2023-08-17</t>
        </is>
      </c>
      <c r="B50" s="31" t="n">
        <v>14410</v>
      </c>
      <c r="C50" s="31" t="n">
        <v>14960</v>
      </c>
      <c r="D50" s="31" t="n">
        <v>14150</v>
      </c>
      <c r="E50" s="31" t="n">
        <v>14900</v>
      </c>
      <c r="F50" s="31" t="n">
        <v>14900</v>
      </c>
      <c r="G50" s="31" t="n">
        <v>54532</v>
      </c>
      <c r="H50" s="36" t="n">
        <v>0.01775956284153013</v>
      </c>
      <c r="I50" s="36" t="n">
        <v>-0.5785007072135785</v>
      </c>
      <c r="J50" s="31" t="n">
        <v>15737</v>
      </c>
      <c r="K50" s="31" t="n">
        <v>17578.16666666667</v>
      </c>
      <c r="L50" s="31" t="n">
        <v>18542.16666666667</v>
      </c>
      <c r="M50" s="36" t="n">
        <v>0.3975725577882433</v>
      </c>
      <c r="N50" s="36" t="n">
        <v>0.362994134497976</v>
      </c>
      <c r="O50" s="36" t="n">
        <v>-0.1431857389304197</v>
      </c>
      <c r="P50" s="36" t="n">
        <v>-0.1880108991825613</v>
      </c>
      <c r="Q50" s="36" t="n">
        <v>-0.06583072100313481</v>
      </c>
      <c r="R50" s="36" t="n">
        <v>-0.05318675732350509</v>
      </c>
      <c r="S50" s="36" t="n">
        <v>-0.1523575647820687</v>
      </c>
      <c r="T50" s="36" t="n">
        <v>-0.1964261637888417</v>
      </c>
      <c r="U50" s="31" t="n">
        <v>24600</v>
      </c>
      <c r="V50" s="31" t="n">
        <v>13250</v>
      </c>
      <c r="W50" s="36" t="n">
        <v>-0.3943089430894309</v>
      </c>
      <c r="X50" s="36" t="n">
        <v>0.1245283018867924</v>
      </c>
      <c r="Y50" s="31" t="n">
        <v>20476584</v>
      </c>
      <c r="Z50" s="31" t="n">
        <v>305101101600</v>
      </c>
      <c r="AA50" s="31" t="n">
        <v>812526800</v>
      </c>
      <c r="AB50" s="31" t="n">
        <v>1337320482</v>
      </c>
      <c r="AC50" s="36" t="n">
        <v>0.002663139515848933</v>
      </c>
      <c r="AD50" s="29" t="inlineStr">
        <is>
          <t>yfinance_download</t>
        </is>
      </c>
      <c r="AE50" s="29" t="inlineStr">
        <is>
          <t>317330.KQ</t>
        </is>
      </c>
    </row>
    <row r="51" ht="24" customHeight="1">
      <c r="A51" s="24" t="inlineStr">
        <is>
          <t>2023-08-18</t>
        </is>
      </c>
      <c r="B51" s="30" t="n">
        <v>14640</v>
      </c>
      <c r="C51" s="30" t="n">
        <v>15400</v>
      </c>
      <c r="D51" s="30" t="n">
        <v>14420</v>
      </c>
      <c r="E51" s="30" t="n">
        <v>15160</v>
      </c>
      <c r="F51" s="30" t="n">
        <v>15160</v>
      </c>
      <c r="G51" s="30" t="n">
        <v>68789</v>
      </c>
      <c r="H51" s="35" t="n">
        <v>0.01744966442953011</v>
      </c>
      <c r="I51" s="35" t="n">
        <v>-0.5711456859971711</v>
      </c>
      <c r="J51" s="30" t="n">
        <v>15621.5</v>
      </c>
      <c r="K51" s="30" t="n">
        <v>17519.33333333333</v>
      </c>
      <c r="L51" s="30" t="n">
        <v>18537.41666666667</v>
      </c>
      <c r="M51" s="35" t="n">
        <v>0.4052577334443186</v>
      </c>
      <c r="N51" s="35" t="n">
        <v>0.3627248176580341</v>
      </c>
      <c r="O51" s="35" t="n">
        <v>-0.132226674298798</v>
      </c>
      <c r="P51" s="35" t="n">
        <v>-0.1888710540395934</v>
      </c>
      <c r="Q51" s="35" t="n">
        <v>-0.03623649078194535</v>
      </c>
      <c r="R51" s="35" t="n">
        <v>-0.02954261754633036</v>
      </c>
      <c r="S51" s="35" t="n">
        <v>-0.1346702690361125</v>
      </c>
      <c r="T51" s="35" t="n">
        <v>-0.1821945704408652</v>
      </c>
      <c r="U51" s="30" t="n">
        <v>24600</v>
      </c>
      <c r="V51" s="30" t="n">
        <v>13250</v>
      </c>
      <c r="W51" s="35" t="n">
        <v>-0.383739837398374</v>
      </c>
      <c r="X51" s="35" t="n">
        <v>0.1441509433962265</v>
      </c>
      <c r="Y51" s="30" t="n">
        <v>20476584</v>
      </c>
      <c r="Z51" s="30" t="n">
        <v>310425013440</v>
      </c>
      <c r="AA51" s="30" t="n">
        <v>1042841240</v>
      </c>
      <c r="AB51" s="30" t="n">
        <v>1313158825</v>
      </c>
      <c r="AC51" s="35" t="n">
        <v>0.00335939822775127</v>
      </c>
      <c r="AD51" s="24" t="inlineStr">
        <is>
          <t>yfinance_download</t>
        </is>
      </c>
      <c r="AE51" s="24" t="inlineStr">
        <is>
          <t>317330.KQ</t>
        </is>
      </c>
    </row>
    <row r="52" ht="24" customHeight="1">
      <c r="A52" s="29" t="inlineStr">
        <is>
          <t>2023-08-21</t>
        </is>
      </c>
      <c r="B52" s="31" t="n">
        <v>15160</v>
      </c>
      <c r="C52" s="31" t="n">
        <v>15240</v>
      </c>
      <c r="D52" s="31" t="n">
        <v>15020</v>
      </c>
      <c r="E52" s="31" t="n">
        <v>15030</v>
      </c>
      <c r="F52" s="31" t="n">
        <v>15030</v>
      </c>
      <c r="G52" s="31" t="n">
        <v>24916</v>
      </c>
      <c r="H52" s="36" t="n">
        <v>-0.00857519788918204</v>
      </c>
      <c r="I52" s="36" t="n">
        <v>-0.5748231966053748</v>
      </c>
      <c r="J52" s="31" t="n">
        <v>15517</v>
      </c>
      <c r="K52" s="31" t="n">
        <v>17455.66666666667</v>
      </c>
      <c r="L52" s="31" t="n">
        <v>18533.25</v>
      </c>
      <c r="M52" s="36" t="n">
        <v>0.402308350255732</v>
      </c>
      <c r="N52" s="36" t="n">
        <v>0.362045963485458</v>
      </c>
      <c r="O52" s="36" t="n">
        <v>-0.1220794392523364</v>
      </c>
      <c r="P52" s="36" t="n">
        <v>-0.2026525198938992</v>
      </c>
      <c r="Q52" s="36" t="n">
        <v>-0.03219575016097875</v>
      </c>
      <c r="R52" s="36" t="n">
        <v>-0.03138493265450792</v>
      </c>
      <c r="S52" s="36" t="n">
        <v>-0.1389615597609182</v>
      </c>
      <c r="T52" s="36" t="n">
        <v>-0.1890251305086803</v>
      </c>
      <c r="U52" s="31" t="n">
        <v>24600</v>
      </c>
      <c r="V52" s="31" t="n">
        <v>13250</v>
      </c>
      <c r="W52" s="36" t="n">
        <v>-0.3890243902439025</v>
      </c>
      <c r="X52" s="36" t="n">
        <v>0.1343396226415094</v>
      </c>
      <c r="Y52" s="31" t="n">
        <v>20476584</v>
      </c>
      <c r="Z52" s="31" t="n">
        <v>307763057520</v>
      </c>
      <c r="AA52" s="31" t="n">
        <v>374487480</v>
      </c>
      <c r="AB52" s="31" t="n">
        <v>1266375231</v>
      </c>
      <c r="AC52" s="36" t="n">
        <v>0.001216804521691704</v>
      </c>
      <c r="AD52" s="29" t="inlineStr">
        <is>
          <t>yfinance_download</t>
        </is>
      </c>
      <c r="AE52" s="29" t="inlineStr">
        <is>
          <t>317330.KQ</t>
        </is>
      </c>
    </row>
    <row r="53" ht="24" customHeight="1">
      <c r="A53" s="24" t="inlineStr">
        <is>
          <t>2023-08-22</t>
        </is>
      </c>
      <c r="B53" s="30" t="n">
        <v>15060</v>
      </c>
      <c r="C53" s="30" t="n">
        <v>15220</v>
      </c>
      <c r="D53" s="30" t="n">
        <v>14810</v>
      </c>
      <c r="E53" s="30" t="n">
        <v>14810</v>
      </c>
      <c r="F53" s="30" t="n">
        <v>14810</v>
      </c>
      <c r="G53" s="30" t="n">
        <v>32904</v>
      </c>
      <c r="H53" s="35" t="n">
        <v>-0.01463739188290092</v>
      </c>
      <c r="I53" s="35" t="n">
        <v>-0.581046676096181</v>
      </c>
      <c r="J53" s="30" t="n">
        <v>15437.5</v>
      </c>
      <c r="K53" s="30" t="n">
        <v>17389.83333333333</v>
      </c>
      <c r="L53" s="30" t="n">
        <v>18530.25</v>
      </c>
      <c r="M53" s="35" t="n">
        <v>0.3810945802153298</v>
      </c>
      <c r="N53" s="35" t="n">
        <v>0.362756497704935</v>
      </c>
      <c r="O53" s="35" t="n">
        <v>-0.0969512195121951</v>
      </c>
      <c r="P53" s="35" t="n">
        <v>-0.2105543710021321</v>
      </c>
      <c r="Q53" s="35" t="n">
        <v>-0.02373104812129201</v>
      </c>
      <c r="R53" s="35" t="n">
        <v>-0.04064777327935221</v>
      </c>
      <c r="S53" s="35" t="n">
        <v>-0.1483529648549439</v>
      </c>
      <c r="T53" s="35" t="n">
        <v>-0.200766314539739</v>
      </c>
      <c r="U53" s="30" t="n">
        <v>24600</v>
      </c>
      <c r="V53" s="30" t="n">
        <v>13250</v>
      </c>
      <c r="W53" s="35" t="n">
        <v>-0.3979674796747967</v>
      </c>
      <c r="X53" s="35" t="n">
        <v>0.1177358490566038</v>
      </c>
      <c r="Y53" s="30" t="n">
        <v>20476584</v>
      </c>
      <c r="Z53" s="30" t="n">
        <v>303258209040</v>
      </c>
      <c r="AA53" s="30" t="n">
        <v>487308240</v>
      </c>
      <c r="AB53" s="30" t="n">
        <v>1142608463</v>
      </c>
      <c r="AC53" s="35" t="n">
        <v>0.001606908652341621</v>
      </c>
      <c r="AD53" s="24" t="inlineStr">
        <is>
          <t>yfinance_download</t>
        </is>
      </c>
      <c r="AE53" s="24" t="inlineStr">
        <is>
          <t>317330.KQ</t>
        </is>
      </c>
    </row>
    <row r="54" ht="24" customHeight="1">
      <c r="A54" s="29" t="inlineStr">
        <is>
          <t>2023-08-23</t>
        </is>
      </c>
      <c r="B54" s="31" t="n">
        <v>14780</v>
      </c>
      <c r="C54" s="31" t="n">
        <v>14930</v>
      </c>
      <c r="D54" s="31" t="n">
        <v>14650</v>
      </c>
      <c r="E54" s="31" t="n">
        <v>14650</v>
      </c>
      <c r="F54" s="31" t="n">
        <v>14650</v>
      </c>
      <c r="G54" s="31" t="n">
        <v>39534</v>
      </c>
      <c r="H54" s="36" t="n">
        <v>-0.01080351114112088</v>
      </c>
      <c r="I54" s="36" t="n">
        <v>-0.5855728429985856</v>
      </c>
      <c r="J54" s="31" t="n">
        <v>15370</v>
      </c>
      <c r="K54" s="31" t="n">
        <v>17328.5</v>
      </c>
      <c r="L54" s="31" t="n">
        <v>18526.75</v>
      </c>
      <c r="M54" s="36" t="n">
        <v>0.3748370001728559</v>
      </c>
      <c r="N54" s="36" t="n">
        <v>0.3608556864700562</v>
      </c>
      <c r="O54" s="36" t="n">
        <v>-0.08437499999999998</v>
      </c>
      <c r="P54" s="36" t="n">
        <v>-0.2007637752318603</v>
      </c>
      <c r="Q54" s="36" t="n">
        <v>-0.02786994027869938</v>
      </c>
      <c r="R54" s="36" t="n">
        <v>-0.0468445022771633</v>
      </c>
      <c r="S54" s="36" t="n">
        <v>-0.1545719479470237</v>
      </c>
      <c r="T54" s="36" t="n">
        <v>-0.2092514877137113</v>
      </c>
      <c r="U54" s="31" t="n">
        <v>24600</v>
      </c>
      <c r="V54" s="31" t="n">
        <v>13250</v>
      </c>
      <c r="W54" s="36" t="n">
        <v>-0.4044715447154471</v>
      </c>
      <c r="X54" s="36" t="n">
        <v>0.1056603773584905</v>
      </c>
      <c r="Y54" s="31" t="n">
        <v>20476584</v>
      </c>
      <c r="Z54" s="31" t="n">
        <v>299981955600</v>
      </c>
      <c r="AA54" s="31" t="n">
        <v>579173100</v>
      </c>
      <c r="AB54" s="31" t="n">
        <v>1031895918</v>
      </c>
      <c r="AC54" s="36" t="n">
        <v>0.001930693127330223</v>
      </c>
      <c r="AD54" s="29" t="inlineStr">
        <is>
          <t>yfinance_download</t>
        </is>
      </c>
      <c r="AE54" s="29" t="inlineStr">
        <is>
          <t>317330.KQ</t>
        </is>
      </c>
    </row>
    <row r="55" ht="24" customHeight="1">
      <c r="A55" s="24" t="inlineStr">
        <is>
          <t>2023-08-24</t>
        </is>
      </c>
      <c r="B55" s="30" t="n">
        <v>14940</v>
      </c>
      <c r="C55" s="30" t="n">
        <v>15200</v>
      </c>
      <c r="D55" s="30" t="n">
        <v>14710</v>
      </c>
      <c r="E55" s="30" t="n">
        <v>14950</v>
      </c>
      <c r="F55" s="30" t="n">
        <v>14950</v>
      </c>
      <c r="G55" s="30" t="n">
        <v>40366</v>
      </c>
      <c r="H55" s="35" t="n">
        <v>0.02047781569965879</v>
      </c>
      <c r="I55" s="35" t="n">
        <v>-0.577086280056577</v>
      </c>
      <c r="J55" s="30" t="n">
        <v>15362</v>
      </c>
      <c r="K55" s="30" t="n">
        <v>17269.66666666667</v>
      </c>
      <c r="L55" s="30" t="n">
        <v>18513.75</v>
      </c>
      <c r="M55" s="35" t="n">
        <v>0.3309496396146087</v>
      </c>
      <c r="N55" s="35" t="n">
        <v>0.3634225346819402</v>
      </c>
      <c r="O55" s="35" t="n">
        <v>-0.01058901389808076</v>
      </c>
      <c r="P55" s="35" t="n">
        <v>-0.191017316017316</v>
      </c>
      <c r="Q55" s="35" t="n">
        <v>-0.09448818897637801</v>
      </c>
      <c r="R55" s="35" t="n">
        <v>-0.02681942455409447</v>
      </c>
      <c r="S55" s="35" t="n">
        <v>-0.134320291841186</v>
      </c>
      <c r="T55" s="35" t="n">
        <v>-0.1924920667071771</v>
      </c>
      <c r="U55" s="30" t="n">
        <v>24600</v>
      </c>
      <c r="V55" s="30" t="n">
        <v>13250</v>
      </c>
      <c r="W55" s="35" t="n">
        <v>-0.3922764227642277</v>
      </c>
      <c r="X55" s="35" t="n">
        <v>0.1283018867924528</v>
      </c>
      <c r="Y55" s="30" t="n">
        <v>20476584</v>
      </c>
      <c r="Z55" s="30" t="n">
        <v>306124930800</v>
      </c>
      <c r="AA55" s="30" t="n">
        <v>603471700</v>
      </c>
      <c r="AB55" s="30" t="n">
        <v>882444089.5</v>
      </c>
      <c r="AC55" s="35" t="n">
        <v>0.001971324904583694</v>
      </c>
      <c r="AD55" s="24" t="inlineStr">
        <is>
          <t>yfinance_download</t>
        </is>
      </c>
      <c r="AE55" s="24" t="inlineStr">
        <is>
          <t>317330.KQ</t>
        </is>
      </c>
    </row>
    <row r="56" ht="24" customHeight="1">
      <c r="A56" s="29" t="inlineStr">
        <is>
          <t>2023-08-25</t>
        </is>
      </c>
      <c r="B56" s="31" t="n">
        <v>15000</v>
      </c>
      <c r="C56" s="31" t="n">
        <v>15100</v>
      </c>
      <c r="D56" s="31" t="n">
        <v>14690</v>
      </c>
      <c r="E56" s="31" t="n">
        <v>14710</v>
      </c>
      <c r="F56" s="31" t="n">
        <v>14710</v>
      </c>
      <c r="G56" s="31" t="n">
        <v>28024</v>
      </c>
      <c r="H56" s="36" t="n">
        <v>-0.01605351170568559</v>
      </c>
      <c r="I56" s="36" t="n">
        <v>-0.5838755304101839</v>
      </c>
      <c r="J56" s="31" t="n">
        <v>15314.5</v>
      </c>
      <c r="K56" s="31" t="n">
        <v>17189.83333333333</v>
      </c>
      <c r="L56" s="31" t="n">
        <v>18497</v>
      </c>
      <c r="M56" s="36" t="n">
        <v>0.3051116659226693</v>
      </c>
      <c r="N56" s="36" t="n">
        <v>0.343240230293322</v>
      </c>
      <c r="O56" s="36" t="n">
        <v>-0.06066411238825031</v>
      </c>
      <c r="P56" s="36" t="n">
        <v>-0.2456410256410256</v>
      </c>
      <c r="Q56" s="36" t="n">
        <v>-0.1202153110047847</v>
      </c>
      <c r="R56" s="36" t="n">
        <v>-0.03947239544222791</v>
      </c>
      <c r="S56" s="36" t="n">
        <v>-0.1442616275123861</v>
      </c>
      <c r="T56" s="36" t="n">
        <v>-0.2047359031194248</v>
      </c>
      <c r="U56" s="31" t="n">
        <v>24600</v>
      </c>
      <c r="V56" s="31" t="n">
        <v>13250</v>
      </c>
      <c r="W56" s="36" t="n">
        <v>-0.4020325203252032</v>
      </c>
      <c r="X56" s="36" t="n">
        <v>0.1101886792452831</v>
      </c>
      <c r="Y56" s="31" t="n">
        <v>20476584</v>
      </c>
      <c r="Z56" s="31" t="n">
        <v>301210550640</v>
      </c>
      <c r="AA56" s="31" t="n">
        <v>412233040</v>
      </c>
      <c r="AB56" s="31" t="n">
        <v>819275524.5</v>
      </c>
      <c r="AC56" s="36" t="n">
        <v>0.001368587651143374</v>
      </c>
      <c r="AD56" s="29" t="inlineStr">
        <is>
          <t>yfinance_download</t>
        </is>
      </c>
      <c r="AE56" s="29" t="inlineStr">
        <is>
          <t>317330.KQ</t>
        </is>
      </c>
    </row>
    <row r="57" ht="24" customHeight="1">
      <c r="A57" s="24" t="inlineStr">
        <is>
          <t>2023-08-28</t>
        </is>
      </c>
      <c r="B57" s="30" t="n">
        <v>14710</v>
      </c>
      <c r="C57" s="30" t="n">
        <v>14920</v>
      </c>
      <c r="D57" s="30" t="n">
        <v>14650</v>
      </c>
      <c r="E57" s="30" t="n">
        <v>14840</v>
      </c>
      <c r="F57" s="30" t="n">
        <v>14840</v>
      </c>
      <c r="G57" s="30" t="n">
        <v>38023</v>
      </c>
      <c r="H57" s="35" t="n">
        <v>0.008837525492862097</v>
      </c>
      <c r="I57" s="35" t="n">
        <v>-0.5801980198019803</v>
      </c>
      <c r="J57" s="30" t="n">
        <v>15239</v>
      </c>
      <c r="K57" s="30" t="n">
        <v>17117.33333333333</v>
      </c>
      <c r="L57" s="30" t="n">
        <v>18474.33333333333</v>
      </c>
      <c r="M57" s="35" t="n">
        <v>0.2545603544302604</v>
      </c>
      <c r="N57" s="35" t="n">
        <v>0.3434618061732451</v>
      </c>
      <c r="O57" s="35" t="n">
        <v>-0.09235474006116207</v>
      </c>
      <c r="P57" s="35" t="n">
        <v>-0.2266805627931214</v>
      </c>
      <c r="Q57" s="35" t="n">
        <v>-0.1548974943052391</v>
      </c>
      <c r="R57" s="35" t="n">
        <v>-0.02618282039503905</v>
      </c>
      <c r="S57" s="35" t="n">
        <v>-0.1330425299890948</v>
      </c>
      <c r="T57" s="35" t="n">
        <v>-0.1967233819894267</v>
      </c>
      <c r="U57" s="30" t="n">
        <v>24600</v>
      </c>
      <c r="V57" s="30" t="n">
        <v>13250</v>
      </c>
      <c r="W57" s="35" t="n">
        <v>-0.3967479674796748</v>
      </c>
      <c r="X57" s="35" t="n">
        <v>0.1200000000000001</v>
      </c>
      <c r="Y57" s="30" t="n">
        <v>20476584</v>
      </c>
      <c r="Z57" s="30" t="n">
        <v>303872506560</v>
      </c>
      <c r="AA57" s="30" t="n">
        <v>564261320</v>
      </c>
      <c r="AB57" s="30" t="n">
        <v>783156245.5</v>
      </c>
      <c r="AC57" s="35" t="n">
        <v>0.001856901522246093</v>
      </c>
      <c r="AD57" s="24" t="inlineStr">
        <is>
          <t>yfinance_download</t>
        </is>
      </c>
      <c r="AE57" s="24" t="inlineStr">
        <is>
          <t>317330.KQ</t>
        </is>
      </c>
    </row>
    <row r="58" ht="24" customHeight="1">
      <c r="A58" s="29" t="inlineStr">
        <is>
          <t>2023-08-29</t>
        </is>
      </c>
      <c r="B58" s="31" t="n">
        <v>14850</v>
      </c>
      <c r="C58" s="31" t="n">
        <v>15170</v>
      </c>
      <c r="D58" s="31" t="n">
        <v>14850</v>
      </c>
      <c r="E58" s="31" t="n">
        <v>15010</v>
      </c>
      <c r="F58" s="31" t="n">
        <v>15010</v>
      </c>
      <c r="G58" s="31" t="n">
        <v>37608</v>
      </c>
      <c r="H58" s="36" t="n">
        <v>0.01145552560646901</v>
      </c>
      <c r="I58" s="36" t="n">
        <v>-0.5753889674681754</v>
      </c>
      <c r="J58" s="31" t="n">
        <v>15184</v>
      </c>
      <c r="K58" s="31" t="n">
        <v>17048.83333333333</v>
      </c>
      <c r="L58" s="31" t="n">
        <v>18442.66666666667</v>
      </c>
      <c r="M58" s="36" t="n">
        <v>0.2578693949101822</v>
      </c>
      <c r="N58" s="36" t="n">
        <v>0.3449277981118666</v>
      </c>
      <c r="O58" s="36" t="n">
        <v>-0.0682805710738672</v>
      </c>
      <c r="P58" s="36" t="n">
        <v>-0.2149581589958159</v>
      </c>
      <c r="Q58" s="36" t="n">
        <v>-0.202020202020202</v>
      </c>
      <c r="R58" s="36" t="n">
        <v>-0.01145943097997892</v>
      </c>
      <c r="S58" s="36" t="n">
        <v>-0.1195878505860616</v>
      </c>
      <c r="T58" s="36" t="n">
        <v>-0.1861263736263736</v>
      </c>
      <c r="U58" s="31" t="n">
        <v>24600</v>
      </c>
      <c r="V58" s="31" t="n">
        <v>13250</v>
      </c>
      <c r="W58" s="36" t="n">
        <v>-0.3898373983739838</v>
      </c>
      <c r="X58" s="36" t="n">
        <v>0.1328301886792453</v>
      </c>
      <c r="Y58" s="31" t="n">
        <v>20476584</v>
      </c>
      <c r="Z58" s="31" t="n">
        <v>307353525840</v>
      </c>
      <c r="AA58" s="31" t="n">
        <v>564496080</v>
      </c>
      <c r="AB58" s="31" t="n">
        <v>747876235</v>
      </c>
      <c r="AC58" s="36" t="n">
        <v>0.001836634469890095</v>
      </c>
      <c r="AD58" s="29" t="inlineStr">
        <is>
          <t>yfinance_download</t>
        </is>
      </c>
      <c r="AE58" s="29" t="inlineStr">
        <is>
          <t>317330.KQ</t>
        </is>
      </c>
    </row>
    <row r="59" ht="24" customHeight="1">
      <c r="A59" s="24" t="inlineStr">
        <is>
          <t>2023-08-30</t>
        </is>
      </c>
      <c r="B59" s="30" t="n">
        <v>15130</v>
      </c>
      <c r="C59" s="30" t="n">
        <v>15440</v>
      </c>
      <c r="D59" s="30" t="n">
        <v>15080</v>
      </c>
      <c r="E59" s="30" t="n">
        <v>15190</v>
      </c>
      <c r="F59" s="30" t="n">
        <v>15190</v>
      </c>
      <c r="G59" s="30" t="n">
        <v>37692</v>
      </c>
      <c r="H59" s="35" t="n">
        <v>0.01199200532978018</v>
      </c>
      <c r="I59" s="35" t="n">
        <v>-0.5702970297029704</v>
      </c>
      <c r="J59" s="30" t="n">
        <v>15139</v>
      </c>
      <c r="K59" s="30" t="n">
        <v>16985.5</v>
      </c>
      <c r="L59" s="30" t="n">
        <v>18411.91666666667</v>
      </c>
      <c r="M59" s="35" t="n">
        <v>0.2635572372771837</v>
      </c>
      <c r="N59" s="35" t="n">
        <v>0.3463748865794664</v>
      </c>
      <c r="O59" s="35" t="n">
        <v>-0.05593536357986328</v>
      </c>
      <c r="P59" s="35" t="n">
        <v>-0.2001053185887309</v>
      </c>
      <c r="Q59" s="35" t="n">
        <v>-0.1954449152542372</v>
      </c>
      <c r="R59" s="35" t="n">
        <v>0.003368782614439514</v>
      </c>
      <c r="S59" s="35" t="n">
        <v>-0.1057078096023079</v>
      </c>
      <c r="T59" s="35" t="n">
        <v>-0.174990834740182</v>
      </c>
      <c r="U59" s="30" t="n">
        <v>24600</v>
      </c>
      <c r="V59" s="30" t="n">
        <v>13250</v>
      </c>
      <c r="W59" s="35" t="n">
        <v>-0.3825203252032521</v>
      </c>
      <c r="X59" s="35" t="n">
        <v>0.1464150943396227</v>
      </c>
      <c r="Y59" s="30" t="n">
        <v>20476584</v>
      </c>
      <c r="Z59" s="30" t="n">
        <v>311039310960</v>
      </c>
      <c r="AA59" s="30" t="n">
        <v>572541480</v>
      </c>
      <c r="AB59" s="30" t="n">
        <v>709774861</v>
      </c>
      <c r="AC59" s="35" t="n">
        <v>0.001840736716632032</v>
      </c>
      <c r="AD59" s="24" t="inlineStr">
        <is>
          <t>yfinance_download</t>
        </is>
      </c>
      <c r="AE59" s="24" t="inlineStr">
        <is>
          <t>317330.KQ</t>
        </is>
      </c>
    </row>
    <row r="60" ht="24" customHeight="1">
      <c r="A60" s="29" t="inlineStr">
        <is>
          <t>2023-08-31</t>
        </is>
      </c>
      <c r="B60" s="31" t="n">
        <v>15200</v>
      </c>
      <c r="C60" s="31" t="n">
        <v>15350</v>
      </c>
      <c r="D60" s="31" t="n">
        <v>15010</v>
      </c>
      <c r="E60" s="31" t="n">
        <v>15090</v>
      </c>
      <c r="F60" s="31" t="n">
        <v>15090</v>
      </c>
      <c r="G60" s="31" t="n">
        <v>36327</v>
      </c>
      <c r="H60" s="36" t="n">
        <v>-0.006583278472679366</v>
      </c>
      <c r="I60" s="36" t="n">
        <v>-0.5731258840169731</v>
      </c>
      <c r="J60" s="31" t="n">
        <v>15109.5</v>
      </c>
      <c r="K60" s="31" t="n">
        <v>16919.33333333333</v>
      </c>
      <c r="L60" s="31" t="n">
        <v>18379</v>
      </c>
      <c r="M60" s="36" t="n">
        <v>0.2501265593394761</v>
      </c>
      <c r="N60" s="36" t="n">
        <v>0.3461068199230797</v>
      </c>
      <c r="O60" s="36" t="n">
        <v>-0.03762755102040816</v>
      </c>
      <c r="P60" s="36" t="n">
        <v>-0.2082896117523609</v>
      </c>
      <c r="Q60" s="36" t="n">
        <v>-0.2074579831932774</v>
      </c>
      <c r="R60" s="36" t="n">
        <v>-0.001290578774942874</v>
      </c>
      <c r="S60" s="36" t="n">
        <v>-0.1081208873478072</v>
      </c>
      <c r="T60" s="36" t="n">
        <v>-0.1789542412536047</v>
      </c>
      <c r="U60" s="31" t="n">
        <v>24600</v>
      </c>
      <c r="V60" s="31" t="n">
        <v>13250</v>
      </c>
      <c r="W60" s="36" t="n">
        <v>-0.3865853658536585</v>
      </c>
      <c r="X60" s="36" t="n">
        <v>0.138867924528302</v>
      </c>
      <c r="Y60" s="31" t="n">
        <v>20476584</v>
      </c>
      <c r="Z60" s="31" t="n">
        <v>308991652560</v>
      </c>
      <c r="AA60" s="31" t="n">
        <v>548174430</v>
      </c>
      <c r="AB60" s="31" t="n">
        <v>666422878.5</v>
      </c>
      <c r="AC60" s="36" t="n">
        <v>0.001774075207075555</v>
      </c>
      <c r="AD60" s="29" t="inlineStr">
        <is>
          <t>yfinance_download</t>
        </is>
      </c>
      <c r="AE60" s="29" t="inlineStr">
        <is>
          <t>317330.KQ</t>
        </is>
      </c>
    </row>
    <row r="61" ht="24" customHeight="1">
      <c r="A61" s="24" t="inlineStr">
        <is>
          <t>2023-09-01</t>
        </is>
      </c>
      <c r="B61" s="30" t="n">
        <v>15070</v>
      </c>
      <c r="C61" s="30" t="n">
        <v>15740</v>
      </c>
      <c r="D61" s="30" t="n">
        <v>15070</v>
      </c>
      <c r="E61" s="30" t="n">
        <v>15630</v>
      </c>
      <c r="F61" s="30" t="n">
        <v>15630</v>
      </c>
      <c r="G61" s="30" t="n">
        <v>85807</v>
      </c>
      <c r="H61" s="35" t="n">
        <v>0.03578528827037775</v>
      </c>
      <c r="I61" s="35" t="n">
        <v>-0.5578500707213578</v>
      </c>
      <c r="J61" s="30" t="n">
        <v>15109</v>
      </c>
      <c r="K61" s="30" t="n">
        <v>16862.33333333333</v>
      </c>
      <c r="L61" s="30" t="n">
        <v>18354.25</v>
      </c>
      <c r="M61" s="35" t="n">
        <v>0.2833991524835052</v>
      </c>
      <c r="N61" s="35" t="n">
        <v>0.3553824971938045</v>
      </c>
      <c r="O61" s="35" t="n">
        <v>-0.0006393861892582953</v>
      </c>
      <c r="P61" s="35" t="n">
        <v>-0.1795275590551181</v>
      </c>
      <c r="Q61" s="35" t="n">
        <v>-0.1596774193548387</v>
      </c>
      <c r="R61" s="35" t="n">
        <v>0.03448275862068972</v>
      </c>
      <c r="S61" s="35" t="n">
        <v>-0.07308201711902262</v>
      </c>
      <c r="T61" s="35" t="n">
        <v>-0.148426113842843</v>
      </c>
      <c r="U61" s="30" t="n">
        <v>24600</v>
      </c>
      <c r="V61" s="30" t="n">
        <v>13250</v>
      </c>
      <c r="W61" s="35" t="n">
        <v>-0.3646341463414634</v>
      </c>
      <c r="X61" s="35" t="n">
        <v>0.179622641509434</v>
      </c>
      <c r="Y61" s="30" t="n">
        <v>20476584</v>
      </c>
      <c r="Z61" s="30" t="n">
        <v>320049007920</v>
      </c>
      <c r="AA61" s="30" t="n">
        <v>1341163410</v>
      </c>
      <c r="AB61" s="30" t="n">
        <v>686578253</v>
      </c>
      <c r="AC61" s="35" t="n">
        <v>0.004190493883159418</v>
      </c>
      <c r="AD61" s="24" t="inlineStr">
        <is>
          <t>yfinance_download</t>
        </is>
      </c>
      <c r="AE61" s="24" t="inlineStr">
        <is>
          <t>317330.KQ</t>
        </is>
      </c>
    </row>
    <row r="62" ht="24" customHeight="1">
      <c r="A62" s="29" t="inlineStr">
        <is>
          <t>2023-09-04</t>
        </is>
      </c>
      <c r="B62" s="31" t="n">
        <v>15640</v>
      </c>
      <c r="C62" s="31" t="n">
        <v>15740</v>
      </c>
      <c r="D62" s="31" t="n">
        <v>15230</v>
      </c>
      <c r="E62" s="31" t="n">
        <v>15370</v>
      </c>
      <c r="F62" s="31" t="n">
        <v>15370</v>
      </c>
      <c r="G62" s="31" t="n">
        <v>44670</v>
      </c>
      <c r="H62" s="36" t="n">
        <v>-0.01663467690339093</v>
      </c>
      <c r="I62" s="36" t="n">
        <v>-0.5652050919377651</v>
      </c>
      <c r="J62" s="31" t="n">
        <v>15101.5</v>
      </c>
      <c r="K62" s="31" t="n">
        <v>16807.16666666667</v>
      </c>
      <c r="L62" s="31" t="n">
        <v>18335.25</v>
      </c>
      <c r="M62" s="36" t="n">
        <v>0.2884084375878472</v>
      </c>
      <c r="N62" s="36" t="n">
        <v>0.3548793147999867</v>
      </c>
      <c r="O62" s="36" t="n">
        <v>-0.009664948453608213</v>
      </c>
      <c r="P62" s="36" t="n">
        <v>-0.1771948608137045</v>
      </c>
      <c r="Q62" s="36" t="n">
        <v>-0.1291784702549575</v>
      </c>
      <c r="R62" s="36" t="n">
        <v>0.01777969075919605</v>
      </c>
      <c r="S62" s="36" t="n">
        <v>-0.08550915779974821</v>
      </c>
      <c r="T62" s="36" t="n">
        <v>-0.1617240015816528</v>
      </c>
      <c r="U62" s="31" t="n">
        <v>24600</v>
      </c>
      <c r="V62" s="31" t="n">
        <v>13250</v>
      </c>
      <c r="W62" s="36" t="n">
        <v>-0.3752032520325204</v>
      </c>
      <c r="X62" s="36" t="n">
        <v>0.1599999999999999</v>
      </c>
      <c r="Y62" s="31" t="n">
        <v>20476584</v>
      </c>
      <c r="Z62" s="31" t="n">
        <v>314725096080</v>
      </c>
      <c r="AA62" s="31" t="n">
        <v>686577900</v>
      </c>
      <c r="AB62" s="31" t="n">
        <v>691545636</v>
      </c>
      <c r="AC62" s="36" t="n">
        <v>0.00218151621383723</v>
      </c>
      <c r="AD62" s="29" t="inlineStr">
        <is>
          <t>yfinance_download</t>
        </is>
      </c>
      <c r="AE62" s="29" t="inlineStr">
        <is>
          <t>317330.KQ</t>
        </is>
      </c>
    </row>
    <row r="63" ht="24" customHeight="1">
      <c r="A63" s="24" t="inlineStr">
        <is>
          <t>2023-09-05</t>
        </is>
      </c>
      <c r="B63" s="30" t="n">
        <v>15370</v>
      </c>
      <c r="C63" s="30" t="n">
        <v>15740</v>
      </c>
      <c r="D63" s="30" t="n">
        <v>15240</v>
      </c>
      <c r="E63" s="30" t="n">
        <v>15360</v>
      </c>
      <c r="F63" s="30" t="n">
        <v>15360</v>
      </c>
      <c r="G63" s="30" t="n">
        <v>28961</v>
      </c>
      <c r="H63" s="35" t="n">
        <v>-0.0006506180871828082</v>
      </c>
      <c r="I63" s="35" t="n">
        <v>-0.5654879773691655</v>
      </c>
      <c r="J63" s="30" t="n">
        <v>15104</v>
      </c>
      <c r="K63" s="30" t="n">
        <v>16744.66666666667</v>
      </c>
      <c r="L63" s="30" t="n">
        <v>18318.75</v>
      </c>
      <c r="M63" s="35" t="n">
        <v>0.2841814901443189</v>
      </c>
      <c r="N63" s="35" t="n">
        <v>0.3507587584302416</v>
      </c>
      <c r="O63" s="35" t="n">
        <v>0.003265839320705455</v>
      </c>
      <c r="P63" s="35" t="n">
        <v>-0.1962323390894819</v>
      </c>
      <c r="Q63" s="35" t="n">
        <v>-0.1141868512110726</v>
      </c>
      <c r="R63" s="35" t="n">
        <v>0.01694915254237284</v>
      </c>
      <c r="S63" s="35" t="n">
        <v>-0.08269299677509268</v>
      </c>
      <c r="T63" s="35" t="n">
        <v>-0.1615148413510747</v>
      </c>
      <c r="U63" s="30" t="n">
        <v>24600</v>
      </c>
      <c r="V63" s="30" t="n">
        <v>13250</v>
      </c>
      <c r="W63" s="35" t="n">
        <v>-0.375609756097561</v>
      </c>
      <c r="X63" s="35" t="n">
        <v>0.159245283018868</v>
      </c>
      <c r="Y63" s="30" t="n">
        <v>20476584</v>
      </c>
      <c r="Z63" s="30" t="n">
        <v>314520330240</v>
      </c>
      <c r="AA63" s="30" t="n">
        <v>444840960</v>
      </c>
      <c r="AB63" s="30" t="n">
        <v>674436391</v>
      </c>
      <c r="AC63" s="35" t="n">
        <v>0.001414347236824267</v>
      </c>
      <c r="AD63" s="24" t="inlineStr">
        <is>
          <t>yfinance_download</t>
        </is>
      </c>
      <c r="AE63" s="24" t="inlineStr">
        <is>
          <t>317330.KQ</t>
        </is>
      </c>
    </row>
    <row r="64" ht="24" customHeight="1">
      <c r="A64" s="29" t="inlineStr">
        <is>
          <t>2023-09-06</t>
        </is>
      </c>
      <c r="B64" s="31" t="n">
        <v>15360</v>
      </c>
      <c r="C64" s="31" t="n">
        <v>15390</v>
      </c>
      <c r="D64" s="31" t="n">
        <v>15230</v>
      </c>
      <c r="E64" s="31" t="n">
        <v>15230</v>
      </c>
      <c r="F64" s="31" t="n">
        <v>15230</v>
      </c>
      <c r="G64" s="31" t="n">
        <v>30791</v>
      </c>
      <c r="H64" s="36" t="n">
        <v>-0.00846354166666663</v>
      </c>
      <c r="I64" s="36" t="n">
        <v>-0.5691654879773691</v>
      </c>
      <c r="J64" s="31" t="n">
        <v>15105.5</v>
      </c>
      <c r="K64" s="31" t="n">
        <v>16678.66666666667</v>
      </c>
      <c r="L64" s="31" t="n">
        <v>18312.33333333333</v>
      </c>
      <c r="M64" s="36" t="n">
        <v>0.2846649094767802</v>
      </c>
      <c r="N64" s="36" t="n">
        <v>0.3505492286159282</v>
      </c>
      <c r="O64" s="36" t="n">
        <v>0.001973684210526239</v>
      </c>
      <c r="P64" s="36" t="n">
        <v>-0.2063574778530485</v>
      </c>
      <c r="Q64" s="36" t="n">
        <v>-0.04812499999999997</v>
      </c>
      <c r="R64" s="36" t="n">
        <v>0.008242031048293574</v>
      </c>
      <c r="S64" s="36" t="n">
        <v>-0.08685746262690874</v>
      </c>
      <c r="T64" s="36" t="n">
        <v>-0.1683200757231009</v>
      </c>
      <c r="U64" s="31" t="n">
        <v>24600</v>
      </c>
      <c r="V64" s="31" t="n">
        <v>13250</v>
      </c>
      <c r="W64" s="36" t="n">
        <v>-0.3808943089430894</v>
      </c>
      <c r="X64" s="36" t="n">
        <v>0.149433962264151</v>
      </c>
      <c r="Y64" s="31" t="n">
        <v>20476584</v>
      </c>
      <c r="Z64" s="31" t="n">
        <v>311858374320</v>
      </c>
      <c r="AA64" s="31" t="n">
        <v>468946930</v>
      </c>
      <c r="AB64" s="31" t="n">
        <v>663174537.5</v>
      </c>
      <c r="AC64" s="36" t="n">
        <v>0.00150371761227361</v>
      </c>
      <c r="AD64" s="29" t="inlineStr">
        <is>
          <t>yfinance_download</t>
        </is>
      </c>
      <c r="AE64" s="29" t="inlineStr">
        <is>
          <t>317330.KQ</t>
        </is>
      </c>
    </row>
    <row r="65" ht="24" customHeight="1">
      <c r="A65" s="24" t="inlineStr">
        <is>
          <t>2023-09-07</t>
        </is>
      </c>
      <c r="B65" s="30" t="n">
        <v>15200</v>
      </c>
      <c r="C65" s="30" t="n">
        <v>15570</v>
      </c>
      <c r="D65" s="30" t="n">
        <v>15130</v>
      </c>
      <c r="E65" s="30" t="n">
        <v>15300</v>
      </c>
      <c r="F65" s="30" t="n">
        <v>15300</v>
      </c>
      <c r="G65" s="30" t="n">
        <v>30827</v>
      </c>
      <c r="H65" s="35" t="n">
        <v>0.004596191726854881</v>
      </c>
      <c r="I65" s="35" t="n">
        <v>-0.5671852899575671</v>
      </c>
      <c r="J65" s="30" t="n">
        <v>15092</v>
      </c>
      <c r="K65" s="30" t="n">
        <v>16612.66666666667</v>
      </c>
      <c r="L65" s="30" t="n">
        <v>18301.08333333333</v>
      </c>
      <c r="M65" s="35" t="n">
        <v>0.2707920490954401</v>
      </c>
      <c r="N65" s="35" t="n">
        <v>0.3506384080334034</v>
      </c>
      <c r="O65" s="35" t="n">
        <v>-0.01734104046242779</v>
      </c>
      <c r="P65" s="35" t="n">
        <v>-0.205607476635514</v>
      </c>
      <c r="Q65" s="35" t="n">
        <v>-0.08108108108108103</v>
      </c>
      <c r="R65" s="35" t="n">
        <v>0.0137821362311159</v>
      </c>
      <c r="S65" s="35" t="n">
        <v>-0.07901601187848639</v>
      </c>
      <c r="T65" s="35" t="n">
        <v>-0.1639839171633737</v>
      </c>
      <c r="U65" s="30" t="n">
        <v>24600</v>
      </c>
      <c r="V65" s="30" t="n">
        <v>13250</v>
      </c>
      <c r="W65" s="35" t="n">
        <v>-0.3780487804878049</v>
      </c>
      <c r="X65" s="35" t="n">
        <v>0.1547169811320754</v>
      </c>
      <c r="Y65" s="30" t="n">
        <v>20476584</v>
      </c>
      <c r="Z65" s="30" t="n">
        <v>313291735200</v>
      </c>
      <c r="AA65" s="30" t="n">
        <v>471653100</v>
      </c>
      <c r="AB65" s="30" t="n">
        <v>635886110</v>
      </c>
      <c r="AC65" s="35" t="n">
        <v>0.001505475718020154</v>
      </c>
      <c r="AD65" s="24" t="inlineStr">
        <is>
          <t>yfinance_download</t>
        </is>
      </c>
      <c r="AE65" s="24" t="inlineStr">
        <is>
          <t>317330.KQ</t>
        </is>
      </c>
    </row>
    <row r="66" ht="24" customHeight="1">
      <c r="A66" s="29" t="inlineStr">
        <is>
          <t>2023-09-08</t>
        </is>
      </c>
      <c r="B66" s="31" t="n">
        <v>15210</v>
      </c>
      <c r="C66" s="31" t="n">
        <v>15320</v>
      </c>
      <c r="D66" s="31" t="n">
        <v>14900</v>
      </c>
      <c r="E66" s="31" t="n">
        <v>14940</v>
      </c>
      <c r="F66" s="31" t="n">
        <v>14940</v>
      </c>
      <c r="G66" s="31" t="n">
        <v>63775</v>
      </c>
      <c r="H66" s="36" t="n">
        <v>-0.02352941176470591</v>
      </c>
      <c r="I66" s="36" t="n">
        <v>-0.5773691654879773</v>
      </c>
      <c r="J66" s="31" t="n">
        <v>15071.5</v>
      </c>
      <c r="K66" s="31" t="n">
        <v>16544.83333333333</v>
      </c>
      <c r="L66" s="31" t="n">
        <v>18277.33333333333</v>
      </c>
      <c r="M66" s="36" t="n">
        <v>0.2788926779355045</v>
      </c>
      <c r="N66" s="36" t="n">
        <v>0.3525068249433484</v>
      </c>
      <c r="O66" s="36" t="n">
        <v>-0.02671009771986965</v>
      </c>
      <c r="P66" s="36" t="n">
        <v>-0.2140978432403998</v>
      </c>
      <c r="Q66" s="36" t="n">
        <v>-0.1602023608768971</v>
      </c>
      <c r="R66" s="36" t="n">
        <v>-0.008725077132335834</v>
      </c>
      <c r="S66" s="36" t="n">
        <v>-0.09699906315163842</v>
      </c>
      <c r="T66" s="36" t="n">
        <v>-0.1825941056317478</v>
      </c>
      <c r="U66" s="31" t="n">
        <v>24600</v>
      </c>
      <c r="V66" s="31" t="n">
        <v>13250</v>
      </c>
      <c r="W66" s="36" t="n">
        <v>-0.3926829268292683</v>
      </c>
      <c r="X66" s="36" t="n">
        <v>0.1275471698113209</v>
      </c>
      <c r="Y66" s="31" t="n">
        <v>20476584</v>
      </c>
      <c r="Z66" s="31" t="n">
        <v>305920164960</v>
      </c>
      <c r="AA66" s="31" t="n">
        <v>952798500</v>
      </c>
      <c r="AB66" s="31" t="n">
        <v>656689630</v>
      </c>
      <c r="AC66" s="36" t="n">
        <v>0.003114533166274218</v>
      </c>
      <c r="AD66" s="29" t="inlineStr">
        <is>
          <t>yfinance_download</t>
        </is>
      </c>
      <c r="AE66" s="29" t="inlineStr">
        <is>
          <t>317330.KQ</t>
        </is>
      </c>
    </row>
    <row r="67" ht="24" customHeight="1">
      <c r="A67" s="24" t="inlineStr">
        <is>
          <t>2023-09-11</t>
        </is>
      </c>
      <c r="B67" s="30" t="n">
        <v>14860</v>
      </c>
      <c r="C67" s="30" t="n">
        <v>14880</v>
      </c>
      <c r="D67" s="30" t="n">
        <v>14620</v>
      </c>
      <c r="E67" s="30" t="n">
        <v>14630</v>
      </c>
      <c r="F67" s="30" t="n">
        <v>14630</v>
      </c>
      <c r="G67" s="30" t="n">
        <v>39026</v>
      </c>
      <c r="H67" s="35" t="n">
        <v>-0.02074966532797862</v>
      </c>
      <c r="I67" s="35" t="n">
        <v>-0.5861386138613862</v>
      </c>
      <c r="J67" s="30" t="n">
        <v>15030.5</v>
      </c>
      <c r="K67" s="30" t="n">
        <v>16464.66666666667</v>
      </c>
      <c r="L67" s="30" t="n">
        <v>18249.25</v>
      </c>
      <c r="M67" s="35" t="n">
        <v>0.2855930389201734</v>
      </c>
      <c r="N67" s="35" t="n">
        <v>0.3498375758590188</v>
      </c>
      <c r="O67" s="35" t="n">
        <v>-0.05307443365695796</v>
      </c>
      <c r="P67" s="35" t="n">
        <v>-0.2474279835390947</v>
      </c>
      <c r="Q67" s="35" t="n">
        <v>-0.1872222222222222</v>
      </c>
      <c r="R67" s="35" t="n">
        <v>-0.02664582016566319</v>
      </c>
      <c r="S67" s="35" t="n">
        <v>-0.1114305381220392</v>
      </c>
      <c r="T67" s="35" t="n">
        <v>-0.1983232187624149</v>
      </c>
      <c r="U67" s="30" t="n">
        <v>24600</v>
      </c>
      <c r="V67" s="30" t="n">
        <v>13250</v>
      </c>
      <c r="W67" s="35" t="n">
        <v>-0.4052845528455284</v>
      </c>
      <c r="X67" s="35" t="n">
        <v>0.1041509433962264</v>
      </c>
      <c r="Y67" s="30" t="n">
        <v>20476584</v>
      </c>
      <c r="Z67" s="30" t="n">
        <v>299572423920</v>
      </c>
      <c r="AA67" s="30" t="n">
        <v>570950380</v>
      </c>
      <c r="AB67" s="30" t="n">
        <v>658739626.5</v>
      </c>
      <c r="AC67" s="35" t="n">
        <v>0.001905884301795651</v>
      </c>
      <c r="AD67" s="24" t="inlineStr">
        <is>
          <t>yfinance_download</t>
        </is>
      </c>
      <c r="AE67" s="24" t="inlineStr">
        <is>
          <t>317330.KQ</t>
        </is>
      </c>
    </row>
    <row r="68" ht="24" customHeight="1">
      <c r="A68" s="29" t="inlineStr">
        <is>
          <t>2023-09-12</t>
        </is>
      </c>
      <c r="B68" s="31" t="n">
        <v>14650</v>
      </c>
      <c r="C68" s="31" t="n">
        <v>14800</v>
      </c>
      <c r="D68" s="31" t="n">
        <v>14150</v>
      </c>
      <c r="E68" s="31" t="n">
        <v>14310</v>
      </c>
      <c r="F68" s="31" t="n">
        <v>14310</v>
      </c>
      <c r="G68" s="31" t="n">
        <v>56171</v>
      </c>
      <c r="H68" s="36" t="n">
        <v>-0.02187286397812715</v>
      </c>
      <c r="I68" s="36" t="n">
        <v>-0.5951909476661952</v>
      </c>
      <c r="J68" s="31" t="n">
        <v>14987.5</v>
      </c>
      <c r="K68" s="31" t="n">
        <v>16377.33333333333</v>
      </c>
      <c r="L68" s="31" t="n">
        <v>18216.83333333333</v>
      </c>
      <c r="M68" s="36" t="n">
        <v>0.2885960630836708</v>
      </c>
      <c r="N68" s="36" t="n">
        <v>0.3509755661131376</v>
      </c>
      <c r="O68" s="36" t="n">
        <v>-0.0566908371786421</v>
      </c>
      <c r="P68" s="36" t="n">
        <v>-0.2680306905370844</v>
      </c>
      <c r="Q68" s="36" t="n">
        <v>-0.2137362637362638</v>
      </c>
      <c r="R68" s="36" t="n">
        <v>-0.04520433694745618</v>
      </c>
      <c r="S68" s="36" t="n">
        <v>-0.1262313766995035</v>
      </c>
      <c r="T68" s="36" t="n">
        <v>-0.2144628136979533</v>
      </c>
      <c r="U68" s="31" t="n">
        <v>24600</v>
      </c>
      <c r="V68" s="31" t="n">
        <v>13250</v>
      </c>
      <c r="W68" s="36" t="n">
        <v>-0.4182926829268293</v>
      </c>
      <c r="X68" s="36" t="n">
        <v>0.08000000000000007</v>
      </c>
      <c r="Y68" s="31" t="n">
        <v>20476584</v>
      </c>
      <c r="Z68" s="31" t="n">
        <v>293019917040</v>
      </c>
      <c r="AA68" s="31" t="n">
        <v>803807010</v>
      </c>
      <c r="AB68" s="31" t="n">
        <v>666778679</v>
      </c>
      <c r="AC68" s="36" t="n">
        <v>0.002743182163587442</v>
      </c>
      <c r="AD68" s="29" t="inlineStr">
        <is>
          <t>yfinance_download</t>
        </is>
      </c>
      <c r="AE68" s="29" t="inlineStr">
        <is>
          <t>317330.KQ</t>
        </is>
      </c>
    </row>
    <row r="69" ht="24" customHeight="1">
      <c r="A69" s="24" t="inlineStr">
        <is>
          <t>2023-09-13</t>
        </is>
      </c>
      <c r="B69" s="30" t="n">
        <v>14270</v>
      </c>
      <c r="C69" s="30" t="n">
        <v>14520</v>
      </c>
      <c r="D69" s="30" t="n">
        <v>13990</v>
      </c>
      <c r="E69" s="30" t="n">
        <v>13990</v>
      </c>
      <c r="F69" s="30" t="n">
        <v>13990</v>
      </c>
      <c r="G69" s="30" t="n">
        <v>64780</v>
      </c>
      <c r="H69" s="35" t="n">
        <v>-0.02236198462613559</v>
      </c>
      <c r="I69" s="35" t="n">
        <v>-0.6042432814710043</v>
      </c>
      <c r="J69" s="30" t="n">
        <v>14955</v>
      </c>
      <c r="K69" s="30" t="n">
        <v>16290.33333333333</v>
      </c>
      <c r="L69" s="30" t="n">
        <v>18181.25</v>
      </c>
      <c r="M69" s="35" t="n">
        <v>0.2730302613487549</v>
      </c>
      <c r="N69" s="35" t="n">
        <v>0.3518750958597127</v>
      </c>
      <c r="O69" s="35" t="n">
        <v>-0.0443989071038251</v>
      </c>
      <c r="P69" s="35" t="n">
        <v>-0.2717334721499219</v>
      </c>
      <c r="Q69" s="35" t="n">
        <v>-0.2338444687842278</v>
      </c>
      <c r="R69" s="35" t="n">
        <v>-0.06452691407555999</v>
      </c>
      <c r="S69" s="35" t="n">
        <v>-0.1412084876511633</v>
      </c>
      <c r="T69" s="35" t="n">
        <v>-0.2305259539360605</v>
      </c>
      <c r="U69" s="30" t="n">
        <v>24600</v>
      </c>
      <c r="V69" s="30" t="n">
        <v>13250</v>
      </c>
      <c r="W69" s="35" t="n">
        <v>-0.4313008130081301</v>
      </c>
      <c r="X69" s="35" t="n">
        <v>0.05584905660377348</v>
      </c>
      <c r="Y69" s="30" t="n">
        <v>20476584</v>
      </c>
      <c r="Z69" s="30" t="n">
        <v>286467410160</v>
      </c>
      <c r="AA69" s="30" t="n">
        <v>906272200</v>
      </c>
      <c r="AB69" s="30" t="n">
        <v>660426265</v>
      </c>
      <c r="AC69" s="35" t="n">
        <v>0.003163613618365251</v>
      </c>
      <c r="AD69" s="24" t="inlineStr">
        <is>
          <t>yfinance_download</t>
        </is>
      </c>
      <c r="AE69" s="24" t="inlineStr">
        <is>
          <t>317330.KQ</t>
        </is>
      </c>
    </row>
    <row r="70" ht="24" customHeight="1">
      <c r="A70" s="29" t="inlineStr">
        <is>
          <t>2023-09-14</t>
        </is>
      </c>
      <c r="B70" s="31" t="n">
        <v>14000</v>
      </c>
      <c r="C70" s="31" t="n">
        <v>14380</v>
      </c>
      <c r="D70" s="31" t="n">
        <v>14000</v>
      </c>
      <c r="E70" s="31" t="n">
        <v>14300</v>
      </c>
      <c r="F70" s="31" t="n">
        <v>14300</v>
      </c>
      <c r="G70" s="31" t="n">
        <v>29384</v>
      </c>
      <c r="H70" s="36" t="n">
        <v>0.02215868477483918</v>
      </c>
      <c r="I70" s="36" t="n">
        <v>-0.5954738330975955</v>
      </c>
      <c r="J70" s="31" t="n">
        <v>14925</v>
      </c>
      <c r="K70" s="31" t="n">
        <v>16214.16666666667</v>
      </c>
      <c r="L70" s="31" t="n">
        <v>18142.75</v>
      </c>
      <c r="M70" s="36" t="n">
        <v>0.2776870608117846</v>
      </c>
      <c r="N70" s="36" t="n">
        <v>0.3552101772510839</v>
      </c>
      <c r="O70" s="36" t="n">
        <v>-0.04026845637583898</v>
      </c>
      <c r="P70" s="36" t="n">
        <v>-0.2421833598304186</v>
      </c>
      <c r="Q70" s="36" t="n">
        <v>-0.2441860465116279</v>
      </c>
      <c r="R70" s="36" t="n">
        <v>-0.04187604690117253</v>
      </c>
      <c r="S70" s="36" t="n">
        <v>-0.1180551986431618</v>
      </c>
      <c r="T70" s="36" t="n">
        <v>-0.2118063689352496</v>
      </c>
      <c r="U70" s="31" t="n">
        <v>24600</v>
      </c>
      <c r="V70" s="31" t="n">
        <v>13250</v>
      </c>
      <c r="W70" s="36" t="n">
        <v>-0.4186991869918699</v>
      </c>
      <c r="X70" s="36" t="n">
        <v>0.07924528301886791</v>
      </c>
      <c r="Y70" s="31" t="n">
        <v>20476584</v>
      </c>
      <c r="Z70" s="31" t="n">
        <v>292815151200</v>
      </c>
      <c r="AA70" s="31" t="n">
        <v>420191200</v>
      </c>
      <c r="AB70" s="31" t="n">
        <v>640809485</v>
      </c>
      <c r="AC70" s="36" t="n">
        <v>0.001435004979346164</v>
      </c>
      <c r="AD70" s="29" t="inlineStr">
        <is>
          <t>yfinance_download</t>
        </is>
      </c>
      <c r="AE70" s="29" t="inlineStr">
        <is>
          <t>317330.KQ</t>
        </is>
      </c>
    </row>
    <row r="71" ht="24" customHeight="1">
      <c r="A71" s="24" t="inlineStr">
        <is>
          <t>2023-09-15</t>
        </is>
      </c>
      <c r="B71" s="30" t="n">
        <v>14320</v>
      </c>
      <c r="C71" s="30" t="n">
        <v>14830</v>
      </c>
      <c r="D71" s="30" t="n">
        <v>14210</v>
      </c>
      <c r="E71" s="30" t="n">
        <v>14600</v>
      </c>
      <c r="F71" s="30" t="n">
        <v>14600</v>
      </c>
      <c r="G71" s="30" t="n">
        <v>61443</v>
      </c>
      <c r="H71" s="35" t="n">
        <v>0.02097902097902105</v>
      </c>
      <c r="I71" s="35" t="n">
        <v>-0.5869872701555869</v>
      </c>
      <c r="J71" s="30" t="n">
        <v>14897</v>
      </c>
      <c r="K71" s="30" t="n">
        <v>16153.66666666667</v>
      </c>
      <c r="L71" s="30" t="n">
        <v>18107.41666666667</v>
      </c>
      <c r="M71" s="35" t="n">
        <v>0.2812105051524439</v>
      </c>
      <c r="N71" s="35" t="n">
        <v>0.3535150301677626</v>
      </c>
      <c r="O71" s="35" t="n">
        <v>-0.03693931398416883</v>
      </c>
      <c r="P71" s="35" t="n">
        <v>-0.1991223258365332</v>
      </c>
      <c r="Q71" s="35" t="n">
        <v>-0.2250530785562632</v>
      </c>
      <c r="R71" s="35" t="n">
        <v>-0.01993690004698934</v>
      </c>
      <c r="S71" s="35" t="n">
        <v>-0.09618043375085117</v>
      </c>
      <c r="T71" s="35" t="n">
        <v>-0.1937005554814096</v>
      </c>
      <c r="U71" s="30" t="n">
        <v>24600</v>
      </c>
      <c r="V71" s="30" t="n">
        <v>13250</v>
      </c>
      <c r="W71" s="35" t="n">
        <v>-0.4065040650406504</v>
      </c>
      <c r="X71" s="35" t="n">
        <v>0.1018867924528302</v>
      </c>
      <c r="Y71" s="30" t="n">
        <v>20476584</v>
      </c>
      <c r="Z71" s="30" t="n">
        <v>298958126400</v>
      </c>
      <c r="AA71" s="30" t="n">
        <v>897067800</v>
      </c>
      <c r="AB71" s="30" t="n">
        <v>633520813</v>
      </c>
      <c r="AC71" s="35" t="n">
        <v>0.003000646982914728</v>
      </c>
      <c r="AD71" s="24" t="inlineStr">
        <is>
          <t>yfinance_download</t>
        </is>
      </c>
      <c r="AE71" s="24" t="inlineStr">
        <is>
          <t>317330.KQ</t>
        </is>
      </c>
    </row>
    <row r="72" ht="24" customHeight="1">
      <c r="A72" s="29" t="inlineStr">
        <is>
          <t>2023-09-18</t>
        </is>
      </c>
      <c r="B72" s="31" t="n">
        <v>14600</v>
      </c>
      <c r="C72" s="31" t="n">
        <v>14600</v>
      </c>
      <c r="D72" s="31" t="n">
        <v>14250</v>
      </c>
      <c r="E72" s="31" t="n">
        <v>14270</v>
      </c>
      <c r="F72" s="31" t="n">
        <v>14270</v>
      </c>
      <c r="G72" s="31" t="n">
        <v>45256</v>
      </c>
      <c r="H72" s="36" t="n">
        <v>-0.02260273972602744</v>
      </c>
      <c r="I72" s="36" t="n">
        <v>-0.5963224893917963</v>
      </c>
      <c r="J72" s="31" t="n">
        <v>14859</v>
      </c>
      <c r="K72" s="31" t="n">
        <v>16089</v>
      </c>
      <c r="L72" s="31" t="n">
        <v>18065.5</v>
      </c>
      <c r="M72" s="36" t="n">
        <v>0.2900088633168527</v>
      </c>
      <c r="N72" s="36" t="n">
        <v>0.3556858308458768</v>
      </c>
      <c r="O72" s="36" t="n">
        <v>-0.05056553559547572</v>
      </c>
      <c r="P72" s="36" t="n">
        <v>-0.2137741046831956</v>
      </c>
      <c r="Q72" s="36" t="n">
        <v>-0.2606217616580311</v>
      </c>
      <c r="R72" s="36" t="n">
        <v>-0.03963927585974825</v>
      </c>
      <c r="S72" s="36" t="n">
        <v>-0.1130586114736777</v>
      </c>
      <c r="T72" s="36" t="n">
        <v>-0.2100965929534195</v>
      </c>
      <c r="U72" s="31" t="n">
        <v>24600</v>
      </c>
      <c r="V72" s="31" t="n">
        <v>13250</v>
      </c>
      <c r="W72" s="36" t="n">
        <v>-0.4199186991869919</v>
      </c>
      <c r="X72" s="36" t="n">
        <v>0.07698113207547164</v>
      </c>
      <c r="Y72" s="31" t="n">
        <v>20476584</v>
      </c>
      <c r="Z72" s="31" t="n">
        <v>292200853680</v>
      </c>
      <c r="AA72" s="31" t="n">
        <v>645803120</v>
      </c>
      <c r="AB72" s="31" t="n">
        <v>647086595</v>
      </c>
      <c r="AC72" s="36" t="n">
        <v>0.002210134268489314</v>
      </c>
      <c r="AD72" s="29" t="inlineStr">
        <is>
          <t>yfinance_download</t>
        </is>
      </c>
      <c r="AE72" s="29" t="inlineStr">
        <is>
          <t>317330.KQ</t>
        </is>
      </c>
    </row>
    <row r="73" ht="24" customHeight="1">
      <c r="A73" s="24" t="inlineStr">
        <is>
          <t>2023-09-19</t>
        </is>
      </c>
      <c r="B73" s="30" t="n">
        <v>14160</v>
      </c>
      <c r="C73" s="30" t="n">
        <v>14340</v>
      </c>
      <c r="D73" s="30" t="n">
        <v>13980</v>
      </c>
      <c r="E73" s="30" t="n">
        <v>14030</v>
      </c>
      <c r="F73" s="30" t="n">
        <v>14030</v>
      </c>
      <c r="G73" s="30" t="n">
        <v>37854</v>
      </c>
      <c r="H73" s="35" t="n">
        <v>-0.01681850035038546</v>
      </c>
      <c r="I73" s="35" t="n">
        <v>-0.6031117397454031</v>
      </c>
      <c r="J73" s="30" t="n">
        <v>14820</v>
      </c>
      <c r="K73" s="30" t="n">
        <v>16020.5</v>
      </c>
      <c r="L73" s="30" t="n">
        <v>18019.58333333333</v>
      </c>
      <c r="M73" s="35" t="n">
        <v>0.2913265957316294</v>
      </c>
      <c r="N73" s="35" t="n">
        <v>0.3566215537881986</v>
      </c>
      <c r="O73" s="35" t="n">
        <v>-0.05266711681296421</v>
      </c>
      <c r="P73" s="35" t="n">
        <v>-0.2265711135611908</v>
      </c>
      <c r="Q73" s="35" t="n">
        <v>-0.2819856704196519</v>
      </c>
      <c r="R73" s="35" t="n">
        <v>-0.05330634278002699</v>
      </c>
      <c r="S73" s="35" t="n">
        <v>-0.1242470584563528</v>
      </c>
      <c r="T73" s="35" t="n">
        <v>-0.2214026406455939</v>
      </c>
      <c r="U73" s="30" t="n">
        <v>24600</v>
      </c>
      <c r="V73" s="30" t="n">
        <v>13250</v>
      </c>
      <c r="W73" s="35" t="n">
        <v>-0.4296747967479675</v>
      </c>
      <c r="X73" s="35" t="n">
        <v>0.05886792452830192</v>
      </c>
      <c r="Y73" s="30" t="n">
        <v>20476584</v>
      </c>
      <c r="Z73" s="30" t="n">
        <v>287286473520</v>
      </c>
      <c r="AA73" s="30" t="n">
        <v>531091620</v>
      </c>
      <c r="AB73" s="30" t="n">
        <v>649275764</v>
      </c>
      <c r="AC73" s="35" t="n">
        <v>0.001848648192491482</v>
      </c>
      <c r="AD73" s="24" t="inlineStr">
        <is>
          <t>yfinance_download</t>
        </is>
      </c>
      <c r="AE73" s="24" t="inlineStr">
        <is>
          <t>317330.KQ</t>
        </is>
      </c>
    </row>
    <row r="74" ht="24" customHeight="1">
      <c r="A74" s="29" t="inlineStr">
        <is>
          <t>2023-09-20</t>
        </is>
      </c>
      <c r="B74" s="31" t="n">
        <v>13960</v>
      </c>
      <c r="C74" s="31" t="n">
        <v>14070</v>
      </c>
      <c r="D74" s="31" t="n">
        <v>13820</v>
      </c>
      <c r="E74" s="31" t="n">
        <v>14030</v>
      </c>
      <c r="F74" s="31" t="n">
        <v>14030</v>
      </c>
      <c r="G74" s="31" t="n">
        <v>33534</v>
      </c>
      <c r="H74" s="36" t="n">
        <v>0</v>
      </c>
      <c r="I74" s="36" t="n">
        <v>-0.6031117397454031</v>
      </c>
      <c r="J74" s="31" t="n">
        <v>14789</v>
      </c>
      <c r="K74" s="31" t="n">
        <v>15951.83333333333</v>
      </c>
      <c r="L74" s="31" t="n">
        <v>17971.83333333333</v>
      </c>
      <c r="M74" s="36" t="n">
        <v>0.2897831522953068</v>
      </c>
      <c r="N74" s="36" t="n">
        <v>0.3565931349240081</v>
      </c>
      <c r="O74" s="36" t="n">
        <v>-0.04232081911262797</v>
      </c>
      <c r="P74" s="36" t="n">
        <v>-0.2269972451790634</v>
      </c>
      <c r="Q74" s="36" t="n">
        <v>-0.2899797570850202</v>
      </c>
      <c r="R74" s="36" t="n">
        <v>-0.05132192846034211</v>
      </c>
      <c r="S74" s="36" t="n">
        <v>-0.1204772701152428</v>
      </c>
      <c r="T74" s="36" t="n">
        <v>-0.2193339577672468</v>
      </c>
      <c r="U74" s="31" t="n">
        <v>24600</v>
      </c>
      <c r="V74" s="31" t="n">
        <v>13250</v>
      </c>
      <c r="W74" s="36" t="n">
        <v>-0.4296747967479675</v>
      </c>
      <c r="X74" s="36" t="n">
        <v>0.05886792452830192</v>
      </c>
      <c r="Y74" s="31" t="n">
        <v>20476584</v>
      </c>
      <c r="Z74" s="31" t="n">
        <v>287286473520</v>
      </c>
      <c r="AA74" s="31" t="n">
        <v>470482020</v>
      </c>
      <c r="AB74" s="31" t="n">
        <v>643841210</v>
      </c>
      <c r="AC74" s="36" t="n">
        <v>0.001637675502906149</v>
      </c>
      <c r="AD74" s="29" t="inlineStr">
        <is>
          <t>yfinance_download</t>
        </is>
      </c>
      <c r="AE74" s="29" t="inlineStr">
        <is>
          <t>317330.KQ</t>
        </is>
      </c>
    </row>
    <row r="75" ht="24" customHeight="1">
      <c r="A75" s="24" t="inlineStr">
        <is>
          <t>2023-09-21</t>
        </is>
      </c>
      <c r="B75" s="30" t="n">
        <v>13980</v>
      </c>
      <c r="C75" s="30" t="n">
        <v>14760</v>
      </c>
      <c r="D75" s="30" t="n">
        <v>13980</v>
      </c>
      <c r="E75" s="30" t="n">
        <v>14140</v>
      </c>
      <c r="F75" s="30" t="n">
        <v>14140</v>
      </c>
      <c r="G75" s="30" t="n">
        <v>88724</v>
      </c>
      <c r="H75" s="35" t="n">
        <v>0.00784034212401985</v>
      </c>
      <c r="I75" s="35" t="n">
        <v>-0.6</v>
      </c>
      <c r="J75" s="30" t="n">
        <v>14748.5</v>
      </c>
      <c r="K75" s="30" t="n">
        <v>15886</v>
      </c>
      <c r="L75" s="30" t="n">
        <v>17911.33333333333</v>
      </c>
      <c r="M75" s="35" t="n">
        <v>0.2800906617966594</v>
      </c>
      <c r="N75" s="35" t="n">
        <v>0.3574209086525132</v>
      </c>
      <c r="O75" s="35" t="n">
        <v>-0.05418060200668895</v>
      </c>
      <c r="P75" s="35" t="n">
        <v>-0.2183526810392482</v>
      </c>
      <c r="Q75" s="35" t="n">
        <v>-0.3392523364485981</v>
      </c>
      <c r="R75" s="35" t="n">
        <v>-0.04125843306098931</v>
      </c>
      <c r="S75" s="35" t="n">
        <v>-0.1099080951781443</v>
      </c>
      <c r="T75" s="35" t="n">
        <v>-0.2105557003014851</v>
      </c>
      <c r="U75" s="30" t="n">
        <v>24600</v>
      </c>
      <c r="V75" s="30" t="n">
        <v>13250</v>
      </c>
      <c r="W75" s="35" t="n">
        <v>-0.4252032520325203</v>
      </c>
      <c r="X75" s="35" t="n">
        <v>0.06716981132075461</v>
      </c>
      <c r="Y75" s="30" t="n">
        <v>20476584</v>
      </c>
      <c r="Z75" s="30" t="n">
        <v>289538897760</v>
      </c>
      <c r="AA75" s="30" t="n">
        <v>1254557360</v>
      </c>
      <c r="AB75" s="30" t="n">
        <v>676395493</v>
      </c>
      <c r="AC75" s="35" t="n">
        <v>0.004332949284900254</v>
      </c>
      <c r="AD75" s="24" t="inlineStr">
        <is>
          <t>yfinance_download</t>
        </is>
      </c>
      <c r="AE75" s="24" t="inlineStr">
        <is>
          <t>317330.KQ</t>
        </is>
      </c>
    </row>
    <row r="76" ht="24" customHeight="1">
      <c r="A76" s="29" t="inlineStr">
        <is>
          <t>2023-09-22</t>
        </is>
      </c>
      <c r="B76" s="31" t="n">
        <v>13870</v>
      </c>
      <c r="C76" s="31" t="n">
        <v>14230</v>
      </c>
      <c r="D76" s="31" t="n">
        <v>13830</v>
      </c>
      <c r="E76" s="31" t="n">
        <v>14020</v>
      </c>
      <c r="F76" s="31" t="n">
        <v>14020</v>
      </c>
      <c r="G76" s="31" t="n">
        <v>37378</v>
      </c>
      <c r="H76" s="36" t="n">
        <v>-0.008486562942008447</v>
      </c>
      <c r="I76" s="36" t="n">
        <v>-0.6033946251768034</v>
      </c>
      <c r="J76" s="31" t="n">
        <v>14714</v>
      </c>
      <c r="K76" s="31" t="n">
        <v>15821.16666666667</v>
      </c>
      <c r="L76" s="31" t="n">
        <v>17854.83333333333</v>
      </c>
      <c r="M76" s="36" t="n">
        <v>0.2765476310843911</v>
      </c>
      <c r="N76" s="36" t="n">
        <v>0.3573267369345043</v>
      </c>
      <c r="O76" s="36" t="n">
        <v>-0.04690686607749828</v>
      </c>
      <c r="P76" s="36" t="n">
        <v>-0.2171970965940815</v>
      </c>
      <c r="Q76" s="36" t="n">
        <v>-0.3259615384615384</v>
      </c>
      <c r="R76" s="36" t="n">
        <v>-0.04716596438765797</v>
      </c>
      <c r="S76" s="36" t="n">
        <v>-0.1138453759204441</v>
      </c>
      <c r="T76" s="36" t="n">
        <v>-0.2147784446788451</v>
      </c>
      <c r="U76" s="31" t="n">
        <v>24600</v>
      </c>
      <c r="V76" s="31" t="n">
        <v>13250</v>
      </c>
      <c r="W76" s="36" t="n">
        <v>-0.4300813008130081</v>
      </c>
      <c r="X76" s="36" t="n">
        <v>0.05811320754716975</v>
      </c>
      <c r="Y76" s="31" t="n">
        <v>20476584</v>
      </c>
      <c r="Z76" s="31" t="n">
        <v>287081707680</v>
      </c>
      <c r="AA76" s="31" t="n">
        <v>524039560</v>
      </c>
      <c r="AB76" s="31" t="n">
        <v>681985819</v>
      </c>
      <c r="AC76" s="36" t="n">
        <v>0.001825402127620505</v>
      </c>
      <c r="AD76" s="29" t="inlineStr">
        <is>
          <t>yfinance_download</t>
        </is>
      </c>
      <c r="AE76" s="29" t="inlineStr">
        <is>
          <t>317330.KQ</t>
        </is>
      </c>
    </row>
    <row r="77" ht="24" customHeight="1">
      <c r="A77" s="24" t="inlineStr">
        <is>
          <t>2023-09-25</t>
        </is>
      </c>
      <c r="B77" s="30" t="n">
        <v>13840</v>
      </c>
      <c r="C77" s="30" t="n">
        <v>14480</v>
      </c>
      <c r="D77" s="30" t="n">
        <v>13840</v>
      </c>
      <c r="E77" s="30" t="n">
        <v>14150</v>
      </c>
      <c r="F77" s="30" t="n">
        <v>14150</v>
      </c>
      <c r="G77" s="30" t="n">
        <v>46363</v>
      </c>
      <c r="H77" s="35" t="n">
        <v>0.009272467902995629</v>
      </c>
      <c r="I77" s="35" t="n">
        <v>-0.5997171145685998</v>
      </c>
      <c r="J77" s="30" t="n">
        <v>14679.5</v>
      </c>
      <c r="K77" s="30" t="n">
        <v>15759.5</v>
      </c>
      <c r="L77" s="30" t="n">
        <v>17810.16666666667</v>
      </c>
      <c r="M77" s="35" t="n">
        <v>0.2767832370756449</v>
      </c>
      <c r="N77" s="35" t="n">
        <v>0.3583330340862556</v>
      </c>
      <c r="O77" s="35" t="n">
        <v>-0.04649595687331531</v>
      </c>
      <c r="P77" s="35" t="n">
        <v>-0.2072829131652661</v>
      </c>
      <c r="Q77" s="35" t="n">
        <v>-0.2747309072270631</v>
      </c>
      <c r="R77" s="35" t="n">
        <v>-0.03607071085527436</v>
      </c>
      <c r="S77" s="35" t="n">
        <v>-0.1021288746470383</v>
      </c>
      <c r="T77" s="35" t="n">
        <v>-0.2055099615388215</v>
      </c>
      <c r="U77" s="30" t="n">
        <v>24600</v>
      </c>
      <c r="V77" s="30" t="n">
        <v>13250</v>
      </c>
      <c r="W77" s="35" t="n">
        <v>-0.4247967479674797</v>
      </c>
      <c r="X77" s="35" t="n">
        <v>0.06792452830188678</v>
      </c>
      <c r="Y77" s="30" t="n">
        <v>20476584</v>
      </c>
      <c r="Z77" s="30" t="n">
        <v>289743663600</v>
      </c>
      <c r="AA77" s="30" t="n">
        <v>656036450</v>
      </c>
      <c r="AB77" s="30" t="n">
        <v>686574575.5</v>
      </c>
      <c r="AC77" s="35" t="n">
        <v>0.002264196020195556</v>
      </c>
      <c r="AD77" s="24" t="inlineStr">
        <is>
          <t>yfinance_download</t>
        </is>
      </c>
      <c r="AE77" s="24" t="inlineStr">
        <is>
          <t>317330.KQ</t>
        </is>
      </c>
    </row>
    <row r="78" ht="24" customHeight="1">
      <c r="A78" s="29" t="inlineStr">
        <is>
          <t>2023-09-26</t>
        </is>
      </c>
      <c r="B78" s="31" t="n">
        <v>14070</v>
      </c>
      <c r="C78" s="31" t="n">
        <v>14290</v>
      </c>
      <c r="D78" s="31" t="n">
        <v>14030</v>
      </c>
      <c r="E78" s="31" t="n">
        <v>14040</v>
      </c>
      <c r="F78" s="31" t="n">
        <v>14040</v>
      </c>
      <c r="G78" s="31" t="n">
        <v>48552</v>
      </c>
      <c r="H78" s="36" t="n">
        <v>-0.007773851590106018</v>
      </c>
      <c r="I78" s="36" t="n">
        <v>-0.6028288543140028</v>
      </c>
      <c r="J78" s="31" t="n">
        <v>14631</v>
      </c>
      <c r="K78" s="31" t="n">
        <v>15699.66666666667</v>
      </c>
      <c r="L78" s="31" t="n">
        <v>17764</v>
      </c>
      <c r="M78" s="36" t="n">
        <v>0.2725534419861204</v>
      </c>
      <c r="N78" s="36" t="n">
        <v>0.3579816251316046</v>
      </c>
      <c r="O78" s="36" t="n">
        <v>-0.06462358427714854</v>
      </c>
      <c r="P78" s="36" t="n">
        <v>-0.2036301758366421</v>
      </c>
      <c r="Q78" s="36" t="n">
        <v>-0.2829417773237998</v>
      </c>
      <c r="R78" s="36" t="n">
        <v>-0.04039368464219806</v>
      </c>
      <c r="S78" s="36" t="n">
        <v>-0.1057134971018493</v>
      </c>
      <c r="T78" s="36" t="n">
        <v>-0.2096374690385049</v>
      </c>
      <c r="U78" s="31" t="n">
        <v>24600</v>
      </c>
      <c r="V78" s="31" t="n">
        <v>13250</v>
      </c>
      <c r="W78" s="36" t="n">
        <v>-0.4292682926829269</v>
      </c>
      <c r="X78" s="36" t="n">
        <v>0.05962264150943386</v>
      </c>
      <c r="Y78" s="31" t="n">
        <v>20476584</v>
      </c>
      <c r="Z78" s="31" t="n">
        <v>287491239360</v>
      </c>
      <c r="AA78" s="31" t="n">
        <v>681670080</v>
      </c>
      <c r="AB78" s="31" t="n">
        <v>692433275.5</v>
      </c>
      <c r="AC78" s="36" t="n">
        <v>0.002371098616839606</v>
      </c>
      <c r="AD78" s="29" t="inlineStr">
        <is>
          <t>yfinance_download</t>
        </is>
      </c>
      <c r="AE78" s="29" t="inlineStr">
        <is>
          <t>317330.KQ</t>
        </is>
      </c>
    </row>
    <row r="79" ht="24" customHeight="1">
      <c r="A79" s="24" t="inlineStr">
        <is>
          <t>2023-09-27</t>
        </is>
      </c>
      <c r="B79" s="30" t="n">
        <v>13680</v>
      </c>
      <c r="C79" s="30" t="n">
        <v>14540</v>
      </c>
      <c r="D79" s="30" t="n">
        <v>13680</v>
      </c>
      <c r="E79" s="30" t="n">
        <v>14470</v>
      </c>
      <c r="F79" s="30" t="n">
        <v>14470</v>
      </c>
      <c r="G79" s="30" t="n">
        <v>54718</v>
      </c>
      <c r="H79" s="35" t="n">
        <v>0.03062678062678059</v>
      </c>
      <c r="I79" s="35" t="n">
        <v>-0.5906647807637906</v>
      </c>
      <c r="J79" s="30" t="n">
        <v>14595</v>
      </c>
      <c r="K79" s="30" t="n">
        <v>15635.33333333333</v>
      </c>
      <c r="L79" s="30" t="n">
        <v>17728</v>
      </c>
      <c r="M79" s="35" t="n">
        <v>0.2935438623780582</v>
      </c>
      <c r="N79" s="35" t="n">
        <v>0.353756400914402</v>
      </c>
      <c r="O79" s="35" t="n">
        <v>-0.04739960500329166</v>
      </c>
      <c r="P79" s="35" t="n">
        <v>-0.2105837424986361</v>
      </c>
      <c r="Q79" s="35" t="n">
        <v>-0.2299095263437999</v>
      </c>
      <c r="R79" s="35" t="n">
        <v>-0.008564576909900645</v>
      </c>
      <c r="S79" s="35" t="n">
        <v>-0.07453204280902237</v>
      </c>
      <c r="T79" s="35" t="n">
        <v>-0.1837770758122743</v>
      </c>
      <c r="U79" s="30" t="n">
        <v>24600</v>
      </c>
      <c r="V79" s="30" t="n">
        <v>13250</v>
      </c>
      <c r="W79" s="35" t="n">
        <v>-0.4117886178861788</v>
      </c>
      <c r="X79" s="35" t="n">
        <v>0.09207547169811314</v>
      </c>
      <c r="Y79" s="30" t="n">
        <v>20476584</v>
      </c>
      <c r="Z79" s="30" t="n">
        <v>296296170480</v>
      </c>
      <c r="AA79" s="30" t="n">
        <v>791769460</v>
      </c>
      <c r="AB79" s="30" t="n">
        <v>703394674.5</v>
      </c>
      <c r="AC79" s="35" t="n">
        <v>0.002672223062206079</v>
      </c>
      <c r="AD79" s="24" t="inlineStr">
        <is>
          <t>yfinance_download</t>
        </is>
      </c>
      <c r="AE79" s="24" t="inlineStr">
        <is>
          <t>317330.KQ</t>
        </is>
      </c>
    </row>
    <row r="80" ht="24" customHeight="1">
      <c r="A80" s="29" t="inlineStr">
        <is>
          <t>2023-10-04</t>
        </is>
      </c>
      <c r="B80" s="31" t="n">
        <v>14470</v>
      </c>
      <c r="C80" s="31" t="n">
        <v>14600</v>
      </c>
      <c r="D80" s="31" t="n">
        <v>14110</v>
      </c>
      <c r="E80" s="31" t="n">
        <v>14490</v>
      </c>
      <c r="F80" s="31" t="n">
        <v>14490</v>
      </c>
      <c r="G80" s="31" t="n">
        <v>52013</v>
      </c>
      <c r="H80" s="36" t="n">
        <v>0.001382170006910766</v>
      </c>
      <c r="I80" s="36" t="n">
        <v>-0.5900990099009902</v>
      </c>
      <c r="J80" s="31" t="n">
        <v>14565</v>
      </c>
      <c r="K80" s="31" t="n">
        <v>15561.16666666667</v>
      </c>
      <c r="L80" s="31" t="n">
        <v>17686.83333333333</v>
      </c>
      <c r="M80" s="36" t="n">
        <v>0.2933508034672809</v>
      </c>
      <c r="N80" s="36" t="n">
        <v>0.3454623044506171</v>
      </c>
      <c r="O80" s="36" t="n">
        <v>-0.03976143141153077</v>
      </c>
      <c r="P80" s="36" t="n">
        <v>-0.2349524815205913</v>
      </c>
      <c r="Q80" s="36" t="n">
        <v>-0.2542460113226969</v>
      </c>
      <c r="R80" s="36" t="n">
        <v>-0.005149330587023715</v>
      </c>
      <c r="S80" s="36" t="n">
        <v>-0.06883588419891395</v>
      </c>
      <c r="T80" s="36" t="n">
        <v>-0.1807465063465289</v>
      </c>
      <c r="U80" s="31" t="n">
        <v>24600</v>
      </c>
      <c r="V80" s="31" t="n">
        <v>13250</v>
      </c>
      <c r="W80" s="36" t="n">
        <v>-0.4109756097560976</v>
      </c>
      <c r="X80" s="36" t="n">
        <v>0.09358490566037725</v>
      </c>
      <c r="Y80" s="31" t="n">
        <v>20476584</v>
      </c>
      <c r="Z80" s="31" t="n">
        <v>296705702160</v>
      </c>
      <c r="AA80" s="31" t="n">
        <v>753668370</v>
      </c>
      <c r="AB80" s="31" t="n">
        <v>713669371.5</v>
      </c>
      <c r="AC80" s="36" t="n">
        <v>0.002540120949861559</v>
      </c>
      <c r="AD80" s="29" t="inlineStr">
        <is>
          <t>yfinance_download</t>
        </is>
      </c>
      <c r="AE80" s="29" t="inlineStr">
        <is>
          <t>317330.KQ</t>
        </is>
      </c>
    </row>
    <row r="81" ht="24" customHeight="1">
      <c r="A81" s="24" t="inlineStr">
        <is>
          <t>2023-10-05</t>
        </is>
      </c>
      <c r="B81" s="30" t="n">
        <v>14450</v>
      </c>
      <c r="C81" s="30" t="n">
        <v>15170</v>
      </c>
      <c r="D81" s="30" t="n">
        <v>14450</v>
      </c>
      <c r="E81" s="30" t="n">
        <v>14780</v>
      </c>
      <c r="F81" s="30" t="n">
        <v>14780</v>
      </c>
      <c r="G81" s="30" t="n">
        <v>76454</v>
      </c>
      <c r="H81" s="35" t="n">
        <v>0.0200138026224983</v>
      </c>
      <c r="I81" s="35" t="n">
        <v>-0.5818953323903819</v>
      </c>
      <c r="J81" s="30" t="n">
        <v>14522.5</v>
      </c>
      <c r="K81" s="30" t="n">
        <v>15487.33333333333</v>
      </c>
      <c r="L81" s="30" t="n">
        <v>17639.16666666667</v>
      </c>
      <c r="M81" s="35" t="n">
        <v>0.2709933392679941</v>
      </c>
      <c r="N81" s="35" t="n">
        <v>0.3469758547430598</v>
      </c>
      <c r="O81" s="35" t="n">
        <v>-0.05438259756877795</v>
      </c>
      <c r="P81" s="35" t="n">
        <v>-0.230609057782405</v>
      </c>
      <c r="Q81" s="35" t="n">
        <v>-0.2790243902439025</v>
      </c>
      <c r="R81" s="35" t="n">
        <v>0.01773110690308144</v>
      </c>
      <c r="S81" s="35" t="n">
        <v>-0.04567173173776418</v>
      </c>
      <c r="T81" s="35" t="n">
        <v>-0.16209193556007</v>
      </c>
      <c r="U81" s="30" t="n">
        <v>24600</v>
      </c>
      <c r="V81" s="30" t="n">
        <v>13250</v>
      </c>
      <c r="W81" s="35" t="n">
        <v>-0.3991869918699187</v>
      </c>
      <c r="X81" s="35" t="n">
        <v>0.1154716981132076</v>
      </c>
      <c r="Y81" s="30" t="n">
        <v>20476584</v>
      </c>
      <c r="Z81" s="30" t="n">
        <v>302643911520</v>
      </c>
      <c r="AA81" s="30" t="n">
        <v>1129990120</v>
      </c>
      <c r="AB81" s="30" t="n">
        <v>703110707</v>
      </c>
      <c r="AC81" s="35" t="n">
        <v>0.003733728242953024</v>
      </c>
      <c r="AD81" s="24" t="inlineStr">
        <is>
          <t>yfinance_download</t>
        </is>
      </c>
      <c r="AE81" s="24" t="inlineStr">
        <is>
          <t>317330.KQ</t>
        </is>
      </c>
    </row>
    <row r="82" ht="24" customHeight="1">
      <c r="A82" s="29" t="inlineStr">
        <is>
          <t>2023-10-06</t>
        </is>
      </c>
      <c r="B82" s="31" t="n">
        <v>14410</v>
      </c>
      <c r="C82" s="31" t="n">
        <v>15250</v>
      </c>
      <c r="D82" s="31" t="n">
        <v>14410</v>
      </c>
      <c r="E82" s="31" t="n">
        <v>15140</v>
      </c>
      <c r="F82" s="31" t="n">
        <v>15140</v>
      </c>
      <c r="G82" s="31" t="n">
        <v>60698</v>
      </c>
      <c r="H82" s="36" t="n">
        <v>0.02435723951285529</v>
      </c>
      <c r="I82" s="36" t="n">
        <v>-0.5717114568599717</v>
      </c>
      <c r="J82" s="31" t="n">
        <v>14511</v>
      </c>
      <c r="K82" s="31" t="n">
        <v>15435.66666666667</v>
      </c>
      <c r="L82" s="31" t="n">
        <v>17564.91666666667</v>
      </c>
      <c r="M82" s="36" t="n">
        <v>0.2817929604229649</v>
      </c>
      <c r="N82" s="36" t="n">
        <v>0.3380441724867244</v>
      </c>
      <c r="O82" s="36" t="n">
        <v>-0.01496421600520492</v>
      </c>
      <c r="P82" s="36" t="n">
        <v>-0.1699561403508771</v>
      </c>
      <c r="Q82" s="36" t="n">
        <v>-0.3704781704781704</v>
      </c>
      <c r="R82" s="36" t="n">
        <v>0.04334642684859769</v>
      </c>
      <c r="S82" s="36" t="n">
        <v>-0.0191547714168484</v>
      </c>
      <c r="T82" s="36" t="n">
        <v>-0.1380545500263309</v>
      </c>
      <c r="U82" s="31" t="n">
        <v>24600</v>
      </c>
      <c r="V82" s="31" t="n">
        <v>13250</v>
      </c>
      <c r="W82" s="36" t="n">
        <v>-0.3845528455284553</v>
      </c>
      <c r="X82" s="36" t="n">
        <v>0.1426415094339624</v>
      </c>
      <c r="Y82" s="31" t="n">
        <v>20476584</v>
      </c>
      <c r="Z82" s="31" t="n">
        <v>310015481760</v>
      </c>
      <c r="AA82" s="31" t="n">
        <v>918967720</v>
      </c>
      <c r="AB82" s="31" t="n">
        <v>714730198</v>
      </c>
      <c r="AC82" s="36" t="n">
        <v>0.002964263961215406</v>
      </c>
      <c r="AD82" s="29" t="inlineStr">
        <is>
          <t>yfinance_download</t>
        </is>
      </c>
      <c r="AE82" s="29" t="inlineStr">
        <is>
          <t>317330.KQ</t>
        </is>
      </c>
    </row>
    <row r="83" ht="24" customHeight="1">
      <c r="A83" s="24" t="inlineStr">
        <is>
          <t>2023-10-10</t>
        </is>
      </c>
      <c r="B83" s="30" t="n">
        <v>15220</v>
      </c>
      <c r="C83" s="30" t="n">
        <v>16240</v>
      </c>
      <c r="D83" s="30" t="n">
        <v>14970</v>
      </c>
      <c r="E83" s="30" t="n">
        <v>15250</v>
      </c>
      <c r="F83" s="30" t="n">
        <v>15250</v>
      </c>
      <c r="G83" s="30" t="n">
        <v>205399</v>
      </c>
      <c r="H83" s="35" t="n">
        <v>0.007265521796565366</v>
      </c>
      <c r="I83" s="35" t="n">
        <v>-0.5685997171145686</v>
      </c>
      <c r="J83" s="30" t="n">
        <v>14505.5</v>
      </c>
      <c r="K83" s="30" t="n">
        <v>15392.83333333333</v>
      </c>
      <c r="L83" s="30" t="n">
        <v>17487</v>
      </c>
      <c r="M83" s="35" t="n">
        <v>0.2831732644918132</v>
      </c>
      <c r="N83" s="35" t="n">
        <v>0.3360262100257055</v>
      </c>
      <c r="O83" s="35" t="n">
        <v>-0.00716145833333337</v>
      </c>
      <c r="P83" s="35" t="n">
        <v>-0.1442199775533108</v>
      </c>
      <c r="Q83" s="35" t="n">
        <v>-0.3800813008130082</v>
      </c>
      <c r="R83" s="35" t="n">
        <v>0.05132535934645488</v>
      </c>
      <c r="S83" s="35" t="n">
        <v>-0.009279210021979956</v>
      </c>
      <c r="T83" s="35" t="n">
        <v>-0.1279236003888603</v>
      </c>
      <c r="U83" s="30" t="n">
        <v>24600</v>
      </c>
      <c r="V83" s="30" t="n">
        <v>13250</v>
      </c>
      <c r="W83" s="35" t="n">
        <v>-0.3800813008130082</v>
      </c>
      <c r="X83" s="35" t="n">
        <v>0.1509433962264151</v>
      </c>
      <c r="Y83" s="30" t="n">
        <v>20476584</v>
      </c>
      <c r="Z83" s="30" t="n">
        <v>312267906000</v>
      </c>
      <c r="AA83" s="30" t="n">
        <v>3132334750</v>
      </c>
      <c r="AB83" s="30" t="n">
        <v>849104887.5</v>
      </c>
      <c r="AC83" s="35" t="n">
        <v>0.01003092117318006</v>
      </c>
      <c r="AD83" s="24" t="inlineStr">
        <is>
          <t>yfinance_download</t>
        </is>
      </c>
      <c r="AE83" s="24" t="inlineStr">
        <is>
          <t>317330.KQ</t>
        </is>
      </c>
    </row>
    <row r="84" ht="24" customHeight="1">
      <c r="A84" s="29" t="inlineStr">
        <is>
          <t>2023-10-11</t>
        </is>
      </c>
      <c r="B84" s="31" t="n">
        <v>15250</v>
      </c>
      <c r="C84" s="31" t="n">
        <v>15870</v>
      </c>
      <c r="D84" s="31" t="n">
        <v>15250</v>
      </c>
      <c r="E84" s="31" t="n">
        <v>15340</v>
      </c>
      <c r="F84" s="31" t="n">
        <v>15340</v>
      </c>
      <c r="G84" s="31" t="n">
        <v>80872</v>
      </c>
      <c r="H84" s="36" t="n">
        <v>0.005901639344262355</v>
      </c>
      <c r="I84" s="36" t="n">
        <v>-0.5660537482319661</v>
      </c>
      <c r="J84" s="31" t="n">
        <v>14511</v>
      </c>
      <c r="K84" s="31" t="n">
        <v>15364.66666666667</v>
      </c>
      <c r="L84" s="31" t="n">
        <v>17412.75</v>
      </c>
      <c r="M84" s="36" t="n">
        <v>0.282208304643203</v>
      </c>
      <c r="N84" s="36" t="n">
        <v>0.324816764371479</v>
      </c>
      <c r="O84" s="36" t="n">
        <v>0.007222586999343417</v>
      </c>
      <c r="P84" s="36" t="n">
        <v>-0.0992366412213741</v>
      </c>
      <c r="Q84" s="36" t="n">
        <v>-0.3674226804123711</v>
      </c>
      <c r="R84" s="36" t="n">
        <v>0.05712907449521043</v>
      </c>
      <c r="S84" s="36" t="n">
        <v>-0.001605415021477818</v>
      </c>
      <c r="T84" s="36" t="n">
        <v>-0.1190363383153149</v>
      </c>
      <c r="U84" s="31" t="n">
        <v>24600</v>
      </c>
      <c r="V84" s="31" t="n">
        <v>13250</v>
      </c>
      <c r="W84" s="36" t="n">
        <v>-0.3764227642276423</v>
      </c>
      <c r="X84" s="36" t="n">
        <v>0.1577358490566039</v>
      </c>
      <c r="Y84" s="31" t="n">
        <v>20476584</v>
      </c>
      <c r="Z84" s="31" t="n">
        <v>314110798560</v>
      </c>
      <c r="AA84" s="31" t="n">
        <v>1240576480</v>
      </c>
      <c r="AB84" s="31" t="n">
        <v>887686365</v>
      </c>
      <c r="AC84" s="36" t="n">
        <v>0.003949486887070617</v>
      </c>
      <c r="AD84" s="29" t="inlineStr">
        <is>
          <t>yfinance_download</t>
        </is>
      </c>
      <c r="AE84" s="29" t="inlineStr">
        <is>
          <t>317330.KQ</t>
        </is>
      </c>
    </row>
    <row r="85" ht="24" customHeight="1">
      <c r="A85" s="24" t="inlineStr">
        <is>
          <t>2023-10-12</t>
        </is>
      </c>
      <c r="B85" s="30" t="n">
        <v>15350</v>
      </c>
      <c r="C85" s="30" t="n">
        <v>16180</v>
      </c>
      <c r="D85" s="30" t="n">
        <v>15350</v>
      </c>
      <c r="E85" s="30" t="n">
        <v>16000</v>
      </c>
      <c r="F85" s="30" t="n">
        <v>16000</v>
      </c>
      <c r="G85" s="30" t="n">
        <v>82652</v>
      </c>
      <c r="H85" s="35" t="n">
        <v>0.0430247718383312</v>
      </c>
      <c r="I85" s="35" t="n">
        <v>-0.5473833097595474</v>
      </c>
      <c r="J85" s="30" t="n">
        <v>14546</v>
      </c>
      <c r="K85" s="30" t="n">
        <v>15339</v>
      </c>
      <c r="L85" s="30" t="n">
        <v>17350.66666666667</v>
      </c>
      <c r="M85" s="35" t="n">
        <v>0.3200219887175383</v>
      </c>
      <c r="N85" s="35" t="n">
        <v>0.3312719678571612</v>
      </c>
      <c r="O85" s="35" t="n">
        <v>0.04575163398692816</v>
      </c>
      <c r="P85" s="35" t="n">
        <v>-0.08779931584948686</v>
      </c>
      <c r="Q85" s="35" t="n">
        <v>-0.3176972281449894</v>
      </c>
      <c r="R85" s="35" t="n">
        <v>0.09995875154681699</v>
      </c>
      <c r="S85" s="35" t="n">
        <v>0.04309277006323753</v>
      </c>
      <c r="T85" s="35" t="n">
        <v>-0.07784523169138557</v>
      </c>
      <c r="U85" s="30" t="n">
        <v>24600</v>
      </c>
      <c r="V85" s="30" t="n">
        <v>13250</v>
      </c>
      <c r="W85" s="35" t="n">
        <v>-0.3495934959349594</v>
      </c>
      <c r="X85" s="35" t="n">
        <v>0.2075471698113207</v>
      </c>
      <c r="Y85" s="30" t="n">
        <v>20476584</v>
      </c>
      <c r="Z85" s="30" t="n">
        <v>327625344000</v>
      </c>
      <c r="AA85" s="30" t="n">
        <v>1322432000</v>
      </c>
      <c r="AB85" s="30" t="n">
        <v>930225310</v>
      </c>
      <c r="AC85" s="35" t="n">
        <v>0.004036415448983092</v>
      </c>
      <c r="AD85" s="24" t="inlineStr">
        <is>
          <t>yfinance_download</t>
        </is>
      </c>
      <c r="AE85" s="24" t="inlineStr">
        <is>
          <t>317330.KQ</t>
        </is>
      </c>
    </row>
    <row r="86" ht="24" customHeight="1">
      <c r="A86" s="29" t="inlineStr">
        <is>
          <t>2023-10-13</t>
        </is>
      </c>
      <c r="B86" s="31" t="n">
        <v>16000</v>
      </c>
      <c r="C86" s="31" t="n">
        <v>16100</v>
      </c>
      <c r="D86" s="31" t="n">
        <v>15800</v>
      </c>
      <c r="E86" s="31" t="n">
        <v>15880</v>
      </c>
      <c r="F86" s="31" t="n">
        <v>15880</v>
      </c>
      <c r="G86" s="31" t="n">
        <v>36599</v>
      </c>
      <c r="H86" s="36" t="n">
        <v>-0.007499999999999951</v>
      </c>
      <c r="I86" s="36" t="n">
        <v>-0.5507779349363509</v>
      </c>
      <c r="J86" s="31" t="n">
        <v>14593</v>
      </c>
      <c r="K86" s="31" t="n">
        <v>15308.33333333333</v>
      </c>
      <c r="L86" s="31" t="n">
        <v>17280.5</v>
      </c>
      <c r="M86" s="36" t="n">
        <v>0.3075922591425265</v>
      </c>
      <c r="N86" s="36" t="n">
        <v>0.330619732996538</v>
      </c>
      <c r="O86" s="36" t="n">
        <v>0.06291834002677366</v>
      </c>
      <c r="P86" s="36" t="n">
        <v>-0.1038374717832957</v>
      </c>
      <c r="Q86" s="36" t="n">
        <v>-0.3465020576131688</v>
      </c>
      <c r="R86" s="36" t="n">
        <v>0.08819296923182351</v>
      </c>
      <c r="S86" s="36" t="n">
        <v>0.03734349482852473</v>
      </c>
      <c r="T86" s="36" t="n">
        <v>-0.08104510864847658</v>
      </c>
      <c r="U86" s="31" t="n">
        <v>24600</v>
      </c>
      <c r="V86" s="31" t="n">
        <v>13250</v>
      </c>
      <c r="W86" s="36" t="n">
        <v>-0.3544715447154472</v>
      </c>
      <c r="X86" s="36" t="n">
        <v>0.1984905660377358</v>
      </c>
      <c r="Y86" s="31" t="n">
        <v>20476584</v>
      </c>
      <c r="Z86" s="31" t="n">
        <v>325168153920</v>
      </c>
      <c r="AA86" s="31" t="n">
        <v>581192120</v>
      </c>
      <c r="AB86" s="31" t="n">
        <v>911644991</v>
      </c>
      <c r="AC86" s="36" t="n">
        <v>0.001787358672716113</v>
      </c>
      <c r="AD86" s="29" t="inlineStr">
        <is>
          <t>yfinance_download</t>
        </is>
      </c>
      <c r="AE86" s="29" t="inlineStr">
        <is>
          <t>317330.KQ</t>
        </is>
      </c>
    </row>
    <row r="87" ht="24" customHeight="1">
      <c r="A87" s="24" t="inlineStr">
        <is>
          <t>2023-10-16</t>
        </is>
      </c>
      <c r="B87" s="30" t="n">
        <v>16510</v>
      </c>
      <c r="C87" s="30" t="n">
        <v>18250</v>
      </c>
      <c r="D87" s="30" t="n">
        <v>16260</v>
      </c>
      <c r="E87" s="30" t="n">
        <v>18210</v>
      </c>
      <c r="F87" s="30" t="n">
        <v>18210</v>
      </c>
      <c r="G87" s="30" t="n">
        <v>1342607</v>
      </c>
      <c r="H87" s="35" t="n">
        <v>0.1467254408060454</v>
      </c>
      <c r="I87" s="35" t="n">
        <v>-0.4848656294200848</v>
      </c>
      <c r="J87" s="30" t="n">
        <v>14772</v>
      </c>
      <c r="K87" s="30" t="n">
        <v>15319.83333333333</v>
      </c>
      <c r="L87" s="30" t="n">
        <v>17232.66666666667</v>
      </c>
      <c r="M87" s="35" t="n">
        <v>0.5843582587180168</v>
      </c>
      <c r="N87" s="35" t="n">
        <v>0.4484590964241807</v>
      </c>
      <c r="O87" s="35" t="n">
        <v>0.2447026657552973</v>
      </c>
      <c r="P87" s="35" t="n">
        <v>0.03938356164383561</v>
      </c>
      <c r="Q87" s="35" t="n">
        <v>-0.2396659707724426</v>
      </c>
      <c r="R87" s="35" t="n">
        <v>0.2327376116978066</v>
      </c>
      <c r="S87" s="35" t="n">
        <v>0.1886552290603682</v>
      </c>
      <c r="T87" s="35" t="n">
        <v>0.05671399280436362</v>
      </c>
      <c r="U87" s="30" t="n">
        <v>24600</v>
      </c>
      <c r="V87" s="30" t="n">
        <v>13250</v>
      </c>
      <c r="W87" s="35" t="n">
        <v>-0.2597560975609756</v>
      </c>
      <c r="X87" s="35" t="n">
        <v>0.3743396226415094</v>
      </c>
      <c r="Y87" s="30" t="n">
        <v>20476584</v>
      </c>
      <c r="Z87" s="30" t="n">
        <v>372878594640</v>
      </c>
      <c r="AA87" s="30" t="n">
        <v>24448873470</v>
      </c>
      <c r="AB87" s="30" t="n">
        <v>2105541145.5</v>
      </c>
      <c r="AC87" s="35" t="n">
        <v>0.06556791894585542</v>
      </c>
      <c r="AD87" s="24" t="inlineStr">
        <is>
          <t>yfinance_download</t>
        </is>
      </c>
      <c r="AE87" s="24" t="inlineStr">
        <is>
          <t>317330.KQ</t>
        </is>
      </c>
    </row>
    <row r="88" ht="24" customHeight="1">
      <c r="A88" s="29" t="inlineStr">
        <is>
          <t>2023-10-17</t>
        </is>
      </c>
      <c r="B88" s="31" t="n">
        <v>18450</v>
      </c>
      <c r="C88" s="31" t="n">
        <v>18490</v>
      </c>
      <c r="D88" s="31" t="n">
        <v>17730</v>
      </c>
      <c r="E88" s="31" t="n">
        <v>17980</v>
      </c>
      <c r="F88" s="31" t="n">
        <v>17980</v>
      </c>
      <c r="G88" s="31" t="n">
        <v>404016</v>
      </c>
      <c r="H88" s="36" t="n">
        <v>-0.01263042284459093</v>
      </c>
      <c r="I88" s="36" t="n">
        <v>-0.4913719943422914</v>
      </c>
      <c r="J88" s="31" t="n">
        <v>14955.5</v>
      </c>
      <c r="K88" s="31" t="n">
        <v>15323.33333333333</v>
      </c>
      <c r="L88" s="31" t="n">
        <v>17190</v>
      </c>
      <c r="M88" s="36" t="n">
        <v>0.5782238477500283</v>
      </c>
      <c r="N88" s="36" t="n">
        <v>0.4484534033889297</v>
      </c>
      <c r="O88" s="36" t="n">
        <v>0.2564640111809924</v>
      </c>
      <c r="P88" s="36" t="n">
        <v>0.011817670230726</v>
      </c>
      <c r="Q88" s="36" t="n">
        <v>-0.2216450216450216</v>
      </c>
      <c r="R88" s="36" t="n">
        <v>0.2022332920998964</v>
      </c>
      <c r="S88" s="36" t="n">
        <v>0.1733739395257776</v>
      </c>
      <c r="T88" s="36" t="n">
        <v>0.04595695171611403</v>
      </c>
      <c r="U88" s="31" t="n">
        <v>24600</v>
      </c>
      <c r="V88" s="31" t="n">
        <v>13250</v>
      </c>
      <c r="W88" s="36" t="n">
        <v>-0.2691056910569106</v>
      </c>
      <c r="X88" s="36" t="n">
        <v>0.3569811320754717</v>
      </c>
      <c r="Y88" s="31" t="n">
        <v>20476584</v>
      </c>
      <c r="Z88" s="31" t="n">
        <v>368168980320</v>
      </c>
      <c r="AA88" s="31" t="n">
        <v>7264207680</v>
      </c>
      <c r="AB88" s="31" t="n">
        <v>2428561179</v>
      </c>
      <c r="AC88" s="36" t="n">
        <v>0.01973063475821944</v>
      </c>
      <c r="AD88" s="29" t="inlineStr">
        <is>
          <t>yfinance_download</t>
        </is>
      </c>
      <c r="AE88" s="29" t="inlineStr">
        <is>
          <t>317330.KQ</t>
        </is>
      </c>
    </row>
    <row r="89" ht="24" customHeight="1">
      <c r="A89" s="24" t="inlineStr">
        <is>
          <t>2023-10-18</t>
        </is>
      </c>
      <c r="B89" s="30" t="n">
        <v>19590</v>
      </c>
      <c r="C89" s="30" t="n">
        <v>20550</v>
      </c>
      <c r="D89" s="30" t="n">
        <v>18810</v>
      </c>
      <c r="E89" s="30" t="n">
        <v>19150</v>
      </c>
      <c r="F89" s="30" t="n">
        <v>19150</v>
      </c>
      <c r="G89" s="30" t="n">
        <v>1513515</v>
      </c>
      <c r="H89" s="35" t="n">
        <v>0.06507230255839813</v>
      </c>
      <c r="I89" s="35" t="n">
        <v>-0.4582743988684582</v>
      </c>
      <c r="J89" s="30" t="n">
        <v>15213.5</v>
      </c>
      <c r="K89" s="30" t="n">
        <v>15343.33333333333</v>
      </c>
      <c r="L89" s="30" t="n">
        <v>17162.91666666667</v>
      </c>
      <c r="M89" s="35" t="n">
        <v>0.5922932822683512</v>
      </c>
      <c r="N89" s="35" t="n">
        <v>0.4671983144621111</v>
      </c>
      <c r="O89" s="35" t="n">
        <v>0.3688348820586134</v>
      </c>
      <c r="P89" s="35" t="n">
        <v>0.06685236768802238</v>
      </c>
      <c r="Q89" s="35" t="n">
        <v>-0.1450892857142857</v>
      </c>
      <c r="R89" s="35" t="n">
        <v>0.258750451901272</v>
      </c>
      <c r="S89" s="35" t="n">
        <v>0.2480990658266347</v>
      </c>
      <c r="T89" s="35" t="n">
        <v>0.1157777184336384</v>
      </c>
      <c r="U89" s="30" t="n">
        <v>24600</v>
      </c>
      <c r="V89" s="30" t="n">
        <v>13250</v>
      </c>
      <c r="W89" s="35" t="n">
        <v>-0.2215447154471545</v>
      </c>
      <c r="X89" s="35" t="n">
        <v>0.4452830188679244</v>
      </c>
      <c r="Y89" s="30" t="n">
        <v>20476584</v>
      </c>
      <c r="Z89" s="30" t="n">
        <v>392126583600</v>
      </c>
      <c r="AA89" s="30" t="n">
        <v>28983812250</v>
      </c>
      <c r="AB89" s="30" t="n">
        <v>3832438181.5</v>
      </c>
      <c r="AC89" s="35" t="n">
        <v>0.0739144283050337</v>
      </c>
      <c r="AD89" s="24" t="inlineStr">
        <is>
          <t>yfinance_download</t>
        </is>
      </c>
      <c r="AE89" s="24" t="inlineStr">
        <is>
          <t>317330.KQ</t>
        </is>
      </c>
    </row>
    <row r="90" ht="24" customHeight="1">
      <c r="A90" s="29" t="inlineStr">
        <is>
          <t>2023-10-19</t>
        </is>
      </c>
      <c r="B90" s="31" t="n">
        <v>19060</v>
      </c>
      <c r="C90" s="31" t="n">
        <v>19590</v>
      </c>
      <c r="D90" s="31" t="n">
        <v>18510</v>
      </c>
      <c r="E90" s="31" t="n">
        <v>19150</v>
      </c>
      <c r="F90" s="31" t="n">
        <v>19150</v>
      </c>
      <c r="G90" s="31" t="n">
        <v>422036</v>
      </c>
      <c r="H90" s="36" t="n">
        <v>0</v>
      </c>
      <c r="I90" s="36" t="n">
        <v>-0.4582743988684582</v>
      </c>
      <c r="J90" s="31" t="n">
        <v>15456</v>
      </c>
      <c r="K90" s="31" t="n">
        <v>15372.66666666667</v>
      </c>
      <c r="L90" s="31" t="n">
        <v>17123.75</v>
      </c>
      <c r="M90" s="36" t="n">
        <v>0.5946737650020248</v>
      </c>
      <c r="N90" s="36" t="n">
        <v>0.4622240305332573</v>
      </c>
      <c r="O90" s="36" t="n">
        <v>0.3391608391608392</v>
      </c>
      <c r="P90" s="36" t="n">
        <v>0.1012075905692926</v>
      </c>
      <c r="Q90" s="36" t="n">
        <v>-0.1970649895178197</v>
      </c>
      <c r="R90" s="36" t="n">
        <v>0.2390010351966874</v>
      </c>
      <c r="S90" s="36" t="n">
        <v>0.245717507263975</v>
      </c>
      <c r="T90" s="36" t="n">
        <v>0.1183298050952624</v>
      </c>
      <c r="U90" s="31" t="n">
        <v>24600</v>
      </c>
      <c r="V90" s="31" t="n">
        <v>13250</v>
      </c>
      <c r="W90" s="36" t="n">
        <v>-0.2215447154471545</v>
      </c>
      <c r="X90" s="36" t="n">
        <v>0.4452830188679244</v>
      </c>
      <c r="Y90" s="31" t="n">
        <v>20476584</v>
      </c>
      <c r="Z90" s="31" t="n">
        <v>392126583600</v>
      </c>
      <c r="AA90" s="31" t="n">
        <v>8081989400</v>
      </c>
      <c r="AB90" s="31" t="n">
        <v>4215528091.5</v>
      </c>
      <c r="AC90" s="36" t="n">
        <v>0.0206106643569064</v>
      </c>
      <c r="AD90" s="29" t="inlineStr">
        <is>
          <t>yfinance_download</t>
        </is>
      </c>
      <c r="AE90" s="29" t="inlineStr">
        <is>
          <t>317330.KQ</t>
        </is>
      </c>
    </row>
    <row r="91" ht="24" customHeight="1">
      <c r="A91" s="24" t="inlineStr">
        <is>
          <t>2023-10-20</t>
        </is>
      </c>
      <c r="B91" s="30" t="n">
        <v>19030</v>
      </c>
      <c r="C91" s="30" t="n">
        <v>19090</v>
      </c>
      <c r="D91" s="30" t="n">
        <v>18210</v>
      </c>
      <c r="E91" s="30" t="n">
        <v>18540</v>
      </c>
      <c r="F91" s="30" t="n">
        <v>18540</v>
      </c>
      <c r="G91" s="30" t="n">
        <v>216155</v>
      </c>
      <c r="H91" s="35" t="n">
        <v>-0.03185378590078325</v>
      </c>
      <c r="I91" s="35" t="n">
        <v>-0.4755304101838755</v>
      </c>
      <c r="J91" s="30" t="n">
        <v>15653</v>
      </c>
      <c r="K91" s="30" t="n">
        <v>15390.5</v>
      </c>
      <c r="L91" s="30" t="n">
        <v>17087</v>
      </c>
      <c r="M91" s="35" t="n">
        <v>0.6171660422470638</v>
      </c>
      <c r="N91" s="35" t="n">
        <v>0.4673600591771743</v>
      </c>
      <c r="O91" s="35" t="n">
        <v>0.2698630136986302</v>
      </c>
      <c r="P91" s="35" t="n">
        <v>0.06124785346307959</v>
      </c>
      <c r="Q91" s="35" t="n">
        <v>-0.192156862745098</v>
      </c>
      <c r="R91" s="35" t="n">
        <v>0.1844374880214654</v>
      </c>
      <c r="S91" s="35" t="n">
        <v>0.2046392254962477</v>
      </c>
      <c r="T91" s="35" t="n">
        <v>0.08503540703458778</v>
      </c>
      <c r="U91" s="30" t="n">
        <v>24600</v>
      </c>
      <c r="V91" s="30" t="n">
        <v>13250</v>
      </c>
      <c r="W91" s="35" t="n">
        <v>-0.2463414634146341</v>
      </c>
      <c r="X91" s="35" t="n">
        <v>0.399245283018868</v>
      </c>
      <c r="Y91" s="30" t="n">
        <v>20476584</v>
      </c>
      <c r="Z91" s="30" t="n">
        <v>379635867360</v>
      </c>
      <c r="AA91" s="30" t="n">
        <v>4007513700</v>
      </c>
      <c r="AB91" s="30" t="n">
        <v>4371050386.5</v>
      </c>
      <c r="AC91" s="35" t="n">
        <v>0.01055620410123095</v>
      </c>
      <c r="AD91" s="24" t="inlineStr">
        <is>
          <t>yfinance_download</t>
        </is>
      </c>
      <c r="AE91" s="24" t="inlineStr">
        <is>
          <t>317330.KQ</t>
        </is>
      </c>
    </row>
    <row r="92" ht="24" customHeight="1">
      <c r="A92" s="29" t="inlineStr">
        <is>
          <t>2023-10-23</t>
        </is>
      </c>
      <c r="B92" s="31" t="n">
        <v>18040</v>
      </c>
      <c r="C92" s="31" t="n">
        <v>18240</v>
      </c>
      <c r="D92" s="31" t="n">
        <v>16850</v>
      </c>
      <c r="E92" s="31" t="n">
        <v>17090</v>
      </c>
      <c r="F92" s="31" t="n">
        <v>17090</v>
      </c>
      <c r="G92" s="31" t="n">
        <v>300050</v>
      </c>
      <c r="H92" s="36" t="n">
        <v>-0.07820927723840343</v>
      </c>
      <c r="I92" s="36" t="n">
        <v>-0.5165487977369165</v>
      </c>
      <c r="J92" s="31" t="n">
        <v>15794</v>
      </c>
      <c r="K92" s="31" t="n">
        <v>15390</v>
      </c>
      <c r="L92" s="31" t="n">
        <v>17032.33333333333</v>
      </c>
      <c r="M92" s="36" t="n">
        <v>0.6869596257556456</v>
      </c>
      <c r="N92" s="36" t="n">
        <v>0.4932464126597793</v>
      </c>
      <c r="O92" s="36" t="n">
        <v>0.1976173791170288</v>
      </c>
      <c r="P92" s="36" t="n">
        <v>-0.00175233644859818</v>
      </c>
      <c r="Q92" s="36" t="n">
        <v>-0.2773784355179704</v>
      </c>
      <c r="R92" s="36" t="n">
        <v>0.08205647714321884</v>
      </c>
      <c r="S92" s="36" t="n">
        <v>0.1104613385315141</v>
      </c>
      <c r="T92" s="36" t="n">
        <v>0.003385717361097607</v>
      </c>
      <c r="U92" s="31" t="n">
        <v>24600</v>
      </c>
      <c r="V92" s="31" t="n">
        <v>13250</v>
      </c>
      <c r="W92" s="36" t="n">
        <v>-0.3052845528455285</v>
      </c>
      <c r="X92" s="36" t="n">
        <v>0.2898113207547171</v>
      </c>
      <c r="Y92" s="31" t="n">
        <v>20476584</v>
      </c>
      <c r="Z92" s="31" t="n">
        <v>349944820560</v>
      </c>
      <c r="AA92" s="31" t="n">
        <v>5127854500</v>
      </c>
      <c r="AB92" s="31" t="n">
        <v>4595152955.5</v>
      </c>
      <c r="AC92" s="36" t="n">
        <v>0.01465332303474056</v>
      </c>
      <c r="AD92" s="29" t="inlineStr">
        <is>
          <t>yfinance_download</t>
        </is>
      </c>
      <c r="AE92" s="29" t="inlineStr">
        <is>
          <t>317330.KQ</t>
        </is>
      </c>
    </row>
    <row r="93" ht="24" customHeight="1">
      <c r="A93" s="24" t="inlineStr">
        <is>
          <t>2023-10-24</t>
        </is>
      </c>
      <c r="B93" s="30" t="n">
        <v>18340</v>
      </c>
      <c r="C93" s="30" t="n">
        <v>19600</v>
      </c>
      <c r="D93" s="30" t="n">
        <v>18080</v>
      </c>
      <c r="E93" s="30" t="n">
        <v>19600</v>
      </c>
      <c r="F93" s="30" t="n">
        <v>19600</v>
      </c>
      <c r="G93" s="30" t="n">
        <v>653593</v>
      </c>
      <c r="H93" s="35" t="n">
        <v>0.1468695143358689</v>
      </c>
      <c r="I93" s="35" t="n">
        <v>-0.4455445544554455</v>
      </c>
      <c r="J93" s="30" t="n">
        <v>16072.5</v>
      </c>
      <c r="K93" s="30" t="n">
        <v>15443.33333333333</v>
      </c>
      <c r="L93" s="30" t="n">
        <v>17006.5</v>
      </c>
      <c r="M93" s="35" t="n">
        <v>0.8327404013853094</v>
      </c>
      <c r="N93" s="35" t="n">
        <v>0.5697651771036061</v>
      </c>
      <c r="O93" s="35" t="n">
        <v>0.3970064148253742</v>
      </c>
      <c r="P93" s="35" t="n">
        <v>0.1951219512195121</v>
      </c>
      <c r="Q93" s="35" t="n">
        <v>-0.1365638766519823</v>
      </c>
      <c r="R93" s="35" t="n">
        <v>0.2194742572717374</v>
      </c>
      <c r="S93" s="35" t="n">
        <v>0.2691560543924023</v>
      </c>
      <c r="T93" s="35" t="n">
        <v>0.1525005145091582</v>
      </c>
      <c r="U93" s="30" t="n">
        <v>24600</v>
      </c>
      <c r="V93" s="30" t="n">
        <v>13250</v>
      </c>
      <c r="W93" s="35" t="n">
        <v>-0.2032520325203252</v>
      </c>
      <c r="X93" s="35" t="n">
        <v>0.4792452830188678</v>
      </c>
      <c r="Y93" s="30" t="n">
        <v>20476584</v>
      </c>
      <c r="Z93" s="30" t="n">
        <v>401341046400</v>
      </c>
      <c r="AA93" s="30" t="n">
        <v>12810422800</v>
      </c>
      <c r="AB93" s="30" t="n">
        <v>5209119514.5</v>
      </c>
      <c r="AC93" s="35" t="n">
        <v>0.03191904470003395</v>
      </c>
      <c r="AD93" s="24" t="inlineStr">
        <is>
          <t>yfinance_download</t>
        </is>
      </c>
      <c r="AE93" s="24" t="inlineStr">
        <is>
          <t>317330.KQ</t>
        </is>
      </c>
    </row>
    <row r="94" ht="24" customHeight="1">
      <c r="A94" s="29" t="inlineStr">
        <is>
          <t>2023-10-25</t>
        </is>
      </c>
      <c r="B94" s="31" t="n">
        <v>19600</v>
      </c>
      <c r="C94" s="31" t="n">
        <v>20150</v>
      </c>
      <c r="D94" s="31" t="n">
        <v>19060</v>
      </c>
      <c r="E94" s="31" t="n">
        <v>19180</v>
      </c>
      <c r="F94" s="31" t="n">
        <v>19180</v>
      </c>
      <c r="G94" s="31" t="n">
        <v>312635</v>
      </c>
      <c r="H94" s="36" t="n">
        <v>-0.02142857142857146</v>
      </c>
      <c r="I94" s="36" t="n">
        <v>-0.4574257425742574</v>
      </c>
      <c r="J94" s="31" t="n">
        <v>16330</v>
      </c>
      <c r="K94" s="31" t="n">
        <v>15496.33333333333</v>
      </c>
      <c r="L94" s="31" t="n">
        <v>16994.66666666667</v>
      </c>
      <c r="M94" s="36" t="n">
        <v>0.8423347405469838</v>
      </c>
      <c r="N94" s="36" t="n">
        <v>0.569176201516896</v>
      </c>
      <c r="O94" s="36" t="n">
        <v>0.3670705630791162</v>
      </c>
      <c r="P94" s="36" t="n">
        <v>0.19875</v>
      </c>
      <c r="Q94" s="36" t="n">
        <v>-0.06893203883495147</v>
      </c>
      <c r="R94" s="36" t="n">
        <v>0.1745254133496632</v>
      </c>
      <c r="S94" s="36" t="n">
        <v>0.2377121469594958</v>
      </c>
      <c r="T94" s="36" t="n">
        <v>0.1285893613682723</v>
      </c>
      <c r="U94" s="31" t="n">
        <v>24600</v>
      </c>
      <c r="V94" s="31" t="n">
        <v>13250</v>
      </c>
      <c r="W94" s="36" t="n">
        <v>-0.2203252032520325</v>
      </c>
      <c r="X94" s="36" t="n">
        <v>0.4475471698113207</v>
      </c>
      <c r="Y94" s="31" t="n">
        <v>20476584</v>
      </c>
      <c r="Z94" s="31" t="n">
        <v>392740881120</v>
      </c>
      <c r="AA94" s="31" t="n">
        <v>5996339300</v>
      </c>
      <c r="AB94" s="31" t="n">
        <v>5485412378.5</v>
      </c>
      <c r="AC94" s="36" t="n">
        <v>0.01526792750197005</v>
      </c>
      <c r="AD94" s="29" t="inlineStr">
        <is>
          <t>yfinance_download</t>
        </is>
      </c>
      <c r="AE94" s="29" t="inlineStr">
        <is>
          <t>317330.KQ</t>
        </is>
      </c>
    </row>
    <row r="95" ht="24" customHeight="1">
      <c r="A95" s="24" t="inlineStr">
        <is>
          <t>2023-10-26</t>
        </is>
      </c>
      <c r="B95" s="30" t="n">
        <v>18950</v>
      </c>
      <c r="C95" s="30" t="n">
        <v>19370</v>
      </c>
      <c r="D95" s="30" t="n">
        <v>18400</v>
      </c>
      <c r="E95" s="30" t="n">
        <v>18650</v>
      </c>
      <c r="F95" s="30" t="n">
        <v>18650</v>
      </c>
      <c r="G95" s="30" t="n">
        <v>186264</v>
      </c>
      <c r="H95" s="35" t="n">
        <v>-0.02763295099061525</v>
      </c>
      <c r="I95" s="35" t="n">
        <v>-0.4724186704384724</v>
      </c>
      <c r="J95" s="30" t="n">
        <v>16555.5</v>
      </c>
      <c r="K95" s="30" t="n">
        <v>15555.33333333333</v>
      </c>
      <c r="L95" s="30" t="n">
        <v>16983.83333333333</v>
      </c>
      <c r="M95" s="35" t="n">
        <v>0.8567521162681636</v>
      </c>
      <c r="N95" s="35" t="n">
        <v>0.5595387115859389</v>
      </c>
      <c r="O95" s="35" t="n">
        <v>0.3189533239038189</v>
      </c>
      <c r="P95" s="35" t="n">
        <v>0.2342819324950365</v>
      </c>
      <c r="Q95" s="35" t="n">
        <v>-0.06516290726817042</v>
      </c>
      <c r="R95" s="35" t="n">
        <v>0.1265138473619039</v>
      </c>
      <c r="S95" s="35" t="n">
        <v>0.1989456992242746</v>
      </c>
      <c r="T95" s="35" t="n">
        <v>0.09810309804421857</v>
      </c>
      <c r="U95" s="30" t="n">
        <v>24600</v>
      </c>
      <c r="V95" s="30" t="n">
        <v>13250</v>
      </c>
      <c r="W95" s="35" t="n">
        <v>-0.2418699186991869</v>
      </c>
      <c r="X95" s="35" t="n">
        <v>0.4075471698113207</v>
      </c>
      <c r="Y95" s="30" t="n">
        <v>20476584</v>
      </c>
      <c r="Z95" s="30" t="n">
        <v>381888291600</v>
      </c>
      <c r="AA95" s="30" t="n">
        <v>3473823600</v>
      </c>
      <c r="AB95" s="30" t="n">
        <v>5596375690.5</v>
      </c>
      <c r="AC95" s="35" t="n">
        <v>0.009096439132620949</v>
      </c>
      <c r="AD95" s="24" t="inlineStr">
        <is>
          <t>yfinance_download</t>
        </is>
      </c>
      <c r="AE95" s="24" t="inlineStr">
        <is>
          <t>317330.KQ</t>
        </is>
      </c>
    </row>
    <row r="96" ht="24" customHeight="1">
      <c r="A96" s="29" t="inlineStr">
        <is>
          <t>2023-10-27</t>
        </is>
      </c>
      <c r="B96" s="31" t="n">
        <v>19000</v>
      </c>
      <c r="C96" s="31" t="n">
        <v>19500</v>
      </c>
      <c r="D96" s="31" t="n">
        <v>18590</v>
      </c>
      <c r="E96" s="31" t="n">
        <v>18860</v>
      </c>
      <c r="F96" s="31" t="n">
        <v>18860</v>
      </c>
      <c r="G96" s="31" t="n">
        <v>143040</v>
      </c>
      <c r="H96" s="36" t="n">
        <v>0.01126005361930305</v>
      </c>
      <c r="I96" s="36" t="n">
        <v>-0.4664780763790665</v>
      </c>
      <c r="J96" s="31" t="n">
        <v>16797.5</v>
      </c>
      <c r="K96" s="31" t="n">
        <v>15608.66666666667</v>
      </c>
      <c r="L96" s="31" t="n">
        <v>16969.75</v>
      </c>
      <c r="M96" s="36" t="n">
        <v>0.8523520758347762</v>
      </c>
      <c r="N96" s="36" t="n">
        <v>0.5556984231002635</v>
      </c>
      <c r="O96" s="36" t="n">
        <v>0.3452211126961484</v>
      </c>
      <c r="P96" s="36" t="n">
        <v>0.2043422733077906</v>
      </c>
      <c r="Q96" s="36" t="n">
        <v>-0.08223844282238446</v>
      </c>
      <c r="R96" s="36" t="n">
        <v>0.1227861288882275</v>
      </c>
      <c r="S96" s="36" t="n">
        <v>0.2083030794857559</v>
      </c>
      <c r="T96" s="36" t="n">
        <v>0.111389384051032</v>
      </c>
      <c r="U96" s="31" t="n">
        <v>24600</v>
      </c>
      <c r="V96" s="31" t="n">
        <v>13250</v>
      </c>
      <c r="W96" s="36" t="n">
        <v>-0.2333333333333333</v>
      </c>
      <c r="X96" s="36" t="n">
        <v>0.4233962264150943</v>
      </c>
      <c r="Y96" s="31" t="n">
        <v>20476584</v>
      </c>
      <c r="Z96" s="31" t="n">
        <v>386188374240</v>
      </c>
      <c r="AA96" s="31" t="n">
        <v>2697734400</v>
      </c>
      <c r="AB96" s="31" t="n">
        <v>5705060432.5</v>
      </c>
      <c r="AC96" s="36" t="n">
        <v>0.006985540166269921</v>
      </c>
      <c r="AD96" s="29" t="inlineStr">
        <is>
          <t>yfinance_download</t>
        </is>
      </c>
      <c r="AE96" s="29" t="inlineStr">
        <is>
          <t>317330.KQ</t>
        </is>
      </c>
    </row>
    <row r="97" ht="24" customHeight="1">
      <c r="A97" s="24" t="inlineStr">
        <is>
          <t>2023-10-30</t>
        </is>
      </c>
      <c r="B97" s="30" t="n">
        <v>18580</v>
      </c>
      <c r="C97" s="30" t="n">
        <v>19870</v>
      </c>
      <c r="D97" s="30" t="n">
        <v>18570</v>
      </c>
      <c r="E97" s="30" t="n">
        <v>18990</v>
      </c>
      <c r="F97" s="30" t="n">
        <v>18990</v>
      </c>
      <c r="G97" s="30" t="n">
        <v>106501</v>
      </c>
      <c r="H97" s="35" t="n">
        <v>0.006892895015906619</v>
      </c>
      <c r="I97" s="35" t="n">
        <v>-0.4628005657708628</v>
      </c>
      <c r="J97" s="30" t="n">
        <v>17039.5</v>
      </c>
      <c r="K97" s="30" t="n">
        <v>15652.66666666667</v>
      </c>
      <c r="L97" s="30" t="n">
        <v>16961.33333333333</v>
      </c>
      <c r="M97" s="35" t="n">
        <v>0.8526517614579119</v>
      </c>
      <c r="N97" s="35" t="n">
        <v>0.5493458072712211</v>
      </c>
      <c r="O97" s="35" t="n">
        <v>0.3420494699646643</v>
      </c>
      <c r="P97" s="35" t="n">
        <v>0.1614678899082569</v>
      </c>
      <c r="Q97" s="35" t="n">
        <v>-0.05049999999999999</v>
      </c>
      <c r="R97" s="35" t="n">
        <v>0.1144693212829015</v>
      </c>
      <c r="S97" s="35" t="n">
        <v>0.213211806294987</v>
      </c>
      <c r="T97" s="35" t="n">
        <v>0.1196053769357757</v>
      </c>
      <c r="U97" s="30" t="n">
        <v>24600</v>
      </c>
      <c r="V97" s="30" t="n">
        <v>13250</v>
      </c>
      <c r="W97" s="35" t="n">
        <v>-0.2280487804878049</v>
      </c>
      <c r="X97" s="35" t="n">
        <v>0.4332075471698114</v>
      </c>
      <c r="Y97" s="30" t="n">
        <v>20476584</v>
      </c>
      <c r="Z97" s="30" t="n">
        <v>388850330160</v>
      </c>
      <c r="AA97" s="30" t="n">
        <v>2022453990</v>
      </c>
      <c r="AB97" s="30" t="n">
        <v>5773381309.5</v>
      </c>
      <c r="AC97" s="35" t="n">
        <v>0.005201111669798048</v>
      </c>
      <c r="AD97" s="24" t="inlineStr">
        <is>
          <t>yfinance_download</t>
        </is>
      </c>
      <c r="AE97" s="24" t="inlineStr">
        <is>
          <t>317330.KQ</t>
        </is>
      </c>
    </row>
    <row r="98" ht="24" customHeight="1">
      <c r="A98" s="29" t="inlineStr">
        <is>
          <t>2023-10-31</t>
        </is>
      </c>
      <c r="B98" s="31" t="n">
        <v>19240</v>
      </c>
      <c r="C98" s="31" t="n">
        <v>19260</v>
      </c>
      <c r="D98" s="31" t="n">
        <v>18550</v>
      </c>
      <c r="E98" s="31" t="n">
        <v>18550</v>
      </c>
      <c r="F98" s="31" t="n">
        <v>18550</v>
      </c>
      <c r="G98" s="31" t="n">
        <v>112669</v>
      </c>
      <c r="H98" s="36" t="n">
        <v>-0.02317008952080046</v>
      </c>
      <c r="I98" s="36" t="n">
        <v>-0.4752475247524752</v>
      </c>
      <c r="J98" s="31" t="n">
        <v>17265</v>
      </c>
      <c r="K98" s="31" t="n">
        <v>15693.33333333333</v>
      </c>
      <c r="L98" s="31" t="n">
        <v>16948</v>
      </c>
      <c r="M98" s="36" t="n">
        <v>0.8600926765124256</v>
      </c>
      <c r="N98" s="36" t="n">
        <v>0.5507904942977826</v>
      </c>
      <c r="O98" s="36" t="n">
        <v>0.3212250712250713</v>
      </c>
      <c r="P98" s="36" t="n">
        <v>0.1514587212911236</v>
      </c>
      <c r="Q98" s="36" t="n">
        <v>-0.07940446650124067</v>
      </c>
      <c r="R98" s="36" t="n">
        <v>0.07442803359397621</v>
      </c>
      <c r="S98" s="36" t="n">
        <v>0.1820305862361937</v>
      </c>
      <c r="T98" s="36" t="n">
        <v>0.09452442766108105</v>
      </c>
      <c r="U98" s="31" t="n">
        <v>24600</v>
      </c>
      <c r="V98" s="31" t="n">
        <v>13250</v>
      </c>
      <c r="W98" s="36" t="n">
        <v>-0.2459349593495935</v>
      </c>
      <c r="X98" s="36" t="n">
        <v>0.3999999999999999</v>
      </c>
      <c r="Y98" s="31" t="n">
        <v>20476584</v>
      </c>
      <c r="Z98" s="31" t="n">
        <v>379840633200</v>
      </c>
      <c r="AA98" s="31" t="n">
        <v>2090009950</v>
      </c>
      <c r="AB98" s="31" t="n">
        <v>5843798303</v>
      </c>
      <c r="AC98" s="36" t="n">
        <v>0.005502333787705997</v>
      </c>
      <c r="AD98" s="29" t="inlineStr">
        <is>
          <t>yfinance_download</t>
        </is>
      </c>
      <c r="AE98" s="29" t="inlineStr">
        <is>
          <t>317330.KQ</t>
        </is>
      </c>
    </row>
    <row r="99" ht="24" customHeight="1">
      <c r="A99" s="24" t="inlineStr">
        <is>
          <t>2023-11-01</t>
        </is>
      </c>
      <c r="B99" s="30" t="n">
        <v>18560</v>
      </c>
      <c r="C99" s="30" t="n">
        <v>19290</v>
      </c>
      <c r="D99" s="30" t="n">
        <v>17060</v>
      </c>
      <c r="E99" s="30" t="n">
        <v>17340</v>
      </c>
      <c r="F99" s="30" t="n">
        <v>17340</v>
      </c>
      <c r="G99" s="30" t="n">
        <v>279410</v>
      </c>
      <c r="H99" s="35" t="n">
        <v>-0.06522911051212943</v>
      </c>
      <c r="I99" s="35" t="n">
        <v>-0.5094766619519095</v>
      </c>
      <c r="J99" s="30" t="n">
        <v>17408.5</v>
      </c>
      <c r="K99" s="30" t="n">
        <v>15714.16666666667</v>
      </c>
      <c r="L99" s="30" t="n">
        <v>16927.16666666667</v>
      </c>
      <c r="M99" s="35" t="n">
        <v>0.9037057756249944</v>
      </c>
      <c r="N99" s="35" t="n">
        <v>0.568189570074074</v>
      </c>
      <c r="O99" s="35" t="n">
        <v>0.1983413959917071</v>
      </c>
      <c r="P99" s="35" t="n">
        <v>0.07768800497203232</v>
      </c>
      <c r="Q99" s="35" t="n">
        <v>-0.126008064516129</v>
      </c>
      <c r="R99" s="35" t="n">
        <v>-0.003934859407760616</v>
      </c>
      <c r="S99" s="35" t="n">
        <v>0.1034629050220077</v>
      </c>
      <c r="T99" s="35" t="n">
        <v>0.02438880300896984</v>
      </c>
      <c r="U99" s="30" t="n">
        <v>24600</v>
      </c>
      <c r="V99" s="30" t="n">
        <v>13250</v>
      </c>
      <c r="W99" s="35" t="n">
        <v>-0.2951219512195122</v>
      </c>
      <c r="X99" s="35" t="n">
        <v>0.3086792452830189</v>
      </c>
      <c r="Y99" s="30" t="n">
        <v>20476584</v>
      </c>
      <c r="Z99" s="30" t="n">
        <v>355063966560</v>
      </c>
      <c r="AA99" s="30" t="n">
        <v>4844969400</v>
      </c>
      <c r="AB99" s="30" t="n">
        <v>6046458300</v>
      </c>
      <c r="AC99" s="35" t="n">
        <v>0.01364534240672175</v>
      </c>
      <c r="AD99" s="24" t="inlineStr">
        <is>
          <t>yfinance_download</t>
        </is>
      </c>
      <c r="AE99" s="24" t="inlineStr">
        <is>
          <t>317330.KQ</t>
        </is>
      </c>
    </row>
    <row r="100" ht="24" customHeight="1">
      <c r="A100" s="29" t="inlineStr">
        <is>
          <t>2023-11-02</t>
        </is>
      </c>
      <c r="B100" s="31" t="n">
        <v>17660</v>
      </c>
      <c r="C100" s="31" t="n">
        <v>18110</v>
      </c>
      <c r="D100" s="31" t="n">
        <v>16470</v>
      </c>
      <c r="E100" s="31" t="n">
        <v>18000</v>
      </c>
      <c r="F100" s="31" t="n">
        <v>18000</v>
      </c>
      <c r="G100" s="31" t="n">
        <v>208118</v>
      </c>
      <c r="H100" s="36" t="n">
        <v>0.03806228373702414</v>
      </c>
      <c r="I100" s="36" t="n">
        <v>-0.4908062234794908</v>
      </c>
      <c r="J100" s="31" t="n">
        <v>17584</v>
      </c>
      <c r="K100" s="31" t="n">
        <v>15752.83333333333</v>
      </c>
      <c r="L100" s="31" t="n">
        <v>16917.16666666667</v>
      </c>
      <c r="M100" s="36" t="n">
        <v>0.9081359799522493</v>
      </c>
      <c r="N100" s="36" t="n">
        <v>0.5700546532465118</v>
      </c>
      <c r="O100" s="36" t="n">
        <v>0.2422360248447204</v>
      </c>
      <c r="P100" s="36" t="n">
        <v>0.1479591836734695</v>
      </c>
      <c r="Q100" s="36" t="n">
        <v>-0.0625</v>
      </c>
      <c r="R100" s="36" t="n">
        <v>0.02365787079162884</v>
      </c>
      <c r="S100" s="36" t="n">
        <v>0.142651586487087</v>
      </c>
      <c r="T100" s="36" t="n">
        <v>0.06400796035585143</v>
      </c>
      <c r="U100" s="31" t="n">
        <v>24600</v>
      </c>
      <c r="V100" s="31" t="n">
        <v>13250</v>
      </c>
      <c r="W100" s="36" t="n">
        <v>-0.2682926829268293</v>
      </c>
      <c r="X100" s="36" t="n">
        <v>0.3584905660377358</v>
      </c>
      <c r="Y100" s="31" t="n">
        <v>20476584</v>
      </c>
      <c r="Z100" s="31" t="n">
        <v>368578512000</v>
      </c>
      <c r="AA100" s="31" t="n">
        <v>3746124000</v>
      </c>
      <c r="AB100" s="31" t="n">
        <v>6196081081.5</v>
      </c>
      <c r="AC100" s="36" t="n">
        <v>0.0101637069933149</v>
      </c>
      <c r="AD100" s="29" t="inlineStr">
        <is>
          <t>yfinance_download</t>
        </is>
      </c>
      <c r="AE100" s="29" t="inlineStr">
        <is>
          <t>317330.KQ</t>
        </is>
      </c>
    </row>
    <row r="101" ht="24" customHeight="1">
      <c r="A101" s="24" t="inlineStr">
        <is>
          <t>2023-11-03</t>
        </is>
      </c>
      <c r="B101" s="30" t="n">
        <v>18220</v>
      </c>
      <c r="C101" s="30" t="n">
        <v>18720</v>
      </c>
      <c r="D101" s="30" t="n">
        <v>18010</v>
      </c>
      <c r="E101" s="30" t="n">
        <v>18190</v>
      </c>
      <c r="F101" s="30" t="n">
        <v>18190</v>
      </c>
      <c r="G101" s="30" t="n">
        <v>118929</v>
      </c>
      <c r="H101" s="35" t="n">
        <v>0.01055555555555565</v>
      </c>
      <c r="I101" s="35" t="n">
        <v>-0.4854314002828855</v>
      </c>
      <c r="J101" s="30" t="n">
        <v>17754.5</v>
      </c>
      <c r="K101" s="30" t="n">
        <v>15795.33333333333</v>
      </c>
      <c r="L101" s="30" t="n">
        <v>16910.41666666667</v>
      </c>
      <c r="M101" s="35" t="n">
        <v>0.9077032941493829</v>
      </c>
      <c r="N101" s="35" t="n">
        <v>0.5701512899929289</v>
      </c>
      <c r="O101" s="35" t="n">
        <v>0.2307171853856562</v>
      </c>
      <c r="P101" s="35" t="n">
        <v>0.1630434782608696</v>
      </c>
      <c r="Q101" s="35" t="n">
        <v>-0.04263157894736846</v>
      </c>
      <c r="R101" s="35" t="n">
        <v>0.02452899264975072</v>
      </c>
      <c r="S101" s="35" t="n">
        <v>0.1516059595661166</v>
      </c>
      <c r="T101" s="35" t="n">
        <v>0.07566835037575448</v>
      </c>
      <c r="U101" s="30" t="n">
        <v>24600</v>
      </c>
      <c r="V101" s="30" t="n">
        <v>13250</v>
      </c>
      <c r="W101" s="35" t="n">
        <v>-0.260569105691057</v>
      </c>
      <c r="X101" s="35" t="n">
        <v>0.3728301886792453</v>
      </c>
      <c r="Y101" s="30" t="n">
        <v>20476584</v>
      </c>
      <c r="Z101" s="30" t="n">
        <v>372469062960</v>
      </c>
      <c r="AA101" s="30" t="n">
        <v>2163318510</v>
      </c>
      <c r="AB101" s="30" t="n">
        <v>6247747501</v>
      </c>
      <c r="AC101" s="35" t="n">
        <v>0.00580804884252178</v>
      </c>
      <c r="AD101" s="24" t="inlineStr">
        <is>
          <t>yfinance_download</t>
        </is>
      </c>
      <c r="AE101" s="24" t="inlineStr">
        <is>
          <t>317330.KQ</t>
        </is>
      </c>
    </row>
    <row r="102" ht="24" customHeight="1">
      <c r="A102" s="29" t="inlineStr">
        <is>
          <t>2023-11-06</t>
        </is>
      </c>
      <c r="B102" s="31" t="n">
        <v>18550</v>
      </c>
      <c r="C102" s="31" t="n">
        <v>19700</v>
      </c>
      <c r="D102" s="31" t="n">
        <v>17520</v>
      </c>
      <c r="E102" s="31" t="n">
        <v>19700</v>
      </c>
      <c r="F102" s="31" t="n">
        <v>19700</v>
      </c>
      <c r="G102" s="31" t="n">
        <v>286550</v>
      </c>
      <c r="H102" s="36" t="n">
        <v>0.0830126443100605</v>
      </c>
      <c r="I102" s="36" t="n">
        <v>-0.4427157001414427</v>
      </c>
      <c r="J102" s="31" t="n">
        <v>17982.5</v>
      </c>
      <c r="K102" s="31" t="n">
        <v>15865</v>
      </c>
      <c r="L102" s="31" t="n">
        <v>16918.91666666667</v>
      </c>
      <c r="M102" s="36" t="n">
        <v>0.9416111094338242</v>
      </c>
      <c r="N102" s="36" t="n">
        <v>0.5926602250888146</v>
      </c>
      <c r="O102" s="36" t="n">
        <v>0.3011889035667108</v>
      </c>
      <c r="P102" s="36" t="n">
        <v>0.2693298969072164</v>
      </c>
      <c r="Q102" s="36" t="n">
        <v>0.0546038543897216</v>
      </c>
      <c r="R102" s="36" t="n">
        <v>0.09550952314750449</v>
      </c>
      <c r="S102" s="36" t="n">
        <v>0.2417270721714466</v>
      </c>
      <c r="T102" s="36" t="n">
        <v>0.1643771518073951</v>
      </c>
      <c r="U102" s="31" t="n">
        <v>24600</v>
      </c>
      <c r="V102" s="31" t="n">
        <v>13250</v>
      </c>
      <c r="W102" s="36" t="n">
        <v>-0.1991869918699187</v>
      </c>
      <c r="X102" s="36" t="n">
        <v>0.4867924528301886</v>
      </c>
      <c r="Y102" s="31" t="n">
        <v>20476584</v>
      </c>
      <c r="Z102" s="31" t="n">
        <v>403388704800</v>
      </c>
      <c r="AA102" s="31" t="n">
        <v>5645035000</v>
      </c>
      <c r="AB102" s="31" t="n">
        <v>6484050865</v>
      </c>
      <c r="AC102" s="36" t="n">
        <v>0.01399403337978639</v>
      </c>
      <c r="AD102" s="29" t="inlineStr">
        <is>
          <t>yfinance_download</t>
        </is>
      </c>
      <c r="AE102" s="29" t="inlineStr">
        <is>
          <t>317330.KQ</t>
        </is>
      </c>
    </row>
    <row r="103" ht="24" customHeight="1">
      <c r="A103" s="24" t="inlineStr">
        <is>
          <t>2023-11-07</t>
        </is>
      </c>
      <c r="B103" s="30" t="n">
        <v>19950</v>
      </c>
      <c r="C103" s="30" t="n">
        <v>19980</v>
      </c>
      <c r="D103" s="30" t="n">
        <v>18410</v>
      </c>
      <c r="E103" s="30" t="n">
        <v>18910</v>
      </c>
      <c r="F103" s="30" t="n">
        <v>18910</v>
      </c>
      <c r="G103" s="30" t="n">
        <v>272508</v>
      </c>
      <c r="H103" s="35" t="n">
        <v>-0.04010152284263957</v>
      </c>
      <c r="I103" s="35" t="n">
        <v>-0.4650636492220651</v>
      </c>
      <c r="J103" s="30" t="n">
        <v>18165.5</v>
      </c>
      <c r="K103" s="30" t="n">
        <v>15925</v>
      </c>
      <c r="L103" s="30" t="n">
        <v>16925.41666666667</v>
      </c>
      <c r="M103" s="35" t="n">
        <v>0.9614729700868232</v>
      </c>
      <c r="N103" s="35" t="n">
        <v>0.5986112356490122</v>
      </c>
      <c r="O103" s="35" t="n">
        <v>0.24</v>
      </c>
      <c r="P103" s="35" t="n">
        <v>0.2351404310907903</v>
      </c>
      <c r="Q103" s="35" t="n">
        <v>0.04302261445118583</v>
      </c>
      <c r="R103" s="35" t="n">
        <v>0.04098428339434634</v>
      </c>
      <c r="S103" s="35" t="n">
        <v>0.1874411302982733</v>
      </c>
      <c r="T103" s="35" t="n">
        <v>0.11725462199355</v>
      </c>
      <c r="U103" s="30" t="n">
        <v>24600</v>
      </c>
      <c r="V103" s="30" t="n">
        <v>13250</v>
      </c>
      <c r="W103" s="35" t="n">
        <v>-0.2313008130081301</v>
      </c>
      <c r="X103" s="35" t="n">
        <v>0.4271698113207547</v>
      </c>
      <c r="Y103" s="30" t="n">
        <v>20476584</v>
      </c>
      <c r="Z103" s="30" t="n">
        <v>387212203440</v>
      </c>
      <c r="AA103" s="30" t="n">
        <v>5153126280</v>
      </c>
      <c r="AB103" s="30" t="n">
        <v>6585090441.5</v>
      </c>
      <c r="AC103" s="35" t="n">
        <v>0.01330827446609259</v>
      </c>
      <c r="AD103" s="24" t="inlineStr">
        <is>
          <t>yfinance_download</t>
        </is>
      </c>
      <c r="AE103" s="24" t="inlineStr">
        <is>
          <t>317330.KQ</t>
        </is>
      </c>
    </row>
    <row r="104" ht="24" customHeight="1">
      <c r="A104" s="29" t="inlineStr">
        <is>
          <t>2023-11-08</t>
        </is>
      </c>
      <c r="B104" s="31" t="n">
        <v>19090</v>
      </c>
      <c r="C104" s="31" t="n">
        <v>19530</v>
      </c>
      <c r="D104" s="31" t="n">
        <v>18510</v>
      </c>
      <c r="E104" s="31" t="n">
        <v>18550</v>
      </c>
      <c r="F104" s="31" t="n">
        <v>18550</v>
      </c>
      <c r="G104" s="31" t="n">
        <v>117977</v>
      </c>
      <c r="H104" s="36" t="n">
        <v>-0.01903754627181387</v>
      </c>
      <c r="I104" s="36" t="n">
        <v>-0.4752475247524752</v>
      </c>
      <c r="J104" s="31" t="n">
        <v>18326</v>
      </c>
      <c r="K104" s="31" t="n">
        <v>15980.83333333333</v>
      </c>
      <c r="L104" s="31" t="n">
        <v>16928.75</v>
      </c>
      <c r="M104" s="36" t="n">
        <v>0.9677910891891601</v>
      </c>
      <c r="N104" s="36" t="n">
        <v>0.6000647964032116</v>
      </c>
      <c r="O104" s="36" t="n">
        <v>0.2092568448500651</v>
      </c>
      <c r="P104" s="36" t="n">
        <v>0.2203947368421053</v>
      </c>
      <c r="Q104" s="36" t="n">
        <v>0.02203856749311295</v>
      </c>
      <c r="R104" s="36" t="n">
        <v>0.01222307104660048</v>
      </c>
      <c r="S104" s="36" t="n">
        <v>0.1607655003389477</v>
      </c>
      <c r="T104" s="36" t="n">
        <v>0.09576903197223663</v>
      </c>
      <c r="U104" s="31" t="n">
        <v>24600</v>
      </c>
      <c r="V104" s="31" t="n">
        <v>13250</v>
      </c>
      <c r="W104" s="36" t="n">
        <v>-0.2459349593495935</v>
      </c>
      <c r="X104" s="36" t="n">
        <v>0.3999999999999999</v>
      </c>
      <c r="Y104" s="31" t="n">
        <v>20476584</v>
      </c>
      <c r="Z104" s="31" t="n">
        <v>379840633200</v>
      </c>
      <c r="AA104" s="31" t="n">
        <v>2188473350</v>
      </c>
      <c r="AB104" s="31" t="n">
        <v>6632485285</v>
      </c>
      <c r="AC104" s="36" t="n">
        <v>0.005761556712779827</v>
      </c>
      <c r="AD104" s="29" t="inlineStr">
        <is>
          <t>yfinance_download</t>
        </is>
      </c>
      <c r="AE104" s="29" t="inlineStr">
        <is>
          <t>317330.KQ</t>
        </is>
      </c>
    </row>
    <row r="105" ht="24" customHeight="1">
      <c r="A105" s="24" t="inlineStr">
        <is>
          <t>2023-11-09</t>
        </is>
      </c>
      <c r="B105" s="30" t="n">
        <v>18860</v>
      </c>
      <c r="C105" s="30" t="n">
        <v>18860</v>
      </c>
      <c r="D105" s="30" t="n">
        <v>18090</v>
      </c>
      <c r="E105" s="30" t="n">
        <v>18230</v>
      </c>
      <c r="F105" s="30" t="n">
        <v>18230</v>
      </c>
      <c r="G105" s="30" t="n">
        <v>68395</v>
      </c>
      <c r="H105" s="35" t="n">
        <v>-0.01725067385444745</v>
      </c>
      <c r="I105" s="35" t="n">
        <v>-0.4842998585572843</v>
      </c>
      <c r="J105" s="30" t="n">
        <v>18437.5</v>
      </c>
      <c r="K105" s="30" t="n">
        <v>16025.16666666667</v>
      </c>
      <c r="L105" s="30" t="n">
        <v>16930.66666666667</v>
      </c>
      <c r="M105" s="35" t="n">
        <v>0.9651773891061296</v>
      </c>
      <c r="N105" s="35" t="n">
        <v>0.6000961942201858</v>
      </c>
      <c r="O105" s="35" t="n">
        <v>0.139375</v>
      </c>
      <c r="P105" s="35" t="n">
        <v>0.1708413615928066</v>
      </c>
      <c r="Q105" s="35" t="n">
        <v>0.01277777777777778</v>
      </c>
      <c r="R105" s="35" t="n">
        <v>-0.01125423728813557</v>
      </c>
      <c r="S105" s="35" t="n">
        <v>0.137585672535907</v>
      </c>
      <c r="T105" s="35" t="n">
        <v>0.07674436919199867</v>
      </c>
      <c r="U105" s="30" t="n">
        <v>24600</v>
      </c>
      <c r="V105" s="30" t="n">
        <v>13250</v>
      </c>
      <c r="W105" s="35" t="n">
        <v>-0.2589430894308943</v>
      </c>
      <c r="X105" s="35" t="n">
        <v>0.3758490566037735</v>
      </c>
      <c r="Y105" s="30" t="n">
        <v>20476584</v>
      </c>
      <c r="Z105" s="30" t="n">
        <v>373288126320</v>
      </c>
      <c r="AA105" s="30" t="n">
        <v>1246840850</v>
      </c>
      <c r="AB105" s="30" t="n">
        <v>6628705727.5</v>
      </c>
      <c r="AC105" s="35" t="n">
        <v>0.003340156737080755</v>
      </c>
      <c r="AD105" s="24" t="inlineStr">
        <is>
          <t>yfinance_download</t>
        </is>
      </c>
      <c r="AE105" s="24" t="inlineStr">
        <is>
          <t>317330.KQ</t>
        </is>
      </c>
    </row>
    <row r="106" ht="24" customHeight="1">
      <c r="A106" s="29" t="inlineStr">
        <is>
          <t>2023-11-10</t>
        </is>
      </c>
      <c r="B106" s="31" t="n">
        <v>18010</v>
      </c>
      <c r="C106" s="31" t="n">
        <v>18010</v>
      </c>
      <c r="D106" s="31" t="n">
        <v>17410</v>
      </c>
      <c r="E106" s="31" t="n">
        <v>17440</v>
      </c>
      <c r="F106" s="31" t="n">
        <v>17440</v>
      </c>
      <c r="G106" s="31" t="n">
        <v>88845</v>
      </c>
      <c r="H106" s="36" t="n">
        <v>-0.04333516182117392</v>
      </c>
      <c r="I106" s="36" t="n">
        <v>-0.5066478076379066</v>
      </c>
      <c r="J106" s="31" t="n">
        <v>18515.5</v>
      </c>
      <c r="K106" s="31" t="n">
        <v>16060</v>
      </c>
      <c r="L106" s="31" t="n">
        <v>16927</v>
      </c>
      <c r="M106" s="36" t="n">
        <v>0.9811682577593254</v>
      </c>
      <c r="N106" s="36" t="n">
        <v>0.6066692543760317</v>
      </c>
      <c r="O106" s="36" t="n">
        <v>0.09823677581863977</v>
      </c>
      <c r="P106" s="36" t="n">
        <v>0.136156351791531</v>
      </c>
      <c r="Q106" s="36" t="n">
        <v>-0.02460850111856827</v>
      </c>
      <c r="R106" s="36" t="n">
        <v>-0.0580864680942994</v>
      </c>
      <c r="S106" s="36" t="n">
        <v>0.08592777085927761</v>
      </c>
      <c r="T106" s="36" t="n">
        <v>0.03030661074023744</v>
      </c>
      <c r="U106" s="31" t="n">
        <v>24600</v>
      </c>
      <c r="V106" s="31" t="n">
        <v>13250</v>
      </c>
      <c r="W106" s="36" t="n">
        <v>-0.2910569105691057</v>
      </c>
      <c r="X106" s="36" t="n">
        <v>0.3162264150943397</v>
      </c>
      <c r="Y106" s="31" t="n">
        <v>20476584</v>
      </c>
      <c r="Z106" s="31" t="n">
        <v>357111624960</v>
      </c>
      <c r="AA106" s="31" t="n">
        <v>1549456800</v>
      </c>
      <c r="AB106" s="31" t="n">
        <v>6677118961.5</v>
      </c>
      <c r="AC106" s="36" t="n">
        <v>0.004338858473659474</v>
      </c>
      <c r="AD106" s="29" t="inlineStr">
        <is>
          <t>yfinance_download</t>
        </is>
      </c>
      <c r="AE106" s="29" t="inlineStr">
        <is>
          <t>317330.KQ</t>
        </is>
      </c>
    </row>
    <row r="107" ht="24" customHeight="1">
      <c r="A107" s="24" t="inlineStr">
        <is>
          <t>2023-11-13</t>
        </is>
      </c>
      <c r="B107" s="30" t="n">
        <v>17530</v>
      </c>
      <c r="C107" s="30" t="n">
        <v>17700</v>
      </c>
      <c r="D107" s="30" t="n">
        <v>17050</v>
      </c>
      <c r="E107" s="30" t="n">
        <v>17200</v>
      </c>
      <c r="F107" s="30" t="n">
        <v>17200</v>
      </c>
      <c r="G107" s="30" t="n">
        <v>102696</v>
      </c>
      <c r="H107" s="35" t="n">
        <v>-0.01376146788990829</v>
      </c>
      <c r="I107" s="35" t="n">
        <v>-0.5134370579915135</v>
      </c>
      <c r="J107" s="30" t="n">
        <v>18465</v>
      </c>
      <c r="K107" s="30" t="n">
        <v>16089.16666666667</v>
      </c>
      <c r="L107" s="30" t="n">
        <v>16920.75</v>
      </c>
      <c r="M107" s="35" t="n">
        <v>0.8306358259476414</v>
      </c>
      <c r="N107" s="35" t="n">
        <v>0.607564054561341</v>
      </c>
      <c r="O107" s="35" t="n">
        <v>-0.05546403075233386</v>
      </c>
      <c r="P107" s="35" t="n">
        <v>0.1132686084142396</v>
      </c>
      <c r="Q107" s="35" t="n">
        <v>-0.04178272980501396</v>
      </c>
      <c r="R107" s="35" t="n">
        <v>-0.06850798808556724</v>
      </c>
      <c r="S107" s="35" t="n">
        <v>0.069042316258352</v>
      </c>
      <c r="T107" s="35" t="n">
        <v>0.01650340558190377</v>
      </c>
      <c r="U107" s="30" t="n">
        <v>24600</v>
      </c>
      <c r="V107" s="30" t="n">
        <v>13250</v>
      </c>
      <c r="W107" s="35" t="n">
        <v>-0.3008130081300813</v>
      </c>
      <c r="X107" s="35" t="n">
        <v>0.2981132075471697</v>
      </c>
      <c r="Y107" s="30" t="n">
        <v>20476584</v>
      </c>
      <c r="Z107" s="30" t="n">
        <v>352197244800</v>
      </c>
      <c r="AA107" s="30" t="n">
        <v>1766371200</v>
      </c>
      <c r="AB107" s="30" t="n">
        <v>5542993848</v>
      </c>
      <c r="AC107" s="35" t="n">
        <v>0.005015289659642448</v>
      </c>
      <c r="AD107" s="24" t="inlineStr">
        <is>
          <t>yfinance_download</t>
        </is>
      </c>
      <c r="AE107" s="24" t="inlineStr">
        <is>
          <t>317330.KQ</t>
        </is>
      </c>
    </row>
    <row r="108" ht="24" customHeight="1">
      <c r="A108" s="29" t="inlineStr">
        <is>
          <t>2023-11-14</t>
        </is>
      </c>
      <c r="B108" s="31" t="n">
        <v>17250</v>
      </c>
      <c r="C108" s="31" t="n">
        <v>18090</v>
      </c>
      <c r="D108" s="31" t="n">
        <v>17250</v>
      </c>
      <c r="E108" s="31" t="n">
        <v>17930</v>
      </c>
      <c r="F108" s="31" t="n">
        <v>17930</v>
      </c>
      <c r="G108" s="31" t="n">
        <v>79503</v>
      </c>
      <c r="H108" s="36" t="n">
        <v>0.04244186046511622</v>
      </c>
      <c r="I108" s="36" t="n">
        <v>-0.4927864214992927</v>
      </c>
      <c r="J108" s="31" t="n">
        <v>18462.5</v>
      </c>
      <c r="K108" s="31" t="n">
        <v>16135.16666666667</v>
      </c>
      <c r="L108" s="31" t="n">
        <v>16918</v>
      </c>
      <c r="M108" s="36" t="n">
        <v>0.843831135475954</v>
      </c>
      <c r="N108" s="36" t="n">
        <v>0.6114577203320499</v>
      </c>
      <c r="O108" s="36" t="n">
        <v>-0.002780867630700734</v>
      </c>
      <c r="P108" s="36" t="n">
        <v>0.1819380355965723</v>
      </c>
      <c r="Q108" s="36" t="n">
        <v>-0.01807228915662651</v>
      </c>
      <c r="R108" s="36" t="n">
        <v>-0.02884224779959377</v>
      </c>
      <c r="S108" s="36" t="n">
        <v>0.1112373593909783</v>
      </c>
      <c r="T108" s="36" t="n">
        <v>0.05981794538361518</v>
      </c>
      <c r="U108" s="31" t="n">
        <v>24600</v>
      </c>
      <c r="V108" s="31" t="n">
        <v>13250</v>
      </c>
      <c r="W108" s="36" t="n">
        <v>-0.2711382113821138</v>
      </c>
      <c r="X108" s="36" t="n">
        <v>0.3532075471698113</v>
      </c>
      <c r="Y108" s="31" t="n">
        <v>20476584</v>
      </c>
      <c r="Z108" s="31" t="n">
        <v>367145151120</v>
      </c>
      <c r="AA108" s="31" t="n">
        <v>1425488790</v>
      </c>
      <c r="AB108" s="31" t="n">
        <v>5251057903.5</v>
      </c>
      <c r="AC108" s="36" t="n">
        <v>0.003882630032431191</v>
      </c>
      <c r="AD108" s="29" t="inlineStr">
        <is>
          <t>yfinance_download</t>
        </is>
      </c>
      <c r="AE108" s="29" t="inlineStr">
        <is>
          <t>317330.KQ</t>
        </is>
      </c>
    </row>
    <row r="109" ht="24" customHeight="1">
      <c r="A109" s="24" t="inlineStr">
        <is>
          <t>2023-11-15</t>
        </is>
      </c>
      <c r="B109" s="30" t="n">
        <v>17950</v>
      </c>
      <c r="C109" s="30" t="n">
        <v>18750</v>
      </c>
      <c r="D109" s="30" t="n">
        <v>17610</v>
      </c>
      <c r="E109" s="30" t="n">
        <v>18260</v>
      </c>
      <c r="F109" s="30" t="n">
        <v>18260</v>
      </c>
      <c r="G109" s="30" t="n">
        <v>200075</v>
      </c>
      <c r="H109" s="35" t="n">
        <v>0.01840490797546002</v>
      </c>
      <c r="I109" s="35" t="n">
        <v>-0.4834512022630835</v>
      </c>
      <c r="J109" s="30" t="n">
        <v>18418</v>
      </c>
      <c r="K109" s="30" t="n">
        <v>16195.5</v>
      </c>
      <c r="L109" s="30" t="n">
        <v>16915.58333333333</v>
      </c>
      <c r="M109" s="35" t="n">
        <v>0.8126322905667844</v>
      </c>
      <c r="N109" s="35" t="n">
        <v>0.6068946211837229</v>
      </c>
      <c r="O109" s="35" t="n">
        <v>-0.0464751958224543</v>
      </c>
      <c r="P109" s="35" t="n">
        <v>0.2472677595628416</v>
      </c>
      <c r="Q109" s="35" t="n">
        <v>-0.01563342318059302</v>
      </c>
      <c r="R109" s="35" t="n">
        <v>-0.00857856444782279</v>
      </c>
      <c r="S109" s="35" t="n">
        <v>0.1274736809607606</v>
      </c>
      <c r="T109" s="35" t="n">
        <v>0.07947799612783091</v>
      </c>
      <c r="U109" s="30" t="n">
        <v>24600</v>
      </c>
      <c r="V109" s="30" t="n">
        <v>13250</v>
      </c>
      <c r="W109" s="35" t="n">
        <v>-0.2577235772357723</v>
      </c>
      <c r="X109" s="35" t="n">
        <v>0.3781132075471698</v>
      </c>
      <c r="Y109" s="30" t="n">
        <v>20476584</v>
      </c>
      <c r="Z109" s="30" t="n">
        <v>373902423840</v>
      </c>
      <c r="AA109" s="30" t="n">
        <v>3653369500</v>
      </c>
      <c r="AB109" s="30" t="n">
        <v>3984535766</v>
      </c>
      <c r="AC109" s="35" t="n">
        <v>0.00977091686777443</v>
      </c>
      <c r="AD109" s="24" t="inlineStr">
        <is>
          <t>yfinance_download</t>
        </is>
      </c>
      <c r="AE109" s="24" t="inlineStr">
        <is>
          <t>317330.KQ</t>
        </is>
      </c>
    </row>
    <row r="110" ht="24" customHeight="1">
      <c r="A110" s="29" t="inlineStr">
        <is>
          <t>2023-11-16</t>
        </is>
      </c>
      <c r="B110" s="31" t="n">
        <v>18590</v>
      </c>
      <c r="C110" s="31" t="n">
        <v>19110</v>
      </c>
      <c r="D110" s="31" t="n">
        <v>18300</v>
      </c>
      <c r="E110" s="31" t="n">
        <v>18800</v>
      </c>
      <c r="F110" s="31" t="n">
        <v>18800</v>
      </c>
      <c r="G110" s="31" t="n">
        <v>140901</v>
      </c>
      <c r="H110" s="36" t="n">
        <v>0.02957283680175249</v>
      </c>
      <c r="I110" s="36" t="n">
        <v>-0.4681753889674681</v>
      </c>
      <c r="J110" s="31" t="n">
        <v>18400.5</v>
      </c>
      <c r="K110" s="31" t="n">
        <v>16260.5</v>
      </c>
      <c r="L110" s="31" t="n">
        <v>16919.33333333333</v>
      </c>
      <c r="M110" s="36" t="n">
        <v>0.8199467980545768</v>
      </c>
      <c r="N110" s="36" t="n">
        <v>0.6084878725702061</v>
      </c>
      <c r="O110" s="36" t="n">
        <v>-0.01827676240208875</v>
      </c>
      <c r="P110" s="36" t="n">
        <v>0.261744966442953</v>
      </c>
      <c r="Q110" s="36" t="n">
        <v>0.02452316076294281</v>
      </c>
      <c r="R110" s="36" t="n">
        <v>0.02171136653895278</v>
      </c>
      <c r="S110" s="36" t="n">
        <v>0.156176009347806</v>
      </c>
      <c r="T110" s="36" t="n">
        <v>0.1111548918397101</v>
      </c>
      <c r="U110" s="31" t="n">
        <v>24600</v>
      </c>
      <c r="V110" s="31" t="n">
        <v>13250</v>
      </c>
      <c r="W110" s="36" t="n">
        <v>-0.2357723577235772</v>
      </c>
      <c r="X110" s="36" t="n">
        <v>0.4188679245283018</v>
      </c>
      <c r="Y110" s="31" t="n">
        <v>20476584</v>
      </c>
      <c r="Z110" s="31" t="n">
        <v>384959779200</v>
      </c>
      <c r="AA110" s="31" t="n">
        <v>2648938800</v>
      </c>
      <c r="AB110" s="31" t="n">
        <v>3712883236</v>
      </c>
      <c r="AC110" s="36" t="n">
        <v>0.006881079383162739</v>
      </c>
      <c r="AD110" s="29" t="inlineStr">
        <is>
          <t>yfinance_download</t>
        </is>
      </c>
      <c r="AE110" s="29" t="inlineStr">
        <is>
          <t>317330.KQ</t>
        </is>
      </c>
    </row>
    <row r="111" ht="24" customHeight="1">
      <c r="A111" s="24" t="inlineStr">
        <is>
          <t>2023-11-17</t>
        </is>
      </c>
      <c r="B111" s="30" t="n">
        <v>18850</v>
      </c>
      <c r="C111" s="30" t="n">
        <v>18850</v>
      </c>
      <c r="D111" s="30" t="n">
        <v>17870</v>
      </c>
      <c r="E111" s="30" t="n">
        <v>17920</v>
      </c>
      <c r="F111" s="30" t="n">
        <v>17920</v>
      </c>
      <c r="G111" s="30" t="n">
        <v>133013</v>
      </c>
      <c r="H111" s="35" t="n">
        <v>-0.04680851063829783</v>
      </c>
      <c r="I111" s="35" t="n">
        <v>-0.4930693069306931</v>
      </c>
      <c r="J111" s="30" t="n">
        <v>18369.5</v>
      </c>
      <c r="K111" s="30" t="n">
        <v>16306.5</v>
      </c>
      <c r="L111" s="30" t="n">
        <v>16912.91666666667</v>
      </c>
      <c r="M111" s="35" t="n">
        <v>0.8293895989888866</v>
      </c>
      <c r="N111" s="35" t="n">
        <v>0.6168736394380216</v>
      </c>
      <c r="O111" s="35" t="n">
        <v>-0.03344120819848972</v>
      </c>
      <c r="P111" s="35" t="n">
        <v>0.1820580474934037</v>
      </c>
      <c r="Q111" s="35" t="n">
        <v>-0.04119850187265917</v>
      </c>
      <c r="R111" s="35" t="n">
        <v>-0.02446990936062499</v>
      </c>
      <c r="S111" s="35" t="n">
        <v>0.09894827216140811</v>
      </c>
      <c r="T111" s="35" t="n">
        <v>0.05954521938360702</v>
      </c>
      <c r="U111" s="30" t="n">
        <v>24600</v>
      </c>
      <c r="V111" s="30" t="n">
        <v>13250</v>
      </c>
      <c r="W111" s="35" t="n">
        <v>-0.2715447154471544</v>
      </c>
      <c r="X111" s="35" t="n">
        <v>0.3524528301886793</v>
      </c>
      <c r="Y111" s="30" t="n">
        <v>20476584</v>
      </c>
      <c r="Z111" s="30" t="n">
        <v>366940385280</v>
      </c>
      <c r="AA111" s="30" t="n">
        <v>2383592960</v>
      </c>
      <c r="AB111" s="30" t="n">
        <v>3631687199</v>
      </c>
      <c r="AC111" s="35" t="n">
        <v>0.006495858879586556</v>
      </c>
      <c r="AD111" s="24" t="inlineStr">
        <is>
          <t>yfinance_download</t>
        </is>
      </c>
      <c r="AE111" s="24" t="inlineStr">
        <is>
          <t>317330.KQ</t>
        </is>
      </c>
    </row>
    <row r="112" ht="24" customHeight="1">
      <c r="A112" s="29" t="inlineStr">
        <is>
          <t>2023-11-20</t>
        </is>
      </c>
      <c r="B112" s="31" t="n">
        <v>17920</v>
      </c>
      <c r="C112" s="31" t="n">
        <v>18410</v>
      </c>
      <c r="D112" s="31" t="n">
        <v>17920</v>
      </c>
      <c r="E112" s="31" t="n">
        <v>18160</v>
      </c>
      <c r="F112" s="31" t="n">
        <v>18160</v>
      </c>
      <c r="G112" s="31" t="n">
        <v>65010</v>
      </c>
      <c r="H112" s="36" t="n">
        <v>0.01339285714285721</v>
      </c>
      <c r="I112" s="36" t="n">
        <v>-0.4862800565770863</v>
      </c>
      <c r="J112" s="31" t="n">
        <v>18423</v>
      </c>
      <c r="K112" s="31" t="n">
        <v>16358.66666666667</v>
      </c>
      <c r="L112" s="31" t="n">
        <v>16907.16666666667</v>
      </c>
      <c r="M112" s="36" t="n">
        <v>0.7775958435381221</v>
      </c>
      <c r="N112" s="36" t="n">
        <v>0.616679053737898</v>
      </c>
      <c r="O112" s="36" t="n">
        <v>0.06260971328262133</v>
      </c>
      <c r="P112" s="36" t="n">
        <v>0.2082501663339986</v>
      </c>
      <c r="Q112" s="36" t="n">
        <v>-0.03660477453580901</v>
      </c>
      <c r="R112" s="36" t="n">
        <v>-0.0142756337187212</v>
      </c>
      <c r="S112" s="36" t="n">
        <v>0.1101149237916701</v>
      </c>
      <c r="T112" s="36" t="n">
        <v>0.07410072651636868</v>
      </c>
      <c r="U112" s="31" t="n">
        <v>24600</v>
      </c>
      <c r="V112" s="31" t="n">
        <v>13250</v>
      </c>
      <c r="W112" s="36" t="n">
        <v>-0.2617886178861789</v>
      </c>
      <c r="X112" s="36" t="n">
        <v>0.3705660377358491</v>
      </c>
      <c r="Y112" s="31" t="n">
        <v>20476584</v>
      </c>
      <c r="Z112" s="31" t="n">
        <v>371854765440</v>
      </c>
      <c r="AA112" s="31" t="n">
        <v>1180581600</v>
      </c>
      <c r="AB112" s="31" t="n">
        <v>3434323554</v>
      </c>
      <c r="AC112" s="36" t="n">
        <v>0.00317484596063484</v>
      </c>
      <c r="AD112" s="29" t="inlineStr">
        <is>
          <t>yfinance_download</t>
        </is>
      </c>
      <c r="AE112" s="29" t="inlineStr">
        <is>
          <t>317330.KQ</t>
        </is>
      </c>
    </row>
    <row r="113" ht="24" customHeight="1">
      <c r="A113" s="24" t="inlineStr">
        <is>
          <t>2023-11-21</t>
        </is>
      </c>
      <c r="B113" s="30" t="n">
        <v>18150</v>
      </c>
      <c r="C113" s="30" t="n">
        <v>18240</v>
      </c>
      <c r="D113" s="30" t="n">
        <v>17900</v>
      </c>
      <c r="E113" s="30" t="n">
        <v>17930</v>
      </c>
      <c r="F113" s="30" t="n">
        <v>17930</v>
      </c>
      <c r="G113" s="30" t="n">
        <v>65603</v>
      </c>
      <c r="H113" s="35" t="n">
        <v>-0.01266519823788548</v>
      </c>
      <c r="I113" s="35" t="n">
        <v>-0.4927864214992927</v>
      </c>
      <c r="J113" s="30" t="n">
        <v>18339.5</v>
      </c>
      <c r="K113" s="30" t="n">
        <v>16410.66666666667</v>
      </c>
      <c r="L113" s="30" t="n">
        <v>16900.25</v>
      </c>
      <c r="M113" s="35" t="n">
        <v>0.5668424929363471</v>
      </c>
      <c r="N113" s="35" t="n">
        <v>0.6164394349346838</v>
      </c>
      <c r="O113" s="35" t="n">
        <v>-0.08520408163265303</v>
      </c>
      <c r="P113" s="35" t="n">
        <v>0.2106684672518568</v>
      </c>
      <c r="Q113" s="35" t="n">
        <v>-0.04424307036247332</v>
      </c>
      <c r="R113" s="35" t="n">
        <v>-0.02232885302216525</v>
      </c>
      <c r="S113" s="35" t="n">
        <v>0.0925820604484886</v>
      </c>
      <c r="T113" s="35" t="n">
        <v>0.060931051315809</v>
      </c>
      <c r="U113" s="30" t="n">
        <v>24600</v>
      </c>
      <c r="V113" s="30" t="n">
        <v>13250</v>
      </c>
      <c r="W113" s="35" t="n">
        <v>-0.2711382113821138</v>
      </c>
      <c r="X113" s="35" t="n">
        <v>0.3532075471698113</v>
      </c>
      <c r="Y113" s="30" t="n">
        <v>20476584</v>
      </c>
      <c r="Z113" s="30" t="n">
        <v>367145151120</v>
      </c>
      <c r="AA113" s="30" t="n">
        <v>1176261790</v>
      </c>
      <c r="AB113" s="30" t="n">
        <v>2852615503.5</v>
      </c>
      <c r="AC113" s="35" t="n">
        <v>0.003203805869182086</v>
      </c>
      <c r="AD113" s="24" t="inlineStr">
        <is>
          <t>yfinance_download</t>
        </is>
      </c>
      <c r="AE113" s="24" t="inlineStr">
        <is>
          <t>317330.KQ</t>
        </is>
      </c>
    </row>
    <row r="114" ht="24" customHeight="1">
      <c r="A114" s="29" t="inlineStr">
        <is>
          <t>2023-11-22</t>
        </is>
      </c>
      <c r="B114" s="31" t="n">
        <v>17930</v>
      </c>
      <c r="C114" s="31" t="n">
        <v>17930</v>
      </c>
      <c r="D114" s="31" t="n">
        <v>17300</v>
      </c>
      <c r="E114" s="31" t="n">
        <v>17550</v>
      </c>
      <c r="F114" s="31" t="n">
        <v>17550</v>
      </c>
      <c r="G114" s="31" t="n">
        <v>99162</v>
      </c>
      <c r="H114" s="36" t="n">
        <v>-0.02119353039598437</v>
      </c>
      <c r="I114" s="36" t="n">
        <v>-0.5035360678925036</v>
      </c>
      <c r="J114" s="31" t="n">
        <v>18258</v>
      </c>
      <c r="K114" s="31" t="n">
        <v>16459</v>
      </c>
      <c r="L114" s="31" t="n">
        <v>16893.75</v>
      </c>
      <c r="M114" s="36" t="n">
        <v>0.5667463761660615</v>
      </c>
      <c r="N114" s="36" t="n">
        <v>0.6178643340954945</v>
      </c>
      <c r="O114" s="36" t="n">
        <v>-0.0849843587069864</v>
      </c>
      <c r="P114" s="36" t="n">
        <v>0.1979522184300342</v>
      </c>
      <c r="Q114" s="36" t="n">
        <v>-0.04255319148936165</v>
      </c>
      <c r="R114" s="36" t="n">
        <v>-0.03877752218205721</v>
      </c>
      <c r="S114" s="36" t="n">
        <v>0.06628592259554034</v>
      </c>
      <c r="T114" s="36" t="n">
        <v>0.0388457269700333</v>
      </c>
      <c r="U114" s="31" t="n">
        <v>24600</v>
      </c>
      <c r="V114" s="31" t="n">
        <v>13250</v>
      </c>
      <c r="W114" s="36" t="n">
        <v>-0.2865853658536586</v>
      </c>
      <c r="X114" s="36" t="n">
        <v>0.3245283018867924</v>
      </c>
      <c r="Y114" s="31" t="n">
        <v>20476584</v>
      </c>
      <c r="Z114" s="31" t="n">
        <v>359364049200</v>
      </c>
      <c r="AA114" s="31" t="n">
        <v>1740293100</v>
      </c>
      <c r="AB114" s="31" t="n">
        <v>2639813193.5</v>
      </c>
      <c r="AC114" s="36" t="n">
        <v>0.004842702278856669</v>
      </c>
      <c r="AD114" s="29" t="inlineStr">
        <is>
          <t>yfinance_download</t>
        </is>
      </c>
      <c r="AE114" s="29" t="inlineStr">
        <is>
          <t>317330.KQ</t>
        </is>
      </c>
    </row>
    <row r="115" ht="24" customHeight="1">
      <c r="A115" s="24" t="inlineStr">
        <is>
          <t>2023-11-23</t>
        </is>
      </c>
      <c r="B115" s="30" t="n">
        <v>17690</v>
      </c>
      <c r="C115" s="30" t="n">
        <v>17690</v>
      </c>
      <c r="D115" s="30" t="n">
        <v>17210</v>
      </c>
      <c r="E115" s="30" t="n">
        <v>17250</v>
      </c>
      <c r="F115" s="30" t="n">
        <v>17250</v>
      </c>
      <c r="G115" s="30" t="n">
        <v>85925</v>
      </c>
      <c r="H115" s="35" t="n">
        <v>-0.01709401709401714</v>
      </c>
      <c r="I115" s="35" t="n">
        <v>-0.512022630834512</v>
      </c>
      <c r="J115" s="30" t="n">
        <v>18188</v>
      </c>
      <c r="K115" s="30" t="n">
        <v>16497.33333333333</v>
      </c>
      <c r="L115" s="30" t="n">
        <v>16883.5</v>
      </c>
      <c r="M115" s="35" t="n">
        <v>0.5620911429660241</v>
      </c>
      <c r="N115" s="35" t="n">
        <v>0.6183123790966937</v>
      </c>
      <c r="O115" s="35" t="n">
        <v>-0.07506702412868638</v>
      </c>
      <c r="P115" s="35" t="n">
        <v>0.1538461538461537</v>
      </c>
      <c r="Q115" s="35" t="n">
        <v>-0.06655844155844159</v>
      </c>
      <c r="R115" s="35" t="n">
        <v>-0.05157246536177695</v>
      </c>
      <c r="S115" s="35" t="n">
        <v>0.04562353511678663</v>
      </c>
      <c r="T115" s="35" t="n">
        <v>0.02170758432789399</v>
      </c>
      <c r="U115" s="30" t="n">
        <v>24600</v>
      </c>
      <c r="V115" s="30" t="n">
        <v>13250</v>
      </c>
      <c r="W115" s="35" t="n">
        <v>-0.2987804878048781</v>
      </c>
      <c r="X115" s="35" t="n">
        <v>0.3018867924528301</v>
      </c>
      <c r="Y115" s="30" t="n">
        <v>20476584</v>
      </c>
      <c r="Z115" s="30" t="n">
        <v>353221074000</v>
      </c>
      <c r="AA115" s="30" t="n">
        <v>1482206250</v>
      </c>
      <c r="AB115" s="30" t="n">
        <v>2540232326</v>
      </c>
      <c r="AC115" s="35" t="n">
        <v>0.004196256563106424</v>
      </c>
      <c r="AD115" s="24" t="inlineStr">
        <is>
          <t>yfinance_download</t>
        </is>
      </c>
      <c r="AE115" s="24" t="inlineStr">
        <is>
          <t>317330.KQ</t>
        </is>
      </c>
    </row>
    <row r="116" ht="24" customHeight="1">
      <c r="A116" s="29" t="inlineStr">
        <is>
          <t>2023-11-24</t>
        </is>
      </c>
      <c r="B116" s="31" t="n">
        <v>17250</v>
      </c>
      <c r="C116" s="31" t="n">
        <v>17360</v>
      </c>
      <c r="D116" s="31" t="n">
        <v>16990</v>
      </c>
      <c r="E116" s="31" t="n">
        <v>17180</v>
      </c>
      <c r="F116" s="31" t="n">
        <v>17180</v>
      </c>
      <c r="G116" s="31" t="n">
        <v>93178</v>
      </c>
      <c r="H116" s="36" t="n">
        <v>-0.004057971014492789</v>
      </c>
      <c r="I116" s="36" t="n">
        <v>-0.5140028288543139</v>
      </c>
      <c r="J116" s="31" t="n">
        <v>18104</v>
      </c>
      <c r="K116" s="31" t="n">
        <v>16538.5</v>
      </c>
      <c r="L116" s="31" t="n">
        <v>16864.16666666667</v>
      </c>
      <c r="M116" s="36" t="n">
        <v>0.5594512563454339</v>
      </c>
      <c r="N116" s="36" t="n">
        <v>0.6172126226210383</v>
      </c>
      <c r="O116" s="36" t="n">
        <v>-0.08907741251325552</v>
      </c>
      <c r="P116" s="36" t="n">
        <v>0.1679129843643781</v>
      </c>
      <c r="Q116" s="36" t="n">
        <v>-0.1189743589743589</v>
      </c>
      <c r="R116" s="36" t="n">
        <v>-0.0510384445426425</v>
      </c>
      <c r="S116" s="36" t="n">
        <v>0.03878828188771655</v>
      </c>
      <c r="T116" s="36" t="n">
        <v>0.01872807234273854</v>
      </c>
      <c r="U116" s="31" t="n">
        <v>24600</v>
      </c>
      <c r="V116" s="31" t="n">
        <v>13250</v>
      </c>
      <c r="W116" s="36" t="n">
        <v>-0.3016260162601626</v>
      </c>
      <c r="X116" s="36" t="n">
        <v>0.2966037735849056</v>
      </c>
      <c r="Y116" s="31" t="n">
        <v>20476584</v>
      </c>
      <c r="Z116" s="31" t="n">
        <v>351787713120</v>
      </c>
      <c r="AA116" s="31" t="n">
        <v>1600798040</v>
      </c>
      <c r="AB116" s="31" t="n">
        <v>2485385508</v>
      </c>
      <c r="AC116" s="36" t="n">
        <v>0.004550466034764392</v>
      </c>
      <c r="AD116" s="29" t="inlineStr">
        <is>
          <t>yfinance_download</t>
        </is>
      </c>
      <c r="AE116" s="29" t="inlineStr">
        <is>
          <t>317330.KQ</t>
        </is>
      </c>
    </row>
    <row r="117" ht="24" customHeight="1">
      <c r="A117" s="24" t="inlineStr">
        <is>
          <t>2023-11-27</t>
        </is>
      </c>
      <c r="B117" s="30" t="n">
        <v>17180</v>
      </c>
      <c r="C117" s="30" t="n">
        <v>17180</v>
      </c>
      <c r="D117" s="30" t="n">
        <v>16790</v>
      </c>
      <c r="E117" s="30" t="n">
        <v>16830</v>
      </c>
      <c r="F117" s="30" t="n">
        <v>16830</v>
      </c>
      <c r="G117" s="30" t="n">
        <v>89144</v>
      </c>
      <c r="H117" s="35" t="n">
        <v>-0.02037252619324792</v>
      </c>
      <c r="I117" s="35" t="n">
        <v>-0.5239038189533238</v>
      </c>
      <c r="J117" s="30" t="n">
        <v>17996</v>
      </c>
      <c r="K117" s="30" t="n">
        <v>16571.66666666667</v>
      </c>
      <c r="L117" s="30" t="n">
        <v>16844.5</v>
      </c>
      <c r="M117" s="35" t="n">
        <v>0.560735930991473</v>
      </c>
      <c r="N117" s="35" t="n">
        <v>0.6189946163807896</v>
      </c>
      <c r="O117" s="35" t="n">
        <v>-0.1137440758293838</v>
      </c>
      <c r="P117" s="35" t="n">
        <v>0.1340970350404314</v>
      </c>
      <c r="Q117" s="35" t="n">
        <v>-0.122980719124544</v>
      </c>
      <c r="R117" s="35" t="n">
        <v>-0.0647921760391198</v>
      </c>
      <c r="S117" s="35" t="n">
        <v>0.01558885648194708</v>
      </c>
      <c r="T117" s="35" t="n">
        <v>-0.0008608151028525191</v>
      </c>
      <c r="U117" s="30" t="n">
        <v>24600</v>
      </c>
      <c r="V117" s="30" t="n">
        <v>13250</v>
      </c>
      <c r="W117" s="35" t="n">
        <v>-0.3158536585365853</v>
      </c>
      <c r="X117" s="35" t="n">
        <v>0.270188679245283</v>
      </c>
      <c r="Y117" s="30" t="n">
        <v>20476584</v>
      </c>
      <c r="Z117" s="30" t="n">
        <v>344620908720</v>
      </c>
      <c r="AA117" s="30" t="n">
        <v>1500293520</v>
      </c>
      <c r="AB117" s="30" t="n">
        <v>2459277484.5</v>
      </c>
      <c r="AC117" s="35" t="n">
        <v>0.00435346051860994</v>
      </c>
      <c r="AD117" s="24" t="inlineStr">
        <is>
          <t>yfinance_download</t>
        </is>
      </c>
      <c r="AE117" s="24" t="inlineStr">
        <is>
          <t>317330.KQ</t>
        </is>
      </c>
    </row>
    <row r="118" ht="24" customHeight="1">
      <c r="A118" s="29" t="inlineStr">
        <is>
          <t>2023-11-28</t>
        </is>
      </c>
      <c r="B118" s="31" t="n">
        <v>16830</v>
      </c>
      <c r="C118" s="31" t="n">
        <v>17130</v>
      </c>
      <c r="D118" s="31" t="n">
        <v>16740</v>
      </c>
      <c r="E118" s="31" t="n">
        <v>16840</v>
      </c>
      <c r="F118" s="31" t="n">
        <v>16840</v>
      </c>
      <c r="G118" s="31" t="n">
        <v>74838</v>
      </c>
      <c r="H118" s="36" t="n">
        <v>0.0005941770647652778</v>
      </c>
      <c r="I118" s="36" t="n">
        <v>-0.5236209335219236</v>
      </c>
      <c r="J118" s="31" t="n">
        <v>17910.5</v>
      </c>
      <c r="K118" s="31" t="n">
        <v>16602.16666666667</v>
      </c>
      <c r="L118" s="31" t="n">
        <v>16825.5</v>
      </c>
      <c r="M118" s="36" t="n">
        <v>0.5570983993820832</v>
      </c>
      <c r="N118" s="36" t="n">
        <v>0.6187474128608866</v>
      </c>
      <c r="O118" s="36" t="n">
        <v>-0.09218328840970347</v>
      </c>
      <c r="P118" s="36" t="n">
        <v>0.1219187208527648</v>
      </c>
      <c r="Q118" s="36" t="n">
        <v>-0.1192468619246861</v>
      </c>
      <c r="R118" s="36" t="n">
        <v>-0.05976940900589045</v>
      </c>
      <c r="S118" s="36" t="n">
        <v>0.01432543945067399</v>
      </c>
      <c r="T118" s="36" t="n">
        <v>0.0008617871682863321</v>
      </c>
      <c r="U118" s="31" t="n">
        <v>24600</v>
      </c>
      <c r="V118" s="31" t="n">
        <v>13250</v>
      </c>
      <c r="W118" s="36" t="n">
        <v>-0.3154471544715447</v>
      </c>
      <c r="X118" s="36" t="n">
        <v>0.2709433962264152</v>
      </c>
      <c r="Y118" s="31" t="n">
        <v>20476584</v>
      </c>
      <c r="Z118" s="31" t="n">
        <v>344825674560</v>
      </c>
      <c r="AA118" s="31" t="n">
        <v>1260271920</v>
      </c>
      <c r="AB118" s="31" t="n">
        <v>2417790583</v>
      </c>
      <c r="AC118" s="36" t="n">
        <v>0.003654808829441473</v>
      </c>
      <c r="AD118" s="29" t="inlineStr">
        <is>
          <t>yfinance_download</t>
        </is>
      </c>
      <c r="AE118" s="29" t="inlineStr">
        <is>
          <t>317330.KQ</t>
        </is>
      </c>
    </row>
    <row r="119" ht="24" customHeight="1">
      <c r="A119" s="24" t="inlineStr">
        <is>
          <t>2023-11-29</t>
        </is>
      </c>
      <c r="B119" s="30" t="n">
        <v>16850</v>
      </c>
      <c r="C119" s="30" t="n">
        <v>16950</v>
      </c>
      <c r="D119" s="30" t="n">
        <v>16360</v>
      </c>
      <c r="E119" s="30" t="n">
        <v>16420</v>
      </c>
      <c r="F119" s="30" t="n">
        <v>16420</v>
      </c>
      <c r="G119" s="30" t="n">
        <v>77953</v>
      </c>
      <c r="H119" s="35" t="n">
        <v>-0.02494061757719712</v>
      </c>
      <c r="I119" s="35" t="n">
        <v>-0.5355021216407355</v>
      </c>
      <c r="J119" s="30" t="n">
        <v>17864.5</v>
      </c>
      <c r="K119" s="30" t="n">
        <v>16622.66666666667</v>
      </c>
      <c r="L119" s="30" t="n">
        <v>16804.08333333333</v>
      </c>
      <c r="M119" s="35" t="n">
        <v>0.5153977472620788</v>
      </c>
      <c r="N119" s="35" t="n">
        <v>0.6209876543482932</v>
      </c>
      <c r="O119" s="35" t="n">
        <v>-0.05305651672433676</v>
      </c>
      <c r="P119" s="35" t="n">
        <v>0.08097432521395653</v>
      </c>
      <c r="Q119" s="35" t="n">
        <v>-0.1353343865192207</v>
      </c>
      <c r="R119" s="35" t="n">
        <v>-0.08085868622127679</v>
      </c>
      <c r="S119" s="35" t="n">
        <v>-0.01219218737466921</v>
      </c>
      <c r="T119" s="35" t="n">
        <v>-0.02285654776368828</v>
      </c>
      <c r="U119" s="30" t="n">
        <v>24600</v>
      </c>
      <c r="V119" s="30" t="n">
        <v>13250</v>
      </c>
      <c r="W119" s="35" t="n">
        <v>-0.332520325203252</v>
      </c>
      <c r="X119" s="35" t="n">
        <v>0.2392452830188678</v>
      </c>
      <c r="Y119" s="30" t="n">
        <v>20476584</v>
      </c>
      <c r="Z119" s="30" t="n">
        <v>336225509280</v>
      </c>
      <c r="AA119" s="30" t="n">
        <v>1279988260</v>
      </c>
      <c r="AB119" s="30" t="n">
        <v>2239541526</v>
      </c>
      <c r="AC119" s="35" t="n">
        <v>0.003806933812788305</v>
      </c>
      <c r="AD119" s="24" t="inlineStr">
        <is>
          <t>yfinance_download</t>
        </is>
      </c>
      <c r="AE119" s="24" t="inlineStr">
        <is>
          <t>317330.KQ</t>
        </is>
      </c>
    </row>
    <row r="120" ht="24" customHeight="1">
      <c r="A120" s="29" t="inlineStr">
        <is>
          <t>2023-11-30</t>
        </is>
      </c>
      <c r="B120" s="31" t="n">
        <v>16370</v>
      </c>
      <c r="C120" s="31" t="n">
        <v>18420</v>
      </c>
      <c r="D120" s="31" t="n">
        <v>16350</v>
      </c>
      <c r="E120" s="31" t="n">
        <v>16770</v>
      </c>
      <c r="F120" s="31" t="n">
        <v>16770</v>
      </c>
      <c r="G120" s="31" t="n">
        <v>556891</v>
      </c>
      <c r="H120" s="36" t="n">
        <v>0.02131546894031677</v>
      </c>
      <c r="I120" s="36" t="n">
        <v>-0.5256011315417256</v>
      </c>
      <c r="J120" s="31" t="n">
        <v>17803</v>
      </c>
      <c r="K120" s="31" t="n">
        <v>16650.66666666667</v>
      </c>
      <c r="L120" s="31" t="n">
        <v>16785</v>
      </c>
      <c r="M120" s="36" t="n">
        <v>0.5012682872207201</v>
      </c>
      <c r="N120" s="36" t="n">
        <v>0.6219679319118384</v>
      </c>
      <c r="O120" s="36" t="n">
        <v>-0.06833333333333336</v>
      </c>
      <c r="P120" s="36" t="n">
        <v>0.1113320079522864</v>
      </c>
      <c r="Q120" s="36" t="n">
        <v>-0.1201469045120671</v>
      </c>
      <c r="R120" s="36" t="n">
        <v>-0.05802392855136773</v>
      </c>
      <c r="S120" s="36" t="n">
        <v>0.007166880204996673</v>
      </c>
      <c r="T120" s="36" t="n">
        <v>-0.0008936550491510653</v>
      </c>
      <c r="U120" s="31" t="n">
        <v>24600</v>
      </c>
      <c r="V120" s="31" t="n">
        <v>13250</v>
      </c>
      <c r="W120" s="36" t="n">
        <v>-0.3182926829268292</v>
      </c>
      <c r="X120" s="36" t="n">
        <v>0.2656603773584905</v>
      </c>
      <c r="Y120" s="31" t="n">
        <v>20476584</v>
      </c>
      <c r="Z120" s="31" t="n">
        <v>343392313680</v>
      </c>
      <c r="AA120" s="31" t="n">
        <v>9339062070</v>
      </c>
      <c r="AB120" s="31" t="n">
        <v>2519188429.5</v>
      </c>
      <c r="AC120" s="36" t="n">
        <v>0.02719647964719115</v>
      </c>
      <c r="AD120" s="29" t="inlineStr">
        <is>
          <t>yfinance_download</t>
        </is>
      </c>
      <c r="AE120" s="29" t="inlineStr">
        <is>
          <t>317330.KQ</t>
        </is>
      </c>
    </row>
    <row r="121" ht="24" customHeight="1">
      <c r="A121" s="24" t="inlineStr">
        <is>
          <t>2023-12-01</t>
        </is>
      </c>
      <c r="B121" s="30" t="n">
        <v>17090</v>
      </c>
      <c r="C121" s="30" t="n">
        <v>17350</v>
      </c>
      <c r="D121" s="30" t="n">
        <v>16750</v>
      </c>
      <c r="E121" s="30" t="n">
        <v>17170</v>
      </c>
      <c r="F121" s="30" t="n">
        <v>17170</v>
      </c>
      <c r="G121" s="30" t="n">
        <v>102828</v>
      </c>
      <c r="H121" s="35" t="n">
        <v>0.0238521168753727</v>
      </c>
      <c r="I121" s="35" t="n">
        <v>-0.5142857142857142</v>
      </c>
      <c r="J121" s="30" t="n">
        <v>17752</v>
      </c>
      <c r="K121" s="30" t="n">
        <v>16676.33333333333</v>
      </c>
      <c r="L121" s="30" t="n">
        <v>16769.33333333333</v>
      </c>
      <c r="M121" s="35" t="n">
        <v>0.5082343440598861</v>
      </c>
      <c r="N121" s="35" t="n">
        <v>0.6197158543550936</v>
      </c>
      <c r="O121" s="35" t="n">
        <v>-0.05607476635514019</v>
      </c>
      <c r="P121" s="35" t="n">
        <v>0.09852847088931549</v>
      </c>
      <c r="Q121" s="35" t="n">
        <v>-0.0986876640419948</v>
      </c>
      <c r="R121" s="35" t="n">
        <v>-0.03278503830554302</v>
      </c>
      <c r="S121" s="35" t="n">
        <v>0.02960283035839217</v>
      </c>
      <c r="T121" s="35" t="n">
        <v>0.02389282022739936</v>
      </c>
      <c r="U121" s="30" t="n">
        <v>24600</v>
      </c>
      <c r="V121" s="30" t="n">
        <v>13250</v>
      </c>
      <c r="W121" s="35" t="n">
        <v>-0.3020325203252032</v>
      </c>
      <c r="X121" s="35" t="n">
        <v>0.2958490566037735</v>
      </c>
      <c r="Y121" s="30" t="n">
        <v>20476584</v>
      </c>
      <c r="Z121" s="30" t="n">
        <v>351582947280</v>
      </c>
      <c r="AA121" s="30" t="n">
        <v>1765556760</v>
      </c>
      <c r="AB121" s="30" t="n">
        <v>2499300342</v>
      </c>
      <c r="AC121" s="35" t="n">
        <v>0.005021736047379778</v>
      </c>
      <c r="AD121" s="24" t="inlineStr">
        <is>
          <t>yfinance_download</t>
        </is>
      </c>
      <c r="AE121" s="24" t="inlineStr">
        <is>
          <t>317330.KQ</t>
        </is>
      </c>
    </row>
    <row r="122" ht="24" customHeight="1">
      <c r="A122" s="29" t="inlineStr">
        <is>
          <t>2023-12-04</t>
        </is>
      </c>
      <c r="B122" s="31" t="n">
        <v>18500</v>
      </c>
      <c r="C122" s="31" t="n">
        <v>21400</v>
      </c>
      <c r="D122" s="31" t="n">
        <v>18400</v>
      </c>
      <c r="E122" s="31" t="n">
        <v>19350</v>
      </c>
      <c r="F122" s="31" t="n">
        <v>19350</v>
      </c>
      <c r="G122" s="31" t="n">
        <v>3349519</v>
      </c>
      <c r="H122" s="36" t="n">
        <v>0.1269656377402446</v>
      </c>
      <c r="I122" s="36" t="n">
        <v>-0.4526166902404526</v>
      </c>
      <c r="J122" s="31" t="n">
        <v>17734.5</v>
      </c>
      <c r="K122" s="31" t="n">
        <v>16742.66666666667</v>
      </c>
      <c r="L122" s="31" t="n">
        <v>16774.91666666667</v>
      </c>
      <c r="M122" s="36" t="n">
        <v>0.6182467579430171</v>
      </c>
      <c r="N122" s="36" t="n">
        <v>0.6689133292608015</v>
      </c>
      <c r="O122" s="36" t="n">
        <v>-0.01776649746192893</v>
      </c>
      <c r="P122" s="36" t="n">
        <v>0.2589459986987639</v>
      </c>
      <c r="Q122" s="36" t="n">
        <v>0.0358672376873661</v>
      </c>
      <c r="R122" s="36" t="n">
        <v>0.09109363105810697</v>
      </c>
      <c r="S122" s="36" t="n">
        <v>0.1557298717846618</v>
      </c>
      <c r="T122" s="36" t="n">
        <v>0.1535079657623732</v>
      </c>
      <c r="U122" s="31" t="n">
        <v>24600</v>
      </c>
      <c r="V122" s="31" t="n">
        <v>13250</v>
      </c>
      <c r="W122" s="36" t="n">
        <v>-0.2134146341463414</v>
      </c>
      <c r="X122" s="36" t="n">
        <v>0.4603773584905659</v>
      </c>
      <c r="Y122" s="31" t="n">
        <v>20476584</v>
      </c>
      <c r="Z122" s="31" t="n">
        <v>396221900400</v>
      </c>
      <c r="AA122" s="31" t="n">
        <v>64813192650</v>
      </c>
      <c r="AB122" s="31" t="n">
        <v>5457708224.5</v>
      </c>
      <c r="AC122" s="36" t="n">
        <v>0.1635780167238833</v>
      </c>
      <c r="AD122" s="29" t="inlineStr">
        <is>
          <t>yfinance_download</t>
        </is>
      </c>
      <c r="AE122" s="29" t="inlineStr">
        <is>
          <t>317330.KQ</t>
        </is>
      </c>
    </row>
    <row r="123" ht="24" customHeight="1">
      <c r="A123" s="24" t="inlineStr">
        <is>
          <t>2023-12-05</t>
        </is>
      </c>
      <c r="B123" s="30" t="n">
        <v>19060</v>
      </c>
      <c r="C123" s="30" t="n">
        <v>20500</v>
      </c>
      <c r="D123" s="30" t="n">
        <v>18320</v>
      </c>
      <c r="E123" s="30" t="n">
        <v>19550</v>
      </c>
      <c r="F123" s="30" t="n">
        <v>19550</v>
      </c>
      <c r="G123" s="30" t="n">
        <v>955031</v>
      </c>
      <c r="H123" s="35" t="n">
        <v>0.01033591731266159</v>
      </c>
      <c r="I123" s="35" t="n">
        <v>-0.446958981612447</v>
      </c>
      <c r="J123" s="30" t="n">
        <v>17766.5</v>
      </c>
      <c r="K123" s="30" t="n">
        <v>16812.5</v>
      </c>
      <c r="L123" s="30" t="n">
        <v>16778.58333333333</v>
      </c>
      <c r="M123" s="35" t="n">
        <v>0.6007519388817086</v>
      </c>
      <c r="N123" s="35" t="n">
        <v>0.668918285725779</v>
      </c>
      <c r="O123" s="35" t="n">
        <v>0.0338445267054468</v>
      </c>
      <c r="P123" s="35" t="n">
        <v>0.2727864583333333</v>
      </c>
      <c r="Q123" s="35" t="n">
        <v>0.02302459445316596</v>
      </c>
      <c r="R123" s="35" t="n">
        <v>0.1003855570877776</v>
      </c>
      <c r="S123" s="35" t="n">
        <v>0.162825278810409</v>
      </c>
      <c r="T123" s="35" t="n">
        <v>0.1651758442061557</v>
      </c>
      <c r="U123" s="30" t="n">
        <v>24600</v>
      </c>
      <c r="V123" s="30" t="n">
        <v>13250</v>
      </c>
      <c r="W123" s="35" t="n">
        <v>-0.2052845528455285</v>
      </c>
      <c r="X123" s="35" t="n">
        <v>0.4754716981132074</v>
      </c>
      <c r="Y123" s="30" t="n">
        <v>20476584</v>
      </c>
      <c r="Z123" s="30" t="n">
        <v>400317217200</v>
      </c>
      <c r="AA123" s="30" t="n">
        <v>18670856050</v>
      </c>
      <c r="AB123" s="30" t="n">
        <v>6133594713</v>
      </c>
      <c r="AC123" s="35" t="n">
        <v>0.04664015247855795</v>
      </c>
      <c r="AD123" s="24" t="inlineStr">
        <is>
          <t>yfinance_download</t>
        </is>
      </c>
      <c r="AE123" s="24" t="inlineStr">
        <is>
          <t>317330.KQ</t>
        </is>
      </c>
    </row>
    <row r="124" ht="24" customHeight="1">
      <c r="A124" s="29" t="inlineStr">
        <is>
          <t>2023-12-06</t>
        </is>
      </c>
      <c r="B124" s="31" t="n">
        <v>19700</v>
      </c>
      <c r="C124" s="31" t="n">
        <v>19820</v>
      </c>
      <c r="D124" s="31" t="n">
        <v>18950</v>
      </c>
      <c r="E124" s="31" t="n">
        <v>19270</v>
      </c>
      <c r="F124" s="31" t="n">
        <v>19270</v>
      </c>
      <c r="G124" s="31" t="n">
        <v>324675</v>
      </c>
      <c r="H124" s="36" t="n">
        <v>-0.01432225063938619</v>
      </c>
      <c r="I124" s="36" t="n">
        <v>-0.4548797736916549</v>
      </c>
      <c r="J124" s="31" t="n">
        <v>17802.5</v>
      </c>
      <c r="K124" s="31" t="n">
        <v>16879.83333333333</v>
      </c>
      <c r="L124" s="31" t="n">
        <v>16779.25</v>
      </c>
      <c r="M124" s="36" t="n">
        <v>0.5987586410901026</v>
      </c>
      <c r="N124" s="36" t="n">
        <v>0.6695243239970937</v>
      </c>
      <c r="O124" s="36" t="n">
        <v>0.03881401617250679</v>
      </c>
      <c r="P124" s="36" t="n">
        <v>0.2652659225213394</v>
      </c>
      <c r="Q124" s="36" t="n">
        <v>0.004168837936425307</v>
      </c>
      <c r="R124" s="36" t="n">
        <v>0.08243224266254745</v>
      </c>
      <c r="S124" s="36" t="n">
        <v>0.1415989494367047</v>
      </c>
      <c r="T124" s="36" t="n">
        <v>0.1484422724496028</v>
      </c>
      <c r="U124" s="31" t="n">
        <v>24600</v>
      </c>
      <c r="V124" s="31" t="n">
        <v>13250</v>
      </c>
      <c r="W124" s="36" t="n">
        <v>-0.2166666666666667</v>
      </c>
      <c r="X124" s="36" t="n">
        <v>0.4543396226415095</v>
      </c>
      <c r="Y124" s="31" t="n">
        <v>20476584</v>
      </c>
      <c r="Z124" s="31" t="n">
        <v>394583773680</v>
      </c>
      <c r="AA124" s="31" t="n">
        <v>6256487250</v>
      </c>
      <c r="AB124" s="31" t="n">
        <v>6336995408</v>
      </c>
      <c r="AC124" s="36" t="n">
        <v>0.0158559162016477</v>
      </c>
      <c r="AD124" s="29" t="inlineStr">
        <is>
          <t>yfinance_download</t>
        </is>
      </c>
      <c r="AE124" s="29" t="inlineStr">
        <is>
          <t>317330.KQ</t>
        </is>
      </c>
    </row>
    <row r="125" ht="24" customHeight="1">
      <c r="A125" s="24" t="inlineStr">
        <is>
          <t>2023-12-07</t>
        </is>
      </c>
      <c r="B125" s="30" t="n">
        <v>19330</v>
      </c>
      <c r="C125" s="30" t="n">
        <v>19350</v>
      </c>
      <c r="D125" s="30" t="n">
        <v>17900</v>
      </c>
      <c r="E125" s="30" t="n">
        <v>18440</v>
      </c>
      <c r="F125" s="30" t="n">
        <v>18440</v>
      </c>
      <c r="G125" s="30" t="n">
        <v>504635</v>
      </c>
      <c r="H125" s="35" t="n">
        <v>-0.04307213284898803</v>
      </c>
      <c r="I125" s="35" t="n">
        <v>-0.4783592644978784</v>
      </c>
      <c r="J125" s="30" t="n">
        <v>17813</v>
      </c>
      <c r="K125" s="30" t="n">
        <v>16932.16666666667</v>
      </c>
      <c r="L125" s="30" t="n">
        <v>16772.41666666667</v>
      </c>
      <c r="M125" s="35" t="n">
        <v>0.6168289038559819</v>
      </c>
      <c r="N125" s="35" t="n">
        <v>0.6766649528487299</v>
      </c>
      <c r="O125" s="35" t="n">
        <v>0.01151947339550197</v>
      </c>
      <c r="P125" s="35" t="n">
        <v>0.2052287581699346</v>
      </c>
      <c r="Q125" s="35" t="n">
        <v>-0.04257528556593981</v>
      </c>
      <c r="R125" s="35" t="n">
        <v>0.03519901195755915</v>
      </c>
      <c r="S125" s="35" t="n">
        <v>0.08905141102241299</v>
      </c>
      <c r="T125" s="35" t="n">
        <v>0.09942415374449109</v>
      </c>
      <c r="U125" s="30" t="n">
        <v>24600</v>
      </c>
      <c r="V125" s="30" t="n">
        <v>13250</v>
      </c>
      <c r="W125" s="35" t="n">
        <v>-0.2504065040650406</v>
      </c>
      <c r="X125" s="35" t="n">
        <v>0.3916981132075472</v>
      </c>
      <c r="Y125" s="30" t="n">
        <v>20476584</v>
      </c>
      <c r="Z125" s="30" t="n">
        <v>377588208960</v>
      </c>
      <c r="AA125" s="30" t="n">
        <v>9305469400</v>
      </c>
      <c r="AB125" s="30" t="n">
        <v>6739926835.5</v>
      </c>
      <c r="AC125" s="35" t="n">
        <v>0.02464449148354042</v>
      </c>
      <c r="AD125" s="24" t="inlineStr">
        <is>
          <t>yfinance_download</t>
        </is>
      </c>
      <c r="AE125" s="24" t="inlineStr">
        <is>
          <t>317330.KQ</t>
        </is>
      </c>
    </row>
    <row r="126" ht="24" customHeight="1">
      <c r="A126" s="29" t="inlineStr">
        <is>
          <t>2023-12-08</t>
        </is>
      </c>
      <c r="B126" s="31" t="n">
        <v>18580</v>
      </c>
      <c r="C126" s="31" t="n">
        <v>21150</v>
      </c>
      <c r="D126" s="31" t="n">
        <v>18340</v>
      </c>
      <c r="E126" s="31" t="n">
        <v>20750</v>
      </c>
      <c r="F126" s="31" t="n">
        <v>20750</v>
      </c>
      <c r="G126" s="31" t="n">
        <v>910910</v>
      </c>
      <c r="H126" s="36" t="n">
        <v>0.1252711496746204</v>
      </c>
      <c r="I126" s="36" t="n">
        <v>-0.4130127298444131</v>
      </c>
      <c r="J126" s="31" t="n">
        <v>17978.5</v>
      </c>
      <c r="K126" s="31" t="n">
        <v>17029</v>
      </c>
      <c r="L126" s="31" t="n">
        <v>16786.91666666667</v>
      </c>
      <c r="M126" s="36" t="n">
        <v>0.7343078649353734</v>
      </c>
      <c r="N126" s="36" t="n">
        <v>0.7182712665325475</v>
      </c>
      <c r="O126" s="36" t="n">
        <v>0.1897935779816513</v>
      </c>
      <c r="P126" s="36" t="n">
        <v>0.3888888888888888</v>
      </c>
      <c r="Q126" s="36" t="n">
        <v>0.09153077327722259</v>
      </c>
      <c r="R126" s="36" t="n">
        <v>0.1541563534221431</v>
      </c>
      <c r="S126" s="36" t="n">
        <v>0.2185096012684244</v>
      </c>
      <c r="T126" s="36" t="n">
        <v>0.2360816707455706</v>
      </c>
      <c r="U126" s="31" t="n">
        <v>24600</v>
      </c>
      <c r="V126" s="31" t="n">
        <v>13250</v>
      </c>
      <c r="W126" s="36" t="n">
        <v>-0.1565040650406504</v>
      </c>
      <c r="X126" s="36" t="n">
        <v>0.5660377358490567</v>
      </c>
      <c r="Y126" s="31" t="n">
        <v>20476584</v>
      </c>
      <c r="Z126" s="31" t="n">
        <v>424889118000</v>
      </c>
      <c r="AA126" s="31" t="n">
        <v>18901382500</v>
      </c>
      <c r="AB126" s="31" t="n">
        <v>7607523120.5</v>
      </c>
      <c r="AC126" s="36" t="n">
        <v>0.04448544737735552</v>
      </c>
      <c r="AD126" s="29" t="inlineStr">
        <is>
          <t>yfinance_download</t>
        </is>
      </c>
      <c r="AE126" s="29" t="inlineStr">
        <is>
          <t>317330.KQ</t>
        </is>
      </c>
    </row>
    <row r="127" ht="24" customHeight="1">
      <c r="A127" s="24" t="inlineStr">
        <is>
          <t>2023-12-11</t>
        </is>
      </c>
      <c r="B127" s="30" t="n">
        <v>20550</v>
      </c>
      <c r="C127" s="30" t="n">
        <v>21050</v>
      </c>
      <c r="D127" s="30" t="n">
        <v>20100</v>
      </c>
      <c r="E127" s="30" t="n">
        <v>20350</v>
      </c>
      <c r="F127" s="30" t="n">
        <v>20350</v>
      </c>
      <c r="G127" s="30" t="n">
        <v>367782</v>
      </c>
      <c r="H127" s="35" t="n">
        <v>-0.01927710843373498</v>
      </c>
      <c r="I127" s="35" t="n">
        <v>-0.4243281471004243</v>
      </c>
      <c r="J127" s="30" t="n">
        <v>18136</v>
      </c>
      <c r="K127" s="30" t="n">
        <v>17124.33333333333</v>
      </c>
      <c r="L127" s="30" t="n">
        <v>16794.5</v>
      </c>
      <c r="M127" s="35" t="n">
        <v>0.7369009202485337</v>
      </c>
      <c r="N127" s="35" t="n">
        <v>0.7180393815321537</v>
      </c>
      <c r="O127" s="35" t="n">
        <v>0.183139534883721</v>
      </c>
      <c r="P127" s="35" t="n">
        <v>0.3909774436090225</v>
      </c>
      <c r="Q127" s="35" t="n">
        <v>0.04681069958847739</v>
      </c>
      <c r="R127" s="35" t="n">
        <v>0.1220776356418174</v>
      </c>
      <c r="S127" s="35" t="n">
        <v>0.1883674303622527</v>
      </c>
      <c r="T127" s="35" t="n">
        <v>0.2117062133436542</v>
      </c>
      <c r="U127" s="30" t="n">
        <v>24600</v>
      </c>
      <c r="V127" s="30" t="n">
        <v>13250</v>
      </c>
      <c r="W127" s="35" t="n">
        <v>-0.1727642276422764</v>
      </c>
      <c r="X127" s="35" t="n">
        <v>0.5358490566037737</v>
      </c>
      <c r="Y127" s="30" t="n">
        <v>20476584</v>
      </c>
      <c r="Z127" s="30" t="n">
        <v>416698484400</v>
      </c>
      <c r="AA127" s="30" t="n">
        <v>7484363700</v>
      </c>
      <c r="AB127" s="30" t="n">
        <v>7893422745.5</v>
      </c>
      <c r="AC127" s="35" t="n">
        <v>0.01796110132432245</v>
      </c>
      <c r="AD127" s="24" t="inlineStr">
        <is>
          <t>yfinance_download</t>
        </is>
      </c>
      <c r="AE127" s="24" t="inlineStr">
        <is>
          <t>317330.KQ</t>
        </is>
      </c>
    </row>
    <row r="128" ht="24" customHeight="1">
      <c r="A128" s="29" t="inlineStr">
        <is>
          <t>2023-12-12</t>
        </is>
      </c>
      <c r="B128" s="31" t="n">
        <v>20600</v>
      </c>
      <c r="C128" s="31" t="n">
        <v>21000</v>
      </c>
      <c r="D128" s="31" t="n">
        <v>20150</v>
      </c>
      <c r="E128" s="31" t="n">
        <v>20200</v>
      </c>
      <c r="F128" s="31" t="n">
        <v>20200</v>
      </c>
      <c r="G128" s="31" t="n">
        <v>237273</v>
      </c>
      <c r="H128" s="36" t="n">
        <v>-0.007371007371007376</v>
      </c>
      <c r="I128" s="36" t="n">
        <v>-0.4285714285714286</v>
      </c>
      <c r="J128" s="31" t="n">
        <v>18249.5</v>
      </c>
      <c r="K128" s="31" t="n">
        <v>17222.5</v>
      </c>
      <c r="L128" s="31" t="n">
        <v>16799.91666666667</v>
      </c>
      <c r="M128" s="36" t="n">
        <v>0.728457522924571</v>
      </c>
      <c r="N128" s="36" t="n">
        <v>0.7162066507522671</v>
      </c>
      <c r="O128" s="36" t="n">
        <v>0.1266034578918014</v>
      </c>
      <c r="P128" s="36" t="n">
        <v>0.4116002795248079</v>
      </c>
      <c r="Q128" s="36" t="n">
        <v>0.03324808184143224</v>
      </c>
      <c r="R128" s="36" t="n">
        <v>0.106879640538097</v>
      </c>
      <c r="S128" s="36" t="n">
        <v>0.1728843083176077</v>
      </c>
      <c r="T128" s="36" t="n">
        <v>0.2023869166017687</v>
      </c>
      <c r="U128" s="31" t="n">
        <v>24600</v>
      </c>
      <c r="V128" s="31" t="n">
        <v>13250</v>
      </c>
      <c r="W128" s="36" t="n">
        <v>-0.1788617886178862</v>
      </c>
      <c r="X128" s="36" t="n">
        <v>0.5245283018867926</v>
      </c>
      <c r="Y128" s="31" t="n">
        <v>20476584</v>
      </c>
      <c r="Z128" s="31" t="n">
        <v>413626996800</v>
      </c>
      <c r="AA128" s="31" t="n">
        <v>4792914600</v>
      </c>
      <c r="AB128" s="31" t="n">
        <v>8061794036</v>
      </c>
      <c r="AC128" s="36" t="n">
        <v>0.01158752846666221</v>
      </c>
      <c r="AD128" s="29" t="inlineStr">
        <is>
          <t>yfinance_download</t>
        </is>
      </c>
      <c r="AE128" s="29" t="inlineStr">
        <is>
          <t>317330.KQ</t>
        </is>
      </c>
    </row>
    <row r="129" ht="24" customHeight="1">
      <c r="A129" s="24" t="inlineStr">
        <is>
          <t>2023-12-13</t>
        </is>
      </c>
      <c r="B129" s="30" t="n">
        <v>19980</v>
      </c>
      <c r="C129" s="30" t="n">
        <v>19980</v>
      </c>
      <c r="D129" s="30" t="n">
        <v>19370</v>
      </c>
      <c r="E129" s="30" t="n">
        <v>19390</v>
      </c>
      <c r="F129" s="30" t="n">
        <v>19390</v>
      </c>
      <c r="G129" s="30" t="n">
        <v>184453</v>
      </c>
      <c r="H129" s="35" t="n">
        <v>-0.04009900990099013</v>
      </c>
      <c r="I129" s="35" t="n">
        <v>-0.4514851485148514</v>
      </c>
      <c r="J129" s="30" t="n">
        <v>18306</v>
      </c>
      <c r="K129" s="30" t="n">
        <v>17312.5</v>
      </c>
      <c r="L129" s="30" t="n">
        <v>16801.41666666667</v>
      </c>
      <c r="M129" s="35" t="n">
        <v>0.7456294243755486</v>
      </c>
      <c r="N129" s="35" t="n">
        <v>0.7201939588775975</v>
      </c>
      <c r="O129" s="35" t="n">
        <v>0.06188389923329685</v>
      </c>
      <c r="P129" s="35" t="n">
        <v>0.3859899928520372</v>
      </c>
      <c r="Q129" s="35" t="n">
        <v>0.00937011972930768</v>
      </c>
      <c r="R129" s="35" t="n">
        <v>0.05921555774063147</v>
      </c>
      <c r="S129" s="35" t="n">
        <v>0.1200000000000001</v>
      </c>
      <c r="T129" s="35" t="n">
        <v>0.1540693493108218</v>
      </c>
      <c r="U129" s="30" t="n">
        <v>24600</v>
      </c>
      <c r="V129" s="30" t="n">
        <v>13250</v>
      </c>
      <c r="W129" s="35" t="n">
        <v>-0.2117886178861789</v>
      </c>
      <c r="X129" s="35" t="n">
        <v>0.4633962264150944</v>
      </c>
      <c r="Y129" s="30" t="n">
        <v>20476584</v>
      </c>
      <c r="Z129" s="30" t="n">
        <v>397040963760</v>
      </c>
      <c r="AA129" s="30" t="n">
        <v>3576543670</v>
      </c>
      <c r="AB129" s="30" t="n">
        <v>8057952744.5</v>
      </c>
      <c r="AC129" s="35" t="n">
        <v>0.009007996646315616</v>
      </c>
      <c r="AD129" s="24" t="inlineStr">
        <is>
          <t>yfinance_download</t>
        </is>
      </c>
      <c r="AE129" s="24" t="inlineStr">
        <is>
          <t>317330.KQ</t>
        </is>
      </c>
    </row>
    <row r="130" ht="24" customHeight="1">
      <c r="A130" s="29" t="inlineStr">
        <is>
          <t>2023-12-14</t>
        </is>
      </c>
      <c r="B130" s="31" t="n">
        <v>19690</v>
      </c>
      <c r="C130" s="31" t="n">
        <v>19800</v>
      </c>
      <c r="D130" s="31" t="n">
        <v>19100</v>
      </c>
      <c r="E130" s="31" t="n">
        <v>19410</v>
      </c>
      <c r="F130" s="31" t="n">
        <v>19410</v>
      </c>
      <c r="G130" s="31" t="n">
        <v>136825</v>
      </c>
      <c r="H130" s="36" t="n">
        <v>0.001031459515214106</v>
      </c>
      <c r="I130" s="36" t="n">
        <v>-0.4509193776520509</v>
      </c>
      <c r="J130" s="31" t="n">
        <v>18336.5</v>
      </c>
      <c r="K130" s="31" t="n">
        <v>17397.66666666667</v>
      </c>
      <c r="L130" s="31" t="n">
        <v>16805.91666666667</v>
      </c>
      <c r="M130" s="36" t="n">
        <v>0.7395046917169483</v>
      </c>
      <c r="N130" s="36" t="n">
        <v>0.7195234234252809</v>
      </c>
      <c r="O130" s="36" t="n">
        <v>0.03244680851063819</v>
      </c>
      <c r="P130" s="36" t="n">
        <v>0.3573426573426572</v>
      </c>
      <c r="Q130" s="36" t="n">
        <v>0.02861685214626397</v>
      </c>
      <c r="R130" s="36" t="n">
        <v>0.05854443323425951</v>
      </c>
      <c r="S130" s="36" t="n">
        <v>0.1156668518766883</v>
      </c>
      <c r="T130" s="36" t="n">
        <v>0.1549503894957629</v>
      </c>
      <c r="U130" s="31" t="n">
        <v>24600</v>
      </c>
      <c r="V130" s="31" t="n">
        <v>13250</v>
      </c>
      <c r="W130" s="36" t="n">
        <v>-0.2109756097560975</v>
      </c>
      <c r="X130" s="36" t="n">
        <v>0.4649056603773585</v>
      </c>
      <c r="Y130" s="31" t="n">
        <v>20476584</v>
      </c>
      <c r="Z130" s="31" t="n">
        <v>397450495440</v>
      </c>
      <c r="AA130" s="31" t="n">
        <v>2655773250</v>
      </c>
      <c r="AB130" s="31" t="n">
        <v>8058294467</v>
      </c>
      <c r="AC130" s="36" t="n">
        <v>0.006682022743637318</v>
      </c>
      <c r="AD130" s="29" t="inlineStr">
        <is>
          <t>yfinance_download</t>
        </is>
      </c>
      <c r="AE130" s="29" t="inlineStr">
        <is>
          <t>317330.KQ</t>
        </is>
      </c>
    </row>
    <row r="131" ht="24" customHeight="1">
      <c r="A131" s="24" t="inlineStr">
        <is>
          <t>2023-12-15</t>
        </is>
      </c>
      <c r="B131" s="30" t="n">
        <v>19500</v>
      </c>
      <c r="C131" s="30" t="n">
        <v>21800</v>
      </c>
      <c r="D131" s="30" t="n">
        <v>19090</v>
      </c>
      <c r="E131" s="30" t="n">
        <v>20850</v>
      </c>
      <c r="F131" s="30" t="n">
        <v>20850</v>
      </c>
      <c r="G131" s="30" t="n">
        <v>1290947</v>
      </c>
      <c r="H131" s="35" t="n">
        <v>0.07418856259659967</v>
      </c>
      <c r="I131" s="35" t="n">
        <v>-0.4101838755304101</v>
      </c>
      <c r="J131" s="30" t="n">
        <v>18483</v>
      </c>
      <c r="K131" s="30" t="n">
        <v>17501.83333333333</v>
      </c>
      <c r="L131" s="30" t="n">
        <v>16827.75</v>
      </c>
      <c r="M131" s="35" t="n">
        <v>0.7568590668728375</v>
      </c>
      <c r="N131" s="35" t="n">
        <v>0.7323810053572375</v>
      </c>
      <c r="O131" s="35" t="n">
        <v>0.1635044642857142</v>
      </c>
      <c r="P131" s="35" t="n">
        <v>0.428082191780822</v>
      </c>
      <c r="Q131" s="35" t="n">
        <v>0.1437191442676906</v>
      </c>
      <c r="R131" s="35" t="n">
        <v>0.1280636260347345</v>
      </c>
      <c r="S131" s="35" t="n">
        <v>0.1913037681766674</v>
      </c>
      <c r="T131" s="35" t="n">
        <v>0.2390248250657396</v>
      </c>
      <c r="U131" s="30" t="n">
        <v>24600</v>
      </c>
      <c r="V131" s="30" t="n">
        <v>13250</v>
      </c>
      <c r="W131" s="35" t="n">
        <v>-0.1524390243902439</v>
      </c>
      <c r="X131" s="35" t="n">
        <v>0.5735849056603775</v>
      </c>
      <c r="Y131" s="30" t="n">
        <v>20476584</v>
      </c>
      <c r="Z131" s="30" t="n">
        <v>426936776400</v>
      </c>
      <c r="AA131" s="30" t="n">
        <v>26916244950</v>
      </c>
      <c r="AB131" s="30" t="n">
        <v>9284927066.5</v>
      </c>
      <c r="AC131" s="35" t="n">
        <v>0.06304503719956414</v>
      </c>
      <c r="AD131" s="24" t="inlineStr">
        <is>
          <t>yfinance_download</t>
        </is>
      </c>
      <c r="AE131" s="24" t="inlineStr">
        <is>
          <t>317330.KQ</t>
        </is>
      </c>
    </row>
    <row r="132" ht="24" customHeight="1">
      <c r="A132" s="29" t="inlineStr">
        <is>
          <t>2023-12-18</t>
        </is>
      </c>
      <c r="B132" s="31" t="n">
        <v>20150</v>
      </c>
      <c r="C132" s="31" t="n">
        <v>21300</v>
      </c>
      <c r="D132" s="31" t="n">
        <v>20000</v>
      </c>
      <c r="E132" s="31" t="n">
        <v>20900</v>
      </c>
      <c r="F132" s="31" t="n">
        <v>20900</v>
      </c>
      <c r="G132" s="31" t="n">
        <v>536370</v>
      </c>
      <c r="H132" s="36" t="n">
        <v>0.002398081534772167</v>
      </c>
      <c r="I132" s="36" t="n">
        <v>-0.4087694483734088</v>
      </c>
      <c r="J132" s="31" t="n">
        <v>18620</v>
      </c>
      <c r="K132" s="31" t="n">
        <v>17612.33333333333</v>
      </c>
      <c r="L132" s="31" t="n">
        <v>16850.66666666667</v>
      </c>
      <c r="M132" s="36" t="n">
        <v>0.7569464886324132</v>
      </c>
      <c r="N132" s="36" t="n">
        <v>0.7298590227050222</v>
      </c>
      <c r="O132" s="36" t="n">
        <v>0.1508810572687225</v>
      </c>
      <c r="P132" s="36" t="n">
        <v>0.4646110721793972</v>
      </c>
      <c r="Q132" s="36" t="n">
        <v>0.1515151515151516</v>
      </c>
      <c r="R132" s="36" t="n">
        <v>0.1224489795918366</v>
      </c>
      <c r="S132" s="36" t="n">
        <v>0.186668433105589</v>
      </c>
      <c r="T132" s="36" t="n">
        <v>0.2403070106029435</v>
      </c>
      <c r="U132" s="31" t="n">
        <v>24600</v>
      </c>
      <c r="V132" s="31" t="n">
        <v>13250</v>
      </c>
      <c r="W132" s="36" t="n">
        <v>-0.1504065040650406</v>
      </c>
      <c r="X132" s="36" t="n">
        <v>0.5773584905660378</v>
      </c>
      <c r="Y132" s="31" t="n">
        <v>20476584</v>
      </c>
      <c r="Z132" s="31" t="n">
        <v>427960605600</v>
      </c>
      <c r="AA132" s="31" t="n">
        <v>11210133000</v>
      </c>
      <c r="AB132" s="31" t="n">
        <v>9786404636.5</v>
      </c>
      <c r="AC132" s="36" t="n">
        <v>0.02619431053539008</v>
      </c>
      <c r="AD132" s="29" t="inlineStr">
        <is>
          <t>yfinance_download</t>
        </is>
      </c>
      <c r="AE132" s="29" t="inlineStr">
        <is>
          <t>317330.KQ</t>
        </is>
      </c>
    </row>
    <row r="133" ht="24" customHeight="1">
      <c r="A133" s="24" t="inlineStr">
        <is>
          <t>2023-12-19</t>
        </is>
      </c>
      <c r="B133" s="30" t="n">
        <v>20850</v>
      </c>
      <c r="C133" s="30" t="n">
        <v>20850</v>
      </c>
      <c r="D133" s="30" t="n">
        <v>19990</v>
      </c>
      <c r="E133" s="30" t="n">
        <v>20200</v>
      </c>
      <c r="F133" s="30" t="n">
        <v>20200</v>
      </c>
      <c r="G133" s="30" t="n">
        <v>212514</v>
      </c>
      <c r="H133" s="35" t="n">
        <v>-0.03349282296650713</v>
      </c>
      <c r="I133" s="35" t="n">
        <v>-0.4285714285714286</v>
      </c>
      <c r="J133" s="30" t="n">
        <v>18733.5</v>
      </c>
      <c r="K133" s="30" t="n">
        <v>17715.16666666667</v>
      </c>
      <c r="L133" s="30" t="n">
        <v>16867.83333333333</v>
      </c>
      <c r="M133" s="35" t="n">
        <v>0.7680442268186554</v>
      </c>
      <c r="N133" s="35" t="n">
        <v>0.7330128183031398</v>
      </c>
      <c r="O133" s="35" t="n">
        <v>0.1266034578918014</v>
      </c>
      <c r="P133" s="35" t="n">
        <v>0.4397719173200285</v>
      </c>
      <c r="Q133" s="35" t="n">
        <v>0.1135611907386991</v>
      </c>
      <c r="R133" s="35" t="n">
        <v>0.07828222168841914</v>
      </c>
      <c r="S133" s="35" t="n">
        <v>0.1402658738745519</v>
      </c>
      <c r="T133" s="35" t="n">
        <v>0.1975456243145237</v>
      </c>
      <c r="U133" s="30" t="n">
        <v>24600</v>
      </c>
      <c r="V133" s="30" t="n">
        <v>13250</v>
      </c>
      <c r="W133" s="35" t="n">
        <v>-0.1788617886178862</v>
      </c>
      <c r="X133" s="35" t="n">
        <v>0.5245283018867926</v>
      </c>
      <c r="Y133" s="30" t="n">
        <v>20476584</v>
      </c>
      <c r="Z133" s="30" t="n">
        <v>413626996800</v>
      </c>
      <c r="AA133" s="30" t="n">
        <v>4292782800</v>
      </c>
      <c r="AB133" s="30" t="n">
        <v>9942230687</v>
      </c>
      <c r="AC133" s="35" t="n">
        <v>0.01037839123947627</v>
      </c>
      <c r="AD133" s="24" t="inlineStr">
        <is>
          <t>yfinance_download</t>
        </is>
      </c>
      <c r="AE133" s="24" t="inlineStr">
        <is>
          <t>317330.KQ</t>
        </is>
      </c>
    </row>
    <row r="134" ht="24" customHeight="1">
      <c r="A134" s="29" t="inlineStr">
        <is>
          <t>2023-12-20</t>
        </is>
      </c>
      <c r="B134" s="31" t="n">
        <v>20400</v>
      </c>
      <c r="C134" s="31" t="n">
        <v>20500</v>
      </c>
      <c r="D134" s="31" t="n">
        <v>19760</v>
      </c>
      <c r="E134" s="31" t="n">
        <v>20150</v>
      </c>
      <c r="F134" s="31" t="n">
        <v>20150</v>
      </c>
      <c r="G134" s="31" t="n">
        <v>139220</v>
      </c>
      <c r="H134" s="36" t="n">
        <v>-0.002475247524752477</v>
      </c>
      <c r="I134" s="36" t="n">
        <v>-0.42998585572843</v>
      </c>
      <c r="J134" s="31" t="n">
        <v>18863.5</v>
      </c>
      <c r="K134" s="31" t="n">
        <v>17817.16666666667</v>
      </c>
      <c r="L134" s="31" t="n">
        <v>16884.5</v>
      </c>
      <c r="M134" s="36" t="n">
        <v>0.7617686144108606</v>
      </c>
      <c r="N134" s="36" t="n">
        <v>0.733132700301006</v>
      </c>
      <c r="O134" s="36" t="n">
        <v>0.1481481481481481</v>
      </c>
      <c r="P134" s="36" t="n">
        <v>0.4362081254454739</v>
      </c>
      <c r="Q134" s="36" t="n">
        <v>0.1101928374655647</v>
      </c>
      <c r="R134" s="36" t="n">
        <v>0.06820049301561215</v>
      </c>
      <c r="S134" s="36" t="n">
        <v>0.1309317792765403</v>
      </c>
      <c r="T134" s="36" t="n">
        <v>0.1934022328170808</v>
      </c>
      <c r="U134" s="31" t="n">
        <v>24600</v>
      </c>
      <c r="V134" s="31" t="n">
        <v>13250</v>
      </c>
      <c r="W134" s="36" t="n">
        <v>-0.1808943089430894</v>
      </c>
      <c r="X134" s="36" t="n">
        <v>0.5207547169811322</v>
      </c>
      <c r="Y134" s="31" t="n">
        <v>20476584</v>
      </c>
      <c r="Z134" s="31" t="n">
        <v>412603167600</v>
      </c>
      <c r="AA134" s="31" t="n">
        <v>2805283000</v>
      </c>
      <c r="AB134" s="31" t="n">
        <v>9995480182</v>
      </c>
      <c r="AC134" s="36" t="n">
        <v>0.00679898561205326</v>
      </c>
      <c r="AD134" s="29" t="inlineStr">
        <is>
          <t>yfinance_download</t>
        </is>
      </c>
      <c r="AE134" s="29" t="inlineStr">
        <is>
          <t>317330.KQ</t>
        </is>
      </c>
    </row>
    <row r="135" ht="24" customHeight="1">
      <c r="A135" s="24" t="inlineStr">
        <is>
          <t>2023-12-21</t>
        </is>
      </c>
      <c r="B135" s="30" t="n">
        <v>19800</v>
      </c>
      <c r="C135" s="30" t="n">
        <v>20100</v>
      </c>
      <c r="D135" s="30" t="n">
        <v>19500</v>
      </c>
      <c r="E135" s="30" t="n">
        <v>19620</v>
      </c>
      <c r="F135" s="30" t="n">
        <v>19620</v>
      </c>
      <c r="G135" s="30" t="n">
        <v>121052</v>
      </c>
      <c r="H135" s="35" t="n">
        <v>-0.02630272952853596</v>
      </c>
      <c r="I135" s="35" t="n">
        <v>-0.444978783592645</v>
      </c>
      <c r="J135" s="30" t="n">
        <v>18982</v>
      </c>
      <c r="K135" s="30" t="n">
        <v>17908.5</v>
      </c>
      <c r="L135" s="30" t="n">
        <v>16897.25</v>
      </c>
      <c r="M135" s="35" t="n">
        <v>0.7664738119121061</v>
      </c>
      <c r="N135" s="35" t="n">
        <v>0.7363086593494058</v>
      </c>
      <c r="O135" s="35" t="n">
        <v>0.1373913043478261</v>
      </c>
      <c r="P135" s="35" t="n">
        <v>0.3875530410183876</v>
      </c>
      <c r="Q135" s="35" t="n">
        <v>0.08457711442786064</v>
      </c>
      <c r="R135" s="35" t="n">
        <v>0.03361078916868609</v>
      </c>
      <c r="S135" s="35" t="n">
        <v>0.09556914314431686</v>
      </c>
      <c r="T135" s="35" t="n">
        <v>0.1611356877598427</v>
      </c>
      <c r="U135" s="30" t="n">
        <v>24600</v>
      </c>
      <c r="V135" s="30" t="n">
        <v>13250</v>
      </c>
      <c r="W135" s="35" t="n">
        <v>-0.2024390243902439</v>
      </c>
      <c r="X135" s="35" t="n">
        <v>0.4807547169811321</v>
      </c>
      <c r="Y135" s="30" t="n">
        <v>20476584</v>
      </c>
      <c r="Z135" s="30" t="n">
        <v>401750578080</v>
      </c>
      <c r="AA135" s="30" t="n">
        <v>2375040240</v>
      </c>
      <c r="AB135" s="30" t="n">
        <v>10040121881.5</v>
      </c>
      <c r="AC135" s="35" t="n">
        <v>0.005911728245297165</v>
      </c>
      <c r="AD135" s="24" t="inlineStr">
        <is>
          <t>yfinance_download</t>
        </is>
      </c>
      <c r="AE135" s="24" t="inlineStr">
        <is>
          <t>317330.KQ</t>
        </is>
      </c>
    </row>
    <row r="136" ht="24" customHeight="1">
      <c r="A136" s="29" t="inlineStr">
        <is>
          <t>2023-12-22</t>
        </is>
      </c>
      <c r="B136" s="31" t="n">
        <v>19740</v>
      </c>
      <c r="C136" s="31" t="n">
        <v>20200</v>
      </c>
      <c r="D136" s="31" t="n">
        <v>19200</v>
      </c>
      <c r="E136" s="31" t="n">
        <v>19200</v>
      </c>
      <c r="F136" s="31" t="n">
        <v>19200</v>
      </c>
      <c r="G136" s="31" t="n">
        <v>109953</v>
      </c>
      <c r="H136" s="36" t="n">
        <v>-0.0214067278287462</v>
      </c>
      <c r="I136" s="36" t="n">
        <v>-0.4568599717114569</v>
      </c>
      <c r="J136" s="31" t="n">
        <v>19083</v>
      </c>
      <c r="K136" s="31" t="n">
        <v>17994.83333333333</v>
      </c>
      <c r="L136" s="31" t="n">
        <v>16908</v>
      </c>
      <c r="M136" s="36" t="n">
        <v>0.7723971119107265</v>
      </c>
      <c r="N136" s="36" t="n">
        <v>0.7379051237107823</v>
      </c>
      <c r="O136" s="36" t="n">
        <v>0.1175785797438882</v>
      </c>
      <c r="P136" s="36" t="n">
        <v>0.369472182596291</v>
      </c>
      <c r="Q136" s="36" t="n">
        <v>0.07202680067001666</v>
      </c>
      <c r="R136" s="36" t="n">
        <v>0.006131111460462302</v>
      </c>
      <c r="S136" s="36" t="n">
        <v>0.06697292741435046</v>
      </c>
      <c r="T136" s="36" t="n">
        <v>0.1355571327182399</v>
      </c>
      <c r="U136" s="31" t="n">
        <v>24600</v>
      </c>
      <c r="V136" s="31" t="n">
        <v>13250</v>
      </c>
      <c r="W136" s="36" t="n">
        <v>-0.2195121951219512</v>
      </c>
      <c r="X136" s="36" t="n">
        <v>0.4490566037735848</v>
      </c>
      <c r="Y136" s="31" t="n">
        <v>20476584</v>
      </c>
      <c r="Z136" s="31" t="n">
        <v>393150412800</v>
      </c>
      <c r="AA136" s="31" t="n">
        <v>2111097600</v>
      </c>
      <c r="AB136" s="31" t="n">
        <v>10065636859.5</v>
      </c>
      <c r="AC136" s="36" t="n">
        <v>0.005369694476383365</v>
      </c>
      <c r="AD136" s="29" t="inlineStr">
        <is>
          <t>yfinance_download</t>
        </is>
      </c>
      <c r="AE136" s="29" t="inlineStr">
        <is>
          <t>317330.KQ</t>
        </is>
      </c>
    </row>
    <row r="137" ht="24" customHeight="1">
      <c r="A137" s="24" t="inlineStr">
        <is>
          <t>2023-12-26</t>
        </is>
      </c>
      <c r="B137" s="30" t="n">
        <v>19000</v>
      </c>
      <c r="C137" s="30" t="n">
        <v>19000</v>
      </c>
      <c r="D137" s="30" t="n">
        <v>18340</v>
      </c>
      <c r="E137" s="30" t="n">
        <v>18340</v>
      </c>
      <c r="F137" s="30" t="n">
        <v>18340</v>
      </c>
      <c r="G137" s="30" t="n">
        <v>156665</v>
      </c>
      <c r="H137" s="35" t="n">
        <v>-0.04479166666666667</v>
      </c>
      <c r="I137" s="35" t="n">
        <v>-0.4811881188118812</v>
      </c>
      <c r="J137" s="30" t="n">
        <v>19158.5</v>
      </c>
      <c r="K137" s="30" t="n">
        <v>18064.66666666667</v>
      </c>
      <c r="L137" s="30" t="n">
        <v>16912.08333333333</v>
      </c>
      <c r="M137" s="35" t="n">
        <v>0.7884216054141958</v>
      </c>
      <c r="N137" s="35" t="n">
        <v>0.7452473337764982</v>
      </c>
      <c r="O137" s="35" t="n">
        <v>0.08972073677956027</v>
      </c>
      <c r="P137" s="35" t="n">
        <v>0.2961130742049469</v>
      </c>
      <c r="Q137" s="35" t="n">
        <v>0.02745098039215677</v>
      </c>
      <c r="R137" s="35" t="n">
        <v>-0.04272255134796565</v>
      </c>
      <c r="S137" s="35" t="n">
        <v>0.01524153965383612</v>
      </c>
      <c r="T137" s="35" t="n">
        <v>0.08443174259035713</v>
      </c>
      <c r="U137" s="30" t="n">
        <v>24600</v>
      </c>
      <c r="V137" s="30" t="n">
        <v>13250</v>
      </c>
      <c r="W137" s="35" t="n">
        <v>-0.2544715447154472</v>
      </c>
      <c r="X137" s="35" t="n">
        <v>0.3841509433962265</v>
      </c>
      <c r="Y137" s="30" t="n">
        <v>20476584</v>
      </c>
      <c r="Z137" s="30" t="n">
        <v>375540550560</v>
      </c>
      <c r="AA137" s="30" t="n">
        <v>2873236100</v>
      </c>
      <c r="AB137" s="30" t="n">
        <v>10134283988.5</v>
      </c>
      <c r="AC137" s="35" t="n">
        <v>0.007650934355066255</v>
      </c>
      <c r="AD137" s="24" t="inlineStr">
        <is>
          <t>yfinance_download</t>
        </is>
      </c>
      <c r="AE137" s="24" t="inlineStr">
        <is>
          <t>317330.KQ</t>
        </is>
      </c>
    </row>
    <row r="138" ht="24" customHeight="1">
      <c r="A138" s="29" t="inlineStr">
        <is>
          <t>2023-12-27</t>
        </is>
      </c>
      <c r="B138" s="31" t="n">
        <v>18510</v>
      </c>
      <c r="C138" s="31" t="n">
        <v>18870</v>
      </c>
      <c r="D138" s="31" t="n">
        <v>18470</v>
      </c>
      <c r="E138" s="31" t="n">
        <v>18730</v>
      </c>
      <c r="F138" s="31" t="n">
        <v>18730</v>
      </c>
      <c r="G138" s="31" t="n">
        <v>78571</v>
      </c>
      <c r="H138" s="36" t="n">
        <v>0.02126499454743724</v>
      </c>
      <c r="I138" s="36" t="n">
        <v>-0.4701555869872701</v>
      </c>
      <c r="J138" s="31" t="n">
        <v>19253</v>
      </c>
      <c r="K138" s="31" t="n">
        <v>18142.83333333333</v>
      </c>
      <c r="L138" s="31" t="n">
        <v>16921.25</v>
      </c>
      <c r="M138" s="36" t="n">
        <v>0.7901558436752848</v>
      </c>
      <c r="N138" s="36" t="n">
        <v>0.7454361637216338</v>
      </c>
      <c r="O138" s="36" t="n">
        <v>0.1122327790973872</v>
      </c>
      <c r="P138" s="36" t="n">
        <v>0.334045584045584</v>
      </c>
      <c r="Q138" s="36" t="n">
        <v>0.06239364719228591</v>
      </c>
      <c r="R138" s="36" t="n">
        <v>-0.02716459772502988</v>
      </c>
      <c r="S138" s="36" t="n">
        <v>0.03236355953223047</v>
      </c>
      <c r="T138" s="36" t="n">
        <v>0.1068922213193471</v>
      </c>
      <c r="U138" s="31" t="n">
        <v>24600</v>
      </c>
      <c r="V138" s="31" t="n">
        <v>13250</v>
      </c>
      <c r="W138" s="36" t="n">
        <v>-0.2386178861788618</v>
      </c>
      <c r="X138" s="36" t="n">
        <v>0.4135849056603773</v>
      </c>
      <c r="Y138" s="31" t="n">
        <v>20476584</v>
      </c>
      <c r="Z138" s="31" t="n">
        <v>383526418320</v>
      </c>
      <c r="AA138" s="31" t="n">
        <v>1471634830</v>
      </c>
      <c r="AB138" s="31" t="n">
        <v>10144852134</v>
      </c>
      <c r="AC138" s="36" t="n">
        <v>0.003837114628103985</v>
      </c>
      <c r="AD138" s="29" t="inlineStr">
        <is>
          <t>yfinance_download</t>
        </is>
      </c>
      <c r="AE138" s="29" t="inlineStr">
        <is>
          <t>317330.KQ</t>
        </is>
      </c>
    </row>
    <row r="139" ht="24" customHeight="1">
      <c r="A139" s="24" t="inlineStr">
        <is>
          <t>2023-12-28</t>
        </is>
      </c>
      <c r="B139" s="30" t="n">
        <v>18740</v>
      </c>
      <c r="C139" s="30" t="n">
        <v>18910</v>
      </c>
      <c r="D139" s="30" t="n">
        <v>18450</v>
      </c>
      <c r="E139" s="30" t="n">
        <v>18690</v>
      </c>
      <c r="F139" s="30" t="n">
        <v>18690</v>
      </c>
      <c r="G139" s="30" t="n">
        <v>90507</v>
      </c>
      <c r="H139" s="35" t="n">
        <v>-0.002135611318739961</v>
      </c>
      <c r="I139" s="35" t="n">
        <v>-0.4712871287128713</v>
      </c>
      <c r="J139" s="30" t="n">
        <v>19366.5</v>
      </c>
      <c r="K139" s="30" t="n">
        <v>18213.16666666667</v>
      </c>
      <c r="L139" s="30" t="n">
        <v>16924.25</v>
      </c>
      <c r="M139" s="35" t="n">
        <v>0.7822453094128989</v>
      </c>
      <c r="N139" s="35" t="n">
        <v>0.7438076313587767</v>
      </c>
      <c r="O139" s="35" t="n">
        <v>0.1382460414129112</v>
      </c>
      <c r="P139" s="35" t="n">
        <v>0.2916378714581893</v>
      </c>
      <c r="Q139" s="35" t="n">
        <v>0.01963993453355162</v>
      </c>
      <c r="R139" s="35" t="n">
        <v>-0.03493145379908602</v>
      </c>
      <c r="S139" s="35" t="n">
        <v>0.02618069345436913</v>
      </c>
      <c r="T139" s="35" t="n">
        <v>0.1043325405852549</v>
      </c>
      <c r="U139" s="30" t="n">
        <v>24600</v>
      </c>
      <c r="V139" s="30" t="n">
        <v>13250</v>
      </c>
      <c r="W139" s="35" t="n">
        <v>-0.2402439024390244</v>
      </c>
      <c r="X139" s="35" t="n">
        <v>0.4105660377358491</v>
      </c>
      <c r="Y139" s="30" t="n">
        <v>20476584</v>
      </c>
      <c r="Z139" s="30" t="n">
        <v>382707354960</v>
      </c>
      <c r="AA139" s="30" t="n">
        <v>1691575830</v>
      </c>
      <c r="AB139" s="30" t="n">
        <v>10165431512.5</v>
      </c>
      <c r="AC139" s="35" t="n">
        <v>0.004420024355624943</v>
      </c>
      <c r="AD139" s="24" t="inlineStr">
        <is>
          <t>yfinance_download</t>
        </is>
      </c>
      <c r="AE139" s="24" t="inlineStr">
        <is>
          <t>317330.KQ</t>
        </is>
      </c>
    </row>
    <row r="140" ht="24" customHeight="1">
      <c r="A140" s="29" t="inlineStr">
        <is>
          <t>2024-01-02</t>
        </is>
      </c>
      <c r="B140" s="31" t="n">
        <v>18690</v>
      </c>
      <c r="C140" s="31" t="n">
        <v>19410</v>
      </c>
      <c r="D140" s="31" t="n">
        <v>18690</v>
      </c>
      <c r="E140" s="31" t="n">
        <v>18990</v>
      </c>
      <c r="F140" s="31" t="n">
        <v>18990</v>
      </c>
      <c r="G140" s="31" t="n">
        <v>119115</v>
      </c>
      <c r="H140" s="36" t="n">
        <v>0.01605136436597121</v>
      </c>
      <c r="I140" s="36" t="n">
        <v>-0.4628005657708628</v>
      </c>
      <c r="J140" s="31" t="n">
        <v>19477.5</v>
      </c>
      <c r="K140" s="31" t="n">
        <v>18288.16666666667</v>
      </c>
      <c r="L140" s="31" t="n">
        <v>16924.66666666667</v>
      </c>
      <c r="M140" s="36" t="n">
        <v>0.7812431317013427</v>
      </c>
      <c r="N140" s="36" t="n">
        <v>0.7440845242227805</v>
      </c>
      <c r="O140" s="36" t="n">
        <v>0.1323792486583184</v>
      </c>
      <c r="P140" s="36" t="n">
        <v>0.31055900621118</v>
      </c>
      <c r="Q140" s="36" t="n">
        <v>0.002639915522703262</v>
      </c>
      <c r="R140" s="36" t="n">
        <v>-0.02502887947631882</v>
      </c>
      <c r="S140" s="36" t="n">
        <v>0.03837636358665431</v>
      </c>
      <c r="T140" s="36" t="n">
        <v>0.1220309607279315</v>
      </c>
      <c r="U140" s="31" t="n">
        <v>24600</v>
      </c>
      <c r="V140" s="31" t="n">
        <v>13250</v>
      </c>
      <c r="W140" s="36" t="n">
        <v>-0.2280487804878049</v>
      </c>
      <c r="X140" s="36" t="n">
        <v>0.4332075471698114</v>
      </c>
      <c r="Y140" s="31" t="n">
        <v>20476584</v>
      </c>
      <c r="Z140" s="31" t="n">
        <v>388850330160</v>
      </c>
      <c r="AA140" s="31" t="n">
        <v>2261993850</v>
      </c>
      <c r="AB140" s="31" t="n">
        <v>9811578101.5</v>
      </c>
      <c r="AC140" s="36" t="n">
        <v>0.005817132388878926</v>
      </c>
      <c r="AD140" s="29" t="inlineStr">
        <is>
          <t>yfinance_download</t>
        </is>
      </c>
      <c r="AE140" s="29" t="inlineStr">
        <is>
          <t>317330.KQ</t>
        </is>
      </c>
    </row>
    <row r="141" ht="24" customHeight="1">
      <c r="A141" s="24" t="inlineStr">
        <is>
          <t>2024-01-03</t>
        </is>
      </c>
      <c r="B141" s="30" t="n">
        <v>18990</v>
      </c>
      <c r="C141" s="30" t="n">
        <v>18990</v>
      </c>
      <c r="D141" s="30" t="n">
        <v>18550</v>
      </c>
      <c r="E141" s="30" t="n">
        <v>18580</v>
      </c>
      <c r="F141" s="30" t="n">
        <v>18580</v>
      </c>
      <c r="G141" s="30" t="n">
        <v>87354</v>
      </c>
      <c r="H141" s="35" t="n">
        <v>-0.02159031068983674</v>
      </c>
      <c r="I141" s="35" t="n">
        <v>-0.4743988684582744</v>
      </c>
      <c r="J141" s="30" t="n">
        <v>19548</v>
      </c>
      <c r="K141" s="30" t="n">
        <v>18351.5</v>
      </c>
      <c r="L141" s="30" t="n">
        <v>16919.41666666667</v>
      </c>
      <c r="M141" s="35" t="n">
        <v>0.7851399229068373</v>
      </c>
      <c r="N141" s="35" t="n">
        <v>0.7455143279631931</v>
      </c>
      <c r="O141" s="35" t="n">
        <v>0.08211997670355276</v>
      </c>
      <c r="P141" s="35" t="n">
        <v>0.257104194857916</v>
      </c>
      <c r="Q141" s="35" t="n">
        <v>-0.03279541905257677</v>
      </c>
      <c r="R141" s="35" t="n">
        <v>-0.04951913239206052</v>
      </c>
      <c r="S141" s="35" t="n">
        <v>0.01245129825899793</v>
      </c>
      <c r="T141" s="35" t="n">
        <v>0.09814660670925401</v>
      </c>
      <c r="U141" s="30" t="n">
        <v>24600</v>
      </c>
      <c r="V141" s="30" t="n">
        <v>13250</v>
      </c>
      <c r="W141" s="35" t="n">
        <v>-0.2447154471544716</v>
      </c>
      <c r="X141" s="35" t="n">
        <v>0.4022641509433962</v>
      </c>
      <c r="Y141" s="30" t="n">
        <v>20476584</v>
      </c>
      <c r="Z141" s="30" t="n">
        <v>380454930720</v>
      </c>
      <c r="AA141" s="30" t="n">
        <v>1623037320</v>
      </c>
      <c r="AB141" s="30" t="n">
        <v>9804452129.5</v>
      </c>
      <c r="AC141" s="35" t="n">
        <v>0.004266043593990091</v>
      </c>
      <c r="AD141" s="24" t="inlineStr">
        <is>
          <t>yfinance_download</t>
        </is>
      </c>
      <c r="AE141" s="24" t="inlineStr">
        <is>
          <t>317330.KQ</t>
        </is>
      </c>
    </row>
    <row r="142" ht="24" customHeight="1">
      <c r="A142" s="29" t="inlineStr">
        <is>
          <t>2024-01-04</t>
        </is>
      </c>
      <c r="B142" s="31" t="n">
        <v>18650</v>
      </c>
      <c r="C142" s="31" t="n">
        <v>18870</v>
      </c>
      <c r="D142" s="31" t="n">
        <v>18500</v>
      </c>
      <c r="E142" s="31" t="n">
        <v>18540</v>
      </c>
      <c r="F142" s="31" t="n">
        <v>18540</v>
      </c>
      <c r="G142" s="31" t="n">
        <v>76543</v>
      </c>
      <c r="H142" s="36" t="n">
        <v>-0.002152852529601734</v>
      </c>
      <c r="I142" s="36" t="n">
        <v>-0.4755304101838755</v>
      </c>
      <c r="J142" s="31" t="n">
        <v>19507.5</v>
      </c>
      <c r="K142" s="31" t="n">
        <v>18408.16666666667</v>
      </c>
      <c r="L142" s="31" t="n">
        <v>16921.91666666667</v>
      </c>
      <c r="M142" s="36" t="n">
        <v>0.6395077761532263</v>
      </c>
      <c r="N142" s="36" t="n">
        <v>0.7445317311163838</v>
      </c>
      <c r="O142" s="36" t="n">
        <v>-0.04186046511627906</v>
      </c>
      <c r="P142" s="36" t="n">
        <v>0.2245706737120212</v>
      </c>
      <c r="Q142" s="36" t="n">
        <v>0.01644736842105265</v>
      </c>
      <c r="R142" s="36" t="n">
        <v>-0.04959630911188007</v>
      </c>
      <c r="S142" s="36" t="n">
        <v>0.007161676429845443</v>
      </c>
      <c r="T142" s="36" t="n">
        <v>0.09562057095581156</v>
      </c>
      <c r="U142" s="31" t="n">
        <v>24600</v>
      </c>
      <c r="V142" s="31" t="n">
        <v>13250</v>
      </c>
      <c r="W142" s="36" t="n">
        <v>-0.2463414634146341</v>
      </c>
      <c r="X142" s="36" t="n">
        <v>0.399245283018868</v>
      </c>
      <c r="Y142" s="31" t="n">
        <v>20476584</v>
      </c>
      <c r="Z142" s="31" t="n">
        <v>379635867360</v>
      </c>
      <c r="AA142" s="31" t="n">
        <v>1419107220</v>
      </c>
      <c r="AB142" s="31" t="n">
        <v>6634747858</v>
      </c>
      <c r="AC142" s="36" t="n">
        <v>0.003738074671048648</v>
      </c>
      <c r="AD142" s="29" t="inlineStr">
        <is>
          <t>yfinance_download</t>
        </is>
      </c>
      <c r="AE142" s="29" t="inlineStr">
        <is>
          <t>317330.KQ</t>
        </is>
      </c>
    </row>
    <row r="143" ht="24" customHeight="1">
      <c r="A143" s="24" t="inlineStr">
        <is>
          <t>2024-01-05</t>
        </is>
      </c>
      <c r="B143" s="30" t="n">
        <v>18500</v>
      </c>
      <c r="C143" s="30" t="n">
        <v>19580</v>
      </c>
      <c r="D143" s="30" t="n">
        <v>18500</v>
      </c>
      <c r="E143" s="30" t="n">
        <v>19300</v>
      </c>
      <c r="F143" s="30" t="n">
        <v>19300</v>
      </c>
      <c r="G143" s="30" t="n">
        <v>217388</v>
      </c>
      <c r="H143" s="35" t="n">
        <v>0.04099244875943908</v>
      </c>
      <c r="I143" s="35" t="n">
        <v>-0.4540311173974541</v>
      </c>
      <c r="J143" s="30" t="n">
        <v>19495</v>
      </c>
      <c r="K143" s="30" t="n">
        <v>18475.66666666667</v>
      </c>
      <c r="L143" s="30" t="n">
        <v>16934.25</v>
      </c>
      <c r="M143" s="35" t="n">
        <v>0.6560133785453102</v>
      </c>
      <c r="N143" s="35" t="n">
        <v>0.7482820220645661</v>
      </c>
      <c r="O143" s="35" t="n">
        <v>-0.01278772378516624</v>
      </c>
      <c r="P143" s="35" t="n">
        <v>0.2655737704918033</v>
      </c>
      <c r="Q143" s="35" t="n">
        <v>0.08305274971941645</v>
      </c>
      <c r="R143" s="35" t="n">
        <v>-0.0100025647601949</v>
      </c>
      <c r="S143" s="35" t="n">
        <v>0.0446172443033177</v>
      </c>
      <c r="T143" s="35" t="n">
        <v>0.1397020830565274</v>
      </c>
      <c r="U143" s="30" t="n">
        <v>24600</v>
      </c>
      <c r="V143" s="30" t="n">
        <v>13250</v>
      </c>
      <c r="W143" s="35" t="n">
        <v>-0.2154471544715447</v>
      </c>
      <c r="X143" s="35" t="n">
        <v>0.4566037735849056</v>
      </c>
      <c r="Y143" s="30" t="n">
        <v>20476584</v>
      </c>
      <c r="Z143" s="30" t="n">
        <v>395198071200</v>
      </c>
      <c r="AA143" s="30" t="n">
        <v>4195588400</v>
      </c>
      <c r="AB143" s="30" t="n">
        <v>5910984475.5</v>
      </c>
      <c r="AC143" s="35" t="n">
        <v>0.01061641922305009</v>
      </c>
      <c r="AD143" s="24" t="inlineStr">
        <is>
          <t>yfinance_download</t>
        </is>
      </c>
      <c r="AE143" s="24" t="inlineStr">
        <is>
          <t>317330.KQ</t>
        </is>
      </c>
    </row>
    <row r="144" ht="24" customHeight="1">
      <c r="A144" s="29" t="inlineStr">
        <is>
          <t>2024-01-08</t>
        </is>
      </c>
      <c r="B144" s="31" t="n">
        <v>19600</v>
      </c>
      <c r="C144" s="31" t="n">
        <v>20350</v>
      </c>
      <c r="D144" s="31" t="n">
        <v>19300</v>
      </c>
      <c r="E144" s="31" t="n">
        <v>19430</v>
      </c>
      <c r="F144" s="31" t="n">
        <v>19430</v>
      </c>
      <c r="G144" s="31" t="n">
        <v>232875</v>
      </c>
      <c r="H144" s="36" t="n">
        <v>0.006735751295336767</v>
      </c>
      <c r="I144" s="36" t="n">
        <v>-0.4503536067892504</v>
      </c>
      <c r="J144" s="31" t="n">
        <v>19503</v>
      </c>
      <c r="K144" s="31" t="n">
        <v>18543.83333333333</v>
      </c>
      <c r="L144" s="31" t="n">
        <v>16954.25</v>
      </c>
      <c r="M144" s="36" t="n">
        <v>0.6541138715962121</v>
      </c>
      <c r="N144" s="36" t="n">
        <v>0.7482883714563719</v>
      </c>
      <c r="O144" s="36" t="n">
        <v>0.008303061754021845</v>
      </c>
      <c r="P144" s="36" t="n">
        <v>0.2666232073011734</v>
      </c>
      <c r="Q144" s="36" t="n">
        <v>0.1409277745155608</v>
      </c>
      <c r="R144" s="36" t="n">
        <v>-0.003743013895298186</v>
      </c>
      <c r="S144" s="36" t="n">
        <v>0.0477876742493013</v>
      </c>
      <c r="T144" s="36" t="n">
        <v>0.1460253328811361</v>
      </c>
      <c r="U144" s="31" t="n">
        <v>24600</v>
      </c>
      <c r="V144" s="31" t="n">
        <v>13250</v>
      </c>
      <c r="W144" s="36" t="n">
        <v>-0.2101626016260163</v>
      </c>
      <c r="X144" s="36" t="n">
        <v>0.4664150943396226</v>
      </c>
      <c r="Y144" s="31" t="n">
        <v>20476584</v>
      </c>
      <c r="Z144" s="31" t="n">
        <v>397860027120</v>
      </c>
      <c r="AA144" s="31" t="n">
        <v>4524761250</v>
      </c>
      <c r="AB144" s="31" t="n">
        <v>5824398175.5</v>
      </c>
      <c r="AC144" s="36" t="n">
        <v>0.01137274654795937</v>
      </c>
      <c r="AD144" s="29" t="inlineStr">
        <is>
          <t>yfinance_download</t>
        </is>
      </c>
      <c r="AE144" s="29" t="inlineStr">
        <is>
          <t>317330.KQ</t>
        </is>
      </c>
    </row>
    <row r="145" ht="24" customHeight="1">
      <c r="A145" s="24" t="inlineStr">
        <is>
          <t>2024-01-09</t>
        </is>
      </c>
      <c r="B145" s="30" t="n">
        <v>19430</v>
      </c>
      <c r="C145" s="30" t="n">
        <v>19690</v>
      </c>
      <c r="D145" s="30" t="n">
        <v>19110</v>
      </c>
      <c r="E145" s="30" t="n">
        <v>19280</v>
      </c>
      <c r="F145" s="30" t="n">
        <v>19280</v>
      </c>
      <c r="G145" s="30" t="n">
        <v>93812</v>
      </c>
      <c r="H145" s="35" t="n">
        <v>-0.00772002058672161</v>
      </c>
      <c r="I145" s="35" t="n">
        <v>-0.4545968882602546</v>
      </c>
      <c r="J145" s="30" t="n">
        <v>19545</v>
      </c>
      <c r="K145" s="30" t="n">
        <v>18598.5</v>
      </c>
      <c r="L145" s="30" t="n">
        <v>16968.75</v>
      </c>
      <c r="M145" s="35" t="n">
        <v>0.6341185488800862</v>
      </c>
      <c r="N145" s="35" t="n">
        <v>0.7444891985791361</v>
      </c>
      <c r="O145" s="35" t="n">
        <v>0.04555314533622568</v>
      </c>
      <c r="P145" s="35" t="n">
        <v>0.2050000000000001</v>
      </c>
      <c r="Q145" s="35" t="n">
        <v>0.09920182440136838</v>
      </c>
      <c r="R145" s="35" t="n">
        <v>-0.01355845484778717</v>
      </c>
      <c r="S145" s="35" t="n">
        <v>0.03664274000591439</v>
      </c>
      <c r="T145" s="35" t="n">
        <v>0.1362062615101289</v>
      </c>
      <c r="U145" s="30" t="n">
        <v>24600</v>
      </c>
      <c r="V145" s="30" t="n">
        <v>13250</v>
      </c>
      <c r="W145" s="35" t="n">
        <v>-0.2162601626016261</v>
      </c>
      <c r="X145" s="35" t="n">
        <v>0.4550943396226415</v>
      </c>
      <c r="Y145" s="30" t="n">
        <v>20476584</v>
      </c>
      <c r="Z145" s="30" t="n">
        <v>394788539520</v>
      </c>
      <c r="AA145" s="30" t="n">
        <v>1808695360</v>
      </c>
      <c r="AB145" s="30" t="n">
        <v>5449559473.5</v>
      </c>
      <c r="AC145" s="35" t="n">
        <v>0.00458142823041187</v>
      </c>
      <c r="AD145" s="24" t="inlineStr">
        <is>
          <t>yfinance_download</t>
        </is>
      </c>
      <c r="AE145" s="24" t="inlineStr">
        <is>
          <t>317330.KQ</t>
        </is>
      </c>
    </row>
    <row r="146" ht="24" customHeight="1">
      <c r="A146" s="29" t="inlineStr">
        <is>
          <t>2024-01-10</t>
        </is>
      </c>
      <c r="B146" s="31" t="n">
        <v>19660</v>
      </c>
      <c r="C146" s="31" t="n">
        <v>20450</v>
      </c>
      <c r="D146" s="31" t="n">
        <v>19210</v>
      </c>
      <c r="E146" s="31" t="n">
        <v>19310</v>
      </c>
      <c r="F146" s="31" t="n">
        <v>19310</v>
      </c>
      <c r="G146" s="31" t="n">
        <v>407669</v>
      </c>
      <c r="H146" s="36" t="n">
        <v>0.001556016597510368</v>
      </c>
      <c r="I146" s="36" t="n">
        <v>-0.4537482319660537</v>
      </c>
      <c r="J146" s="31" t="n">
        <v>19473</v>
      </c>
      <c r="K146" s="31" t="n">
        <v>18655.66666666667</v>
      </c>
      <c r="L146" s="31" t="n">
        <v>16982</v>
      </c>
      <c r="M146" s="36" t="n">
        <v>0.4399456168852504</v>
      </c>
      <c r="N146" s="36" t="n">
        <v>0.7441153531484144</v>
      </c>
      <c r="O146" s="36" t="n">
        <v>-0.06939759036144577</v>
      </c>
      <c r="P146" s="36" t="n">
        <v>0.2159949622166246</v>
      </c>
      <c r="Q146" s="36" t="n">
        <v>0.08972911963882613</v>
      </c>
      <c r="R146" s="36" t="n">
        <v>-0.008370564371180556</v>
      </c>
      <c r="S146" s="36" t="n">
        <v>0.03507424017724725</v>
      </c>
      <c r="T146" s="36" t="n">
        <v>0.1370863266988576</v>
      </c>
      <c r="U146" s="31" t="n">
        <v>24600</v>
      </c>
      <c r="V146" s="31" t="n">
        <v>13250</v>
      </c>
      <c r="W146" s="36" t="n">
        <v>-0.2150406504065041</v>
      </c>
      <c r="X146" s="36" t="n">
        <v>0.4573584905660377</v>
      </c>
      <c r="Y146" s="31" t="n">
        <v>20476584</v>
      </c>
      <c r="Z146" s="31" t="n">
        <v>395402837040</v>
      </c>
      <c r="AA146" s="31" t="n">
        <v>7872088390</v>
      </c>
      <c r="AB146" s="31" t="n">
        <v>4898094768</v>
      </c>
      <c r="AC146" s="36" t="n">
        <v>0.01990903365522296</v>
      </c>
      <c r="AD146" s="29" t="inlineStr">
        <is>
          <t>yfinance_download</t>
        </is>
      </c>
      <c r="AE146" s="29" t="inlineStr">
        <is>
          <t>317330.KQ</t>
        </is>
      </c>
    </row>
    <row r="147" ht="24" customHeight="1">
      <c r="A147" s="24" t="inlineStr">
        <is>
          <t>2024-01-11</t>
        </is>
      </c>
      <c r="B147" s="30" t="n">
        <v>19220</v>
      </c>
      <c r="C147" s="30" t="n">
        <v>19640</v>
      </c>
      <c r="D147" s="30" t="n">
        <v>19080</v>
      </c>
      <c r="E147" s="30" t="n">
        <v>19290</v>
      </c>
      <c r="F147" s="30" t="n">
        <v>19290</v>
      </c>
      <c r="G147" s="30" t="n">
        <v>112730</v>
      </c>
      <c r="H147" s="35" t="n">
        <v>-0.001035732780942489</v>
      </c>
      <c r="I147" s="35" t="n">
        <v>-0.4543140028288544</v>
      </c>
      <c r="J147" s="30" t="n">
        <v>19420</v>
      </c>
      <c r="K147" s="30" t="n">
        <v>18673.66666666667</v>
      </c>
      <c r="L147" s="30" t="n">
        <v>16996.75</v>
      </c>
      <c r="M147" s="35" t="n">
        <v>0.4358667952176044</v>
      </c>
      <c r="N147" s="35" t="n">
        <v>0.6823712196490807</v>
      </c>
      <c r="O147" s="35" t="n">
        <v>-0.05208845208845214</v>
      </c>
      <c r="P147" s="35" t="n">
        <v>0.05930807248764425</v>
      </c>
      <c r="Q147" s="35" t="n">
        <v>0.101027397260274</v>
      </c>
      <c r="R147" s="35" t="n">
        <v>-0.006694129763130774</v>
      </c>
      <c r="S147" s="35" t="n">
        <v>0.03300548008782411</v>
      </c>
      <c r="T147" s="35" t="n">
        <v>0.1349228528983482</v>
      </c>
      <c r="U147" s="30" t="n">
        <v>24600</v>
      </c>
      <c r="V147" s="30" t="n">
        <v>13250</v>
      </c>
      <c r="W147" s="35" t="n">
        <v>-0.2158536585365853</v>
      </c>
      <c r="X147" s="35" t="n">
        <v>0.4558490566037736</v>
      </c>
      <c r="Y147" s="30" t="n">
        <v>20476584</v>
      </c>
      <c r="Z147" s="30" t="n">
        <v>394993305360</v>
      </c>
      <c r="AA147" s="30" t="n">
        <v>2174561700</v>
      </c>
      <c r="AB147" s="30" t="n">
        <v>4632604668</v>
      </c>
      <c r="AC147" s="35" t="n">
        <v>0.005505312800220975</v>
      </c>
      <c r="AD147" s="24" t="inlineStr">
        <is>
          <t>yfinance_download</t>
        </is>
      </c>
      <c r="AE147" s="24" t="inlineStr">
        <is>
          <t>317330.KQ</t>
        </is>
      </c>
    </row>
    <row r="148" ht="24" customHeight="1">
      <c r="A148" s="29" t="inlineStr">
        <is>
          <t>2024-01-12</t>
        </is>
      </c>
      <c r="B148" s="31" t="n">
        <v>19140</v>
      </c>
      <c r="C148" s="31" t="n">
        <v>19260</v>
      </c>
      <c r="D148" s="31" t="n">
        <v>18750</v>
      </c>
      <c r="E148" s="31" t="n">
        <v>18770</v>
      </c>
      <c r="F148" s="31" t="n">
        <v>18770</v>
      </c>
      <c r="G148" s="31" t="n">
        <v>91656</v>
      </c>
      <c r="H148" s="36" t="n">
        <v>-0.02695697252462415</v>
      </c>
      <c r="I148" s="36" t="n">
        <v>-0.4690240452616691</v>
      </c>
      <c r="J148" s="31" t="n">
        <v>19348.5</v>
      </c>
      <c r="K148" s="31" t="n">
        <v>18686.83333333333</v>
      </c>
      <c r="L148" s="31" t="n">
        <v>17005.08333333333</v>
      </c>
      <c r="M148" s="36" t="n">
        <v>0.444340787005897</v>
      </c>
      <c r="N148" s="36" t="n">
        <v>0.6842972992112956</v>
      </c>
      <c r="O148" s="36" t="n">
        <v>-0.07079207920792074</v>
      </c>
      <c r="P148" s="36" t="n">
        <v>0.04393770856507229</v>
      </c>
      <c r="Q148" s="36" t="n">
        <v>0.05627462014631401</v>
      </c>
      <c r="R148" s="36" t="n">
        <v>-0.02989895857560021</v>
      </c>
      <c r="S148" s="36" t="n">
        <v>0.004450548960498013</v>
      </c>
      <c r="T148" s="36" t="n">
        <v>0.1037875929256449</v>
      </c>
      <c r="U148" s="31" t="n">
        <v>24600</v>
      </c>
      <c r="V148" s="31" t="n">
        <v>13600</v>
      </c>
      <c r="W148" s="36" t="n">
        <v>-0.2369918699186991</v>
      </c>
      <c r="X148" s="36" t="n">
        <v>0.3801470588235294</v>
      </c>
      <c r="Y148" s="31" t="n">
        <v>20476584</v>
      </c>
      <c r="Z148" s="31" t="n">
        <v>384345481680</v>
      </c>
      <c r="AA148" s="31" t="n">
        <v>1720383120</v>
      </c>
      <c r="AB148" s="31" t="n">
        <v>4478978094</v>
      </c>
      <c r="AC148" s="36" t="n">
        <v>0.004476137230702153</v>
      </c>
      <c r="AD148" s="29" t="inlineStr">
        <is>
          <t>yfinance_download</t>
        </is>
      </c>
      <c r="AE148" s="29" t="inlineStr">
        <is>
          <t>317330.KQ</t>
        </is>
      </c>
    </row>
    <row r="149" ht="24" customHeight="1">
      <c r="A149" s="24" t="inlineStr">
        <is>
          <t>2024-01-15</t>
        </is>
      </c>
      <c r="B149" s="30" t="n">
        <v>18770</v>
      </c>
      <c r="C149" s="30" t="n">
        <v>20500</v>
      </c>
      <c r="D149" s="30" t="n">
        <v>18650</v>
      </c>
      <c r="E149" s="30" t="n">
        <v>19950</v>
      </c>
      <c r="F149" s="30" t="n">
        <v>19950</v>
      </c>
      <c r="G149" s="30" t="n">
        <v>349165</v>
      </c>
      <c r="H149" s="35" t="n">
        <v>0.06286627597229622</v>
      </c>
      <c r="I149" s="35" t="n">
        <v>-0.4356435643564357</v>
      </c>
      <c r="J149" s="30" t="n">
        <v>19376.5</v>
      </c>
      <c r="K149" s="30" t="n">
        <v>18700.16666666667</v>
      </c>
      <c r="L149" s="30" t="n">
        <v>17021.75</v>
      </c>
      <c r="M149" s="35" t="n">
        <v>0.480109608425862</v>
      </c>
      <c r="N149" s="35" t="n">
        <v>0.6834376613035464</v>
      </c>
      <c r="O149" s="35" t="n">
        <v>0.02888086642599275</v>
      </c>
      <c r="P149" s="35" t="n">
        <v>0.04177545691906004</v>
      </c>
      <c r="Q149" s="35" t="n">
        <v>0.1114206128133706</v>
      </c>
      <c r="R149" s="35" t="n">
        <v>0.02959770856449828</v>
      </c>
      <c r="S149" s="35" t="n">
        <v>0.06683541144909566</v>
      </c>
      <c r="T149" s="35" t="n">
        <v>0.172029902918325</v>
      </c>
      <c r="U149" s="30" t="n">
        <v>24600</v>
      </c>
      <c r="V149" s="30" t="n">
        <v>13700</v>
      </c>
      <c r="W149" s="35" t="n">
        <v>-0.1890243902439024</v>
      </c>
      <c r="X149" s="35" t="n">
        <v>0.4562043795620438</v>
      </c>
      <c r="Y149" s="30" t="n">
        <v>20476584</v>
      </c>
      <c r="Z149" s="30" t="n">
        <v>408507850800</v>
      </c>
      <c r="AA149" s="30" t="n">
        <v>6965841750</v>
      </c>
      <c r="AB149" s="30" t="n">
        <v>4648442998</v>
      </c>
      <c r="AC149" s="35" t="n">
        <v>0.01705191647200529</v>
      </c>
      <c r="AD149" s="24" t="inlineStr">
        <is>
          <t>yfinance_download</t>
        </is>
      </c>
      <c r="AE149" s="24" t="inlineStr">
        <is>
          <t>317330.KQ</t>
        </is>
      </c>
    </row>
    <row r="150" ht="24" customHeight="1">
      <c r="A150" s="29" t="inlineStr">
        <is>
          <t>2024-01-16</t>
        </is>
      </c>
      <c r="B150" s="31" t="n">
        <v>20000</v>
      </c>
      <c r="C150" s="31" t="n">
        <v>20700</v>
      </c>
      <c r="D150" s="31" t="n">
        <v>19680</v>
      </c>
      <c r="E150" s="31" t="n">
        <v>20100</v>
      </c>
      <c r="F150" s="31" t="n">
        <v>20100</v>
      </c>
      <c r="G150" s="31" t="n">
        <v>254115</v>
      </c>
      <c r="H150" s="36" t="n">
        <v>0.007518796992481258</v>
      </c>
      <c r="I150" s="36" t="n">
        <v>-0.4314002828854314</v>
      </c>
      <c r="J150" s="31" t="n">
        <v>19411</v>
      </c>
      <c r="K150" s="31" t="n">
        <v>18716</v>
      </c>
      <c r="L150" s="31" t="n">
        <v>17044.33333333333</v>
      </c>
      <c r="M150" s="36" t="n">
        <v>0.4805147724973172</v>
      </c>
      <c r="N150" s="36" t="n">
        <v>0.683538104609007</v>
      </c>
      <c r="O150" s="36" t="n">
        <v>0.03554868624420404</v>
      </c>
      <c r="P150" s="36" t="n">
        <v>0.04960835509138373</v>
      </c>
      <c r="Q150" s="36" t="n">
        <v>0.1558366877515813</v>
      </c>
      <c r="R150" s="36" t="n">
        <v>0.03549533769512125</v>
      </c>
      <c r="S150" s="36" t="n">
        <v>0.07394742466338955</v>
      </c>
      <c r="T150" s="36" t="n">
        <v>0.1792775702579548</v>
      </c>
      <c r="U150" s="31" t="n">
        <v>24600</v>
      </c>
      <c r="V150" s="31" t="n">
        <v>13700</v>
      </c>
      <c r="W150" s="36" t="n">
        <v>-0.1829268292682927</v>
      </c>
      <c r="X150" s="36" t="n">
        <v>0.4671532846715329</v>
      </c>
      <c r="Y150" s="31" t="n">
        <v>20476584</v>
      </c>
      <c r="Z150" s="31" t="n">
        <v>411579338400</v>
      </c>
      <c r="AA150" s="31" t="n">
        <v>5107711500</v>
      </c>
      <c r="AB150" s="31" t="n">
        <v>4771039910.5</v>
      </c>
      <c r="AC150" s="36" t="n">
        <v>0.01241002893842059</v>
      </c>
      <c r="AD150" s="29" t="inlineStr">
        <is>
          <t>yfinance_download</t>
        </is>
      </c>
      <c r="AE150" s="29" t="inlineStr">
        <is>
          <t>317330.KQ</t>
        </is>
      </c>
    </row>
    <row r="151" ht="24" customHeight="1">
      <c r="A151" s="24" t="inlineStr">
        <is>
          <t>2024-01-17</t>
        </is>
      </c>
      <c r="B151" s="30" t="n">
        <v>20100</v>
      </c>
      <c r="C151" s="30" t="n">
        <v>20450</v>
      </c>
      <c r="D151" s="30" t="n">
        <v>19370</v>
      </c>
      <c r="E151" s="30" t="n">
        <v>19380</v>
      </c>
      <c r="F151" s="30" t="n">
        <v>19380</v>
      </c>
      <c r="G151" s="30" t="n">
        <v>186123</v>
      </c>
      <c r="H151" s="35" t="n">
        <v>-0.0358208955223881</v>
      </c>
      <c r="I151" s="35" t="n">
        <v>-0.4517680339462518</v>
      </c>
      <c r="J151" s="30" t="n">
        <v>19337.5</v>
      </c>
      <c r="K151" s="30" t="n">
        <v>18730</v>
      </c>
      <c r="L151" s="30" t="n">
        <v>17060.25</v>
      </c>
      <c r="M151" s="35" t="n">
        <v>0.416216644448674</v>
      </c>
      <c r="N151" s="35" t="n">
        <v>0.6844172680487012</v>
      </c>
      <c r="O151" s="35" t="n">
        <v>-0.07050359712230214</v>
      </c>
      <c r="P151" s="35" t="n">
        <v>0.0453074433656957</v>
      </c>
      <c r="Q151" s="35" t="n">
        <v>0.1093302804808243</v>
      </c>
      <c r="R151" s="35" t="n">
        <v>0.00219780219780219</v>
      </c>
      <c r="S151" s="35" t="n">
        <v>0.03470368392952472</v>
      </c>
      <c r="T151" s="35" t="n">
        <v>0.1359739745900559</v>
      </c>
      <c r="U151" s="30" t="n">
        <v>24600</v>
      </c>
      <c r="V151" s="30" t="n">
        <v>13950</v>
      </c>
      <c r="W151" s="35" t="n">
        <v>-0.2121951219512195</v>
      </c>
      <c r="X151" s="35" t="n">
        <v>0.3892473118279569</v>
      </c>
      <c r="Y151" s="30" t="n">
        <v>20476584</v>
      </c>
      <c r="Z151" s="30" t="n">
        <v>396836197920</v>
      </c>
      <c r="AA151" s="30" t="n">
        <v>3607063740</v>
      </c>
      <c r="AB151" s="30" t="n">
        <v>3605580850</v>
      </c>
      <c r="AC151" s="35" t="n">
        <v>0.009089553218446983</v>
      </c>
      <c r="AD151" s="24" t="inlineStr">
        <is>
          <t>yfinance_download</t>
        </is>
      </c>
      <c r="AE151" s="24" t="inlineStr">
        <is>
          <t>317330.KQ</t>
        </is>
      </c>
    </row>
    <row r="152" ht="24" customHeight="1">
      <c r="A152" s="29" t="inlineStr">
        <is>
          <t>2024-01-18</t>
        </is>
      </c>
      <c r="B152" s="31" t="n">
        <v>19310</v>
      </c>
      <c r="C152" s="31" t="n">
        <v>20400</v>
      </c>
      <c r="D152" s="31" t="n">
        <v>19010</v>
      </c>
      <c r="E152" s="31" t="n">
        <v>19960</v>
      </c>
      <c r="F152" s="31" t="n">
        <v>19960</v>
      </c>
      <c r="G152" s="31" t="n">
        <v>155057</v>
      </c>
      <c r="H152" s="36" t="n">
        <v>0.02992776057791535</v>
      </c>
      <c r="I152" s="36" t="n">
        <v>-0.4353606789250354</v>
      </c>
      <c r="J152" s="31" t="n">
        <v>19290.5</v>
      </c>
      <c r="K152" s="31" t="n">
        <v>18777.83333333333</v>
      </c>
      <c r="L152" s="31" t="n">
        <v>17083.91666666667</v>
      </c>
      <c r="M152" s="36" t="n">
        <v>0.4323943670811563</v>
      </c>
      <c r="N152" s="36" t="n">
        <v>0.6661830192267807</v>
      </c>
      <c r="O152" s="36" t="n">
        <v>-0.04497607655502389</v>
      </c>
      <c r="P152" s="36" t="n">
        <v>0.1679344645991807</v>
      </c>
      <c r="Q152" s="36" t="n">
        <v>0.1658878504672898</v>
      </c>
      <c r="R152" s="36" t="n">
        <v>0.03470620253492651</v>
      </c>
      <c r="S152" s="36" t="n">
        <v>0.06295543504309165</v>
      </c>
      <c r="T152" s="36" t="n">
        <v>0.1683503490124727</v>
      </c>
      <c r="U152" s="31" t="n">
        <v>24600</v>
      </c>
      <c r="V152" s="31" t="n">
        <v>13950</v>
      </c>
      <c r="W152" s="36" t="n">
        <v>-0.1886178861788618</v>
      </c>
      <c r="X152" s="36" t="n">
        <v>0.4308243727598566</v>
      </c>
      <c r="Y152" s="31" t="n">
        <v>20476584</v>
      </c>
      <c r="Z152" s="31" t="n">
        <v>408712616640</v>
      </c>
      <c r="AA152" s="31" t="n">
        <v>3094937720</v>
      </c>
      <c r="AB152" s="31" t="n">
        <v>3199821086</v>
      </c>
      <c r="AC152" s="36" t="n">
        <v>0.007572405631720604</v>
      </c>
      <c r="AD152" s="29" t="inlineStr">
        <is>
          <t>yfinance_download</t>
        </is>
      </c>
      <c r="AE152" s="29" t="inlineStr">
        <is>
          <t>317330.KQ</t>
        </is>
      </c>
    </row>
    <row r="153" ht="24" customHeight="1">
      <c r="A153" s="24" t="inlineStr">
        <is>
          <t>2024-01-19</t>
        </is>
      </c>
      <c r="B153" s="30" t="n">
        <v>19970</v>
      </c>
      <c r="C153" s="30" t="n">
        <v>24200</v>
      </c>
      <c r="D153" s="30" t="n">
        <v>19970</v>
      </c>
      <c r="E153" s="30" t="n">
        <v>21600</v>
      </c>
      <c r="F153" s="30" t="n">
        <v>21600</v>
      </c>
      <c r="G153" s="30" t="n">
        <v>3047358</v>
      </c>
      <c r="H153" s="35" t="n">
        <v>0.0821643286573146</v>
      </c>
      <c r="I153" s="35" t="n">
        <v>-0.388967468175389</v>
      </c>
      <c r="J153" s="30" t="n">
        <v>19360.5</v>
      </c>
      <c r="K153" s="30" t="n">
        <v>18811.16666666667</v>
      </c>
      <c r="L153" s="30" t="n">
        <v>17127.25</v>
      </c>
      <c r="M153" s="35" t="n">
        <v>0.5086578559178866</v>
      </c>
      <c r="N153" s="35" t="n">
        <v>0.6181381654889376</v>
      </c>
      <c r="O153" s="35" t="n">
        <v>0.06930693069306937</v>
      </c>
      <c r="P153" s="35" t="n">
        <v>0.1020408163265305</v>
      </c>
      <c r="Q153" s="35" t="n">
        <v>0.3170731707317074</v>
      </c>
      <c r="R153" s="35" t="n">
        <v>0.115673665452855</v>
      </c>
      <c r="S153" s="35" t="n">
        <v>0.1482541398282935</v>
      </c>
      <c r="T153" s="35" t="n">
        <v>0.2611481703133895</v>
      </c>
      <c r="U153" s="30" t="n">
        <v>24600</v>
      </c>
      <c r="V153" s="30" t="n">
        <v>13950</v>
      </c>
      <c r="W153" s="35" t="n">
        <v>-0.1219512195121951</v>
      </c>
      <c r="X153" s="35" t="n">
        <v>0.5483870967741935</v>
      </c>
      <c r="Y153" s="30" t="n">
        <v>20476584</v>
      </c>
      <c r="Z153" s="30" t="n">
        <v>442294214400</v>
      </c>
      <c r="AA153" s="30" t="n">
        <v>65822932800</v>
      </c>
      <c r="AB153" s="30" t="n">
        <v>6276328586</v>
      </c>
      <c r="AC153" s="35" t="n">
        <v>0.1488216003216161</v>
      </c>
      <c r="AD153" s="24" t="inlineStr">
        <is>
          <t>yfinance_download</t>
        </is>
      </c>
      <c r="AE153" s="24" t="inlineStr">
        <is>
          <t>317330.KQ</t>
        </is>
      </c>
    </row>
    <row r="154" ht="24" customHeight="1">
      <c r="A154" s="29" t="inlineStr">
        <is>
          <t>2024-01-22</t>
        </is>
      </c>
      <c r="B154" s="31" t="n">
        <v>21650</v>
      </c>
      <c r="C154" s="31" t="n">
        <v>21700</v>
      </c>
      <c r="D154" s="31" t="n">
        <v>20150</v>
      </c>
      <c r="E154" s="31" t="n">
        <v>20200</v>
      </c>
      <c r="F154" s="31" t="n">
        <v>20200</v>
      </c>
      <c r="G154" s="31" t="n">
        <v>720455</v>
      </c>
      <c r="H154" s="36" t="n">
        <v>-0.06481481481481477</v>
      </c>
      <c r="I154" s="36" t="n">
        <v>-0.4285714285714286</v>
      </c>
      <c r="J154" s="31" t="n">
        <v>19363</v>
      </c>
      <c r="K154" s="31" t="n">
        <v>18828.16666666667</v>
      </c>
      <c r="L154" s="31" t="n">
        <v>17162.25</v>
      </c>
      <c r="M154" s="36" t="n">
        <v>0.5640329484400572</v>
      </c>
      <c r="N154" s="36" t="n">
        <v>0.6315145571465273</v>
      </c>
      <c r="O154" s="36" t="n">
        <v>0.002481389578163684</v>
      </c>
      <c r="P154" s="36" t="n">
        <v>0.05318039624608972</v>
      </c>
      <c r="Q154" s="36" t="n">
        <v>0.2625</v>
      </c>
      <c r="R154" s="36" t="n">
        <v>0.04322677271084019</v>
      </c>
      <c r="S154" s="36" t="n">
        <v>0.07286069629721426</v>
      </c>
      <c r="T154" s="36" t="n">
        <v>0.1770018499905315</v>
      </c>
      <c r="U154" s="31" t="n">
        <v>24600</v>
      </c>
      <c r="V154" s="31" t="n">
        <v>13950</v>
      </c>
      <c r="W154" s="36" t="n">
        <v>-0.1788617886178862</v>
      </c>
      <c r="X154" s="36" t="n">
        <v>0.4480286738351253</v>
      </c>
      <c r="Y154" s="31" t="n">
        <v>20476584</v>
      </c>
      <c r="Z154" s="31" t="n">
        <v>413626996800</v>
      </c>
      <c r="AA154" s="31" t="n">
        <v>14553191000</v>
      </c>
      <c r="AB154" s="31" t="n">
        <v>6863723986</v>
      </c>
      <c r="AC154" s="36" t="n">
        <v>0.03518433543407436</v>
      </c>
      <c r="AD154" s="29" t="inlineStr">
        <is>
          <t>yfinance_download</t>
        </is>
      </c>
      <c r="AE154" s="29" t="inlineStr">
        <is>
          <t>317330.KQ</t>
        </is>
      </c>
    </row>
    <row r="155" ht="24" customHeight="1">
      <c r="A155" s="24" t="inlineStr">
        <is>
          <t>2024-01-23</t>
        </is>
      </c>
      <c r="B155" s="30" t="n">
        <v>19960</v>
      </c>
      <c r="C155" s="30" t="n">
        <v>20100</v>
      </c>
      <c r="D155" s="30" t="n">
        <v>19380</v>
      </c>
      <c r="E155" s="30" t="n">
        <v>19500</v>
      </c>
      <c r="F155" s="30" t="n">
        <v>19500</v>
      </c>
      <c r="G155" s="30" t="n">
        <v>465800</v>
      </c>
      <c r="H155" s="35" t="n">
        <v>-0.03465346534653468</v>
      </c>
      <c r="I155" s="35" t="n">
        <v>-0.4483734087694484</v>
      </c>
      <c r="J155" s="30" t="n">
        <v>19357</v>
      </c>
      <c r="K155" s="30" t="n">
        <v>18842.33333333333</v>
      </c>
      <c r="L155" s="30" t="n">
        <v>17198.83333333333</v>
      </c>
      <c r="M155" s="35" t="n">
        <v>0.5700852433412263</v>
      </c>
      <c r="N155" s="35" t="n">
        <v>0.6330655060532905</v>
      </c>
      <c r="O155" s="35" t="n">
        <v>-0.006116207951070374</v>
      </c>
      <c r="P155" s="35" t="n">
        <v>0.04557640750670244</v>
      </c>
      <c r="Q155" s="35" t="n">
        <v>0.2905360688285903</v>
      </c>
      <c r="R155" s="35" t="n">
        <v>0.007387508394895992</v>
      </c>
      <c r="S155" s="35" t="n">
        <v>0.03490367435031061</v>
      </c>
      <c r="T155" s="35" t="n">
        <v>0.1337978351244755</v>
      </c>
      <c r="U155" s="30" t="n">
        <v>24600</v>
      </c>
      <c r="V155" s="30" t="n">
        <v>13950</v>
      </c>
      <c r="W155" s="35" t="n">
        <v>-0.2073170731707317</v>
      </c>
      <c r="X155" s="35" t="n">
        <v>0.3978494623655915</v>
      </c>
      <c r="Y155" s="30" t="n">
        <v>20476584</v>
      </c>
      <c r="Z155" s="30" t="n">
        <v>399293388000</v>
      </c>
      <c r="AA155" s="30" t="n">
        <v>9083100000</v>
      </c>
      <c r="AB155" s="30" t="n">
        <v>7199126974</v>
      </c>
      <c r="AC155" s="35" t="n">
        <v>0.0227479349094556</v>
      </c>
      <c r="AD155" s="24" t="inlineStr">
        <is>
          <t>yfinance_download</t>
        </is>
      </c>
      <c r="AE155" s="24" t="inlineStr">
        <is>
          <t>317330.KQ</t>
        </is>
      </c>
    </row>
    <row r="156" ht="24" customHeight="1">
      <c r="A156" s="29" t="inlineStr">
        <is>
          <t>2024-01-24</t>
        </is>
      </c>
      <c r="B156" s="31" t="n">
        <v>19660</v>
      </c>
      <c r="C156" s="31" t="n">
        <v>19990</v>
      </c>
      <c r="D156" s="31" t="n">
        <v>18860</v>
      </c>
      <c r="E156" s="31" t="n">
        <v>19070</v>
      </c>
      <c r="F156" s="31" t="n">
        <v>19070</v>
      </c>
      <c r="G156" s="31" t="n">
        <v>335238</v>
      </c>
      <c r="H156" s="36" t="n">
        <v>-0.02205128205128204</v>
      </c>
      <c r="I156" s="36" t="n">
        <v>-0.4605374823196605</v>
      </c>
      <c r="J156" s="31" t="n">
        <v>19350.5</v>
      </c>
      <c r="K156" s="31" t="n">
        <v>18845.83333333333</v>
      </c>
      <c r="L156" s="31" t="n">
        <v>17227.25</v>
      </c>
      <c r="M156" s="36" t="n">
        <v>0.5704152454291039</v>
      </c>
      <c r="N156" s="36" t="n">
        <v>0.634551572961596</v>
      </c>
      <c r="O156" s="36" t="n">
        <v>-0.006770833333333282</v>
      </c>
      <c r="P156" s="36" t="n">
        <v>0.0111346765641569</v>
      </c>
      <c r="Q156" s="36" t="n">
        <v>0.2177522349936143</v>
      </c>
      <c r="R156" s="36" t="n">
        <v>-0.01449574946383814</v>
      </c>
      <c r="S156" s="36" t="n">
        <v>0.01189476011496793</v>
      </c>
      <c r="T156" s="36" t="n">
        <v>0.1069671595872819</v>
      </c>
      <c r="U156" s="31" t="n">
        <v>24600</v>
      </c>
      <c r="V156" s="31" t="n">
        <v>13950</v>
      </c>
      <c r="W156" s="36" t="n">
        <v>-0.2247967479674797</v>
      </c>
      <c r="X156" s="36" t="n">
        <v>0.3670250896057348</v>
      </c>
      <c r="Y156" s="31" t="n">
        <v>20476584</v>
      </c>
      <c r="Z156" s="31" t="n">
        <v>390488456880</v>
      </c>
      <c r="AA156" s="31" t="n">
        <v>6392988660</v>
      </c>
      <c r="AB156" s="31" t="n">
        <v>7413221527</v>
      </c>
      <c r="AC156" s="36" t="n">
        <v>0.01637177372944628</v>
      </c>
      <c r="AD156" s="29" t="inlineStr">
        <is>
          <t>yfinance_download</t>
        </is>
      </c>
      <c r="AE156" s="29" t="inlineStr">
        <is>
          <t>317330.KQ</t>
        </is>
      </c>
    </row>
    <row r="157" ht="24" customHeight="1">
      <c r="A157" s="24" t="inlineStr">
        <is>
          <t>2024-01-25</t>
        </is>
      </c>
      <c r="B157" s="30" t="n">
        <v>19070</v>
      </c>
      <c r="C157" s="30" t="n">
        <v>19290</v>
      </c>
      <c r="D157" s="30" t="n">
        <v>18080</v>
      </c>
      <c r="E157" s="30" t="n">
        <v>18260</v>
      </c>
      <c r="F157" s="30" t="n">
        <v>18260</v>
      </c>
      <c r="G157" s="30" t="n">
        <v>342845</v>
      </c>
      <c r="H157" s="35" t="n">
        <v>-0.04247509176717357</v>
      </c>
      <c r="I157" s="35" t="n">
        <v>-0.4834512022630835</v>
      </c>
      <c r="J157" s="30" t="n">
        <v>19346.5</v>
      </c>
      <c r="K157" s="30" t="n">
        <v>18833.66666666667</v>
      </c>
      <c r="L157" s="30" t="n">
        <v>17243.16666666667</v>
      </c>
      <c r="M157" s="35" t="n">
        <v>0.568042483481901</v>
      </c>
      <c r="N157" s="35" t="n">
        <v>0.6406124630968275</v>
      </c>
      <c r="O157" s="35" t="n">
        <v>-0.004362050163576936</v>
      </c>
      <c r="P157" s="35" t="n">
        <v>-0.03844128488678256</v>
      </c>
      <c r="Q157" s="35" t="n">
        <v>0.1168195718654435</v>
      </c>
      <c r="R157" s="35" t="n">
        <v>-0.05616002894580419</v>
      </c>
      <c r="S157" s="35" t="n">
        <v>-0.03045963788251538</v>
      </c>
      <c r="T157" s="35" t="n">
        <v>0.05897022008718422</v>
      </c>
      <c r="U157" s="30" t="n">
        <v>24600</v>
      </c>
      <c r="V157" s="30" t="n">
        <v>13950</v>
      </c>
      <c r="W157" s="35" t="n">
        <v>-0.2577235772357723</v>
      </c>
      <c r="X157" s="35" t="n">
        <v>0.3089605734767025</v>
      </c>
      <c r="Y157" s="30" t="n">
        <v>20476584</v>
      </c>
      <c r="Z157" s="30" t="n">
        <v>373902423840</v>
      </c>
      <c r="AA157" s="30" t="n">
        <v>6260349700</v>
      </c>
      <c r="AB157" s="30" t="n">
        <v>7582577207</v>
      </c>
      <c r="AC157" s="35" t="n">
        <v>0.01674327124094527</v>
      </c>
      <c r="AD157" s="24" t="inlineStr">
        <is>
          <t>yfinance_download</t>
        </is>
      </c>
      <c r="AE157" s="24" t="inlineStr">
        <is>
          <t>317330.KQ</t>
        </is>
      </c>
    </row>
    <row r="158" ht="24" customHeight="1">
      <c r="A158" s="29" t="inlineStr">
        <is>
          <t>2024-01-26</t>
        </is>
      </c>
      <c r="B158" s="31" t="n">
        <v>17800</v>
      </c>
      <c r="C158" s="31" t="n">
        <v>18730</v>
      </c>
      <c r="D158" s="31" t="n">
        <v>17800</v>
      </c>
      <c r="E158" s="31" t="n">
        <v>18640</v>
      </c>
      <c r="F158" s="31" t="n">
        <v>18640</v>
      </c>
      <c r="G158" s="31" t="n">
        <v>210395</v>
      </c>
      <c r="H158" s="36" t="n">
        <v>0.02081051478641838</v>
      </c>
      <c r="I158" s="36" t="n">
        <v>-0.4727015558698727</v>
      </c>
      <c r="J158" s="31" t="n">
        <v>19342</v>
      </c>
      <c r="K158" s="31" t="n">
        <v>18835.16666666667</v>
      </c>
      <c r="L158" s="31" t="n">
        <v>17264.25</v>
      </c>
      <c r="M158" s="36" t="n">
        <v>0.5678231463443865</v>
      </c>
      <c r="N158" s="36" t="n">
        <v>0.6401225011266233</v>
      </c>
      <c r="O158" s="36" t="n">
        <v>-0.004805125467164939</v>
      </c>
      <c r="P158" s="36" t="n">
        <v>0.004851752021563405</v>
      </c>
      <c r="Q158" s="36" t="n">
        <v>0.1570453134698944</v>
      </c>
      <c r="R158" s="36" t="n">
        <v>-0.03629407506979632</v>
      </c>
      <c r="S158" s="36" t="n">
        <v>-0.01036182318535372</v>
      </c>
      <c r="T158" s="36" t="n">
        <v>0.07968779414107185</v>
      </c>
      <c r="U158" s="31" t="n">
        <v>24600</v>
      </c>
      <c r="V158" s="31" t="n">
        <v>13950</v>
      </c>
      <c r="W158" s="36" t="n">
        <v>-0.2422764227642277</v>
      </c>
      <c r="X158" s="36" t="n">
        <v>0.336200716845878</v>
      </c>
      <c r="Y158" s="31" t="n">
        <v>20476584</v>
      </c>
      <c r="Z158" s="31" t="n">
        <v>381683525760</v>
      </c>
      <c r="AA158" s="31" t="n">
        <v>3921762800</v>
      </c>
      <c r="AB158" s="31" t="n">
        <v>7705083605.5</v>
      </c>
      <c r="AC158" s="36" t="n">
        <v>0.01027490718178384</v>
      </c>
      <c r="AD158" s="29" t="inlineStr">
        <is>
          <t>yfinance_download</t>
        </is>
      </c>
      <c r="AE158" s="29" t="inlineStr">
        <is>
          <t>317330.KQ</t>
        </is>
      </c>
    </row>
    <row r="159" ht="24" customHeight="1">
      <c r="A159" s="24" t="inlineStr">
        <is>
          <t>2024-01-29</t>
        </is>
      </c>
      <c r="B159" s="30" t="n">
        <v>18700</v>
      </c>
      <c r="C159" s="30" t="n">
        <v>19590</v>
      </c>
      <c r="D159" s="30" t="n">
        <v>18240</v>
      </c>
      <c r="E159" s="30" t="n">
        <v>19070</v>
      </c>
      <c r="F159" s="30" t="n">
        <v>19070</v>
      </c>
      <c r="G159" s="30" t="n">
        <v>337189</v>
      </c>
      <c r="H159" s="35" t="n">
        <v>0.02306866952789699</v>
      </c>
      <c r="I159" s="35" t="n">
        <v>-0.4605374823196605</v>
      </c>
      <c r="J159" s="30" t="n">
        <v>19361</v>
      </c>
      <c r="K159" s="30" t="n">
        <v>18864</v>
      </c>
      <c r="L159" s="30" t="n">
        <v>17289.08333333333</v>
      </c>
      <c r="M159" s="35" t="n">
        <v>0.5733744839412059</v>
      </c>
      <c r="N159" s="35" t="n">
        <v>0.6266220480642535</v>
      </c>
      <c r="O159" s="35" t="n">
        <v>0.02033172819689666</v>
      </c>
      <c r="P159" s="35" t="n">
        <v>0.09976931949250289</v>
      </c>
      <c r="Q159" s="35" t="n">
        <v>0.1852082038533251</v>
      </c>
      <c r="R159" s="35" t="n">
        <v>-0.0150302153814369</v>
      </c>
      <c r="S159" s="35" t="n">
        <v>0.01092027141645469</v>
      </c>
      <c r="T159" s="35" t="n">
        <v>0.103008160255267</v>
      </c>
      <c r="U159" s="30" t="n">
        <v>24600</v>
      </c>
      <c r="V159" s="30" t="n">
        <v>13950</v>
      </c>
      <c r="W159" s="35" t="n">
        <v>-0.2247967479674797</v>
      </c>
      <c r="X159" s="35" t="n">
        <v>0.3670250896057348</v>
      </c>
      <c r="Y159" s="30" t="n">
        <v>20476584</v>
      </c>
      <c r="Z159" s="30" t="n">
        <v>390488456880</v>
      </c>
      <c r="AA159" s="30" t="n">
        <v>6430194230</v>
      </c>
      <c r="AB159" s="30" t="n">
        <v>7942014525.5</v>
      </c>
      <c r="AC159" s="35" t="n">
        <v>0.01646705329365484</v>
      </c>
      <c r="AD159" s="24" t="inlineStr">
        <is>
          <t>yfinance_download</t>
        </is>
      </c>
      <c r="AE159" s="24" t="inlineStr">
        <is>
          <t>317330.KQ</t>
        </is>
      </c>
    </row>
    <row r="160" ht="24" customHeight="1">
      <c r="A160" s="29" t="inlineStr">
        <is>
          <t>2024-01-30</t>
        </is>
      </c>
      <c r="B160" s="31" t="n">
        <v>19070</v>
      </c>
      <c r="C160" s="31" t="n">
        <v>19280</v>
      </c>
      <c r="D160" s="31" t="n">
        <v>18520</v>
      </c>
      <c r="E160" s="31" t="n">
        <v>18540</v>
      </c>
      <c r="F160" s="31" t="n">
        <v>18540</v>
      </c>
      <c r="G160" s="31" t="n">
        <v>132689</v>
      </c>
      <c r="H160" s="36" t="n">
        <v>-0.02779234399580488</v>
      </c>
      <c r="I160" s="36" t="n">
        <v>-0.4755304101838755</v>
      </c>
      <c r="J160" s="31" t="n">
        <v>19338.5</v>
      </c>
      <c r="K160" s="31" t="n">
        <v>18873</v>
      </c>
      <c r="L160" s="31" t="n">
        <v>17312.91666666667</v>
      </c>
      <c r="M160" s="36" t="n">
        <v>0.5798243278667072</v>
      </c>
      <c r="N160" s="36" t="n">
        <v>0.6251141736830225</v>
      </c>
      <c r="O160" s="36" t="n">
        <v>-0.023696682464455</v>
      </c>
      <c r="P160" s="36" t="n">
        <v>0.03000000000000003</v>
      </c>
      <c r="Q160" s="36" t="n">
        <v>0.1823979591836735</v>
      </c>
      <c r="R160" s="36" t="n">
        <v>-0.04129068955710113</v>
      </c>
      <c r="S160" s="36" t="n">
        <v>-0.01764425369575584</v>
      </c>
      <c r="T160" s="36" t="n">
        <v>0.07087675386873959</v>
      </c>
      <c r="U160" s="31" t="n">
        <v>24600</v>
      </c>
      <c r="V160" s="31" t="n">
        <v>13950</v>
      </c>
      <c r="W160" s="36" t="n">
        <v>-0.2463414634146341</v>
      </c>
      <c r="X160" s="36" t="n">
        <v>0.3290322580645162</v>
      </c>
      <c r="Y160" s="31" t="n">
        <v>20476584</v>
      </c>
      <c r="Z160" s="31" t="n">
        <v>379635867360</v>
      </c>
      <c r="AA160" s="31" t="n">
        <v>2460054060</v>
      </c>
      <c r="AB160" s="31" t="n">
        <v>7951917536</v>
      </c>
      <c r="AC160" s="36" t="n">
        <v>0.006480035927867656</v>
      </c>
      <c r="AD160" s="29" t="inlineStr">
        <is>
          <t>yfinance_download</t>
        </is>
      </c>
      <c r="AE160" s="29" t="inlineStr">
        <is>
          <t>317330.KQ</t>
        </is>
      </c>
    </row>
    <row r="161" ht="24" customHeight="1">
      <c r="A161" s="24" t="inlineStr">
        <is>
          <t>2024-01-31</t>
        </is>
      </c>
      <c r="B161" s="30" t="n">
        <v>18500</v>
      </c>
      <c r="C161" s="30" t="n">
        <v>19630</v>
      </c>
      <c r="D161" s="30" t="n">
        <v>18340</v>
      </c>
      <c r="E161" s="30" t="n">
        <v>18580</v>
      </c>
      <c r="F161" s="30" t="n">
        <v>18580</v>
      </c>
      <c r="G161" s="30" t="n">
        <v>235340</v>
      </c>
      <c r="H161" s="35" t="n">
        <v>0.002157497303128419</v>
      </c>
      <c r="I161" s="35" t="n">
        <v>-0.4743988684582744</v>
      </c>
      <c r="J161" s="30" t="n">
        <v>19338.5</v>
      </c>
      <c r="K161" s="30" t="n">
        <v>18879.5</v>
      </c>
      <c r="L161" s="30" t="n">
        <v>17337.41666666667</v>
      </c>
      <c r="M161" s="35" t="n">
        <v>0.5745096036490908</v>
      </c>
      <c r="N161" s="35" t="n">
        <v>0.6248159802758944</v>
      </c>
      <c r="O161" s="35" t="n">
        <v>0</v>
      </c>
      <c r="P161" s="35" t="n">
        <v>0.02144035184167126</v>
      </c>
      <c r="Q161" s="35" t="n">
        <v>0.1879795396419437</v>
      </c>
      <c r="R161" s="35" t="n">
        <v>-0.03922227680533652</v>
      </c>
      <c r="S161" s="35" t="n">
        <v>-0.01586376757859054</v>
      </c>
      <c r="T161" s="35" t="n">
        <v>0.07167061605679415</v>
      </c>
      <c r="U161" s="30" t="n">
        <v>24600</v>
      </c>
      <c r="V161" s="30" t="n">
        <v>13990</v>
      </c>
      <c r="W161" s="35" t="n">
        <v>-0.2447154471544716</v>
      </c>
      <c r="X161" s="35" t="n">
        <v>0.3280914939242316</v>
      </c>
      <c r="Y161" s="30" t="n">
        <v>20476584</v>
      </c>
      <c r="Z161" s="30" t="n">
        <v>380454930720</v>
      </c>
      <c r="AA161" s="30" t="n">
        <v>4372617200</v>
      </c>
      <c r="AB161" s="30" t="n">
        <v>8089396530</v>
      </c>
      <c r="AC161" s="35" t="n">
        <v>0.01149312795532692</v>
      </c>
      <c r="AD161" s="24" t="inlineStr">
        <is>
          <t>yfinance_download</t>
        </is>
      </c>
      <c r="AE161" s="24" t="inlineStr">
        <is>
          <t>317330.KQ</t>
        </is>
      </c>
    </row>
    <row r="162" ht="24" customHeight="1">
      <c r="A162" s="29" t="inlineStr">
        <is>
          <t>2024-02-01</t>
        </is>
      </c>
      <c r="B162" s="31" t="n">
        <v>18530</v>
      </c>
      <c r="C162" s="31" t="n">
        <v>18750</v>
      </c>
      <c r="D162" s="31" t="n">
        <v>18090</v>
      </c>
      <c r="E162" s="31" t="n">
        <v>18370</v>
      </c>
      <c r="F162" s="31" t="n">
        <v>18370</v>
      </c>
      <c r="G162" s="31" t="n">
        <v>171996</v>
      </c>
      <c r="H162" s="36" t="n">
        <v>-0.01130247578040899</v>
      </c>
      <c r="I162" s="36" t="n">
        <v>-0.4803394625176803</v>
      </c>
      <c r="J162" s="31" t="n">
        <v>19330</v>
      </c>
      <c r="K162" s="31" t="n">
        <v>18857.33333333333</v>
      </c>
      <c r="L162" s="31" t="n">
        <v>17361.16666666667</v>
      </c>
      <c r="M162" s="36" t="n">
        <v>0.5760105672257807</v>
      </c>
      <c r="N162" s="36" t="n">
        <v>0.6014592872730962</v>
      </c>
      <c r="O162" s="36" t="n">
        <v>-0.009169363538295561</v>
      </c>
      <c r="P162" s="36" t="n">
        <v>-0.06751269035532992</v>
      </c>
      <c r="Q162" s="36" t="n">
        <v>0.1836340206185567</v>
      </c>
      <c r="R162" s="36" t="n">
        <v>-0.04966373512674604</v>
      </c>
      <c r="S162" s="36" t="n">
        <v>-0.02584317330127972</v>
      </c>
      <c r="T162" s="36" t="n">
        <v>0.05810861405243495</v>
      </c>
      <c r="U162" s="31" t="n">
        <v>24600</v>
      </c>
      <c r="V162" s="31" t="n">
        <v>13990</v>
      </c>
      <c r="W162" s="36" t="n">
        <v>-0.2532520325203252</v>
      </c>
      <c r="X162" s="36" t="n">
        <v>0.3130807719799857</v>
      </c>
      <c r="Y162" s="31" t="n">
        <v>20476584</v>
      </c>
      <c r="Z162" s="31" t="n">
        <v>376154848080</v>
      </c>
      <c r="AA162" s="31" t="n">
        <v>3159566520</v>
      </c>
      <c r="AB162" s="31" t="n">
        <v>8176419495</v>
      </c>
      <c r="AC162" s="36" t="n">
        <v>0.008399643221740501</v>
      </c>
      <c r="AD162" s="29" t="inlineStr">
        <is>
          <t>yfinance_download</t>
        </is>
      </c>
      <c r="AE162" s="29" t="inlineStr">
        <is>
          <t>317330.KQ</t>
        </is>
      </c>
    </row>
    <row r="163" ht="24" customHeight="1">
      <c r="A163" s="24" t="inlineStr">
        <is>
          <t>2024-02-02</t>
        </is>
      </c>
      <c r="B163" s="30" t="n">
        <v>18370</v>
      </c>
      <c r="C163" s="30" t="n">
        <v>19440</v>
      </c>
      <c r="D163" s="30" t="n">
        <v>18370</v>
      </c>
      <c r="E163" s="30" t="n">
        <v>19060</v>
      </c>
      <c r="F163" s="30" t="n">
        <v>19060</v>
      </c>
      <c r="G163" s="30" t="n">
        <v>202867</v>
      </c>
      <c r="H163" s="35" t="n">
        <v>0.03756124115405557</v>
      </c>
      <c r="I163" s="35" t="n">
        <v>-0.4608203677510608</v>
      </c>
      <c r="J163" s="30" t="n">
        <v>19318</v>
      </c>
      <c r="K163" s="30" t="n">
        <v>18859.83333333333</v>
      </c>
      <c r="L163" s="30" t="n">
        <v>17392.41666666667</v>
      </c>
      <c r="M163" s="35" t="n">
        <v>0.572904828632515</v>
      </c>
      <c r="N163" s="35" t="n">
        <v>0.6006665362071135</v>
      </c>
      <c r="O163" s="35" t="n">
        <v>-0.01243523316062178</v>
      </c>
      <c r="P163" s="35" t="n">
        <v>0.007932310946589194</v>
      </c>
      <c r="Q163" s="35" t="n">
        <v>0.2449379490529067</v>
      </c>
      <c r="R163" s="35" t="n">
        <v>-0.01335541981571586</v>
      </c>
      <c r="S163" s="35" t="n">
        <v>0.0106133847064751</v>
      </c>
      <c r="T163" s="35" t="n">
        <v>0.09587990934746449</v>
      </c>
      <c r="U163" s="30" t="n">
        <v>24600</v>
      </c>
      <c r="V163" s="30" t="n">
        <v>13990</v>
      </c>
      <c r="W163" s="35" t="n">
        <v>-0.2252032520325203</v>
      </c>
      <c r="X163" s="35" t="n">
        <v>0.3624017155110792</v>
      </c>
      <c r="Y163" s="30" t="n">
        <v>20476584</v>
      </c>
      <c r="Z163" s="30" t="n">
        <v>390283691040</v>
      </c>
      <c r="AA163" s="30" t="n">
        <v>3866645020</v>
      </c>
      <c r="AB163" s="30" t="n">
        <v>8159972326</v>
      </c>
      <c r="AC163" s="35" t="n">
        <v>0.009907267735673098</v>
      </c>
      <c r="AD163" s="24" t="inlineStr">
        <is>
          <t>yfinance_download</t>
        </is>
      </c>
      <c r="AE163" s="24" t="inlineStr">
        <is>
          <t>317330.KQ</t>
        </is>
      </c>
    </row>
    <row r="164" ht="24" customHeight="1">
      <c r="A164" s="29" t="inlineStr">
        <is>
          <t>2024-02-05</t>
        </is>
      </c>
      <c r="B164" s="31" t="n">
        <v>19300</v>
      </c>
      <c r="C164" s="31" t="n">
        <v>19690</v>
      </c>
      <c r="D164" s="31" t="n">
        <v>18970</v>
      </c>
      <c r="E164" s="31" t="n">
        <v>19200</v>
      </c>
      <c r="F164" s="31" t="n">
        <v>19200</v>
      </c>
      <c r="G164" s="31" t="n">
        <v>163893</v>
      </c>
      <c r="H164" s="36" t="n">
        <v>0.007345225603357708</v>
      </c>
      <c r="I164" s="36" t="n">
        <v>-0.4568599717114569</v>
      </c>
      <c r="J164" s="31" t="n">
        <v>19306.5</v>
      </c>
      <c r="K164" s="31" t="n">
        <v>18870.66666666667</v>
      </c>
      <c r="L164" s="31" t="n">
        <v>17425.75</v>
      </c>
      <c r="M164" s="36" t="n">
        <v>0.5730041254705172</v>
      </c>
      <c r="N164" s="36" t="n">
        <v>0.5993745385803222</v>
      </c>
      <c r="O164" s="36" t="n">
        <v>-0.01183736489963971</v>
      </c>
      <c r="P164" s="36" t="n">
        <v>0.03504043126684642</v>
      </c>
      <c r="Q164" s="36" t="n">
        <v>0.263157894736842</v>
      </c>
      <c r="R164" s="36" t="n">
        <v>-0.005516276901561645</v>
      </c>
      <c r="S164" s="36" t="n">
        <v>0.01745213029039783</v>
      </c>
      <c r="T164" s="36" t="n">
        <v>0.1018177122935886</v>
      </c>
      <c r="U164" s="31" t="n">
        <v>24600</v>
      </c>
      <c r="V164" s="31" t="n">
        <v>13990</v>
      </c>
      <c r="W164" s="36" t="n">
        <v>-0.2195121951219512</v>
      </c>
      <c r="X164" s="36" t="n">
        <v>0.37240886347391</v>
      </c>
      <c r="Y164" s="31" t="n">
        <v>20476584</v>
      </c>
      <c r="Z164" s="31" t="n">
        <v>393150412800</v>
      </c>
      <c r="AA164" s="31" t="n">
        <v>3146745600</v>
      </c>
      <c r="AB164" s="31" t="n">
        <v>8091071543.5</v>
      </c>
      <c r="AC164" s="36" t="n">
        <v>0.008003922919955789</v>
      </c>
      <c r="AD164" s="29" t="inlineStr">
        <is>
          <t>yfinance_download</t>
        </is>
      </c>
      <c r="AE164" s="29" t="inlineStr">
        <is>
          <t>317330.KQ</t>
        </is>
      </c>
    </row>
    <row r="165" ht="24" customHeight="1">
      <c r="A165" s="24" t="inlineStr">
        <is>
          <t>2024-02-06</t>
        </is>
      </c>
      <c r="B165" s="30" t="n">
        <v>19200</v>
      </c>
      <c r="C165" s="30" t="n">
        <v>21250</v>
      </c>
      <c r="D165" s="30" t="n">
        <v>18950</v>
      </c>
      <c r="E165" s="30" t="n">
        <v>20750</v>
      </c>
      <c r="F165" s="30" t="n">
        <v>20750</v>
      </c>
      <c r="G165" s="30" t="n">
        <v>1241692</v>
      </c>
      <c r="H165" s="35" t="n">
        <v>0.08072916666666674</v>
      </c>
      <c r="I165" s="35" t="n">
        <v>-0.4130127298444131</v>
      </c>
      <c r="J165" s="30" t="n">
        <v>19380</v>
      </c>
      <c r="K165" s="30" t="n">
        <v>18912.66666666667</v>
      </c>
      <c r="L165" s="30" t="n">
        <v>17468.91666666667</v>
      </c>
      <c r="M165" s="35" t="n">
        <v>0.6393374675209013</v>
      </c>
      <c r="N165" s="35" t="n">
        <v>0.6197440133720553</v>
      </c>
      <c r="O165" s="35" t="n">
        <v>0.07624481327800825</v>
      </c>
      <c r="P165" s="35" t="n">
        <v>0.1382336807460229</v>
      </c>
      <c r="Q165" s="35" t="n">
        <v>0.3326910725754657</v>
      </c>
      <c r="R165" s="35" t="n">
        <v>0.07069143446852433</v>
      </c>
      <c r="S165" s="35" t="n">
        <v>0.09714829567485639</v>
      </c>
      <c r="T165" s="35" t="n">
        <v>0.1878240875459745</v>
      </c>
      <c r="U165" s="30" t="n">
        <v>24600</v>
      </c>
      <c r="V165" s="30" t="n">
        <v>13990</v>
      </c>
      <c r="W165" s="35" t="n">
        <v>-0.1565040650406504</v>
      </c>
      <c r="X165" s="35" t="n">
        <v>0.4832022873481059</v>
      </c>
      <c r="Y165" s="30" t="n">
        <v>20476584</v>
      </c>
      <c r="Z165" s="30" t="n">
        <v>424889118000</v>
      </c>
      <c r="AA165" s="30" t="n">
        <v>25765109000</v>
      </c>
      <c r="AB165" s="30" t="n">
        <v>9288892225.5</v>
      </c>
      <c r="AC165" s="35" t="n">
        <v>0.06063960668439618</v>
      </c>
      <c r="AD165" s="24" t="inlineStr">
        <is>
          <t>yfinance_download</t>
        </is>
      </c>
      <c r="AE165" s="24" t="inlineStr">
        <is>
          <t>317330.KQ</t>
        </is>
      </c>
    </row>
    <row r="166" ht="24" customHeight="1">
      <c r="A166" s="29" t="inlineStr">
        <is>
          <t>2024-02-07</t>
        </is>
      </c>
      <c r="B166" s="31" t="n">
        <v>20750</v>
      </c>
      <c r="C166" s="31" t="n">
        <v>21250</v>
      </c>
      <c r="D166" s="31" t="n">
        <v>19870</v>
      </c>
      <c r="E166" s="31" t="n">
        <v>19990</v>
      </c>
      <c r="F166" s="31" t="n">
        <v>19990</v>
      </c>
      <c r="G166" s="31" t="n">
        <v>437264</v>
      </c>
      <c r="H166" s="36" t="n">
        <v>-0.03662650602409634</v>
      </c>
      <c r="I166" s="36" t="n">
        <v>-0.4345120226308345</v>
      </c>
      <c r="J166" s="31" t="n">
        <v>19414</v>
      </c>
      <c r="K166" s="31" t="n">
        <v>18955.16666666667</v>
      </c>
      <c r="L166" s="31" t="n">
        <v>17507.58333333333</v>
      </c>
      <c r="M166" s="36" t="n">
        <v>0.6557767469445176</v>
      </c>
      <c r="N166" s="36" t="n">
        <v>0.6177562786012576</v>
      </c>
      <c r="O166" s="36" t="n">
        <v>0.03521491455204551</v>
      </c>
      <c r="P166" s="36" t="n">
        <v>0.1462155963302751</v>
      </c>
      <c r="Q166" s="36" t="n">
        <v>0.3022801302931597</v>
      </c>
      <c r="R166" s="36" t="n">
        <v>0.02966931080663437</v>
      </c>
      <c r="S166" s="36" t="n">
        <v>0.05459373433804315</v>
      </c>
      <c r="T166" s="36" t="n">
        <v>0.1417909382124889</v>
      </c>
      <c r="U166" s="31" t="n">
        <v>24600</v>
      </c>
      <c r="V166" s="31" t="n">
        <v>13990</v>
      </c>
      <c r="W166" s="36" t="n">
        <v>-0.1873983739837398</v>
      </c>
      <c r="X166" s="36" t="n">
        <v>0.4288777698355968</v>
      </c>
      <c r="Y166" s="31" t="n">
        <v>20476584</v>
      </c>
      <c r="Z166" s="31" t="n">
        <v>409326914160</v>
      </c>
      <c r="AA166" s="31" t="n">
        <v>8740907360</v>
      </c>
      <c r="AB166" s="31" t="n">
        <v>9332333174</v>
      </c>
      <c r="AC166" s="36" t="n">
        <v>0.02135434308769471</v>
      </c>
      <c r="AD166" s="29" t="inlineStr">
        <is>
          <t>yfinance_download</t>
        </is>
      </c>
      <c r="AE166" s="29" t="inlineStr">
        <is>
          <t>317330.KQ</t>
        </is>
      </c>
    </row>
    <row r="167" ht="24" customHeight="1">
      <c r="A167" s="24" t="inlineStr">
        <is>
          <t>2024-02-08</t>
        </is>
      </c>
      <c r="B167" s="30" t="n">
        <v>20150</v>
      </c>
      <c r="C167" s="30" t="n">
        <v>21550</v>
      </c>
      <c r="D167" s="30" t="n">
        <v>19770</v>
      </c>
      <c r="E167" s="30" t="n">
        <v>20650</v>
      </c>
      <c r="F167" s="30" t="n">
        <v>20650</v>
      </c>
      <c r="G167" s="30" t="n">
        <v>455305</v>
      </c>
      <c r="H167" s="35" t="n">
        <v>0.03301650825412716</v>
      </c>
      <c r="I167" s="35" t="n">
        <v>-0.4158415841584159</v>
      </c>
      <c r="J167" s="30" t="n">
        <v>19482</v>
      </c>
      <c r="K167" s="30" t="n">
        <v>19012.66666666667</v>
      </c>
      <c r="L167" s="30" t="n">
        <v>17550.91666666667</v>
      </c>
      <c r="M167" s="35" t="n">
        <v>0.6644033269341136</v>
      </c>
      <c r="N167" s="35" t="n">
        <v>0.6197710538475067</v>
      </c>
      <c r="O167" s="35" t="n">
        <v>0.07050285121824773</v>
      </c>
      <c r="P167" s="35" t="n">
        <v>0.2005813953488371</v>
      </c>
      <c r="Q167" s="35" t="n">
        <v>0.3365695792880259</v>
      </c>
      <c r="R167" s="35" t="n">
        <v>0.05995277692228718</v>
      </c>
      <c r="S167" s="35" t="n">
        <v>0.08611802657877199</v>
      </c>
      <c r="T167" s="35" t="n">
        <v>0.1765767220135699</v>
      </c>
      <c r="U167" s="30" t="n">
        <v>24600</v>
      </c>
      <c r="V167" s="30" t="n">
        <v>13990</v>
      </c>
      <c r="W167" s="35" t="n">
        <v>-0.1605691056910569</v>
      </c>
      <c r="X167" s="35" t="n">
        <v>0.4760543245175126</v>
      </c>
      <c r="Y167" s="30" t="n">
        <v>20476584</v>
      </c>
      <c r="Z167" s="30" t="n">
        <v>422841459600</v>
      </c>
      <c r="AA167" s="30" t="n">
        <v>9402048250</v>
      </c>
      <c r="AB167" s="30" t="n">
        <v>9693707501.5</v>
      </c>
      <c r="AC167" s="35" t="n">
        <v>0.02223539824806716</v>
      </c>
      <c r="AD167" s="24" t="inlineStr">
        <is>
          <t>yfinance_download</t>
        </is>
      </c>
      <c r="AE167" s="24" t="inlineStr">
        <is>
          <t>317330.KQ</t>
        </is>
      </c>
    </row>
    <row r="168" ht="24" customHeight="1">
      <c r="A168" s="29" t="inlineStr">
        <is>
          <t>2024-02-13</t>
        </is>
      </c>
      <c r="B168" s="31" t="n">
        <v>21000</v>
      </c>
      <c r="C168" s="31" t="n">
        <v>21500</v>
      </c>
      <c r="D168" s="31" t="n">
        <v>20600</v>
      </c>
      <c r="E168" s="31" t="n">
        <v>20900</v>
      </c>
      <c r="F168" s="31" t="n">
        <v>20900</v>
      </c>
      <c r="G168" s="31" t="n">
        <v>283895</v>
      </c>
      <c r="H168" s="36" t="n">
        <v>0.01210653753026625</v>
      </c>
      <c r="I168" s="36" t="n">
        <v>-0.4087694483734088</v>
      </c>
      <c r="J168" s="31" t="n">
        <v>19588.5</v>
      </c>
      <c r="K168" s="31" t="n">
        <v>19062.16666666667</v>
      </c>
      <c r="L168" s="31" t="n">
        <v>17598.66666666667</v>
      </c>
      <c r="M168" s="36" t="n">
        <v>0.6544759947892904</v>
      </c>
      <c r="N168" s="36" t="n">
        <v>0.6147860301266621</v>
      </c>
      <c r="O168" s="36" t="n">
        <v>0.1134789557805007</v>
      </c>
      <c r="P168" s="36" t="n">
        <v>0.165644171779141</v>
      </c>
      <c r="Q168" s="36" t="n">
        <v>0.3777191825972315</v>
      </c>
      <c r="R168" s="36" t="n">
        <v>0.06695254868928191</v>
      </c>
      <c r="S168" s="36" t="n">
        <v>0.09641261486539654</v>
      </c>
      <c r="T168" s="36" t="n">
        <v>0.1875899689370406</v>
      </c>
      <c r="U168" s="31" t="n">
        <v>24600</v>
      </c>
      <c r="V168" s="31" t="n">
        <v>13990</v>
      </c>
      <c r="W168" s="36" t="n">
        <v>-0.1504065040650406</v>
      </c>
      <c r="X168" s="36" t="n">
        <v>0.4939242315939958</v>
      </c>
      <c r="Y168" s="31" t="n">
        <v>20476584</v>
      </c>
      <c r="Z168" s="31" t="n">
        <v>427960605600</v>
      </c>
      <c r="AA168" s="31" t="n">
        <v>5933405500</v>
      </c>
      <c r="AB168" s="31" t="n">
        <v>9904358620.5</v>
      </c>
      <c r="AC168" s="36" t="n">
        <v>0.01386437308097874</v>
      </c>
      <c r="AD168" s="29" t="inlineStr">
        <is>
          <t>yfinance_download</t>
        </is>
      </c>
      <c r="AE168" s="29" t="inlineStr">
        <is>
          <t>317330.KQ</t>
        </is>
      </c>
    </row>
    <row r="169" ht="24" customHeight="1">
      <c r="A169" s="24" t="inlineStr">
        <is>
          <t>2024-02-14</t>
        </is>
      </c>
      <c r="B169" s="30" t="n">
        <v>21550</v>
      </c>
      <c r="C169" s="30" t="n">
        <v>24000</v>
      </c>
      <c r="D169" s="30" t="n">
        <v>21450</v>
      </c>
      <c r="E169" s="30" t="n">
        <v>23850</v>
      </c>
      <c r="F169" s="30" t="n">
        <v>23850</v>
      </c>
      <c r="G169" s="30" t="n">
        <v>2170851</v>
      </c>
      <c r="H169" s="35" t="n">
        <v>0.1411483253588517</v>
      </c>
      <c r="I169" s="35" t="n">
        <v>-0.3253182461103253</v>
      </c>
      <c r="J169" s="30" t="n">
        <v>19783.5</v>
      </c>
      <c r="K169" s="30" t="n">
        <v>19155.33333333333</v>
      </c>
      <c r="L169" s="30" t="n">
        <v>17675.41666666667</v>
      </c>
      <c r="M169" s="35" t="n">
        <v>0.7894615522453512</v>
      </c>
      <c r="N169" s="35" t="n">
        <v>0.6760960813444794</v>
      </c>
      <c r="O169" s="35" t="n">
        <v>0.1954887218045114</v>
      </c>
      <c r="P169" s="35" t="n">
        <v>0.3061336254107339</v>
      </c>
      <c r="Q169" s="35" t="n">
        <v>0.6290983606557377</v>
      </c>
      <c r="R169" s="35" t="n">
        <v>0.2055500796117977</v>
      </c>
      <c r="S169" s="35" t="n">
        <v>0.2450840496989526</v>
      </c>
      <c r="T169" s="35" t="n">
        <v>0.3493316989227033</v>
      </c>
      <c r="U169" s="30" t="n">
        <v>24600</v>
      </c>
      <c r="V169" s="30" t="n">
        <v>13990</v>
      </c>
      <c r="W169" s="35" t="n">
        <v>-0.03048780487804881</v>
      </c>
      <c r="X169" s="35" t="n">
        <v>0.7047891350964974</v>
      </c>
      <c r="Y169" s="30" t="n">
        <v>20476584</v>
      </c>
      <c r="Z169" s="30" t="n">
        <v>488366528400</v>
      </c>
      <c r="AA169" s="30" t="n">
        <v>51774796350</v>
      </c>
      <c r="AB169" s="30" t="n">
        <v>12144806350.5</v>
      </c>
      <c r="AC169" s="35" t="n">
        <v>0.1060162671664375</v>
      </c>
      <c r="AD169" s="24" t="inlineStr">
        <is>
          <t>yfinance_download</t>
        </is>
      </c>
      <c r="AE169" s="24" t="inlineStr">
        <is>
          <t>317330.KQ</t>
        </is>
      </c>
    </row>
    <row r="170" ht="24" customHeight="1">
      <c r="A170" s="29" t="inlineStr">
        <is>
          <t>2024-02-15</t>
        </is>
      </c>
      <c r="B170" s="31" t="n">
        <v>24050</v>
      </c>
      <c r="C170" s="31" t="n">
        <v>24950</v>
      </c>
      <c r="D170" s="31" t="n">
        <v>23300</v>
      </c>
      <c r="E170" s="31" t="n">
        <v>24950</v>
      </c>
      <c r="F170" s="31" t="n">
        <v>24950</v>
      </c>
      <c r="G170" s="31" t="n">
        <v>856820</v>
      </c>
      <c r="H170" s="36" t="n">
        <v>0.04612159329140453</v>
      </c>
      <c r="I170" s="36" t="n">
        <v>-0.2942008486562943</v>
      </c>
      <c r="J170" s="31" t="n">
        <v>20026</v>
      </c>
      <c r="K170" s="31" t="n">
        <v>19257.83333333333</v>
      </c>
      <c r="L170" s="31" t="n">
        <v>17759.16666666667</v>
      </c>
      <c r="M170" s="36" t="n">
        <v>0.7996134857089512</v>
      </c>
      <c r="N170" s="36" t="n">
        <v>0.6794740298875844</v>
      </c>
      <c r="O170" s="36" t="n">
        <v>0.2412935323383085</v>
      </c>
      <c r="P170" s="36" t="n">
        <v>0.3271276595744681</v>
      </c>
      <c r="Q170" s="36" t="n">
        <v>0.674496644295302</v>
      </c>
      <c r="R170" s="36" t="n">
        <v>0.2458803555378009</v>
      </c>
      <c r="S170" s="36" t="n">
        <v>0.2955766917358305</v>
      </c>
      <c r="T170" s="36" t="n">
        <v>0.404908263338182</v>
      </c>
      <c r="U170" s="31" t="n">
        <v>24950</v>
      </c>
      <c r="V170" s="31" t="n">
        <v>13990</v>
      </c>
      <c r="W170" s="36" t="n">
        <v>0</v>
      </c>
      <c r="X170" s="36" t="n">
        <v>0.7834167262330236</v>
      </c>
      <c r="Y170" s="31" t="n">
        <v>20476584</v>
      </c>
      <c r="Z170" s="31" t="n">
        <v>510890770800</v>
      </c>
      <c r="AA170" s="31" t="n">
        <v>21377659000</v>
      </c>
      <c r="AB170" s="31" t="n">
        <v>12958303725.5</v>
      </c>
      <c r="AC170" s="36" t="n">
        <v>0.0418438934931725</v>
      </c>
      <c r="AD170" s="29" t="inlineStr">
        <is>
          <t>yfinance_download</t>
        </is>
      </c>
      <c r="AE170" s="29" t="inlineStr">
        <is>
          <t>317330.KQ</t>
        </is>
      </c>
    </row>
    <row r="171" ht="24" customHeight="1">
      <c r="A171" s="24" t="inlineStr">
        <is>
          <t>2024-02-16</t>
        </is>
      </c>
      <c r="B171" s="30" t="n">
        <v>26050</v>
      </c>
      <c r="C171" s="30" t="n">
        <v>28600</v>
      </c>
      <c r="D171" s="30" t="n">
        <v>25250</v>
      </c>
      <c r="E171" s="30" t="n">
        <v>26400</v>
      </c>
      <c r="F171" s="30" t="n">
        <v>26400</v>
      </c>
      <c r="G171" s="30" t="n">
        <v>1749198</v>
      </c>
      <c r="H171" s="35" t="n">
        <v>0.05811623246492981</v>
      </c>
      <c r="I171" s="35" t="n">
        <v>-0.2531824611032532</v>
      </c>
      <c r="J171" s="30" t="n">
        <v>20377</v>
      </c>
      <c r="K171" s="30" t="n">
        <v>19399.16666666667</v>
      </c>
      <c r="L171" s="30" t="n">
        <v>17852.83333333333</v>
      </c>
      <c r="M171" s="35" t="n">
        <v>0.7945619843826079</v>
      </c>
      <c r="N171" s="35" t="n">
        <v>0.678936851833419</v>
      </c>
      <c r="O171" s="35" t="n">
        <v>0.3622291021671826</v>
      </c>
      <c r="P171" s="35" t="n">
        <v>0.4732142857142858</v>
      </c>
      <c r="Q171" s="35" t="n">
        <v>0.7414248021108178</v>
      </c>
      <c r="R171" s="35" t="n">
        <v>0.2955783481376062</v>
      </c>
      <c r="S171" s="35" t="n">
        <v>0.360883199450148</v>
      </c>
      <c r="T171" s="35" t="n">
        <v>0.4787568733254293</v>
      </c>
      <c r="U171" s="30" t="n">
        <v>26400</v>
      </c>
      <c r="V171" s="30" t="n">
        <v>13990</v>
      </c>
      <c r="W171" s="35" t="n">
        <v>0</v>
      </c>
      <c r="X171" s="35" t="n">
        <v>0.8870621872766262</v>
      </c>
      <c r="Y171" s="30" t="n">
        <v>20476584</v>
      </c>
      <c r="Z171" s="30" t="n">
        <v>540581817600</v>
      </c>
      <c r="AA171" s="30" t="n">
        <v>46178827200</v>
      </c>
      <c r="AB171" s="30" t="n">
        <v>15086891898.5</v>
      </c>
      <c r="AC171" s="35" t="n">
        <v>0.08542430710122352</v>
      </c>
      <c r="AD171" s="24" t="inlineStr">
        <is>
          <t>yfinance_download</t>
        </is>
      </c>
      <c r="AE171" s="24" t="inlineStr">
        <is>
          <t>317330.KQ</t>
        </is>
      </c>
    </row>
    <row r="172" ht="24" customHeight="1">
      <c r="A172" s="29" t="inlineStr">
        <is>
          <t>2024-02-19</t>
        </is>
      </c>
      <c r="B172" s="31" t="n">
        <v>25700</v>
      </c>
      <c r="C172" s="31" t="n">
        <v>26900</v>
      </c>
      <c r="D172" s="31" t="n">
        <v>25050</v>
      </c>
      <c r="E172" s="31" t="n">
        <v>25300</v>
      </c>
      <c r="F172" s="31" t="n">
        <v>25300</v>
      </c>
      <c r="G172" s="31" t="n">
        <v>714717</v>
      </c>
      <c r="H172" s="36" t="n">
        <v>-0.04166666666666663</v>
      </c>
      <c r="I172" s="36" t="n">
        <v>-0.2842998585572843</v>
      </c>
      <c r="J172" s="31" t="n">
        <v>20644</v>
      </c>
      <c r="K172" s="31" t="n">
        <v>19518.16666666667</v>
      </c>
      <c r="L172" s="31" t="n">
        <v>17938.41666666667</v>
      </c>
      <c r="M172" s="36" t="n">
        <v>0.8190512663566992</v>
      </c>
      <c r="N172" s="36" t="n">
        <v>0.6861792623420293</v>
      </c>
      <c r="O172" s="36" t="n">
        <v>0.2675350701402806</v>
      </c>
      <c r="P172" s="36" t="n">
        <v>0.3931718061674008</v>
      </c>
      <c r="Q172" s="36" t="n">
        <v>0.6833000665335995</v>
      </c>
      <c r="R172" s="36" t="n">
        <v>0.2255376864948653</v>
      </c>
      <c r="S172" s="36" t="n">
        <v>0.2962283001306474</v>
      </c>
      <c r="T172" s="36" t="n">
        <v>0.4103808864587639</v>
      </c>
      <c r="U172" s="31" t="n">
        <v>26400</v>
      </c>
      <c r="V172" s="31" t="n">
        <v>13990</v>
      </c>
      <c r="W172" s="36" t="n">
        <v>-0.04166666666666663</v>
      </c>
      <c r="X172" s="36" t="n">
        <v>0.8084345961401</v>
      </c>
      <c r="Y172" s="31" t="n">
        <v>20476584</v>
      </c>
      <c r="Z172" s="31" t="n">
        <v>518057575200</v>
      </c>
      <c r="AA172" s="31" t="n">
        <v>18082340100</v>
      </c>
      <c r="AB172" s="31" t="n">
        <v>15836262017.5</v>
      </c>
      <c r="AC172" s="36" t="n">
        <v>0.03490411291258347</v>
      </c>
      <c r="AD172" s="29" t="inlineStr">
        <is>
          <t>yfinance_download</t>
        </is>
      </c>
      <c r="AE172" s="29" t="inlineStr">
        <is>
          <t>317330.KQ</t>
        </is>
      </c>
    </row>
    <row r="173" ht="24" customHeight="1">
      <c r="A173" s="24" t="inlineStr">
        <is>
          <t>2024-02-20</t>
        </is>
      </c>
      <c r="B173" s="30" t="n">
        <v>26250</v>
      </c>
      <c r="C173" s="30" t="n">
        <v>31900</v>
      </c>
      <c r="D173" s="30" t="n">
        <v>26200</v>
      </c>
      <c r="E173" s="30" t="n">
        <v>31450</v>
      </c>
      <c r="F173" s="30" t="n">
        <v>31450</v>
      </c>
      <c r="G173" s="30" t="n">
        <v>4693755</v>
      </c>
      <c r="H173" s="35" t="n">
        <v>0.2430830039525691</v>
      </c>
      <c r="I173" s="35" t="n">
        <v>-0.1103253182461104</v>
      </c>
      <c r="J173" s="30" t="n">
        <v>21136.5</v>
      </c>
      <c r="K173" s="30" t="n">
        <v>19743.5</v>
      </c>
      <c r="L173" s="30" t="n">
        <v>18077.08333333333</v>
      </c>
      <c r="M173" s="35" t="n">
        <v>1.136538921605489</v>
      </c>
      <c r="N173" s="35" t="n">
        <v>0.8389555045094776</v>
      </c>
      <c r="O173" s="35" t="n">
        <v>0.4560185185185186</v>
      </c>
      <c r="P173" s="35" t="n">
        <v>0.7540435025097603</v>
      </c>
      <c r="Q173" s="35" t="n">
        <v>1.12356515867657</v>
      </c>
      <c r="R173" s="35" t="n">
        <v>0.4879473895867339</v>
      </c>
      <c r="S173" s="35" t="n">
        <v>0.5929293185098894</v>
      </c>
      <c r="T173" s="35" t="n">
        <v>0.7397718105335946</v>
      </c>
      <c r="U173" s="30" t="n">
        <v>31450</v>
      </c>
      <c r="V173" s="30" t="n">
        <v>13990</v>
      </c>
      <c r="W173" s="35" t="n">
        <v>0</v>
      </c>
      <c r="X173" s="35" t="n">
        <v>1.248034310221587</v>
      </c>
      <c r="Y173" s="30" t="n">
        <v>20476584</v>
      </c>
      <c r="Z173" s="30" t="n">
        <v>643988566800</v>
      </c>
      <c r="AA173" s="30" t="n">
        <v>147618594750</v>
      </c>
      <c r="AB173" s="30" t="n">
        <v>19926045115</v>
      </c>
      <c r="AC173" s="35" t="n">
        <v>0.2292254899547698</v>
      </c>
      <c r="AD173" s="24" t="inlineStr">
        <is>
          <t>yfinance_download</t>
        </is>
      </c>
      <c r="AE173" s="24" t="inlineStr">
        <is>
          <t>317330.KQ</t>
        </is>
      </c>
    </row>
    <row r="174" ht="24" customHeight="1">
      <c r="A174" s="29" t="inlineStr">
        <is>
          <t>2024-02-21</t>
        </is>
      </c>
      <c r="B174" s="31" t="n">
        <v>31000</v>
      </c>
      <c r="C174" s="31" t="n">
        <v>32700</v>
      </c>
      <c r="D174" s="31" t="n">
        <v>28750</v>
      </c>
      <c r="E174" s="31" t="n">
        <v>29750</v>
      </c>
      <c r="F174" s="31" t="n">
        <v>29750</v>
      </c>
      <c r="G174" s="31" t="n">
        <v>1935486</v>
      </c>
      <c r="H174" s="36" t="n">
        <v>-0.05405405405405406</v>
      </c>
      <c r="I174" s="36" t="n">
        <v>-0.1584158415841584</v>
      </c>
      <c r="J174" s="31" t="n">
        <v>21614</v>
      </c>
      <c r="K174" s="31" t="n">
        <v>19946.83333333333</v>
      </c>
      <c r="L174" s="31" t="n">
        <v>18202.91666666667</v>
      </c>
      <c r="M174" s="36" t="n">
        <v>1.126334344006075</v>
      </c>
      <c r="N174" s="36" t="n">
        <v>0.8469537704531308</v>
      </c>
      <c r="O174" s="36" t="n">
        <v>0.4727722772277227</v>
      </c>
      <c r="P174" s="36" t="n">
        <v>0.6951566951566952</v>
      </c>
      <c r="Q174" s="36" t="n">
        <v>1.030716723549488</v>
      </c>
      <c r="R174" s="36" t="n">
        <v>0.3764226889978717</v>
      </c>
      <c r="S174" s="36" t="n">
        <v>0.4914648106215691</v>
      </c>
      <c r="T174" s="36" t="n">
        <v>0.6343534689953532</v>
      </c>
      <c r="U174" s="31" t="n">
        <v>31450</v>
      </c>
      <c r="V174" s="31" t="n">
        <v>13990</v>
      </c>
      <c r="W174" s="36" t="n">
        <v>-0.05405405405405406</v>
      </c>
      <c r="X174" s="36" t="n">
        <v>1.126518942101501</v>
      </c>
      <c r="Y174" s="31" t="n">
        <v>20476584</v>
      </c>
      <c r="Z174" s="31" t="n">
        <v>609178374000</v>
      </c>
      <c r="AA174" s="31" t="n">
        <v>57580708500</v>
      </c>
      <c r="AB174" s="31" t="n">
        <v>22077420990</v>
      </c>
      <c r="AC174" s="36" t="n">
        <v>0.09452191830434217</v>
      </c>
      <c r="AD174" s="29" t="inlineStr">
        <is>
          <t>yfinance_download</t>
        </is>
      </c>
      <c r="AE174" s="29" t="inlineStr">
        <is>
          <t>317330.KQ</t>
        </is>
      </c>
    </row>
    <row r="175" ht="24" customHeight="1">
      <c r="A175" s="24" t="inlineStr">
        <is>
          <t>2024-02-22</t>
        </is>
      </c>
      <c r="B175" s="30" t="n">
        <v>29750</v>
      </c>
      <c r="C175" s="30" t="n">
        <v>29800</v>
      </c>
      <c r="D175" s="30" t="n">
        <v>25800</v>
      </c>
      <c r="E175" s="30" t="n">
        <v>26050</v>
      </c>
      <c r="F175" s="30" t="n">
        <v>26050</v>
      </c>
      <c r="G175" s="30" t="n">
        <v>2162742</v>
      </c>
      <c r="H175" s="35" t="n">
        <v>-0.1243697478991597</v>
      </c>
      <c r="I175" s="35" t="n">
        <v>-0.2630834512022631</v>
      </c>
      <c r="J175" s="30" t="n">
        <v>21941.5</v>
      </c>
      <c r="K175" s="30" t="n">
        <v>20093.5</v>
      </c>
      <c r="L175" s="30" t="n">
        <v>18295.41666666667</v>
      </c>
      <c r="M175" s="35" t="n">
        <v>1.226472761256551</v>
      </c>
      <c r="N175" s="35" t="n">
        <v>0.8891687901097589</v>
      </c>
      <c r="O175" s="35" t="n">
        <v>0.3358974358974358</v>
      </c>
      <c r="P175" s="35" t="n">
        <v>0.510144927536232</v>
      </c>
      <c r="Q175" s="35" t="n">
        <v>0.7424749163879598</v>
      </c>
      <c r="R175" s="35" t="n">
        <v>0.1872479092131349</v>
      </c>
      <c r="S175" s="35" t="n">
        <v>0.2964391469878318</v>
      </c>
      <c r="T175" s="35" t="n">
        <v>0.4238538796146576</v>
      </c>
      <c r="U175" s="30" t="n">
        <v>31450</v>
      </c>
      <c r="V175" s="30" t="n">
        <v>13990</v>
      </c>
      <c r="W175" s="35" t="n">
        <v>-0.1717011128775835</v>
      </c>
      <c r="X175" s="35" t="n">
        <v>0.8620443173695498</v>
      </c>
      <c r="Y175" s="30" t="n">
        <v>20476584</v>
      </c>
      <c r="Z175" s="30" t="n">
        <v>533415013200</v>
      </c>
      <c r="AA175" s="30" t="n">
        <v>56339429100</v>
      </c>
      <c r="AB175" s="30" t="n">
        <v>24440237445</v>
      </c>
      <c r="AC175" s="35" t="n">
        <v>0.1056202538470284</v>
      </c>
      <c r="AD175" s="24" t="inlineStr">
        <is>
          <t>yfinance_download</t>
        </is>
      </c>
      <c r="AE175" s="24" t="inlineStr">
        <is>
          <t>317330.KQ</t>
        </is>
      </c>
    </row>
    <row r="176" ht="24" customHeight="1">
      <c r="A176" s="29" t="inlineStr">
        <is>
          <t>2024-02-23</t>
        </is>
      </c>
      <c r="B176" s="31" t="n">
        <v>27000</v>
      </c>
      <c r="C176" s="31" t="n">
        <v>30500</v>
      </c>
      <c r="D176" s="31" t="n">
        <v>26500</v>
      </c>
      <c r="E176" s="31" t="n">
        <v>28200</v>
      </c>
      <c r="F176" s="31" t="n">
        <v>28200</v>
      </c>
      <c r="G176" s="31" t="n">
        <v>3460822</v>
      </c>
      <c r="H176" s="36" t="n">
        <v>0.08253358925143961</v>
      </c>
      <c r="I176" s="36" t="n">
        <v>-0.2022630834512023</v>
      </c>
      <c r="J176" s="31" t="n">
        <v>22398</v>
      </c>
      <c r="K176" s="31" t="n">
        <v>20277.16666666667</v>
      </c>
      <c r="L176" s="31" t="n">
        <v>18407.83333333333</v>
      </c>
      <c r="M176" s="36" t="n">
        <v>1.238157000437622</v>
      </c>
      <c r="N176" s="36" t="n">
        <v>0.9016284409310914</v>
      </c>
      <c r="O176" s="36" t="n">
        <v>0.4787624541164133</v>
      </c>
      <c r="P176" s="36" t="n">
        <v>0.6414435389988358</v>
      </c>
      <c r="Q176" s="36" t="n">
        <v>0.9170632222977566</v>
      </c>
      <c r="R176" s="36" t="n">
        <v>0.2590409858023037</v>
      </c>
      <c r="S176" s="36" t="n">
        <v>0.3907268438226905</v>
      </c>
      <c r="T176" s="36" t="n">
        <v>0.5319565040245549</v>
      </c>
      <c r="U176" s="31" t="n">
        <v>31450</v>
      </c>
      <c r="V176" s="31" t="n">
        <v>13990</v>
      </c>
      <c r="W176" s="36" t="n">
        <v>-0.1033386327503975</v>
      </c>
      <c r="X176" s="36" t="n">
        <v>1.015725518227305</v>
      </c>
      <c r="Y176" s="31" t="n">
        <v>20476584</v>
      </c>
      <c r="Z176" s="31" t="n">
        <v>577439668800</v>
      </c>
      <c r="AA176" s="31" t="n">
        <v>97595180400</v>
      </c>
      <c r="AB176" s="31" t="n">
        <v>29000347032</v>
      </c>
      <c r="AC176" s="36" t="n">
        <v>0.169013640165762</v>
      </c>
      <c r="AD176" s="29" t="inlineStr">
        <is>
          <t>yfinance_download</t>
        </is>
      </c>
      <c r="AE176" s="29" t="inlineStr">
        <is>
          <t>317330.KQ</t>
        </is>
      </c>
    </row>
    <row r="177" ht="24" customHeight="1">
      <c r="A177" s="24" t="inlineStr">
        <is>
          <t>2024-02-26</t>
        </is>
      </c>
      <c r="B177" s="30" t="n">
        <v>27700</v>
      </c>
      <c r="C177" s="30" t="n">
        <v>29500</v>
      </c>
      <c r="D177" s="30" t="n">
        <v>26850</v>
      </c>
      <c r="E177" s="30" t="n">
        <v>28250</v>
      </c>
      <c r="F177" s="30" t="n">
        <v>28250</v>
      </c>
      <c r="G177" s="30" t="n">
        <v>810361</v>
      </c>
      <c r="H177" s="35" t="n">
        <v>0.001773049645390046</v>
      </c>
      <c r="I177" s="35" t="n">
        <v>-0.2008486562942009</v>
      </c>
      <c r="J177" s="30" t="n">
        <v>22897.5</v>
      </c>
      <c r="K177" s="30" t="n">
        <v>20467.5</v>
      </c>
      <c r="L177" s="30" t="n">
        <v>18519.58333333333</v>
      </c>
      <c r="M177" s="35" t="n">
        <v>1.217155323885426</v>
      </c>
      <c r="N177" s="35" t="n">
        <v>0.8996036444148381</v>
      </c>
      <c r="O177" s="35" t="n">
        <v>0.5470974808324205</v>
      </c>
      <c r="P177" s="35" t="n">
        <v>0.6785502079619727</v>
      </c>
      <c r="Q177" s="35" t="n">
        <v>0.9036388140161724</v>
      </c>
      <c r="R177" s="35" t="n">
        <v>0.2337591440113549</v>
      </c>
      <c r="S177" s="35" t="n">
        <v>0.3802369610357885</v>
      </c>
      <c r="T177" s="35" t="n">
        <v>0.5254122887933945</v>
      </c>
      <c r="U177" s="30" t="n">
        <v>31450</v>
      </c>
      <c r="V177" s="30" t="n">
        <v>13990</v>
      </c>
      <c r="W177" s="35" t="n">
        <v>-0.1017488076311606</v>
      </c>
      <c r="X177" s="35" t="n">
        <v>1.019299499642602</v>
      </c>
      <c r="Y177" s="30" t="n">
        <v>20476584</v>
      </c>
      <c r="Z177" s="30" t="n">
        <v>578463498000</v>
      </c>
      <c r="AA177" s="30" t="n">
        <v>22892698250</v>
      </c>
      <c r="AB177" s="30" t="n">
        <v>29831964459.5</v>
      </c>
      <c r="AC177" s="35" t="n">
        <v>0.03957500919098615</v>
      </c>
      <c r="AD177" s="24" t="inlineStr">
        <is>
          <t>yfinance_download</t>
        </is>
      </c>
      <c r="AE177" s="24" t="inlineStr">
        <is>
          <t>317330.KQ</t>
        </is>
      </c>
    </row>
    <row r="178" ht="24" customHeight="1">
      <c r="A178" s="29" t="inlineStr">
        <is>
          <t>2024-02-27</t>
        </is>
      </c>
      <c r="B178" s="31" t="n">
        <v>28600</v>
      </c>
      <c r="C178" s="31" t="n">
        <v>30250</v>
      </c>
      <c r="D178" s="31" t="n">
        <v>27450</v>
      </c>
      <c r="E178" s="31" t="n">
        <v>27900</v>
      </c>
      <c r="F178" s="31" t="n">
        <v>27900</v>
      </c>
      <c r="G178" s="31" t="n">
        <v>982036</v>
      </c>
      <c r="H178" s="36" t="n">
        <v>-0.01238938053097349</v>
      </c>
      <c r="I178" s="36" t="n">
        <v>-0.2107496463932107</v>
      </c>
      <c r="J178" s="31" t="n">
        <v>23360.5</v>
      </c>
      <c r="K178" s="31" t="n">
        <v>20651.83333333333</v>
      </c>
      <c r="L178" s="31" t="n">
        <v>18627</v>
      </c>
      <c r="M178" s="36" t="n">
        <v>1.224242614491629</v>
      </c>
      <c r="N178" s="36" t="n">
        <v>0.9005865307570093</v>
      </c>
      <c r="O178" s="36" t="n">
        <v>0.4967811158798283</v>
      </c>
      <c r="P178" s="36" t="n">
        <v>0.656769596199525</v>
      </c>
      <c r="Q178" s="36" t="n">
        <v>0.8587608261159227</v>
      </c>
      <c r="R178" s="36" t="n">
        <v>0.1943237516320284</v>
      </c>
      <c r="S178" s="36" t="n">
        <v>0.3509696475696267</v>
      </c>
      <c r="T178" s="36" t="n">
        <v>0.4978257368336285</v>
      </c>
      <c r="U178" s="31" t="n">
        <v>31450</v>
      </c>
      <c r="V178" s="31" t="n">
        <v>13990</v>
      </c>
      <c r="W178" s="36" t="n">
        <v>-0.1128775834658188</v>
      </c>
      <c r="X178" s="36" t="n">
        <v>0.9942816297355255</v>
      </c>
      <c r="Y178" s="31" t="n">
        <v>20476584</v>
      </c>
      <c r="Z178" s="31" t="n">
        <v>571296693600</v>
      </c>
      <c r="AA178" s="31" t="n">
        <v>27398804400</v>
      </c>
      <c r="AB178" s="31" t="n">
        <v>31005816539.5</v>
      </c>
      <c r="AC178" s="36" t="n">
        <v>0.04795897596981997</v>
      </c>
      <c r="AD178" s="29" t="inlineStr">
        <is>
          <t>yfinance_download</t>
        </is>
      </c>
      <c r="AE178" s="29" t="inlineStr">
        <is>
          <t>317330.KQ</t>
        </is>
      </c>
    </row>
    <row r="179" ht="24" customHeight="1">
      <c r="A179" s="24" t="inlineStr">
        <is>
          <t>2024-02-28</t>
        </is>
      </c>
      <c r="B179" s="30" t="n">
        <v>27450</v>
      </c>
      <c r="C179" s="30" t="n">
        <v>27750</v>
      </c>
      <c r="D179" s="30" t="n">
        <v>26350</v>
      </c>
      <c r="E179" s="30" t="n">
        <v>26850</v>
      </c>
      <c r="F179" s="30" t="n">
        <v>26850</v>
      </c>
      <c r="G179" s="30" t="n">
        <v>659472</v>
      </c>
      <c r="H179" s="35" t="n">
        <v>-0.0376344086021505</v>
      </c>
      <c r="I179" s="35" t="n">
        <v>-0.2404526166902404</v>
      </c>
      <c r="J179" s="30" t="n">
        <v>23749.5</v>
      </c>
      <c r="K179" s="30" t="n">
        <v>20825.66666666667</v>
      </c>
      <c r="L179" s="30" t="n">
        <v>18724.16666666667</v>
      </c>
      <c r="M179" s="35" t="n">
        <v>1.243034082945483</v>
      </c>
      <c r="N179" s="35" t="n">
        <v>0.9030592159278564</v>
      </c>
      <c r="O179" s="35" t="n">
        <v>0.4079706345044574</v>
      </c>
      <c r="P179" s="35" t="n">
        <v>0.6352009744214373</v>
      </c>
      <c r="Q179" s="35" t="n">
        <v>0.7676102699144174</v>
      </c>
      <c r="R179" s="35" t="n">
        <v>0.1305501168445651</v>
      </c>
      <c r="S179" s="35" t="n">
        <v>0.2892744529987035</v>
      </c>
      <c r="T179" s="35" t="n">
        <v>0.4339756998531308</v>
      </c>
      <c r="U179" s="30" t="n">
        <v>31450</v>
      </c>
      <c r="V179" s="30" t="n">
        <v>13990</v>
      </c>
      <c r="W179" s="35" t="n">
        <v>-0.1462639109697933</v>
      </c>
      <c r="X179" s="35" t="n">
        <v>0.9192280200142959</v>
      </c>
      <c r="Y179" s="30" t="n">
        <v>20476584</v>
      </c>
      <c r="Z179" s="30" t="n">
        <v>549796280400</v>
      </c>
      <c r="AA179" s="30" t="n">
        <v>17706823200</v>
      </c>
      <c r="AB179" s="30" t="n">
        <v>31569647988</v>
      </c>
      <c r="AC179" s="35" t="n">
        <v>0.03220615313569881</v>
      </c>
      <c r="AD179" s="24" t="inlineStr">
        <is>
          <t>yfinance_download</t>
        </is>
      </c>
      <c r="AE179" s="24" t="inlineStr">
        <is>
          <t>317330.KQ</t>
        </is>
      </c>
    </row>
    <row r="180" ht="24" customHeight="1">
      <c r="A180" s="29" t="inlineStr">
        <is>
          <t>2024-02-29</t>
        </is>
      </c>
      <c r="B180" s="31" t="n">
        <v>27750</v>
      </c>
      <c r="C180" s="31" t="n">
        <v>31750</v>
      </c>
      <c r="D180" s="31" t="n">
        <v>27750</v>
      </c>
      <c r="E180" s="31" t="n">
        <v>29750</v>
      </c>
      <c r="F180" s="31" t="n">
        <v>29750</v>
      </c>
      <c r="G180" s="31" t="n">
        <v>3491664</v>
      </c>
      <c r="H180" s="36" t="n">
        <v>0.1080074487895717</v>
      </c>
      <c r="I180" s="36" t="n">
        <v>-0.1584158415841584</v>
      </c>
      <c r="J180" s="31" t="n">
        <v>24310</v>
      </c>
      <c r="K180" s="31" t="n">
        <v>21042</v>
      </c>
      <c r="L180" s="31" t="n">
        <v>18846.33333333333</v>
      </c>
      <c r="M180" s="36" t="n">
        <v>1.267029089049863</v>
      </c>
      <c r="N180" s="36" t="n">
        <v>0.9250169488431523</v>
      </c>
      <c r="O180" s="36" t="n">
        <v>0.6046386192017259</v>
      </c>
      <c r="P180" s="36" t="n">
        <v>0.7740011926058439</v>
      </c>
      <c r="Q180" s="36" t="n">
        <v>0.9715043074884029</v>
      </c>
      <c r="R180" s="36" t="n">
        <v>0.2237762237762237</v>
      </c>
      <c r="S180" s="36" t="n">
        <v>0.4138389886892881</v>
      </c>
      <c r="T180" s="36" t="n">
        <v>0.5785563947010028</v>
      </c>
      <c r="U180" s="31" t="n">
        <v>31450</v>
      </c>
      <c r="V180" s="31" t="n">
        <v>13990</v>
      </c>
      <c r="W180" s="36" t="n">
        <v>-0.05405405405405406</v>
      </c>
      <c r="X180" s="36" t="n">
        <v>1.126518942101501</v>
      </c>
      <c r="Y180" s="31" t="n">
        <v>20476584</v>
      </c>
      <c r="Z180" s="31" t="n">
        <v>609178374000</v>
      </c>
      <c r="AA180" s="31" t="n">
        <v>103877004000</v>
      </c>
      <c r="AB180" s="31" t="n">
        <v>36640495485</v>
      </c>
      <c r="AC180" s="36" t="n">
        <v>0.1705198484278432</v>
      </c>
      <c r="AD180" s="29" t="inlineStr">
        <is>
          <t>yfinance_download</t>
        </is>
      </c>
      <c r="AE180" s="29" t="inlineStr">
        <is>
          <t>317330.KQ</t>
        </is>
      </c>
    </row>
    <row r="181" ht="24" customHeight="1">
      <c r="A181" s="24" t="inlineStr">
        <is>
          <t>2024-03-04</t>
        </is>
      </c>
      <c r="B181" s="30" t="n">
        <v>29500</v>
      </c>
      <c r="C181" s="30" t="n">
        <v>38650</v>
      </c>
      <c r="D181" s="30" t="n">
        <v>29250</v>
      </c>
      <c r="E181" s="30" t="n">
        <v>38650</v>
      </c>
      <c r="F181" s="30" t="n">
        <v>38650</v>
      </c>
      <c r="G181" s="30" t="n">
        <v>6799480</v>
      </c>
      <c r="H181" s="35" t="n">
        <v>0.2991596638655463</v>
      </c>
      <c r="I181" s="35" t="n">
        <v>0</v>
      </c>
      <c r="J181" s="30" t="n">
        <v>25313.5</v>
      </c>
      <c r="K181" s="30" t="n">
        <v>21400</v>
      </c>
      <c r="L181" s="30" t="n">
        <v>19038.16666666667</v>
      </c>
      <c r="M181" s="35" t="n">
        <v>1.588334011123256</v>
      </c>
      <c r="N181" s="35" t="n">
        <v>1.09717474164727</v>
      </c>
      <c r="O181" s="35" t="n">
        <v>1.080193756727664</v>
      </c>
      <c r="P181" s="35" t="n">
        <v>1.251019219569016</v>
      </c>
      <c r="Q181" s="35" t="n">
        <v>1.472808701215611</v>
      </c>
      <c r="R181" s="35" t="n">
        <v>0.5268532601181188</v>
      </c>
      <c r="S181" s="35" t="n">
        <v>0.8060747663551402</v>
      </c>
      <c r="T181" s="35" t="n">
        <v>1.030132453229915</v>
      </c>
      <c r="U181" s="30" t="n">
        <v>38650</v>
      </c>
      <c r="V181" s="30" t="n">
        <v>13990</v>
      </c>
      <c r="W181" s="35" t="n">
        <v>0</v>
      </c>
      <c r="X181" s="35" t="n">
        <v>1.762687634024303</v>
      </c>
      <c r="Y181" s="30" t="n">
        <v>20476584</v>
      </c>
      <c r="Z181" s="30" t="n">
        <v>791419971600</v>
      </c>
      <c r="AA181" s="30" t="n">
        <v>262799902000</v>
      </c>
      <c r="AB181" s="30" t="n">
        <v>49561859725</v>
      </c>
      <c r="AC181" s="35" t="n">
        <v>0.332061246153167</v>
      </c>
      <c r="AD181" s="24" t="inlineStr">
        <is>
          <t>yfinance_download</t>
        </is>
      </c>
      <c r="AE181" s="24" t="inlineStr">
        <is>
          <t>317330.KQ</t>
        </is>
      </c>
    </row>
    <row r="182" ht="24" customHeight="1">
      <c r="A182" s="29" t="inlineStr">
        <is>
          <t>2024-03-05</t>
        </is>
      </c>
      <c r="B182" s="31" t="n">
        <v>38350</v>
      </c>
      <c r="C182" s="31" t="n">
        <v>39300</v>
      </c>
      <c r="D182" s="31" t="n">
        <v>35650</v>
      </c>
      <c r="E182" s="31" t="n">
        <v>37600</v>
      </c>
      <c r="F182" s="31" t="n">
        <v>37600</v>
      </c>
      <c r="G182" s="31" t="n">
        <v>2280831</v>
      </c>
      <c r="H182" s="36" t="n">
        <v>-0.0271668822768435</v>
      </c>
      <c r="I182" s="36" t="n">
        <v>-0.0271668822768435</v>
      </c>
      <c r="J182" s="31" t="n">
        <v>26275</v>
      </c>
      <c r="K182" s="31" t="n">
        <v>21704.16666666667</v>
      </c>
      <c r="L182" s="31" t="n">
        <v>19223.41666666667</v>
      </c>
      <c r="M182" s="36" t="n">
        <v>1.59632471279876</v>
      </c>
      <c r="N182" s="36" t="n">
        <v>1.075715356672227</v>
      </c>
      <c r="O182" s="36" t="n">
        <v>1.046815459989113</v>
      </c>
      <c r="P182" s="36" t="n">
        <v>0.9431524547803618</v>
      </c>
      <c r="Q182" s="36" t="n">
        <v>1.446324007807417</v>
      </c>
      <c r="R182" s="36" t="n">
        <v>0.4310180780209325</v>
      </c>
      <c r="S182" s="36" t="n">
        <v>0.7323862545594162</v>
      </c>
      <c r="T182" s="36" t="n">
        <v>0.9559478240513954</v>
      </c>
      <c r="U182" s="31" t="n">
        <v>38650</v>
      </c>
      <c r="V182" s="31" t="n">
        <v>13990</v>
      </c>
      <c r="W182" s="36" t="n">
        <v>-0.0271668822768435</v>
      </c>
      <c r="X182" s="36" t="n">
        <v>1.687634024303073</v>
      </c>
      <c r="Y182" s="31" t="n">
        <v>20476584</v>
      </c>
      <c r="Z182" s="31" t="n">
        <v>769919558400</v>
      </c>
      <c r="AA182" s="31" t="n">
        <v>85759245600</v>
      </c>
      <c r="AB182" s="31" t="n">
        <v>53691843679</v>
      </c>
      <c r="AC182" s="36" t="n">
        <v>0.1113872802221308</v>
      </c>
      <c r="AD182" s="29" t="inlineStr">
        <is>
          <t>yfinance_download</t>
        </is>
      </c>
      <c r="AE182" s="29" t="inlineStr">
        <is>
          <t>317330.KQ</t>
        </is>
      </c>
    </row>
    <row r="183" ht="24" customHeight="1">
      <c r="A183" s="24" t="inlineStr">
        <is>
          <t>2024-03-06</t>
        </is>
      </c>
      <c r="B183" s="30" t="n">
        <v>36950</v>
      </c>
      <c r="C183" s="30" t="n">
        <v>37300</v>
      </c>
      <c r="D183" s="30" t="n">
        <v>34600</v>
      </c>
      <c r="E183" s="30" t="n">
        <v>34950</v>
      </c>
      <c r="F183" s="30" t="n">
        <v>34950</v>
      </c>
      <c r="G183" s="30" t="n">
        <v>1047688</v>
      </c>
      <c r="H183" s="35" t="n">
        <v>-0.07047872340425532</v>
      </c>
      <c r="I183" s="35" t="n">
        <v>-0.09573091849935322</v>
      </c>
      <c r="J183" s="30" t="n">
        <v>27069.5</v>
      </c>
      <c r="K183" s="30" t="n">
        <v>21960.83333333333</v>
      </c>
      <c r="L183" s="30" t="n">
        <v>19386.66666666667</v>
      </c>
      <c r="M183" s="35" t="n">
        <v>1.644604362819701</v>
      </c>
      <c r="N183" s="35" t="n">
        <v>1.089298495170633</v>
      </c>
      <c r="O183" s="35" t="n">
        <v>0.8336831059811123</v>
      </c>
      <c r="P183" s="35" t="n">
        <v>0.7877237851662404</v>
      </c>
      <c r="Q183" s="35" t="n">
        <v>1.275390625</v>
      </c>
      <c r="R183" s="35" t="n">
        <v>0.2911210033432461</v>
      </c>
      <c r="S183" s="35" t="n">
        <v>0.5914696618980761</v>
      </c>
      <c r="T183" s="35" t="n">
        <v>0.8027854195323245</v>
      </c>
      <c r="U183" s="30" t="n">
        <v>38650</v>
      </c>
      <c r="V183" s="30" t="n">
        <v>13990</v>
      </c>
      <c r="W183" s="35" t="n">
        <v>-0.09573091849935322</v>
      </c>
      <c r="X183" s="35" t="n">
        <v>1.498213009292352</v>
      </c>
      <c r="Y183" s="30" t="n">
        <v>20476584</v>
      </c>
      <c r="Z183" s="30" t="n">
        <v>715656610800</v>
      </c>
      <c r="AA183" s="30" t="n">
        <v>36616695600</v>
      </c>
      <c r="AB183" s="30" t="n">
        <v>55329346208</v>
      </c>
      <c r="AC183" s="35" t="n">
        <v>0.05116517481626818</v>
      </c>
      <c r="AD183" s="24" t="inlineStr">
        <is>
          <t>yfinance_download</t>
        </is>
      </c>
      <c r="AE183" s="24" t="inlineStr">
        <is>
          <t>317330.KQ</t>
        </is>
      </c>
    </row>
    <row r="184" ht="24" customHeight="1">
      <c r="A184" s="29" t="inlineStr">
        <is>
          <t>2024-03-07</t>
        </is>
      </c>
      <c r="B184" s="31" t="n">
        <v>34950</v>
      </c>
      <c r="C184" s="31" t="n">
        <v>35600</v>
      </c>
      <c r="D184" s="31" t="n">
        <v>33000</v>
      </c>
      <c r="E184" s="31" t="n">
        <v>33450</v>
      </c>
      <c r="F184" s="31" t="n">
        <v>33450</v>
      </c>
      <c r="G184" s="31" t="n">
        <v>1019790</v>
      </c>
      <c r="H184" s="36" t="n">
        <v>-0.0429184549356223</v>
      </c>
      <c r="I184" s="36" t="n">
        <v>-0.1345407503234153</v>
      </c>
      <c r="J184" s="31" t="n">
        <v>27782</v>
      </c>
      <c r="K184" s="31" t="n">
        <v>22197.16666666667</v>
      </c>
      <c r="L184" s="31" t="n">
        <v>19538.5</v>
      </c>
      <c r="M184" s="36" t="n">
        <v>1.665536732256672</v>
      </c>
      <c r="N184" s="36" t="n">
        <v>1.093800674013144</v>
      </c>
      <c r="O184" s="36" t="n">
        <v>0.7421875</v>
      </c>
      <c r="P184" s="36" t="n">
        <v>0.7358588479501815</v>
      </c>
      <c r="Q184" s="36" t="n">
        <v>1.196323046618516</v>
      </c>
      <c r="R184" s="36" t="n">
        <v>0.2040169894176085</v>
      </c>
      <c r="S184" s="36" t="n">
        <v>0.5069490850934428</v>
      </c>
      <c r="T184" s="36" t="n">
        <v>0.712004503928142</v>
      </c>
      <c r="U184" s="31" t="n">
        <v>38650</v>
      </c>
      <c r="V184" s="31" t="n">
        <v>13990</v>
      </c>
      <c r="W184" s="36" t="n">
        <v>-0.1345407503234153</v>
      </c>
      <c r="X184" s="36" t="n">
        <v>1.390993566833453</v>
      </c>
      <c r="Y184" s="31" t="n">
        <v>20476584</v>
      </c>
      <c r="Z184" s="31" t="n">
        <v>684941734800</v>
      </c>
      <c r="AA184" s="31" t="n">
        <v>34111975500</v>
      </c>
      <c r="AB184" s="31" t="n">
        <v>56877607703</v>
      </c>
      <c r="AC184" s="36" t="n">
        <v>0.04980274053523771</v>
      </c>
      <c r="AD184" s="29" t="inlineStr">
        <is>
          <t>yfinance_download</t>
        </is>
      </c>
      <c r="AE184" s="29" t="inlineStr">
        <is>
          <t>317330.KQ</t>
        </is>
      </c>
    </row>
    <row r="185" ht="24" customHeight="1">
      <c r="A185" s="24" t="inlineStr">
        <is>
          <t>2024-03-08</t>
        </is>
      </c>
      <c r="B185" s="30" t="n">
        <v>34400</v>
      </c>
      <c r="C185" s="30" t="n">
        <v>37600</v>
      </c>
      <c r="D185" s="30" t="n">
        <v>30800</v>
      </c>
      <c r="E185" s="30" t="n">
        <v>32500</v>
      </c>
      <c r="F185" s="30" t="n">
        <v>32500</v>
      </c>
      <c r="G185" s="30" t="n">
        <v>3215861</v>
      </c>
      <c r="H185" s="35" t="n">
        <v>-0.02840059790732441</v>
      </c>
      <c r="I185" s="35" t="n">
        <v>-0.1591203104786546</v>
      </c>
      <c r="J185" s="30" t="n">
        <v>28369.5</v>
      </c>
      <c r="K185" s="30" t="n">
        <v>22431.5</v>
      </c>
      <c r="L185" s="30" t="n">
        <v>19681.83333333333</v>
      </c>
      <c r="M185" s="35" t="n">
        <v>1.669036980713946</v>
      </c>
      <c r="N185" s="35" t="n">
        <v>1.091091154290162</v>
      </c>
      <c r="O185" s="35" t="n">
        <v>0.5662650602409638</v>
      </c>
      <c r="P185" s="35" t="n">
        <v>0.762472885032538</v>
      </c>
      <c r="Q185" s="35" t="n">
        <v>1.124183006535948</v>
      </c>
      <c r="R185" s="35" t="n">
        <v>0.1455965032869808</v>
      </c>
      <c r="S185" s="35" t="n">
        <v>0.4488554042306578</v>
      </c>
      <c r="T185" s="35" t="n">
        <v>0.6512689366674853</v>
      </c>
      <c r="U185" s="30" t="n">
        <v>38650</v>
      </c>
      <c r="V185" s="30" t="n">
        <v>13990</v>
      </c>
      <c r="W185" s="35" t="n">
        <v>-0.1591203104786546</v>
      </c>
      <c r="X185" s="35" t="n">
        <v>1.323087919942816</v>
      </c>
      <c r="Y185" s="30" t="n">
        <v>20476584</v>
      </c>
      <c r="Z185" s="30" t="n">
        <v>665488980000</v>
      </c>
      <c r="AA185" s="30" t="n">
        <v>104515482500</v>
      </c>
      <c r="AB185" s="30" t="n">
        <v>60815126378</v>
      </c>
      <c r="AC185" s="35" t="n">
        <v>0.1570506584496711</v>
      </c>
      <c r="AD185" s="24" t="inlineStr">
        <is>
          <t>yfinance_download</t>
        </is>
      </c>
      <c r="AE185" s="24" t="inlineStr">
        <is>
          <t>317330.KQ</t>
        </is>
      </c>
    </row>
    <row r="186" ht="24" customHeight="1">
      <c r="A186" s="29" t="inlineStr">
        <is>
          <t>2024-03-11</t>
        </is>
      </c>
      <c r="B186" s="31" t="n">
        <v>31800</v>
      </c>
      <c r="C186" s="31" t="n">
        <v>33950</v>
      </c>
      <c r="D186" s="31" t="n">
        <v>31350</v>
      </c>
      <c r="E186" s="31" t="n">
        <v>32600</v>
      </c>
      <c r="F186" s="31" t="n">
        <v>32600</v>
      </c>
      <c r="G186" s="31" t="n">
        <v>902822</v>
      </c>
      <c r="H186" s="36" t="n">
        <v>0.003076923076922977</v>
      </c>
      <c r="I186" s="36" t="n">
        <v>-0.1565329883570504</v>
      </c>
      <c r="J186" s="31" t="n">
        <v>29000</v>
      </c>
      <c r="K186" s="31" t="n">
        <v>22629</v>
      </c>
      <c r="L186" s="31" t="n">
        <v>19829</v>
      </c>
      <c r="M186" s="36" t="n">
        <v>1.654703345845514</v>
      </c>
      <c r="N186" s="36" t="n">
        <v>1.06515773638638</v>
      </c>
      <c r="O186" s="36" t="n">
        <v>0.6308154077038519</v>
      </c>
      <c r="P186" s="36" t="n">
        <v>0.5710843373493977</v>
      </c>
      <c r="Q186" s="36" t="n">
        <v>1.182061579651941</v>
      </c>
      <c r="R186" s="36" t="n">
        <v>0.1241379310344828</v>
      </c>
      <c r="S186" s="36" t="n">
        <v>0.4406292810110919</v>
      </c>
      <c r="T186" s="36" t="n">
        <v>0.6440566846537898</v>
      </c>
      <c r="U186" s="31" t="n">
        <v>38650</v>
      </c>
      <c r="V186" s="31" t="n">
        <v>13990</v>
      </c>
      <c r="W186" s="36" t="n">
        <v>-0.1565329883570504</v>
      </c>
      <c r="X186" s="36" t="n">
        <v>1.33023588277341</v>
      </c>
      <c r="Y186" s="31" t="n">
        <v>20476584</v>
      </c>
      <c r="Z186" s="31" t="n">
        <v>667536638400</v>
      </c>
      <c r="AA186" s="31" t="n">
        <v>29431997200</v>
      </c>
      <c r="AB186" s="31" t="n">
        <v>61849680870</v>
      </c>
      <c r="AC186" s="36" t="n">
        <v>0.04409045961963187</v>
      </c>
      <c r="AD186" s="29" t="inlineStr">
        <is>
          <t>yfinance_download</t>
        </is>
      </c>
      <c r="AE186" s="29" t="inlineStr">
        <is>
          <t>317330.KQ</t>
        </is>
      </c>
    </row>
    <row r="187" ht="24" customHeight="1">
      <c r="A187" s="24" t="inlineStr">
        <is>
          <t>2024-03-12</t>
        </is>
      </c>
      <c r="B187" s="30" t="n">
        <v>32900</v>
      </c>
      <c r="C187" s="30" t="n">
        <v>33700</v>
      </c>
      <c r="D187" s="30" t="n">
        <v>31300</v>
      </c>
      <c r="E187" s="30" t="n">
        <v>32900</v>
      </c>
      <c r="F187" s="30" t="n">
        <v>32900</v>
      </c>
      <c r="G187" s="30" t="n">
        <v>654369</v>
      </c>
      <c r="H187" s="35" t="n">
        <v>0.009202453987730008</v>
      </c>
      <c r="I187" s="35" t="n">
        <v>-0.148771021992238</v>
      </c>
      <c r="J187" s="30" t="n">
        <v>29612.5</v>
      </c>
      <c r="K187" s="30" t="n">
        <v>22838.16666666667</v>
      </c>
      <c r="L187" s="30" t="n">
        <v>19981.25</v>
      </c>
      <c r="M187" s="35" t="n">
        <v>1.656181692459434</v>
      </c>
      <c r="N187" s="35" t="n">
        <v>1.06345942652347</v>
      </c>
      <c r="O187" s="35" t="n">
        <v>0.5932203389830508</v>
      </c>
      <c r="P187" s="35" t="n">
        <v>0.6167076167076166</v>
      </c>
      <c r="Q187" s="35" t="n">
        <v>1.248803827751196</v>
      </c>
      <c r="R187" s="35" t="n">
        <v>0.1110173068805402</v>
      </c>
      <c r="S187" s="35" t="n">
        <v>0.4405709740273955</v>
      </c>
      <c r="T187" s="35" t="n">
        <v>0.6465436346574913</v>
      </c>
      <c r="U187" s="30" t="n">
        <v>38650</v>
      </c>
      <c r="V187" s="30" t="n">
        <v>13990</v>
      </c>
      <c r="W187" s="35" t="n">
        <v>-0.148771021992238</v>
      </c>
      <c r="X187" s="35" t="n">
        <v>1.351679771265189</v>
      </c>
      <c r="Y187" s="30" t="n">
        <v>20476584</v>
      </c>
      <c r="Z187" s="30" t="n">
        <v>673679613600</v>
      </c>
      <c r="AA187" s="30" t="n">
        <v>21528740100</v>
      </c>
      <c r="AB187" s="30" t="n">
        <v>62456015462.5</v>
      </c>
      <c r="AC187" s="35" t="n">
        <v>0.03195694164612613</v>
      </c>
      <c r="AD187" s="24" t="inlineStr">
        <is>
          <t>yfinance_download</t>
        </is>
      </c>
      <c r="AE187" s="24" t="inlineStr">
        <is>
          <t>317330.KQ</t>
        </is>
      </c>
    </row>
    <row r="188" ht="24" customHeight="1">
      <c r="A188" s="29" t="inlineStr">
        <is>
          <t>2024-03-13</t>
        </is>
      </c>
      <c r="B188" s="31" t="n">
        <v>33150</v>
      </c>
      <c r="C188" s="31" t="n">
        <v>35500</v>
      </c>
      <c r="D188" s="31" t="n">
        <v>31500</v>
      </c>
      <c r="E188" s="31" t="n">
        <v>32200</v>
      </c>
      <c r="F188" s="31" t="n">
        <v>32200</v>
      </c>
      <c r="G188" s="31" t="n">
        <v>962051</v>
      </c>
      <c r="H188" s="36" t="n">
        <v>-0.02127659574468088</v>
      </c>
      <c r="I188" s="36" t="n">
        <v>-0.166882276843467</v>
      </c>
      <c r="J188" s="31" t="n">
        <v>30177.5</v>
      </c>
      <c r="K188" s="31" t="n">
        <v>23038.16666666667</v>
      </c>
      <c r="L188" s="31" t="n">
        <v>20130.33333333333</v>
      </c>
      <c r="M188" s="36" t="n">
        <v>1.66471807573478</v>
      </c>
      <c r="N188" s="36" t="n">
        <v>1.064813877319854</v>
      </c>
      <c r="O188" s="36" t="n">
        <v>0.5406698564593302</v>
      </c>
      <c r="P188" s="36" t="n">
        <v>0.5940594059405941</v>
      </c>
      <c r="Q188" s="36" t="n">
        <v>1.250174703004892</v>
      </c>
      <c r="R188" s="36" t="n">
        <v>0.06702013089222092</v>
      </c>
      <c r="S188" s="36" t="n">
        <v>0.3976806603534713</v>
      </c>
      <c r="T188" s="36" t="n">
        <v>0.5995760957758607</v>
      </c>
      <c r="U188" s="31" t="n">
        <v>38650</v>
      </c>
      <c r="V188" s="31" t="n">
        <v>13990</v>
      </c>
      <c r="W188" s="36" t="n">
        <v>-0.166882276843467</v>
      </c>
      <c r="X188" s="36" t="n">
        <v>1.301644031451036</v>
      </c>
      <c r="Y188" s="31" t="n">
        <v>20476584</v>
      </c>
      <c r="Z188" s="31" t="n">
        <v>659346004800</v>
      </c>
      <c r="AA188" s="31" t="n">
        <v>30978042200</v>
      </c>
      <c r="AB188" s="31" t="n">
        <v>63708247297.5</v>
      </c>
      <c r="AC188" s="36" t="n">
        <v>0.04698298309913412</v>
      </c>
      <c r="AD188" s="29" t="inlineStr">
        <is>
          <t>yfinance_download</t>
        </is>
      </c>
      <c r="AE188" s="29" t="inlineStr">
        <is>
          <t>317330.KQ</t>
        </is>
      </c>
    </row>
    <row r="189" ht="24" customHeight="1">
      <c r="A189" s="24" t="inlineStr">
        <is>
          <t>2024-03-14</t>
        </is>
      </c>
      <c r="B189" s="30" t="n">
        <v>32100</v>
      </c>
      <c r="C189" s="30" t="n">
        <v>32600</v>
      </c>
      <c r="D189" s="30" t="n">
        <v>30950</v>
      </c>
      <c r="E189" s="30" t="n">
        <v>31050</v>
      </c>
      <c r="F189" s="30" t="n">
        <v>31050</v>
      </c>
      <c r="G189" s="30" t="n">
        <v>373205</v>
      </c>
      <c r="H189" s="35" t="n">
        <v>-0.0357142857142857</v>
      </c>
      <c r="I189" s="35" t="n">
        <v>-0.1966364812419146</v>
      </c>
      <c r="J189" s="30" t="n">
        <v>30537.5</v>
      </c>
      <c r="K189" s="30" t="n">
        <v>23232.5</v>
      </c>
      <c r="L189" s="30" t="n">
        <v>20272.5</v>
      </c>
      <c r="M189" s="35" t="n">
        <v>1.621105436460611</v>
      </c>
      <c r="N189" s="35" t="n">
        <v>1.063973350135419</v>
      </c>
      <c r="O189" s="35" t="n">
        <v>0.3018867924528301</v>
      </c>
      <c r="P189" s="35" t="n">
        <v>0.6013408973697782</v>
      </c>
      <c r="Q189" s="35" t="n">
        <v>1.219442458899214</v>
      </c>
      <c r="R189" s="35" t="n">
        <v>0.01678264428980758</v>
      </c>
      <c r="S189" s="35" t="n">
        <v>0.3364898310556332</v>
      </c>
      <c r="T189" s="35" t="n">
        <v>0.5316315205327413</v>
      </c>
      <c r="U189" s="30" t="n">
        <v>38650</v>
      </c>
      <c r="V189" s="30" t="n">
        <v>13990</v>
      </c>
      <c r="W189" s="35" t="n">
        <v>-0.1966364812419146</v>
      </c>
      <c r="X189" s="35" t="n">
        <v>1.219442458899214</v>
      </c>
      <c r="Y189" s="30" t="n">
        <v>20476584</v>
      </c>
      <c r="Z189" s="30" t="n">
        <v>635797933200</v>
      </c>
      <c r="AA189" s="30" t="n">
        <v>11588015250</v>
      </c>
      <c r="AB189" s="30" t="n">
        <v>61698908242.5</v>
      </c>
      <c r="AC189" s="35" t="n">
        <v>0.01822594042053108</v>
      </c>
      <c r="AD189" s="24" t="inlineStr">
        <is>
          <t>yfinance_download</t>
        </is>
      </c>
      <c r="AE189" s="24" t="inlineStr">
        <is>
          <t>317330.KQ</t>
        </is>
      </c>
    </row>
    <row r="190" ht="24" customHeight="1">
      <c r="A190" s="29" t="inlineStr">
        <is>
          <t>2024-03-15</t>
        </is>
      </c>
      <c r="B190" s="31" t="n">
        <v>28800</v>
      </c>
      <c r="C190" s="31" t="n">
        <v>33950</v>
      </c>
      <c r="D190" s="31" t="n">
        <v>28500</v>
      </c>
      <c r="E190" s="31" t="n">
        <v>32600</v>
      </c>
      <c r="F190" s="31" t="n">
        <v>32600</v>
      </c>
      <c r="G190" s="31" t="n">
        <v>1442902</v>
      </c>
      <c r="H190" s="36" t="n">
        <v>0.0499194847020934</v>
      </c>
      <c r="I190" s="36" t="n">
        <v>-0.1565329883570504</v>
      </c>
      <c r="J190" s="31" t="n">
        <v>30920</v>
      </c>
      <c r="K190" s="31" t="n">
        <v>23452.33333333333</v>
      </c>
      <c r="L190" s="31" t="n">
        <v>20425</v>
      </c>
      <c r="M190" s="36" t="n">
        <v>1.622042794439889</v>
      </c>
      <c r="N190" s="36" t="n">
        <v>1.066945853852862</v>
      </c>
      <c r="O190" s="36" t="n">
        <v>0.3066132264529058</v>
      </c>
      <c r="P190" s="36" t="n">
        <v>0.6795466254507985</v>
      </c>
      <c r="Q190" s="36" t="n">
        <v>1.27972027972028</v>
      </c>
      <c r="R190" s="36" t="n">
        <v>0.05433376455368699</v>
      </c>
      <c r="S190" s="36" t="n">
        <v>0.3900535838651449</v>
      </c>
      <c r="T190" s="36" t="n">
        <v>0.5960832313341493</v>
      </c>
      <c r="U190" s="31" t="n">
        <v>38650</v>
      </c>
      <c r="V190" s="31" t="n">
        <v>13990</v>
      </c>
      <c r="W190" s="36" t="n">
        <v>-0.1565329883570504</v>
      </c>
      <c r="X190" s="36" t="n">
        <v>1.33023588277341</v>
      </c>
      <c r="Y190" s="31" t="n">
        <v>20476584</v>
      </c>
      <c r="Z190" s="31" t="n">
        <v>667536638400</v>
      </c>
      <c r="AA190" s="31" t="n">
        <v>47038605200</v>
      </c>
      <c r="AB190" s="31" t="n">
        <v>62981955552.5</v>
      </c>
      <c r="AC190" s="36" t="n">
        <v>0.07046595271945751</v>
      </c>
      <c r="AD190" s="29" t="inlineStr">
        <is>
          <t>yfinance_download</t>
        </is>
      </c>
      <c r="AE190" s="29" t="inlineStr">
        <is>
          <t>317330.KQ</t>
        </is>
      </c>
    </row>
    <row r="191" ht="24" customHeight="1">
      <c r="A191" s="24" t="inlineStr">
        <is>
          <t>2024-03-18</t>
        </is>
      </c>
      <c r="B191" s="30" t="n">
        <v>34000</v>
      </c>
      <c r="C191" s="30" t="n">
        <v>35800</v>
      </c>
      <c r="D191" s="30" t="n">
        <v>33150</v>
      </c>
      <c r="E191" s="30" t="n">
        <v>34500</v>
      </c>
      <c r="F191" s="30" t="n">
        <v>34500</v>
      </c>
      <c r="G191" s="30" t="n">
        <v>988551</v>
      </c>
      <c r="H191" s="35" t="n">
        <v>0.05828220858895716</v>
      </c>
      <c r="I191" s="35" t="n">
        <v>-0.1073738680465718</v>
      </c>
      <c r="J191" s="30" t="n">
        <v>31325</v>
      </c>
      <c r="K191" s="30" t="n">
        <v>23679.83333333333</v>
      </c>
      <c r="L191" s="30" t="n">
        <v>20590.83333333333</v>
      </c>
      <c r="M191" s="35" t="n">
        <v>1.622097425852222</v>
      </c>
      <c r="N191" s="35" t="n">
        <v>1.063396220604587</v>
      </c>
      <c r="O191" s="35" t="n">
        <v>0.3068181818181819</v>
      </c>
      <c r="P191" s="35" t="n">
        <v>0.6546762589928057</v>
      </c>
      <c r="Q191" s="35" t="n">
        <v>1.363013698630137</v>
      </c>
      <c r="R191" s="35" t="n">
        <v>0.1013567438148444</v>
      </c>
      <c r="S191" s="35" t="n">
        <v>0.4569359300107687</v>
      </c>
      <c r="T191" s="35" t="n">
        <v>0.6755028532113805</v>
      </c>
      <c r="U191" s="30" t="n">
        <v>38650</v>
      </c>
      <c r="V191" s="30" t="n">
        <v>13990</v>
      </c>
      <c r="W191" s="35" t="n">
        <v>-0.1073738680465718</v>
      </c>
      <c r="X191" s="35" t="n">
        <v>1.466047176554682</v>
      </c>
      <c r="Y191" s="30" t="n">
        <v>20476584</v>
      </c>
      <c r="Z191" s="30" t="n">
        <v>706442148000</v>
      </c>
      <c r="AA191" s="30" t="n">
        <v>34105009500</v>
      </c>
      <c r="AB191" s="30" t="n">
        <v>62378264667.5</v>
      </c>
      <c r="AC191" s="35" t="n">
        <v>0.04827714427367377</v>
      </c>
      <c r="AD191" s="24" t="inlineStr">
        <is>
          <t>yfinance_download</t>
        </is>
      </c>
      <c r="AE191" s="24" t="inlineStr">
        <is>
          <t>317330.KQ</t>
        </is>
      </c>
    </row>
    <row r="192" ht="24" customHeight="1">
      <c r="A192" s="29" t="inlineStr">
        <is>
          <t>2024-03-19</t>
        </is>
      </c>
      <c r="B192" s="31" t="n">
        <v>35600</v>
      </c>
      <c r="C192" s="31" t="n">
        <v>35850</v>
      </c>
      <c r="D192" s="31" t="n">
        <v>33650</v>
      </c>
      <c r="E192" s="31" t="n">
        <v>34500</v>
      </c>
      <c r="F192" s="31" t="n">
        <v>34500</v>
      </c>
      <c r="G192" s="31" t="n">
        <v>467632</v>
      </c>
      <c r="H192" s="36" t="n">
        <v>0</v>
      </c>
      <c r="I192" s="36" t="n">
        <v>-0.1073738680465718</v>
      </c>
      <c r="J192" s="31" t="n">
        <v>31785</v>
      </c>
      <c r="K192" s="31" t="n">
        <v>23906.5</v>
      </c>
      <c r="L192" s="31" t="n">
        <v>20759.41666666667</v>
      </c>
      <c r="M192" s="36" t="n">
        <v>1.60847279136455</v>
      </c>
      <c r="N192" s="36" t="n">
        <v>1.063485134283583</v>
      </c>
      <c r="O192" s="36" t="n">
        <v>0.3636363636363635</v>
      </c>
      <c r="P192" s="36" t="n">
        <v>0.6507177033492824</v>
      </c>
      <c r="Q192" s="36" t="n">
        <v>1.417659425367905</v>
      </c>
      <c r="R192" s="36" t="n">
        <v>0.0854176498348278</v>
      </c>
      <c r="S192" s="36" t="n">
        <v>0.4431221634283562</v>
      </c>
      <c r="T192" s="36" t="n">
        <v>0.6618964084572061</v>
      </c>
      <c r="U192" s="31" t="n">
        <v>38650</v>
      </c>
      <c r="V192" s="31" t="n">
        <v>13990</v>
      </c>
      <c r="W192" s="36" t="n">
        <v>-0.1073738680465718</v>
      </c>
      <c r="X192" s="36" t="n">
        <v>1.466047176554682</v>
      </c>
      <c r="Y192" s="31" t="n">
        <v>20476584</v>
      </c>
      <c r="Z192" s="31" t="n">
        <v>706442148000</v>
      </c>
      <c r="AA192" s="31" t="n">
        <v>16133304000</v>
      </c>
      <c r="AB192" s="31" t="n">
        <v>62280812862.5</v>
      </c>
      <c r="AC192" s="36" t="n">
        <v>0.02283740295744642</v>
      </c>
      <c r="AD192" s="29" t="inlineStr">
        <is>
          <t>yfinance_download</t>
        </is>
      </c>
      <c r="AE192" s="29" t="inlineStr">
        <is>
          <t>317330.KQ</t>
        </is>
      </c>
    </row>
    <row r="193" ht="24" customHeight="1">
      <c r="A193" s="24" t="inlineStr">
        <is>
          <t>2024-03-20</t>
        </is>
      </c>
      <c r="B193" s="30" t="n">
        <v>34200</v>
      </c>
      <c r="C193" s="30" t="n">
        <v>35400</v>
      </c>
      <c r="D193" s="30" t="n">
        <v>32700</v>
      </c>
      <c r="E193" s="30" t="n">
        <v>35000</v>
      </c>
      <c r="F193" s="30" t="n">
        <v>35000</v>
      </c>
      <c r="G193" s="30" t="n">
        <v>492263</v>
      </c>
      <c r="H193" s="35" t="n">
        <v>0.01449275362318847</v>
      </c>
      <c r="I193" s="35" t="n">
        <v>-0.09443725743855114</v>
      </c>
      <c r="J193" s="30" t="n">
        <v>31962.5</v>
      </c>
      <c r="K193" s="30" t="n">
        <v>24153.16666666667</v>
      </c>
      <c r="L193" s="30" t="n">
        <v>20934.16666666667</v>
      </c>
      <c r="M193" s="35" t="n">
        <v>1.375889685093002</v>
      </c>
      <c r="N193" s="35" t="n">
        <v>1.059563672869683</v>
      </c>
      <c r="O193" s="35" t="n">
        <v>0.1128775834658187</v>
      </c>
      <c r="P193" s="35" t="n">
        <v>0.7326732673267327</v>
      </c>
      <c r="Q193" s="35" t="n">
        <v>1.494654312188168</v>
      </c>
      <c r="R193" s="35" t="n">
        <v>0.09503324208056307</v>
      </c>
      <c r="S193" s="35" t="n">
        <v>0.4490853511271813</v>
      </c>
      <c r="T193" s="35" t="n">
        <v>0.6719079654472353</v>
      </c>
      <c r="U193" s="30" t="n">
        <v>38650</v>
      </c>
      <c r="V193" s="30" t="n">
        <v>13990</v>
      </c>
      <c r="W193" s="35" t="n">
        <v>-0.09443725743855114</v>
      </c>
      <c r="X193" s="35" t="n">
        <v>1.501786990707648</v>
      </c>
      <c r="Y193" s="30" t="n">
        <v>20476584</v>
      </c>
      <c r="Z193" s="30" t="n">
        <v>716680440000</v>
      </c>
      <c r="AA193" s="30" t="n">
        <v>17229205000</v>
      </c>
      <c r="AB193" s="30" t="n">
        <v>55761343375</v>
      </c>
      <c r="AC193" s="35" t="n">
        <v>0.02404028914197798</v>
      </c>
      <c r="AD193" s="24" t="inlineStr">
        <is>
          <t>yfinance_download</t>
        </is>
      </c>
      <c r="AE193" s="24" t="inlineStr">
        <is>
          <t>317330.KQ</t>
        </is>
      </c>
    </row>
    <row r="194" ht="24" customHeight="1">
      <c r="A194" s="29" t="inlineStr">
        <is>
          <t>2024-03-21</t>
        </is>
      </c>
      <c r="B194" s="31" t="n">
        <v>36550</v>
      </c>
      <c r="C194" s="31" t="n">
        <v>38450</v>
      </c>
      <c r="D194" s="31" t="n">
        <v>35600</v>
      </c>
      <c r="E194" s="31" t="n">
        <v>36500</v>
      </c>
      <c r="F194" s="31" t="n">
        <v>36500</v>
      </c>
      <c r="G194" s="31" t="n">
        <v>1054591</v>
      </c>
      <c r="H194" s="36" t="n">
        <v>0.04285714285714293</v>
      </c>
      <c r="I194" s="36" t="n">
        <v>-0.05562742561448897</v>
      </c>
      <c r="J194" s="31" t="n">
        <v>32300</v>
      </c>
      <c r="K194" s="31" t="n">
        <v>24425.66666666667</v>
      </c>
      <c r="L194" s="31" t="n">
        <v>21121.41666666667</v>
      </c>
      <c r="M194" s="36" t="n">
        <v>1.360271499510145</v>
      </c>
      <c r="N194" s="36" t="n">
        <v>1.061134593704738</v>
      </c>
      <c r="O194" s="36" t="n">
        <v>0.2268907563025211</v>
      </c>
      <c r="P194" s="36" t="n">
        <v>0.8114143920595533</v>
      </c>
      <c r="Q194" s="36" t="n">
        <v>1.601568068424804</v>
      </c>
      <c r="R194" s="36" t="n">
        <v>0.1300309597523219</v>
      </c>
      <c r="S194" s="36" t="n">
        <v>0.4943297351147016</v>
      </c>
      <c r="T194" s="36" t="n">
        <v>0.7281037809174731</v>
      </c>
      <c r="U194" s="31" t="n">
        <v>38650</v>
      </c>
      <c r="V194" s="31" t="n">
        <v>13990</v>
      </c>
      <c r="W194" s="36" t="n">
        <v>-0.05562742561448897</v>
      </c>
      <c r="X194" s="36" t="n">
        <v>1.609006433166547</v>
      </c>
      <c r="Y194" s="31" t="n">
        <v>20476584</v>
      </c>
      <c r="Z194" s="31" t="n">
        <v>747395316000</v>
      </c>
      <c r="AA194" s="31" t="n">
        <v>38492571500</v>
      </c>
      <c r="AB194" s="31" t="n">
        <v>54806936525</v>
      </c>
      <c r="AC194" s="36" t="n">
        <v>0.05150229159316808</v>
      </c>
      <c r="AD194" s="29" t="inlineStr">
        <is>
          <t>yfinance_download</t>
        </is>
      </c>
      <c r="AE194" s="29" t="inlineStr">
        <is>
          <t>317330.KQ</t>
        </is>
      </c>
    </row>
    <row r="195" ht="24" customHeight="1">
      <c r="A195" s="24" t="inlineStr">
        <is>
          <t>2024-03-22</t>
        </is>
      </c>
      <c r="B195" s="30" t="n">
        <v>35800</v>
      </c>
      <c r="C195" s="30" t="n">
        <v>39200</v>
      </c>
      <c r="D195" s="30" t="n">
        <v>35700</v>
      </c>
      <c r="E195" s="30" t="n">
        <v>35800</v>
      </c>
      <c r="F195" s="30" t="n">
        <v>35800</v>
      </c>
      <c r="G195" s="30" t="n">
        <v>663469</v>
      </c>
      <c r="H195" s="35" t="n">
        <v>-0.01917808219178085</v>
      </c>
      <c r="I195" s="35" t="n">
        <v>-0.07373868046571797</v>
      </c>
      <c r="J195" s="30" t="n">
        <v>32787.5</v>
      </c>
      <c r="K195" s="30" t="n">
        <v>24695.33333333333</v>
      </c>
      <c r="L195" s="30" t="n">
        <v>21301.91666666667</v>
      </c>
      <c r="M195" s="35" t="n">
        <v>1.266965818067205</v>
      </c>
      <c r="N195" s="35" t="n">
        <v>1.06013713487672</v>
      </c>
      <c r="O195" s="35" t="n">
        <v>0.3742802303262955</v>
      </c>
      <c r="P195" s="35" t="n">
        <v>0.8246687054026502</v>
      </c>
      <c r="Q195" s="35" t="n">
        <v>1.531824611032532</v>
      </c>
      <c r="R195" s="35" t="n">
        <v>0.09187952725886395</v>
      </c>
      <c r="S195" s="35" t="n">
        <v>0.449666603676808</v>
      </c>
      <c r="T195" s="35" t="n">
        <v>0.6805999460142476</v>
      </c>
      <c r="U195" s="30" t="n">
        <v>38650</v>
      </c>
      <c r="V195" s="30" t="n">
        <v>13990</v>
      </c>
      <c r="W195" s="35" t="n">
        <v>-0.07373868046571797</v>
      </c>
      <c r="X195" s="35" t="n">
        <v>1.558970693352395</v>
      </c>
      <c r="Y195" s="30" t="n">
        <v>20476584</v>
      </c>
      <c r="Z195" s="30" t="n">
        <v>733061707200</v>
      </c>
      <c r="AA195" s="30" t="n">
        <v>23752190200</v>
      </c>
      <c r="AB195" s="30" t="n">
        <v>53177574580</v>
      </c>
      <c r="AC195" s="35" t="n">
        <v>0.03240135170983598</v>
      </c>
      <c r="AD195" s="24" t="inlineStr">
        <is>
          <t>yfinance_download</t>
        </is>
      </c>
      <c r="AE195" s="24" t="inlineStr">
        <is>
          <t>317330.KQ</t>
        </is>
      </c>
    </row>
    <row r="196" ht="24" customHeight="1">
      <c r="A196" s="29" t="inlineStr">
        <is>
          <t>2024-03-25</t>
        </is>
      </c>
      <c r="B196" s="31" t="n">
        <v>36650</v>
      </c>
      <c r="C196" s="31" t="n">
        <v>43650</v>
      </c>
      <c r="D196" s="31" t="n">
        <v>36250</v>
      </c>
      <c r="E196" s="31" t="n">
        <v>40300</v>
      </c>
      <c r="F196" s="31" t="n">
        <v>40300</v>
      </c>
      <c r="G196" s="31" t="n">
        <v>3428776</v>
      </c>
      <c r="H196" s="36" t="n">
        <v>0.1256983240223464</v>
      </c>
      <c r="I196" s="36" t="n">
        <v>0</v>
      </c>
      <c r="J196" s="31" t="n">
        <v>33392.5</v>
      </c>
      <c r="K196" s="31" t="n">
        <v>25047</v>
      </c>
      <c r="L196" s="31" t="n">
        <v>21520.91666666667</v>
      </c>
      <c r="M196" s="36" t="n">
        <v>1.304515138844867</v>
      </c>
      <c r="N196" s="36" t="n">
        <v>1.082909186378604</v>
      </c>
      <c r="O196" s="36" t="n">
        <v>0.4290780141843971</v>
      </c>
      <c r="P196" s="36" t="n">
        <v>1.098958333333333</v>
      </c>
      <c r="Q196" s="36" t="n">
        <v>1.874465049928673</v>
      </c>
      <c r="R196" s="36" t="n">
        <v>0.2068578273564423</v>
      </c>
      <c r="S196" s="36" t="n">
        <v>0.6089751267616881</v>
      </c>
      <c r="T196" s="36" t="n">
        <v>0.872596814726758</v>
      </c>
      <c r="U196" s="31" t="n">
        <v>40300</v>
      </c>
      <c r="V196" s="31" t="n">
        <v>13990</v>
      </c>
      <c r="W196" s="36" t="n">
        <v>0</v>
      </c>
      <c r="X196" s="36" t="n">
        <v>1.880629020729092</v>
      </c>
      <c r="Y196" s="31" t="n">
        <v>20476584</v>
      </c>
      <c r="Z196" s="31" t="n">
        <v>825206335200</v>
      </c>
      <c r="AA196" s="31" t="n">
        <v>138179672800</v>
      </c>
      <c r="AB196" s="31" t="n">
        <v>55206799200</v>
      </c>
      <c r="AC196" s="36" t="n">
        <v>0.167448633033713</v>
      </c>
      <c r="AD196" s="29" t="inlineStr">
        <is>
          <t>yfinance_download</t>
        </is>
      </c>
      <c r="AE196" s="29" t="inlineStr">
        <is>
          <t>317330.KQ</t>
        </is>
      </c>
    </row>
    <row r="197" ht="24" customHeight="1">
      <c r="A197" s="24" t="inlineStr">
        <is>
          <t>2024-03-26</t>
        </is>
      </c>
      <c r="B197" s="30" t="n">
        <v>39650</v>
      </c>
      <c r="C197" s="30" t="n">
        <v>44600</v>
      </c>
      <c r="D197" s="30" t="n">
        <v>39350</v>
      </c>
      <c r="E197" s="30" t="n">
        <v>42350</v>
      </c>
      <c r="F197" s="30" t="n">
        <v>42350</v>
      </c>
      <c r="G197" s="30" t="n">
        <v>1796595</v>
      </c>
      <c r="H197" s="35" t="n">
        <v>0.05086848635235741</v>
      </c>
      <c r="I197" s="35" t="n">
        <v>0</v>
      </c>
      <c r="J197" s="30" t="n">
        <v>34097.5</v>
      </c>
      <c r="K197" s="30" t="n">
        <v>25447.16666666667</v>
      </c>
      <c r="L197" s="30" t="n">
        <v>21755.91666666667</v>
      </c>
      <c r="M197" s="35" t="n">
        <v>1.306623769255281</v>
      </c>
      <c r="N197" s="35" t="n">
        <v>1.078260277969413</v>
      </c>
      <c r="O197" s="35" t="n">
        <v>0.4991150442477876</v>
      </c>
      <c r="P197" s="35" t="n">
        <v>1.309160305343511</v>
      </c>
      <c r="Q197" s="35" t="n">
        <v>1.992932862190813</v>
      </c>
      <c r="R197" s="35" t="n">
        <v>0.2420265415353031</v>
      </c>
      <c r="S197" s="35" t="n">
        <v>0.6642324292815833</v>
      </c>
      <c r="T197" s="35" t="n">
        <v>0.9465969027582535</v>
      </c>
      <c r="U197" s="30" t="n">
        <v>42350</v>
      </c>
      <c r="V197" s="30" t="n">
        <v>13990</v>
      </c>
      <c r="W197" s="35" t="n">
        <v>0</v>
      </c>
      <c r="X197" s="35" t="n">
        <v>2.027162258756254</v>
      </c>
      <c r="Y197" s="30" t="n">
        <v>20476584</v>
      </c>
      <c r="Z197" s="30" t="n">
        <v>867183332400</v>
      </c>
      <c r="AA197" s="30" t="n">
        <v>76085798250</v>
      </c>
      <c r="AB197" s="30" t="n">
        <v>57866454200</v>
      </c>
      <c r="AC197" s="35" t="n">
        <v>0.0877389998253615</v>
      </c>
      <c r="AD197" s="24" t="inlineStr">
        <is>
          <t>yfinance_download</t>
        </is>
      </c>
      <c r="AE197" s="24" t="inlineStr">
        <is>
          <t>317330.KQ</t>
        </is>
      </c>
    </row>
    <row r="198" ht="24" customHeight="1">
      <c r="A198" s="29" t="inlineStr">
        <is>
          <t>2024-03-27</t>
        </is>
      </c>
      <c r="B198" s="31" t="n">
        <v>40900</v>
      </c>
      <c r="C198" s="31" t="n">
        <v>41650</v>
      </c>
      <c r="D198" s="31" t="n">
        <v>36700</v>
      </c>
      <c r="E198" s="31" t="n">
        <v>40000</v>
      </c>
      <c r="F198" s="31" t="n">
        <v>40000</v>
      </c>
      <c r="G198" s="31" t="n">
        <v>1944606</v>
      </c>
      <c r="H198" s="36" t="n">
        <v>-0.05548996458087363</v>
      </c>
      <c r="I198" s="36" t="n">
        <v>-0.05548996458087363</v>
      </c>
      <c r="J198" s="31" t="n">
        <v>34702.5</v>
      </c>
      <c r="K198" s="31" t="n">
        <v>25801.66666666667</v>
      </c>
      <c r="L198" s="31" t="n">
        <v>21972.25</v>
      </c>
      <c r="M198" s="36" t="n">
        <v>1.330976764038457</v>
      </c>
      <c r="N198" s="36" t="n">
        <v>1.088127905015819</v>
      </c>
      <c r="O198" s="36" t="n">
        <v>0.4336917562724014</v>
      </c>
      <c r="P198" s="36" t="n">
        <v>1.135611318739989</v>
      </c>
      <c r="Q198" s="36" t="n">
        <v>1.849002849002849</v>
      </c>
      <c r="R198" s="36" t="n">
        <v>0.1526547078740725</v>
      </c>
      <c r="S198" s="36" t="n">
        <v>0.5502874491311931</v>
      </c>
      <c r="T198" s="36" t="n">
        <v>0.8204781030618167</v>
      </c>
      <c r="U198" s="31" t="n">
        <v>42350</v>
      </c>
      <c r="V198" s="31" t="n">
        <v>13990</v>
      </c>
      <c r="W198" s="36" t="n">
        <v>-0.05548996458087363</v>
      </c>
      <c r="X198" s="36" t="n">
        <v>1.859185132237312</v>
      </c>
      <c r="Y198" s="31" t="n">
        <v>20476584</v>
      </c>
      <c r="Z198" s="31" t="n">
        <v>819063360000</v>
      </c>
      <c r="AA198" s="31" t="n">
        <v>77784240000</v>
      </c>
      <c r="AB198" s="31" t="n">
        <v>60385725980</v>
      </c>
      <c r="AC198" s="36" t="n">
        <v>0.09496730509346676</v>
      </c>
      <c r="AD198" s="29" t="inlineStr">
        <is>
          <t>yfinance_download</t>
        </is>
      </c>
      <c r="AE198" s="29" t="inlineStr">
        <is>
          <t>317330.KQ</t>
        </is>
      </c>
    </row>
    <row r="199" ht="24" customHeight="1">
      <c r="A199" s="24" t="inlineStr">
        <is>
          <t>2024-03-28</t>
        </is>
      </c>
      <c r="B199" s="30" t="n">
        <v>39900</v>
      </c>
      <c r="C199" s="30" t="n">
        <v>46900</v>
      </c>
      <c r="D199" s="30" t="n">
        <v>39600</v>
      </c>
      <c r="E199" s="30" t="n">
        <v>44000</v>
      </c>
      <c r="F199" s="30" t="n">
        <v>44000</v>
      </c>
      <c r="G199" s="30" t="n">
        <v>3122338</v>
      </c>
      <c r="H199" s="35" t="n">
        <v>0.1000000000000001</v>
      </c>
      <c r="I199" s="35" t="n">
        <v>0</v>
      </c>
      <c r="J199" s="30" t="n">
        <v>35560</v>
      </c>
      <c r="K199" s="30" t="n">
        <v>26223.5</v>
      </c>
      <c r="L199" s="30" t="n">
        <v>22218.33333333333</v>
      </c>
      <c r="M199" s="35" t="n">
        <v>1.339966359207419</v>
      </c>
      <c r="N199" s="35" t="n">
        <v>1.101369416587013</v>
      </c>
      <c r="O199" s="35" t="n">
        <v>0.638733705772812</v>
      </c>
      <c r="P199" s="35" t="n">
        <v>1.354200107009096</v>
      </c>
      <c r="Q199" s="35" t="n">
        <v>2.04077401520387</v>
      </c>
      <c r="R199" s="35" t="n">
        <v>0.2373453318335208</v>
      </c>
      <c r="S199" s="35" t="n">
        <v>0.6778843403817187</v>
      </c>
      <c r="T199" s="35" t="n">
        <v>0.9803465606481134</v>
      </c>
      <c r="U199" s="30" t="n">
        <v>44000</v>
      </c>
      <c r="V199" s="30" t="n">
        <v>13990</v>
      </c>
      <c r="W199" s="35" t="n">
        <v>0</v>
      </c>
      <c r="X199" s="35" t="n">
        <v>2.145103645461043</v>
      </c>
      <c r="Y199" s="30" t="n">
        <v>20476584</v>
      </c>
      <c r="Z199" s="30" t="n">
        <v>900969696000</v>
      </c>
      <c r="AA199" s="30" t="n">
        <v>137382872000</v>
      </c>
      <c r="AB199" s="30" t="n">
        <v>66369528420</v>
      </c>
      <c r="AC199" s="35" t="n">
        <v>0.1524833439015023</v>
      </c>
      <c r="AD199" s="24" t="inlineStr">
        <is>
          <t>yfinance_download</t>
        </is>
      </c>
      <c r="AE199" s="24" t="inlineStr">
        <is>
          <t>317330.KQ</t>
        </is>
      </c>
    </row>
    <row r="200" ht="24" customHeight="1">
      <c r="A200" s="29" t="inlineStr">
        <is>
          <t>2024-03-29</t>
        </is>
      </c>
      <c r="B200" s="31" t="n">
        <v>44000</v>
      </c>
      <c r="C200" s="31" t="n">
        <v>44150</v>
      </c>
      <c r="D200" s="31" t="n">
        <v>40450</v>
      </c>
      <c r="E200" s="31" t="n">
        <v>40450</v>
      </c>
      <c r="F200" s="31" t="n">
        <v>40450</v>
      </c>
      <c r="G200" s="31" t="n">
        <v>863509</v>
      </c>
      <c r="H200" s="36" t="n">
        <v>-0.08068181818181819</v>
      </c>
      <c r="I200" s="36" t="n">
        <v>-0.08068181818181819</v>
      </c>
      <c r="J200" s="31" t="n">
        <v>36095</v>
      </c>
      <c r="K200" s="31" t="n">
        <v>26581.16666666667</v>
      </c>
      <c r="L200" s="31" t="n">
        <v>22434.66666666667</v>
      </c>
      <c r="M200" s="36" t="n">
        <v>1.357901139132322</v>
      </c>
      <c r="N200" s="36" t="n">
        <v>1.119254363751946</v>
      </c>
      <c r="O200" s="36" t="n">
        <v>0.3596638655462185</v>
      </c>
      <c r="P200" s="36" t="n">
        <v>1.130068457082675</v>
      </c>
      <c r="Q200" s="36" t="n">
        <v>1.791580400276052</v>
      </c>
      <c r="R200" s="36" t="n">
        <v>0.1206538301703837</v>
      </c>
      <c r="S200" s="36" t="n">
        <v>0.5217541241605899</v>
      </c>
      <c r="T200" s="36" t="n">
        <v>0.8030131938666349</v>
      </c>
      <c r="U200" s="31" t="n">
        <v>44000</v>
      </c>
      <c r="V200" s="31" t="n">
        <v>13990</v>
      </c>
      <c r="W200" s="36" t="n">
        <v>-0.08068181818181819</v>
      </c>
      <c r="X200" s="36" t="n">
        <v>1.891350964974982</v>
      </c>
      <c r="Y200" s="31" t="n">
        <v>20476584</v>
      </c>
      <c r="Z200" s="31" t="n">
        <v>828277822800</v>
      </c>
      <c r="AA200" s="31" t="n">
        <v>34928939050</v>
      </c>
      <c r="AB200" s="31" t="n">
        <v>62922125172.5</v>
      </c>
      <c r="AC200" s="36" t="n">
        <v>0.0421705593081346</v>
      </c>
      <c r="AD200" s="29" t="inlineStr">
        <is>
          <t>yfinance_download</t>
        </is>
      </c>
      <c r="AE200" s="29" t="inlineStr">
        <is>
          <t>317330.KQ</t>
        </is>
      </c>
    </row>
    <row r="201" ht="24" customHeight="1">
      <c r="A201" s="24" t="inlineStr">
        <is>
          <t>2024-04-01</t>
        </is>
      </c>
      <c r="B201" s="30" t="n">
        <v>40450</v>
      </c>
      <c r="C201" s="30" t="n">
        <v>41350</v>
      </c>
      <c r="D201" s="30" t="n">
        <v>38800</v>
      </c>
      <c r="E201" s="30" t="n">
        <v>39300</v>
      </c>
      <c r="F201" s="30" t="n">
        <v>39300</v>
      </c>
      <c r="G201" s="30" t="n">
        <v>549687</v>
      </c>
      <c r="H201" s="35" t="n">
        <v>-0.0284301606922126</v>
      </c>
      <c r="I201" s="35" t="n">
        <v>-0.1068181818181818</v>
      </c>
      <c r="J201" s="30" t="n">
        <v>36127.5</v>
      </c>
      <c r="K201" s="30" t="n">
        <v>26926.5</v>
      </c>
      <c r="L201" s="30" t="n">
        <v>22639</v>
      </c>
      <c r="M201" s="35" t="n">
        <v>0.8707361978642091</v>
      </c>
      <c r="N201" s="35" t="n">
        <v>1.120295192127646</v>
      </c>
      <c r="O201" s="35" t="n">
        <v>0.01681759379042691</v>
      </c>
      <c r="P201" s="35" t="n">
        <v>1.115177610333692</v>
      </c>
      <c r="Q201" s="35" t="n">
        <v>1.658998646820027</v>
      </c>
      <c r="R201" s="35" t="n">
        <v>0.08781399211127261</v>
      </c>
      <c r="S201" s="35" t="n">
        <v>0.4595287170631162</v>
      </c>
      <c r="T201" s="35" t="n">
        <v>0.735942400282698</v>
      </c>
      <c r="U201" s="30" t="n">
        <v>44000</v>
      </c>
      <c r="V201" s="30" t="n">
        <v>13990</v>
      </c>
      <c r="W201" s="35" t="n">
        <v>-0.1068181818181818</v>
      </c>
      <c r="X201" s="35" t="n">
        <v>1.809149392423159</v>
      </c>
      <c r="Y201" s="30" t="n">
        <v>20476584</v>
      </c>
      <c r="Z201" s="30" t="n">
        <v>804729751200</v>
      </c>
      <c r="AA201" s="30" t="n">
        <v>21602699100</v>
      </c>
      <c r="AB201" s="30" t="n">
        <v>50862265027.5</v>
      </c>
      <c r="AC201" s="35" t="n">
        <v>0.02684466315279932</v>
      </c>
      <c r="AD201" s="24" t="inlineStr">
        <is>
          <t>yfinance_download</t>
        </is>
      </c>
      <c r="AE201" s="24" t="inlineStr">
        <is>
          <t>317330.KQ</t>
        </is>
      </c>
    </row>
    <row r="202" ht="24" customHeight="1">
      <c r="A202" s="29" t="inlineStr">
        <is>
          <t>2024-04-02</t>
        </is>
      </c>
      <c r="B202" s="31" t="n">
        <v>38900</v>
      </c>
      <c r="C202" s="31" t="n">
        <v>40350</v>
      </c>
      <c r="D202" s="31" t="n">
        <v>38250</v>
      </c>
      <c r="E202" s="31" t="n">
        <v>38900</v>
      </c>
      <c r="F202" s="31" t="n">
        <v>38900</v>
      </c>
      <c r="G202" s="31" t="n">
        <v>574270</v>
      </c>
      <c r="H202" s="36" t="n">
        <v>-0.01017811704834604</v>
      </c>
      <c r="I202" s="36" t="n">
        <v>-0.115909090909091</v>
      </c>
      <c r="J202" s="31" t="n">
        <v>36192.5</v>
      </c>
      <c r="K202" s="31" t="n">
        <v>27265.83333333333</v>
      </c>
      <c r="L202" s="31" t="n">
        <v>22837</v>
      </c>
      <c r="M202" s="36" t="n">
        <v>0.8651988367859901</v>
      </c>
      <c r="N202" s="36" t="n">
        <v>1.120935277846404</v>
      </c>
      <c r="O202" s="36" t="n">
        <v>0.03457446808510634</v>
      </c>
      <c r="P202" s="36" t="n">
        <v>1.098166127292341</v>
      </c>
      <c r="Q202" s="36" t="n">
        <v>1.569352708058124</v>
      </c>
      <c r="R202" s="36" t="n">
        <v>0.07480831664018783</v>
      </c>
      <c r="S202" s="36" t="n">
        <v>0.4266939698646046</v>
      </c>
      <c r="T202" s="36" t="n">
        <v>0.703376100188291</v>
      </c>
      <c r="U202" s="31" t="n">
        <v>44000</v>
      </c>
      <c r="V202" s="31" t="n">
        <v>13990</v>
      </c>
      <c r="W202" s="36" t="n">
        <v>-0.115909090909091</v>
      </c>
      <c r="X202" s="36" t="n">
        <v>1.780557541100786</v>
      </c>
      <c r="Y202" s="31" t="n">
        <v>20476584</v>
      </c>
      <c r="Z202" s="31" t="n">
        <v>796539117600</v>
      </c>
      <c r="AA202" s="31" t="n">
        <v>22339103000</v>
      </c>
      <c r="AB202" s="31" t="n">
        <v>47691257897.5</v>
      </c>
      <c r="AC202" s="36" t="n">
        <v>0.02804520519633548</v>
      </c>
      <c r="AD202" s="29" t="inlineStr">
        <is>
          <t>yfinance_download</t>
        </is>
      </c>
      <c r="AE202" s="29" t="inlineStr">
        <is>
          <t>317330.KQ</t>
        </is>
      </c>
    </row>
    <row r="203" ht="24" customHeight="1">
      <c r="A203" s="24" t="inlineStr">
        <is>
          <t>2024-04-03</t>
        </is>
      </c>
      <c r="B203" s="30" t="n">
        <v>38000</v>
      </c>
      <c r="C203" s="30" t="n">
        <v>41750</v>
      </c>
      <c r="D203" s="30" t="n">
        <v>37600</v>
      </c>
      <c r="E203" s="30" t="n">
        <v>39350</v>
      </c>
      <c r="F203" s="30" t="n">
        <v>39350</v>
      </c>
      <c r="G203" s="30" t="n">
        <v>945170</v>
      </c>
      <c r="H203" s="35" t="n">
        <v>0.01156812339331625</v>
      </c>
      <c r="I203" s="35" t="n">
        <v>-0.1056818181818182</v>
      </c>
      <c r="J203" s="30" t="n">
        <v>36412.5</v>
      </c>
      <c r="K203" s="30" t="n">
        <v>27600</v>
      </c>
      <c r="L203" s="30" t="n">
        <v>23037.83333333333</v>
      </c>
      <c r="M203" s="35" t="n">
        <v>0.8205421770863821</v>
      </c>
      <c r="N203" s="35" t="n">
        <v>1.119607934066867</v>
      </c>
      <c r="O203" s="35" t="n">
        <v>0.1258941344778255</v>
      </c>
      <c r="P203" s="35" t="n">
        <v>1.038860103626943</v>
      </c>
      <c r="Q203" s="35" t="n">
        <v>1.580327868852459</v>
      </c>
      <c r="R203" s="35" t="n">
        <v>0.0806728458633712</v>
      </c>
      <c r="S203" s="35" t="n">
        <v>0.4257246376811594</v>
      </c>
      <c r="T203" s="35" t="n">
        <v>0.7080599304043349</v>
      </c>
      <c r="U203" s="30" t="n">
        <v>44000</v>
      </c>
      <c r="V203" s="30" t="n">
        <v>13990</v>
      </c>
      <c r="W203" s="35" t="n">
        <v>-0.1056818181818182</v>
      </c>
      <c r="X203" s="35" t="n">
        <v>1.812723373838456</v>
      </c>
      <c r="Y203" s="30" t="n">
        <v>20476584</v>
      </c>
      <c r="Z203" s="30" t="n">
        <v>805753580400</v>
      </c>
      <c r="AA203" s="30" t="n">
        <v>37192439500</v>
      </c>
      <c r="AB203" s="30" t="n">
        <v>47720045092.5</v>
      </c>
      <c r="AC203" s="35" t="n">
        <v>0.04615857801281698</v>
      </c>
      <c r="AD203" s="24" t="inlineStr">
        <is>
          <t>yfinance_download</t>
        </is>
      </c>
      <c r="AE203" s="24" t="inlineStr">
        <is>
          <t>317330.KQ</t>
        </is>
      </c>
    </row>
    <row r="204" ht="24" customHeight="1">
      <c r="A204" s="29" t="inlineStr">
        <is>
          <t>2024-04-04</t>
        </is>
      </c>
      <c r="B204" s="31" t="n">
        <v>39100</v>
      </c>
      <c r="C204" s="31" t="n">
        <v>39950</v>
      </c>
      <c r="D204" s="31" t="n">
        <v>37400</v>
      </c>
      <c r="E204" s="31" t="n">
        <v>37700</v>
      </c>
      <c r="F204" s="31" t="n">
        <v>37700</v>
      </c>
      <c r="G204" s="31" t="n">
        <v>564983</v>
      </c>
      <c r="H204" s="36" t="n">
        <v>-0.04193138500635329</v>
      </c>
      <c r="I204" s="36" t="n">
        <v>-0.1431818181818182</v>
      </c>
      <c r="J204" s="31" t="n">
        <v>36625</v>
      </c>
      <c r="K204" s="31" t="n">
        <v>27904.5</v>
      </c>
      <c r="L204" s="31" t="n">
        <v>23224.16666666667</v>
      </c>
      <c r="M204" s="36" t="n">
        <v>0.8197498815300961</v>
      </c>
      <c r="N204" s="36" t="n">
        <v>1.125421731117159</v>
      </c>
      <c r="O204" s="36" t="n">
        <v>0.1270553064275037</v>
      </c>
      <c r="P204" s="36" t="n">
        <v>0.9402985074626866</v>
      </c>
      <c r="Q204" s="36" t="n">
        <v>1.457627118644068</v>
      </c>
      <c r="R204" s="36" t="n">
        <v>0.02935153583617756</v>
      </c>
      <c r="S204" s="36" t="n">
        <v>0.3510365711623573</v>
      </c>
      <c r="T204" s="36" t="n">
        <v>0.623309053069719</v>
      </c>
      <c r="U204" s="31" t="n">
        <v>44000</v>
      </c>
      <c r="V204" s="31" t="n">
        <v>13990</v>
      </c>
      <c r="W204" s="36" t="n">
        <v>-0.1431818181818182</v>
      </c>
      <c r="X204" s="36" t="n">
        <v>1.694781987133667</v>
      </c>
      <c r="Y204" s="31" t="n">
        <v>20476584</v>
      </c>
      <c r="Z204" s="31" t="n">
        <v>771967216800</v>
      </c>
      <c r="AA204" s="31" t="n">
        <v>21299859100</v>
      </c>
      <c r="AB204" s="31" t="n">
        <v>47079439272.5</v>
      </c>
      <c r="AC204" s="36" t="n">
        <v>0.02759166274999775</v>
      </c>
      <c r="AD204" s="29" t="inlineStr">
        <is>
          <t>yfinance_download</t>
        </is>
      </c>
      <c r="AE204" s="29" t="inlineStr">
        <is>
          <t>317330.KQ</t>
        </is>
      </c>
    </row>
    <row r="205" ht="24" customHeight="1">
      <c r="A205" s="24" t="inlineStr">
        <is>
          <t>2024-04-05</t>
        </is>
      </c>
      <c r="B205" s="30" t="n">
        <v>36750</v>
      </c>
      <c r="C205" s="30" t="n">
        <v>38800</v>
      </c>
      <c r="D205" s="30" t="n">
        <v>36350</v>
      </c>
      <c r="E205" s="30" t="n">
        <v>38150</v>
      </c>
      <c r="F205" s="30" t="n">
        <v>38150</v>
      </c>
      <c r="G205" s="30" t="n">
        <v>371410</v>
      </c>
      <c r="H205" s="35" t="n">
        <v>0.01193633952254647</v>
      </c>
      <c r="I205" s="35" t="n">
        <v>-0.1329545454545454</v>
      </c>
      <c r="J205" s="30" t="n">
        <v>36907.5</v>
      </c>
      <c r="K205" s="30" t="n">
        <v>28219</v>
      </c>
      <c r="L205" s="30" t="n">
        <v>23408.75</v>
      </c>
      <c r="M205" s="35" t="n">
        <v>0.8089264455405143</v>
      </c>
      <c r="N205" s="35" t="n">
        <v>1.124567407082212</v>
      </c>
      <c r="O205" s="35" t="n">
        <v>0.1738461538461538</v>
      </c>
      <c r="P205" s="35" t="n">
        <v>0.978734439834025</v>
      </c>
      <c r="Q205" s="35" t="n">
        <v>1.384375</v>
      </c>
      <c r="R205" s="35" t="n">
        <v>0.03366524419155992</v>
      </c>
      <c r="S205" s="35" t="n">
        <v>0.3519260073000461</v>
      </c>
      <c r="T205" s="35" t="n">
        <v>0.629732471832114</v>
      </c>
      <c r="U205" s="30" t="n">
        <v>44000</v>
      </c>
      <c r="V205" s="30" t="n">
        <v>13990</v>
      </c>
      <c r="W205" s="35" t="n">
        <v>-0.1329545454545454</v>
      </c>
      <c r="X205" s="35" t="n">
        <v>1.726947819871337</v>
      </c>
      <c r="Y205" s="30" t="n">
        <v>20476584</v>
      </c>
      <c r="Z205" s="30" t="n">
        <v>781181679600</v>
      </c>
      <c r="AA205" s="30" t="n">
        <v>14169291500</v>
      </c>
      <c r="AB205" s="30" t="n">
        <v>42562129722.5</v>
      </c>
      <c r="AC205" s="35" t="n">
        <v>0.01813827931455755</v>
      </c>
      <c r="AD205" s="24" t="inlineStr">
        <is>
          <t>yfinance_download</t>
        </is>
      </c>
      <c r="AE205" s="24" t="inlineStr">
        <is>
          <t>317330.KQ</t>
        </is>
      </c>
    </row>
    <row r="206" ht="24" customHeight="1">
      <c r="A206" s="29" t="inlineStr">
        <is>
          <t>2024-04-08</t>
        </is>
      </c>
      <c r="B206" s="31" t="n">
        <v>38200</v>
      </c>
      <c r="C206" s="31" t="n">
        <v>40450</v>
      </c>
      <c r="D206" s="31" t="n">
        <v>36150</v>
      </c>
      <c r="E206" s="31" t="n">
        <v>37450</v>
      </c>
      <c r="F206" s="31" t="n">
        <v>37450</v>
      </c>
      <c r="G206" s="31" t="n">
        <v>686365</v>
      </c>
      <c r="H206" s="36" t="n">
        <v>-0.01834862385321101</v>
      </c>
      <c r="I206" s="36" t="n">
        <v>-0.1488636363636363</v>
      </c>
      <c r="J206" s="31" t="n">
        <v>37150</v>
      </c>
      <c r="K206" s="31" t="n">
        <v>28521.33333333333</v>
      </c>
      <c r="L206" s="31" t="n">
        <v>23588.5</v>
      </c>
      <c r="M206" s="36" t="n">
        <v>0.8146502976505494</v>
      </c>
      <c r="N206" s="36" t="n">
        <v>1.126225601123365</v>
      </c>
      <c r="O206" s="36" t="n">
        <v>0.1487730061349692</v>
      </c>
      <c r="P206" s="36" t="n">
        <v>0.9394096323148629</v>
      </c>
      <c r="Q206" s="36" t="n">
        <v>1.35831234256927</v>
      </c>
      <c r="R206" s="36" t="n">
        <v>0.008075370121130465</v>
      </c>
      <c r="S206" s="36" t="n">
        <v>0.313052218222617</v>
      </c>
      <c r="T206" s="36" t="n">
        <v>0.5876380439621001</v>
      </c>
      <c r="U206" s="31" t="n">
        <v>44000</v>
      </c>
      <c r="V206" s="31" t="n">
        <v>13990</v>
      </c>
      <c r="W206" s="36" t="n">
        <v>-0.1488636363636363</v>
      </c>
      <c r="X206" s="36" t="n">
        <v>1.676912080057184</v>
      </c>
      <c r="Y206" s="31" t="n">
        <v>20476584</v>
      </c>
      <c r="Z206" s="31" t="n">
        <v>766848070800</v>
      </c>
      <c r="AA206" s="31" t="n">
        <v>25704369250</v>
      </c>
      <c r="AB206" s="31" t="n">
        <v>42375748325</v>
      </c>
      <c r="AC206" s="36" t="n">
        <v>0.03351950696463824</v>
      </c>
      <c r="AD206" s="29" t="inlineStr">
        <is>
          <t>yfinance_download</t>
        </is>
      </c>
      <c r="AE206" s="29" t="inlineStr">
        <is>
          <t>317330.KQ</t>
        </is>
      </c>
    </row>
    <row r="207" ht="24" customHeight="1">
      <c r="A207" s="24" t="inlineStr">
        <is>
          <t>2024-04-09</t>
        </is>
      </c>
      <c r="B207" s="30" t="n">
        <v>38250</v>
      </c>
      <c r="C207" s="30" t="n">
        <v>41500</v>
      </c>
      <c r="D207" s="30" t="n">
        <v>37950</v>
      </c>
      <c r="E207" s="30" t="n">
        <v>40050</v>
      </c>
      <c r="F207" s="30" t="n">
        <v>40050</v>
      </c>
      <c r="G207" s="30" t="n">
        <v>892724</v>
      </c>
      <c r="H207" s="35" t="n">
        <v>0.06942590120160208</v>
      </c>
      <c r="I207" s="35" t="n">
        <v>-0.08977272727272723</v>
      </c>
      <c r="J207" s="30" t="n">
        <v>37507.5</v>
      </c>
      <c r="K207" s="30" t="n">
        <v>28867.33333333333</v>
      </c>
      <c r="L207" s="30" t="n">
        <v>23770.5</v>
      </c>
      <c r="M207" s="35" t="n">
        <v>0.8432006060998837</v>
      </c>
      <c r="N207" s="35" t="n">
        <v>1.131615949217218</v>
      </c>
      <c r="O207" s="35" t="n">
        <v>0.2173252279635258</v>
      </c>
      <c r="P207" s="35" t="n">
        <v>1.076205287713841</v>
      </c>
      <c r="Q207" s="35" t="n">
        <v>1.199341021416804</v>
      </c>
      <c r="R207" s="35" t="n">
        <v>0.06778644271145762</v>
      </c>
      <c r="S207" s="35" t="n">
        <v>0.3873813537793585</v>
      </c>
      <c r="T207" s="35" t="n">
        <v>0.6848614879787973</v>
      </c>
      <c r="U207" s="30" t="n">
        <v>44000</v>
      </c>
      <c r="V207" s="30" t="n">
        <v>13990</v>
      </c>
      <c r="W207" s="35" t="n">
        <v>-0.08977272727272723</v>
      </c>
      <c r="X207" s="35" t="n">
        <v>1.862759113652609</v>
      </c>
      <c r="Y207" s="30" t="n">
        <v>20476584</v>
      </c>
      <c r="Z207" s="30" t="n">
        <v>820087189200</v>
      </c>
      <c r="AA207" s="30" t="n">
        <v>35753596200</v>
      </c>
      <c r="AB207" s="30" t="n">
        <v>43086991130</v>
      </c>
      <c r="AC207" s="35" t="n">
        <v>0.04359731095772615</v>
      </c>
      <c r="AD207" s="24" t="inlineStr">
        <is>
          <t>yfinance_download</t>
        </is>
      </c>
      <c r="AE207" s="24" t="inlineStr">
        <is>
          <t>317330.KQ</t>
        </is>
      </c>
    </row>
    <row r="208" ht="24" customHeight="1">
      <c r="A208" s="29" t="inlineStr">
        <is>
          <t>2024-04-11</t>
        </is>
      </c>
      <c r="B208" s="31" t="n">
        <v>40500</v>
      </c>
      <c r="C208" s="31" t="n">
        <v>42500</v>
      </c>
      <c r="D208" s="31" t="n">
        <v>39450</v>
      </c>
      <c r="E208" s="31" t="n">
        <v>40700</v>
      </c>
      <c r="F208" s="31" t="n">
        <v>40700</v>
      </c>
      <c r="G208" s="31" t="n">
        <v>689452</v>
      </c>
      <c r="H208" s="36" t="n">
        <v>0.01622971285892638</v>
      </c>
      <c r="I208" s="36" t="n">
        <v>-0.07499999999999996</v>
      </c>
      <c r="J208" s="31" t="n">
        <v>37932.5</v>
      </c>
      <c r="K208" s="31" t="n">
        <v>29232.83333333333</v>
      </c>
      <c r="L208" s="31" t="n">
        <v>23959.83333333333</v>
      </c>
      <c r="M208" s="36" t="n">
        <v>0.8345117379094062</v>
      </c>
      <c r="N208" s="36" t="n">
        <v>1.128304415723212</v>
      </c>
      <c r="O208" s="36" t="n">
        <v>0.2639751552795031</v>
      </c>
      <c r="P208" s="36" t="n">
        <v>1.168353755993607</v>
      </c>
      <c r="Q208" s="36" t="n">
        <v>1.263626251390434</v>
      </c>
      <c r="R208" s="36" t="n">
        <v>0.07295854478349706</v>
      </c>
      <c r="S208" s="36" t="n">
        <v>0.3922701072424273</v>
      </c>
      <c r="T208" s="36" t="n">
        <v>0.6986762567908793</v>
      </c>
      <c r="U208" s="31" t="n">
        <v>44000</v>
      </c>
      <c r="V208" s="31" t="n">
        <v>13990</v>
      </c>
      <c r="W208" s="36" t="n">
        <v>-0.07499999999999996</v>
      </c>
      <c r="X208" s="36" t="n">
        <v>1.909220872051465</v>
      </c>
      <c r="Y208" s="31" t="n">
        <v>20476584</v>
      </c>
      <c r="Z208" s="31" t="n">
        <v>833396968800</v>
      </c>
      <c r="AA208" s="31" t="n">
        <v>28060696400</v>
      </c>
      <c r="AB208" s="31" t="n">
        <v>42941123840</v>
      </c>
      <c r="AC208" s="36" t="n">
        <v>0.03367026453240443</v>
      </c>
      <c r="AD208" s="29" t="inlineStr">
        <is>
          <t>yfinance_download</t>
        </is>
      </c>
      <c r="AE208" s="29" t="inlineStr">
        <is>
          <t>317330.KQ</t>
        </is>
      </c>
    </row>
    <row r="209" ht="24" customHeight="1">
      <c r="A209" s="24" t="inlineStr">
        <is>
          <t>2024-04-12</t>
        </is>
      </c>
      <c r="B209" s="30" t="n">
        <v>41250</v>
      </c>
      <c r="C209" s="30" t="n">
        <v>41650</v>
      </c>
      <c r="D209" s="30" t="n">
        <v>39700</v>
      </c>
      <c r="E209" s="30" t="n">
        <v>40100</v>
      </c>
      <c r="F209" s="30" t="n">
        <v>40100</v>
      </c>
      <c r="G209" s="30" t="n">
        <v>378548</v>
      </c>
      <c r="H209" s="35" t="n">
        <v>-0.01474201474201475</v>
      </c>
      <c r="I209" s="35" t="n">
        <v>-0.08863636363636362</v>
      </c>
      <c r="J209" s="30" t="n">
        <v>38385</v>
      </c>
      <c r="K209" s="30" t="n">
        <v>29568.66666666667</v>
      </c>
      <c r="L209" s="30" t="n">
        <v>24134.41666666667</v>
      </c>
      <c r="M209" s="35" t="n">
        <v>0.8214708162515418</v>
      </c>
      <c r="N209" s="35" t="n">
        <v>1.125531573303495</v>
      </c>
      <c r="O209" s="35" t="n">
        <v>0.2914653784219001</v>
      </c>
      <c r="P209" s="35" t="n">
        <v>1.010025062656642</v>
      </c>
      <c r="Q209" s="35" t="n">
        <v>1.093994778067885</v>
      </c>
      <c r="R209" s="35" t="n">
        <v>0.04467891103295552</v>
      </c>
      <c r="S209" s="35" t="n">
        <v>0.3561653101255833</v>
      </c>
      <c r="T209" s="35" t="n">
        <v>0.6615276247958481</v>
      </c>
      <c r="U209" s="30" t="n">
        <v>44000</v>
      </c>
      <c r="V209" s="30" t="n">
        <v>13990</v>
      </c>
      <c r="W209" s="35" t="n">
        <v>-0.08863636363636362</v>
      </c>
      <c r="X209" s="35" t="n">
        <v>1.866333095067906</v>
      </c>
      <c r="Y209" s="30" t="n">
        <v>20476584</v>
      </c>
      <c r="Z209" s="30" t="n">
        <v>821111018400</v>
      </c>
      <c r="AA209" s="30" t="n">
        <v>15179774800</v>
      </c>
      <c r="AB209" s="30" t="n">
        <v>43120711817.5</v>
      </c>
      <c r="AC209" s="35" t="n">
        <v>0.01848687261508072</v>
      </c>
      <c r="AD209" s="24" t="inlineStr">
        <is>
          <t>yfinance_download</t>
        </is>
      </c>
      <c r="AE209" s="24" t="inlineStr">
        <is>
          <t>317330.KQ</t>
        </is>
      </c>
    </row>
    <row r="210" ht="24" customHeight="1">
      <c r="A210" s="29" t="inlineStr">
        <is>
          <t>2024-04-15</t>
        </is>
      </c>
      <c r="B210" s="31" t="n">
        <v>41550</v>
      </c>
      <c r="C210" s="31" t="n">
        <v>43250</v>
      </c>
      <c r="D210" s="31" t="n">
        <v>40300</v>
      </c>
      <c r="E210" s="31" t="n">
        <v>40500</v>
      </c>
      <c r="F210" s="31" t="n">
        <v>40500</v>
      </c>
      <c r="G210" s="31" t="n">
        <v>1593370</v>
      </c>
      <c r="H210" s="36" t="n">
        <v>0.009975062344139696</v>
      </c>
      <c r="I210" s="36" t="n">
        <v>-0.07954545454545459</v>
      </c>
      <c r="J210" s="31" t="n">
        <v>38780</v>
      </c>
      <c r="K210" s="31" t="n">
        <v>29908.66666666667</v>
      </c>
      <c r="L210" s="31" t="n">
        <v>24312.33333333333</v>
      </c>
      <c r="M210" s="36" t="n">
        <v>0.8105433806306521</v>
      </c>
      <c r="N210" s="36" t="n">
        <v>1.125482522778585</v>
      </c>
      <c r="O210" s="36" t="n">
        <v>0.2423312883435582</v>
      </c>
      <c r="P210" s="36" t="n">
        <v>1.014925373134328</v>
      </c>
      <c r="Q210" s="36" t="n">
        <v>1.114882506527415</v>
      </c>
      <c r="R210" s="36" t="n">
        <v>0.04435275915420323</v>
      </c>
      <c r="S210" s="36" t="n">
        <v>0.3541225508771146</v>
      </c>
      <c r="T210" s="36" t="n">
        <v>0.6658211881486764</v>
      </c>
      <c r="U210" s="31" t="n">
        <v>44000</v>
      </c>
      <c r="V210" s="31" t="n">
        <v>13990</v>
      </c>
      <c r="W210" s="36" t="n">
        <v>-0.07954545454545459</v>
      </c>
      <c r="X210" s="36" t="n">
        <v>1.894924946390279</v>
      </c>
      <c r="Y210" s="31" t="n">
        <v>20476584</v>
      </c>
      <c r="Z210" s="31" t="n">
        <v>829301652000</v>
      </c>
      <c r="AA210" s="31" t="n">
        <v>64531485000</v>
      </c>
      <c r="AB210" s="31" t="n">
        <v>43995355807.5</v>
      </c>
      <c r="AC210" s="36" t="n">
        <v>0.07781424870476443</v>
      </c>
      <c r="AD210" s="29" t="inlineStr">
        <is>
          <t>yfinance_download</t>
        </is>
      </c>
      <c r="AE210" s="29" t="inlineStr">
        <is>
          <t>317330.KQ</t>
        </is>
      </c>
    </row>
    <row r="211" ht="24" customHeight="1">
      <c r="A211" s="24" t="inlineStr">
        <is>
          <t>2024-04-16</t>
        </is>
      </c>
      <c r="B211" s="30" t="n">
        <v>39850</v>
      </c>
      <c r="C211" s="30" t="n">
        <v>41650</v>
      </c>
      <c r="D211" s="30" t="n">
        <v>38200</v>
      </c>
      <c r="E211" s="30" t="n">
        <v>40150</v>
      </c>
      <c r="F211" s="30" t="n">
        <v>40150</v>
      </c>
      <c r="G211" s="30" t="n">
        <v>635614</v>
      </c>
      <c r="H211" s="35" t="n">
        <v>-0.008641975308641969</v>
      </c>
      <c r="I211" s="35" t="n">
        <v>-0.08750000000000002</v>
      </c>
      <c r="J211" s="30" t="n">
        <v>39062.5</v>
      </c>
      <c r="K211" s="30" t="n">
        <v>30254.83333333333</v>
      </c>
      <c r="L211" s="30" t="n">
        <v>24492.41666666667</v>
      </c>
      <c r="M211" s="35" t="n">
        <v>0.7946448191729349</v>
      </c>
      <c r="N211" s="35" t="n">
        <v>1.121712756561567</v>
      </c>
      <c r="O211" s="35" t="n">
        <v>0.163768115942029</v>
      </c>
      <c r="P211" s="35" t="n">
        <v>1.07172342621259</v>
      </c>
      <c r="Q211" s="35" t="n">
        <v>1.165587918015103</v>
      </c>
      <c r="R211" s="35" t="n">
        <v>0.02784000000000009</v>
      </c>
      <c r="S211" s="35" t="n">
        <v>0.3270606900274888</v>
      </c>
      <c r="T211" s="35" t="n">
        <v>0.6392829072944346</v>
      </c>
      <c r="U211" s="30" t="n">
        <v>44000</v>
      </c>
      <c r="V211" s="30" t="n">
        <v>13990</v>
      </c>
      <c r="W211" s="35" t="n">
        <v>-0.08750000000000002</v>
      </c>
      <c r="X211" s="35" t="n">
        <v>1.869907076483202</v>
      </c>
      <c r="Y211" s="30" t="n">
        <v>20476584</v>
      </c>
      <c r="Z211" s="30" t="n">
        <v>822134847600</v>
      </c>
      <c r="AA211" s="30" t="n">
        <v>25519902100</v>
      </c>
      <c r="AB211" s="30" t="n">
        <v>43566100437.5</v>
      </c>
      <c r="AC211" s="35" t="n">
        <v>0.03104101738844721</v>
      </c>
      <c r="AD211" s="24" t="inlineStr">
        <is>
          <t>yfinance_download</t>
        </is>
      </c>
      <c r="AE211" s="24" t="inlineStr">
        <is>
          <t>317330.KQ</t>
        </is>
      </c>
    </row>
    <row r="212" ht="24" customHeight="1">
      <c r="A212" s="29" t="inlineStr">
        <is>
          <t>2024-04-17</t>
        </is>
      </c>
      <c r="B212" s="31" t="n">
        <v>40600</v>
      </c>
      <c r="C212" s="31" t="n">
        <v>41350</v>
      </c>
      <c r="D212" s="31" t="n">
        <v>37850</v>
      </c>
      <c r="E212" s="31" t="n">
        <v>38100</v>
      </c>
      <c r="F212" s="31" t="n">
        <v>38100</v>
      </c>
      <c r="G212" s="31" t="n">
        <v>459676</v>
      </c>
      <c r="H212" s="36" t="n">
        <v>-0.05105853051058529</v>
      </c>
      <c r="I212" s="36" t="n">
        <v>-0.134090909090909</v>
      </c>
      <c r="J212" s="31" t="n">
        <v>39242.5</v>
      </c>
      <c r="K212" s="31" t="n">
        <v>30557.16666666667</v>
      </c>
      <c r="L212" s="31" t="n">
        <v>24667.5</v>
      </c>
      <c r="M212" s="36" t="n">
        <v>0.8223066996907317</v>
      </c>
      <c r="N212" s="36" t="n">
        <v>1.129203780888007</v>
      </c>
      <c r="O212" s="36" t="n">
        <v>0.1043478260869566</v>
      </c>
      <c r="P212" s="36" t="n">
        <v>0.908817635270541</v>
      </c>
      <c r="Q212" s="36" t="n">
        <v>1.229373902867174</v>
      </c>
      <c r="R212" s="36" t="n">
        <v>-0.02911384340956868</v>
      </c>
      <c r="S212" s="36" t="n">
        <v>0.2468433482598189</v>
      </c>
      <c r="T212" s="36" t="n">
        <v>0.5445424141076316</v>
      </c>
      <c r="U212" s="31" t="n">
        <v>44000</v>
      </c>
      <c r="V212" s="31" t="n">
        <v>13990</v>
      </c>
      <c r="W212" s="36" t="n">
        <v>-0.134090909090909</v>
      </c>
      <c r="X212" s="36" t="n">
        <v>1.72337383845604</v>
      </c>
      <c r="Y212" s="31" t="n">
        <v>20476584</v>
      </c>
      <c r="Z212" s="31" t="n">
        <v>780157850400</v>
      </c>
      <c r="AA212" s="31" t="n">
        <v>17513655600</v>
      </c>
      <c r="AB212" s="31" t="n">
        <v>43635118017.5</v>
      </c>
      <c r="AC212" s="36" t="n">
        <v>0.02244886158746009</v>
      </c>
      <c r="AD212" s="29" t="inlineStr">
        <is>
          <t>yfinance_download</t>
        </is>
      </c>
      <c r="AE212" s="29" t="inlineStr">
        <is>
          <t>317330.KQ</t>
        </is>
      </c>
    </row>
    <row r="213" ht="24" customHeight="1">
      <c r="A213" s="24" t="inlineStr">
        <is>
          <t>2024-04-18</t>
        </is>
      </c>
      <c r="B213" s="30" t="n">
        <v>37950</v>
      </c>
      <c r="C213" s="30" t="n">
        <v>39400</v>
      </c>
      <c r="D213" s="30" t="n">
        <v>37850</v>
      </c>
      <c r="E213" s="30" t="n">
        <v>38100</v>
      </c>
      <c r="F213" s="30" t="n">
        <v>38100</v>
      </c>
      <c r="G213" s="30" t="n">
        <v>358228</v>
      </c>
      <c r="H213" s="35" t="n">
        <v>0</v>
      </c>
      <c r="I213" s="35" t="n">
        <v>-0.134090909090909</v>
      </c>
      <c r="J213" s="30" t="n">
        <v>39397.5</v>
      </c>
      <c r="K213" s="30" t="n">
        <v>30832.16666666667</v>
      </c>
      <c r="L213" s="30" t="n">
        <v>24821.66666666667</v>
      </c>
      <c r="M213" s="35" t="n">
        <v>0.8219816816682859</v>
      </c>
      <c r="N213" s="35" t="n">
        <v>1.120269414001925</v>
      </c>
      <c r="O213" s="35" t="n">
        <v>0.08857142857142852</v>
      </c>
      <c r="P213" s="35" t="n">
        <v>0.7638888888888888</v>
      </c>
      <c r="Q213" s="35" t="n">
        <v>0.9438775510204083</v>
      </c>
      <c r="R213" s="35" t="n">
        <v>-0.03293356177422424</v>
      </c>
      <c r="S213" s="35" t="n">
        <v>0.2357224327406982</v>
      </c>
      <c r="T213" s="35" t="n">
        <v>0.5349493050426375</v>
      </c>
      <c r="U213" s="30" t="n">
        <v>44000</v>
      </c>
      <c r="V213" s="30" t="n">
        <v>13990</v>
      </c>
      <c r="W213" s="35" t="n">
        <v>-0.134090909090909</v>
      </c>
      <c r="X213" s="35" t="n">
        <v>1.72337383845604</v>
      </c>
      <c r="Y213" s="30" t="n">
        <v>20476584</v>
      </c>
      <c r="Z213" s="30" t="n">
        <v>780157850400</v>
      </c>
      <c r="AA213" s="30" t="n">
        <v>13648486800</v>
      </c>
      <c r="AB213" s="30" t="n">
        <v>43456082107.5</v>
      </c>
      <c r="AC213" s="35" t="n">
        <v>0.01749451959369785</v>
      </c>
      <c r="AD213" s="24" t="inlineStr">
        <is>
          <t>yfinance_download</t>
        </is>
      </c>
      <c r="AE213" s="24" t="inlineStr">
        <is>
          <t>317330.KQ</t>
        </is>
      </c>
    </row>
    <row r="214" ht="24" customHeight="1">
      <c r="A214" s="29" t="inlineStr">
        <is>
          <t>2024-04-19</t>
        </is>
      </c>
      <c r="B214" s="31" t="n">
        <v>38350</v>
      </c>
      <c r="C214" s="31" t="n">
        <v>38500</v>
      </c>
      <c r="D214" s="31" t="n">
        <v>35500</v>
      </c>
      <c r="E214" s="31" t="n">
        <v>35950</v>
      </c>
      <c r="F214" s="31" t="n">
        <v>35950</v>
      </c>
      <c r="G214" s="31" t="n">
        <v>507835</v>
      </c>
      <c r="H214" s="36" t="n">
        <v>-0.05643044619422577</v>
      </c>
      <c r="I214" s="36" t="n">
        <v>-0.1829545454545455</v>
      </c>
      <c r="J214" s="31" t="n">
        <v>39370</v>
      </c>
      <c r="K214" s="31" t="n">
        <v>31094.66666666667</v>
      </c>
      <c r="L214" s="31" t="n">
        <v>24961.41666666667</v>
      </c>
      <c r="M214" s="36" t="n">
        <v>0.8375322195468891</v>
      </c>
      <c r="N214" s="36" t="n">
        <v>1.11795084568828</v>
      </c>
      <c r="O214" s="36" t="n">
        <v>-0.01506849315068493</v>
      </c>
      <c r="P214" s="36" t="n">
        <v>0.7797029702970297</v>
      </c>
      <c r="Q214" s="36" t="n">
        <v>0.8743482794577686</v>
      </c>
      <c r="R214" s="36" t="n">
        <v>-0.08686817373634748</v>
      </c>
      <c r="S214" s="36" t="n">
        <v>0.1561468204622443</v>
      </c>
      <c r="T214" s="36" t="n">
        <v>0.4402227437678816</v>
      </c>
      <c r="U214" s="31" t="n">
        <v>44000</v>
      </c>
      <c r="V214" s="31" t="n">
        <v>13990</v>
      </c>
      <c r="W214" s="36" t="n">
        <v>-0.1829545454545455</v>
      </c>
      <c r="X214" s="36" t="n">
        <v>1.569692637598285</v>
      </c>
      <c r="Y214" s="31" t="n">
        <v>20476584</v>
      </c>
      <c r="Z214" s="31" t="n">
        <v>736133194800</v>
      </c>
      <c r="AA214" s="31" t="n">
        <v>18256668250</v>
      </c>
      <c r="AB214" s="31" t="n">
        <v>42444286945</v>
      </c>
      <c r="AC214" s="36" t="n">
        <v>0.02480076754989993</v>
      </c>
      <c r="AD214" s="29" t="inlineStr">
        <is>
          <t>yfinance_download</t>
        </is>
      </c>
      <c r="AE214" s="29" t="inlineStr">
        <is>
          <t>317330.KQ</t>
        </is>
      </c>
    </row>
    <row r="215" ht="24" customHeight="1">
      <c r="A215" s="24" t="inlineStr">
        <is>
          <t>2024-04-22</t>
        </is>
      </c>
      <c r="B215" s="30" t="n">
        <v>35500</v>
      </c>
      <c r="C215" s="30" t="n">
        <v>36800</v>
      </c>
      <c r="D215" s="30" t="n">
        <v>33900</v>
      </c>
      <c r="E215" s="30" t="n">
        <v>36550</v>
      </c>
      <c r="F215" s="30" t="n">
        <v>36550</v>
      </c>
      <c r="G215" s="30" t="n">
        <v>575545</v>
      </c>
      <c r="H215" s="35" t="n">
        <v>0.01668984700973564</v>
      </c>
      <c r="I215" s="35" t="n">
        <v>-0.1693181818181818</v>
      </c>
      <c r="J215" s="30" t="n">
        <v>39407.5</v>
      </c>
      <c r="K215" s="30" t="n">
        <v>31378.83333333333</v>
      </c>
      <c r="L215" s="30" t="n">
        <v>25110.58333333333</v>
      </c>
      <c r="M215" s="35" t="n">
        <v>0.8360140687916869</v>
      </c>
      <c r="N215" s="35" t="n">
        <v>1.113762283248991</v>
      </c>
      <c r="O215" s="35" t="n">
        <v>0.02094972067039103</v>
      </c>
      <c r="P215" s="35" t="n">
        <v>0.8743589743589744</v>
      </c>
      <c r="Q215" s="35" t="n">
        <v>0.9597855227882037</v>
      </c>
      <c r="R215" s="35" t="n">
        <v>-0.072511577745353</v>
      </c>
      <c r="S215" s="35" t="n">
        <v>0.1647979264153649</v>
      </c>
      <c r="T215" s="35" t="n">
        <v>0.4555615660063652</v>
      </c>
      <c r="U215" s="30" t="n">
        <v>44000</v>
      </c>
      <c r="V215" s="30" t="n">
        <v>13990</v>
      </c>
      <c r="W215" s="35" t="n">
        <v>-0.1693181818181818</v>
      </c>
      <c r="X215" s="35" t="n">
        <v>1.612580414581844</v>
      </c>
      <c r="Y215" s="30" t="n">
        <v>20476584</v>
      </c>
      <c r="Z215" s="30" t="n">
        <v>748419145200</v>
      </c>
      <c r="AA215" s="30" t="n">
        <v>21036169750</v>
      </c>
      <c r="AB215" s="30" t="n">
        <v>42308485922.5</v>
      </c>
      <c r="AC215" s="35" t="n">
        <v>0.0281074714415256</v>
      </c>
      <c r="AD215" s="24" t="inlineStr">
        <is>
          <t>yfinance_download</t>
        </is>
      </c>
      <c r="AE215" s="24" t="inlineStr">
        <is>
          <t>317330.KQ</t>
        </is>
      </c>
    </row>
    <row r="216" ht="24" customHeight="1">
      <c r="A216" s="29" t="inlineStr">
        <is>
          <t>2024-04-23</t>
        </is>
      </c>
      <c r="B216" s="31" t="n">
        <v>36600</v>
      </c>
      <c r="C216" s="31" t="n">
        <v>38200</v>
      </c>
      <c r="D216" s="31" t="n">
        <v>36450</v>
      </c>
      <c r="E216" s="31" t="n">
        <v>37300</v>
      </c>
      <c r="F216" s="31" t="n">
        <v>37300</v>
      </c>
      <c r="G216" s="31" t="n">
        <v>233408</v>
      </c>
      <c r="H216" s="36" t="n">
        <v>0.02051983584131323</v>
      </c>
      <c r="I216" s="36" t="n">
        <v>-0.1522727272727272</v>
      </c>
      <c r="J216" s="31" t="n">
        <v>39257.5</v>
      </c>
      <c r="K216" s="31" t="n">
        <v>31682.66666666667</v>
      </c>
      <c r="L216" s="31" t="n">
        <v>25264.25</v>
      </c>
      <c r="M216" s="36" t="n">
        <v>0.7029154642480743</v>
      </c>
      <c r="N216" s="36" t="n">
        <v>1.111494075423666</v>
      </c>
      <c r="O216" s="36" t="n">
        <v>-0.07444168734491319</v>
      </c>
      <c r="P216" s="36" t="n">
        <v>0.9559517566858942</v>
      </c>
      <c r="Q216" s="36" t="n">
        <v>0.9777306468716862</v>
      </c>
      <c r="R216" s="36" t="n">
        <v>-0.04986308348723179</v>
      </c>
      <c r="S216" s="36" t="n">
        <v>0.1772998905816008</v>
      </c>
      <c r="T216" s="36" t="n">
        <v>0.4763945100289935</v>
      </c>
      <c r="U216" s="31" t="n">
        <v>44000</v>
      </c>
      <c r="V216" s="31" t="n">
        <v>13990</v>
      </c>
      <c r="W216" s="36" t="n">
        <v>-0.1522727272727272</v>
      </c>
      <c r="X216" s="36" t="n">
        <v>1.666190135811294</v>
      </c>
      <c r="Y216" s="31" t="n">
        <v>20476584</v>
      </c>
      <c r="Z216" s="31" t="n">
        <v>763776583200</v>
      </c>
      <c r="AA216" s="31" t="n">
        <v>8706118400</v>
      </c>
      <c r="AB216" s="31" t="n">
        <v>35834808202.5</v>
      </c>
      <c r="AC216" s="36" t="n">
        <v>0.01139877628026237</v>
      </c>
      <c r="AD216" s="29" t="inlineStr">
        <is>
          <t>yfinance_download</t>
        </is>
      </c>
      <c r="AE216" s="29" t="inlineStr">
        <is>
          <t>317330.KQ</t>
        </is>
      </c>
    </row>
    <row r="217" ht="24" customHeight="1">
      <c r="A217" s="24" t="inlineStr">
        <is>
          <t>2024-04-24</t>
        </is>
      </c>
      <c r="B217" s="30" t="n">
        <v>38600</v>
      </c>
      <c r="C217" s="30" t="n">
        <v>41600</v>
      </c>
      <c r="D217" s="30" t="n">
        <v>37600</v>
      </c>
      <c r="E217" s="30" t="n">
        <v>41100</v>
      </c>
      <c r="F217" s="30" t="n">
        <v>41100</v>
      </c>
      <c r="G217" s="30" t="n">
        <v>762946</v>
      </c>
      <c r="H217" s="35" t="n">
        <v>0.1018766756032172</v>
      </c>
      <c r="I217" s="35" t="n">
        <v>-0.06590909090909092</v>
      </c>
      <c r="J217" s="30" t="n">
        <v>39195</v>
      </c>
      <c r="K217" s="30" t="n">
        <v>32063.33333333333</v>
      </c>
      <c r="L217" s="30" t="n">
        <v>25448.5</v>
      </c>
      <c r="M217" s="35" t="n">
        <v>0.7743861567031979</v>
      </c>
      <c r="N217" s="35" t="n">
        <v>1.119799989554363</v>
      </c>
      <c r="O217" s="35" t="n">
        <v>-0.02951593860684765</v>
      </c>
      <c r="P217" s="35" t="n">
        <v>1.250821467688938</v>
      </c>
      <c r="Q217" s="35" t="n">
        <v>1.164296998420221</v>
      </c>
      <c r="R217" s="35" t="n">
        <v>0.04860313815537687</v>
      </c>
      <c r="S217" s="35" t="n">
        <v>0.2818380289011333</v>
      </c>
      <c r="T217" s="35" t="n">
        <v>0.6150264259190128</v>
      </c>
      <c r="U217" s="30" t="n">
        <v>44000</v>
      </c>
      <c r="V217" s="30" t="n">
        <v>13990</v>
      </c>
      <c r="W217" s="35" t="n">
        <v>-0.06590909090909092</v>
      </c>
      <c r="X217" s="35" t="n">
        <v>1.937812723373838</v>
      </c>
      <c r="Y217" s="30" t="n">
        <v>20476584</v>
      </c>
      <c r="Z217" s="30" t="n">
        <v>841587602400</v>
      </c>
      <c r="AA217" s="30" t="n">
        <v>31357080600</v>
      </c>
      <c r="AB217" s="30" t="n">
        <v>33598372320</v>
      </c>
      <c r="AC217" s="35" t="n">
        <v>0.03725943741397491</v>
      </c>
      <c r="AD217" s="24" t="inlineStr">
        <is>
          <t>yfinance_download</t>
        </is>
      </c>
      <c r="AE217" s="24" t="inlineStr">
        <is>
          <t>317330.KQ</t>
        </is>
      </c>
    </row>
    <row r="218" ht="24" customHeight="1">
      <c r="A218" s="29" t="inlineStr">
        <is>
          <t>2024-04-25</t>
        </is>
      </c>
      <c r="B218" s="31" t="n">
        <v>40600</v>
      </c>
      <c r="C218" s="31" t="n">
        <v>40850</v>
      </c>
      <c r="D218" s="31" t="n">
        <v>39150</v>
      </c>
      <c r="E218" s="31" t="n">
        <v>40400</v>
      </c>
      <c r="F218" s="31" t="n">
        <v>40400</v>
      </c>
      <c r="G218" s="31" t="n">
        <v>371619</v>
      </c>
      <c r="H218" s="36" t="n">
        <v>-0.01703163017031628</v>
      </c>
      <c r="I218" s="36" t="n">
        <v>-0.08181818181818179</v>
      </c>
      <c r="J218" s="31" t="n">
        <v>39215</v>
      </c>
      <c r="K218" s="31" t="n">
        <v>32426</v>
      </c>
      <c r="L218" s="31" t="n">
        <v>25630.58333333333</v>
      </c>
      <c r="M218" s="36" t="n">
        <v>0.7497297445934655</v>
      </c>
      <c r="N218" s="36" t="n">
        <v>1.121771291370108</v>
      </c>
      <c r="O218" s="36" t="n">
        <v>0.01000000000000001</v>
      </c>
      <c r="P218" s="36" t="n">
        <v>1.167381974248927</v>
      </c>
      <c r="Q218" s="36" t="n">
        <v>1.177897574123989</v>
      </c>
      <c r="R218" s="36" t="n">
        <v>0.03021802881550428</v>
      </c>
      <c r="S218" s="36" t="n">
        <v>0.2459137728982914</v>
      </c>
      <c r="T218" s="36" t="n">
        <v>0.5762419245237624</v>
      </c>
      <c r="U218" s="31" t="n">
        <v>44000</v>
      </c>
      <c r="V218" s="31" t="n">
        <v>13990</v>
      </c>
      <c r="W218" s="36" t="n">
        <v>-0.08181818181818179</v>
      </c>
      <c r="X218" s="36" t="n">
        <v>1.887776983559685</v>
      </c>
      <c r="Y218" s="31" t="n">
        <v>20476584</v>
      </c>
      <c r="Z218" s="31" t="n">
        <v>827253993600</v>
      </c>
      <c r="AA218" s="31" t="n">
        <v>15013407600</v>
      </c>
      <c r="AB218" s="31" t="n">
        <v>30459830700</v>
      </c>
      <c r="AC218" s="36" t="n">
        <v>0.01814848609514165</v>
      </c>
      <c r="AD218" s="29" t="inlineStr">
        <is>
          <t>yfinance_download</t>
        </is>
      </c>
      <c r="AE218" s="29" t="inlineStr">
        <is>
          <t>317330.KQ</t>
        </is>
      </c>
    </row>
    <row r="219" ht="24" customHeight="1">
      <c r="A219" s="24" t="inlineStr">
        <is>
          <t>2024-04-26</t>
        </is>
      </c>
      <c r="B219" s="30" t="n">
        <v>39550</v>
      </c>
      <c r="C219" s="30" t="n">
        <v>40200</v>
      </c>
      <c r="D219" s="30" t="n">
        <v>38500</v>
      </c>
      <c r="E219" s="30" t="n">
        <v>38700</v>
      </c>
      <c r="F219" s="30" t="n">
        <v>38700</v>
      </c>
      <c r="G219" s="30" t="n">
        <v>301217</v>
      </c>
      <c r="H219" s="35" t="n">
        <v>-0.04207920792079212</v>
      </c>
      <c r="I219" s="35" t="n">
        <v>-0.1204545454545455</v>
      </c>
      <c r="J219" s="30" t="n">
        <v>38950</v>
      </c>
      <c r="K219" s="30" t="n">
        <v>32753.16666666667</v>
      </c>
      <c r="L219" s="30" t="n">
        <v>25808.58333333333</v>
      </c>
      <c r="M219" s="35" t="n">
        <v>0.6673490822145124</v>
      </c>
      <c r="N219" s="35" t="n">
        <v>1.12775965917424</v>
      </c>
      <c r="O219" s="35" t="n">
        <v>-0.1204545454545455</v>
      </c>
      <c r="P219" s="35" t="n">
        <v>1.029365495542737</v>
      </c>
      <c r="Q219" s="35" t="n">
        <v>1.231833910034602</v>
      </c>
      <c r="R219" s="35" t="n">
        <v>-0.006418485237484006</v>
      </c>
      <c r="S219" s="35" t="n">
        <v>0.1815651412840489</v>
      </c>
      <c r="T219" s="35" t="n">
        <v>0.4995011349583311</v>
      </c>
      <c r="U219" s="30" t="n">
        <v>44000</v>
      </c>
      <c r="V219" s="30" t="n">
        <v>13990</v>
      </c>
      <c r="W219" s="35" t="n">
        <v>-0.1204545454545455</v>
      </c>
      <c r="X219" s="35" t="n">
        <v>1.7662616154396</v>
      </c>
      <c r="Y219" s="30" t="n">
        <v>20476584</v>
      </c>
      <c r="Z219" s="30" t="n">
        <v>792443800800</v>
      </c>
      <c r="AA219" s="30" t="n">
        <v>11657097900</v>
      </c>
      <c r="AB219" s="30" t="n">
        <v>24173541995</v>
      </c>
      <c r="AC219" s="35" t="n">
        <v>0.01471031496269104</v>
      </c>
      <c r="AD219" s="24" t="inlineStr">
        <is>
          <t>yfinance_download</t>
        </is>
      </c>
      <c r="AE219" s="24" t="inlineStr">
        <is>
          <t>317330.KQ</t>
        </is>
      </c>
    </row>
    <row r="220" ht="24" customHeight="1">
      <c r="A220" s="29" t="inlineStr">
        <is>
          <t>2024-04-29</t>
        </is>
      </c>
      <c r="B220" s="31" t="n">
        <v>39250</v>
      </c>
      <c r="C220" s="31" t="n">
        <v>40700</v>
      </c>
      <c r="D220" s="31" t="n">
        <v>38300</v>
      </c>
      <c r="E220" s="31" t="n">
        <v>40400</v>
      </c>
      <c r="F220" s="31" t="n">
        <v>40400</v>
      </c>
      <c r="G220" s="31" t="n">
        <v>373683</v>
      </c>
      <c r="H220" s="36" t="n">
        <v>0.04392764857881137</v>
      </c>
      <c r="I220" s="36" t="n">
        <v>-0.08181818181818179</v>
      </c>
      <c r="J220" s="31" t="n">
        <v>38947.5</v>
      </c>
      <c r="K220" s="31" t="n">
        <v>33117.5</v>
      </c>
      <c r="L220" s="31" t="n">
        <v>25995.25</v>
      </c>
      <c r="M220" s="36" t="n">
        <v>0.626668578304679</v>
      </c>
      <c r="N220" s="36" t="n">
        <v>1.12594161818518</v>
      </c>
      <c r="O220" s="36" t="n">
        <v>-0.001236093943139727</v>
      </c>
      <c r="P220" s="36" t="n">
        <v>1.179072276159655</v>
      </c>
      <c r="Q220" s="36" t="n">
        <v>1.244444444444444</v>
      </c>
      <c r="R220" s="36" t="n">
        <v>0.03729379292637525</v>
      </c>
      <c r="S220" s="36" t="n">
        <v>0.2198988450215142</v>
      </c>
      <c r="T220" s="36" t="n">
        <v>0.5541300814571892</v>
      </c>
      <c r="U220" s="31" t="n">
        <v>44000</v>
      </c>
      <c r="V220" s="31" t="n">
        <v>13990</v>
      </c>
      <c r="W220" s="36" t="n">
        <v>-0.08181818181818179</v>
      </c>
      <c r="X220" s="36" t="n">
        <v>1.887776983559685</v>
      </c>
      <c r="Y220" s="31" t="n">
        <v>20476584</v>
      </c>
      <c r="Z220" s="31" t="n">
        <v>827253993600</v>
      </c>
      <c r="AA220" s="31" t="n">
        <v>15096793200</v>
      </c>
      <c r="AB220" s="31" t="n">
        <v>23181934702.5</v>
      </c>
      <c r="AC220" s="36" t="n">
        <v>0.01824928415794353</v>
      </c>
      <c r="AD220" s="29" t="inlineStr">
        <is>
          <t>yfinance_download</t>
        </is>
      </c>
      <c r="AE220" s="29" t="inlineStr">
        <is>
          <t>317330.KQ</t>
        </is>
      </c>
    </row>
    <row r="221" ht="24" customHeight="1">
      <c r="A221" s="24" t="inlineStr">
        <is>
          <t>2024-04-30</t>
        </is>
      </c>
      <c r="B221" s="30" t="n">
        <v>40600</v>
      </c>
      <c r="C221" s="30" t="n">
        <v>42550</v>
      </c>
      <c r="D221" s="30" t="n">
        <v>39200</v>
      </c>
      <c r="E221" s="30" t="n">
        <v>40850</v>
      </c>
      <c r="F221" s="30" t="n">
        <v>40850</v>
      </c>
      <c r="G221" s="30" t="n">
        <v>613495</v>
      </c>
      <c r="H221" s="35" t="n">
        <v>0.01113861386138604</v>
      </c>
      <c r="I221" s="35" t="n">
        <v>-0.07159090909090904</v>
      </c>
      <c r="J221" s="30" t="n">
        <v>39025</v>
      </c>
      <c r="K221" s="30" t="n">
        <v>33488.66666666666</v>
      </c>
      <c r="L221" s="30" t="n">
        <v>26184.08333333333</v>
      </c>
      <c r="M221" s="35" t="n">
        <v>0.6179835730445069</v>
      </c>
      <c r="N221" s="35" t="n">
        <v>1.125642454401248</v>
      </c>
      <c r="O221" s="35" t="n">
        <v>0.0394402035623409</v>
      </c>
      <c r="P221" s="35" t="n">
        <v>1.198600645855759</v>
      </c>
      <c r="Q221" s="35" t="n">
        <v>1.245739417262232</v>
      </c>
      <c r="R221" s="35" t="n">
        <v>0.04676489429852659</v>
      </c>
      <c r="S221" s="35" t="n">
        <v>0.2198156590289253</v>
      </c>
      <c r="T221" s="35" t="n">
        <v>0.5601080809270262</v>
      </c>
      <c r="U221" s="30" t="n">
        <v>44000</v>
      </c>
      <c r="V221" s="30" t="n">
        <v>13990</v>
      </c>
      <c r="W221" s="35" t="n">
        <v>-0.07159090909090904</v>
      </c>
      <c r="X221" s="35" t="n">
        <v>1.919942816297355</v>
      </c>
      <c r="Y221" s="30" t="n">
        <v>20476584</v>
      </c>
      <c r="Z221" s="30" t="n">
        <v>836468456400</v>
      </c>
      <c r="AA221" s="30" t="n">
        <v>25061270750</v>
      </c>
      <c r="AB221" s="30" t="n">
        <v>23354863285</v>
      </c>
      <c r="AC221" s="35" t="n">
        <v>0.02996080791600787</v>
      </c>
      <c r="AD221" s="24" t="inlineStr">
        <is>
          <t>yfinance_download</t>
        </is>
      </c>
      <c r="AE221" s="24" t="inlineStr">
        <is>
          <t>317330.KQ</t>
        </is>
      </c>
    </row>
    <row r="222" ht="24" customHeight="1">
      <c r="A222" s="29" t="inlineStr">
        <is>
          <t>2024-05-02</t>
        </is>
      </c>
      <c r="B222" s="31" t="n">
        <v>41400</v>
      </c>
      <c r="C222" s="31" t="n">
        <v>45200</v>
      </c>
      <c r="D222" s="31" t="n">
        <v>41300</v>
      </c>
      <c r="E222" s="31" t="n">
        <v>44500</v>
      </c>
      <c r="F222" s="31" t="n">
        <v>44500</v>
      </c>
      <c r="G222" s="31" t="n">
        <v>1326990</v>
      </c>
      <c r="H222" s="36" t="n">
        <v>0.08935128518971847</v>
      </c>
      <c r="I222" s="36" t="n">
        <v>0</v>
      </c>
      <c r="J222" s="31" t="n">
        <v>39305</v>
      </c>
      <c r="K222" s="31" t="n">
        <v>33924.16666666666</v>
      </c>
      <c r="L222" s="31" t="n">
        <v>26390.75</v>
      </c>
      <c r="M222" s="36" t="n">
        <v>0.6876574729911157</v>
      </c>
      <c r="N222" s="36" t="n">
        <v>1.134272519221324</v>
      </c>
      <c r="O222" s="36" t="n">
        <v>0.1439588688946016</v>
      </c>
      <c r="P222" s="36" t="n">
        <v>1.422427871529668</v>
      </c>
      <c r="Q222" s="36" t="n">
        <v>1.258883248730965</v>
      </c>
      <c r="R222" s="36" t="n">
        <v>0.13217147945554</v>
      </c>
      <c r="S222" s="36" t="n">
        <v>0.3117492446387777</v>
      </c>
      <c r="T222" s="36" t="n">
        <v>0.6861968682208728</v>
      </c>
      <c r="U222" s="31" t="n">
        <v>44500</v>
      </c>
      <c r="V222" s="31" t="n">
        <v>13990</v>
      </c>
      <c r="W222" s="36" t="n">
        <v>0</v>
      </c>
      <c r="X222" s="36" t="n">
        <v>2.18084345961401</v>
      </c>
      <c r="Y222" s="31" t="n">
        <v>20476584</v>
      </c>
      <c r="Z222" s="31" t="n">
        <v>911207988000</v>
      </c>
      <c r="AA222" s="31" t="n">
        <v>59051055000</v>
      </c>
      <c r="AB222" s="31" t="n">
        <v>25190460885</v>
      </c>
      <c r="AC222" s="36" t="n">
        <v>0.06480524290575029</v>
      </c>
      <c r="AD222" s="29" t="inlineStr">
        <is>
          <t>yfinance_download</t>
        </is>
      </c>
      <c r="AE222" s="29" t="inlineStr">
        <is>
          <t>317330.KQ</t>
        </is>
      </c>
    </row>
    <row r="223" ht="24" customHeight="1">
      <c r="A223" s="24" t="inlineStr">
        <is>
          <t>2024-05-03</t>
        </is>
      </c>
      <c r="B223" s="30" t="n">
        <v>43550</v>
      </c>
      <c r="C223" s="30" t="n">
        <v>43600</v>
      </c>
      <c r="D223" s="30" t="n">
        <v>41350</v>
      </c>
      <c r="E223" s="30" t="n">
        <v>41750</v>
      </c>
      <c r="F223" s="30" t="n">
        <v>41750</v>
      </c>
      <c r="G223" s="30" t="n">
        <v>1039886</v>
      </c>
      <c r="H223" s="35" t="n">
        <v>-0.0617977528089888</v>
      </c>
      <c r="I223" s="35" t="n">
        <v>-0.0617977528089888</v>
      </c>
      <c r="J223" s="30" t="n">
        <v>39425</v>
      </c>
      <c r="K223" s="30" t="n">
        <v>34302.33333333334</v>
      </c>
      <c r="L223" s="30" t="n">
        <v>26581.08333333333</v>
      </c>
      <c r="M223" s="35" t="n">
        <v>0.7300732808743076</v>
      </c>
      <c r="N223" s="35" t="n">
        <v>1.144875058330353</v>
      </c>
      <c r="O223" s="35" t="n">
        <v>0.06099110546378661</v>
      </c>
      <c r="P223" s="35" t="n">
        <v>1.190451206715635</v>
      </c>
      <c r="Q223" s="35" t="n">
        <v>1.207826546800634</v>
      </c>
      <c r="R223" s="35" t="n">
        <v>0.05897273303741279</v>
      </c>
      <c r="S223" s="35" t="n">
        <v>0.2171183690127978</v>
      </c>
      <c r="T223" s="35" t="n">
        <v>0.5706658557307358</v>
      </c>
      <c r="U223" s="30" t="n">
        <v>44500</v>
      </c>
      <c r="V223" s="30" t="n">
        <v>13990</v>
      </c>
      <c r="W223" s="35" t="n">
        <v>-0.0617977528089888</v>
      </c>
      <c r="X223" s="35" t="n">
        <v>1.984274481772695</v>
      </c>
      <c r="Y223" s="30" t="n">
        <v>20476584</v>
      </c>
      <c r="Z223" s="30" t="n">
        <v>854897382000</v>
      </c>
      <c r="AA223" s="30" t="n">
        <v>43415240500</v>
      </c>
      <c r="AB223" s="30" t="n">
        <v>25501600935</v>
      </c>
      <c r="AC223" s="35" t="n">
        <v>0.05078415423197541</v>
      </c>
      <c r="AD223" s="24" t="inlineStr">
        <is>
          <t>yfinance_download</t>
        </is>
      </c>
      <c r="AE223" s="24" t="inlineStr">
        <is>
          <t>317330.KQ</t>
        </is>
      </c>
    </row>
    <row r="224" ht="24" customHeight="1">
      <c r="A224" s="29" t="inlineStr">
        <is>
          <t>2024-05-07</t>
        </is>
      </c>
      <c r="B224" s="31" t="n">
        <v>41050</v>
      </c>
      <c r="C224" s="31" t="n">
        <v>41550</v>
      </c>
      <c r="D224" s="31" t="n">
        <v>39500</v>
      </c>
      <c r="E224" s="31" t="n">
        <v>39600</v>
      </c>
      <c r="F224" s="31" t="n">
        <v>39600</v>
      </c>
      <c r="G224" s="31" t="n">
        <v>696891</v>
      </c>
      <c r="H224" s="36" t="n">
        <v>-0.05149700598802398</v>
      </c>
      <c r="I224" s="36" t="n">
        <v>-0.1101123595505618</v>
      </c>
      <c r="J224" s="31" t="n">
        <v>39520</v>
      </c>
      <c r="K224" s="31" t="n">
        <v>34642.33333333334</v>
      </c>
      <c r="L224" s="31" t="n">
        <v>26756.5</v>
      </c>
      <c r="M224" s="36" t="n">
        <v>0.7387841376364335</v>
      </c>
      <c r="N224" s="36" t="n">
        <v>1.152992745229768</v>
      </c>
      <c r="O224" s="36" t="n">
        <v>0.05039787798408479</v>
      </c>
      <c r="P224" s="36" t="n">
        <v>1.0625</v>
      </c>
      <c r="Q224" s="36" t="n">
        <v>1.134770889487871</v>
      </c>
      <c r="R224" s="36" t="n">
        <v>0.002024291497975783</v>
      </c>
      <c r="S224" s="36" t="n">
        <v>0.1431100676436343</v>
      </c>
      <c r="T224" s="36" t="n">
        <v>0.4800142021564853</v>
      </c>
      <c r="U224" s="31" t="n">
        <v>44500</v>
      </c>
      <c r="V224" s="31" t="n">
        <v>13990</v>
      </c>
      <c r="W224" s="36" t="n">
        <v>-0.1101123595505618</v>
      </c>
      <c r="X224" s="36" t="n">
        <v>1.830593280914939</v>
      </c>
      <c r="Y224" s="31" t="n">
        <v>20476584</v>
      </c>
      <c r="Z224" s="31" t="n">
        <v>810872726400</v>
      </c>
      <c r="AA224" s="31" t="n">
        <v>27596883600</v>
      </c>
      <c r="AB224" s="31" t="n">
        <v>25816452160</v>
      </c>
      <c r="AC224" s="36" t="n">
        <v>0.03403355755041954</v>
      </c>
      <c r="AD224" s="29" t="inlineStr">
        <is>
          <t>yfinance_download</t>
        </is>
      </c>
      <c r="AE224" s="29" t="inlineStr">
        <is>
          <t>317330.KQ</t>
        </is>
      </c>
    </row>
    <row r="225" ht="24" customHeight="1">
      <c r="A225" s="24" t="inlineStr">
        <is>
          <t>2024-05-08</t>
        </is>
      </c>
      <c r="B225" s="30" t="n">
        <v>40250</v>
      </c>
      <c r="C225" s="30" t="n">
        <v>40250</v>
      </c>
      <c r="D225" s="30" t="n">
        <v>38500</v>
      </c>
      <c r="E225" s="30" t="n">
        <v>39000</v>
      </c>
      <c r="F225" s="30" t="n">
        <v>39000</v>
      </c>
      <c r="G225" s="30" t="n">
        <v>353235</v>
      </c>
      <c r="H225" s="35" t="n">
        <v>-0.01515151515151514</v>
      </c>
      <c r="I225" s="35" t="n">
        <v>-0.1235955056179775</v>
      </c>
      <c r="J225" s="30" t="n">
        <v>39562.5</v>
      </c>
      <c r="K225" s="30" t="n">
        <v>34946.5</v>
      </c>
      <c r="L225" s="30" t="n">
        <v>26929.58333333333</v>
      </c>
      <c r="M225" s="35" t="n">
        <v>0.740922016739868</v>
      </c>
      <c r="N225" s="35" t="n">
        <v>1.146208602552959</v>
      </c>
      <c r="O225" s="35" t="n">
        <v>0.02228047182175619</v>
      </c>
      <c r="P225" s="35" t="n">
        <v>0.8795180722891567</v>
      </c>
      <c r="Q225" s="35" t="n">
        <v>1.139330773450356</v>
      </c>
      <c r="R225" s="35" t="n">
        <v>-0.01421800947867302</v>
      </c>
      <c r="S225" s="35" t="n">
        <v>0.1159915871403432</v>
      </c>
      <c r="T225" s="35" t="n">
        <v>0.4482214417230121</v>
      </c>
      <c r="U225" s="30" t="n">
        <v>44500</v>
      </c>
      <c r="V225" s="30" t="n">
        <v>13990</v>
      </c>
      <c r="W225" s="35" t="n">
        <v>-0.1235955056179775</v>
      </c>
      <c r="X225" s="35" t="n">
        <v>1.78770550393138</v>
      </c>
      <c r="Y225" s="30" t="n">
        <v>20476584</v>
      </c>
      <c r="Z225" s="30" t="n">
        <v>798586776000</v>
      </c>
      <c r="AA225" s="30" t="n">
        <v>13776165000</v>
      </c>
      <c r="AB225" s="30" t="n">
        <v>25796795835</v>
      </c>
      <c r="AC225" s="35" t="n">
        <v>0.01725068009390629</v>
      </c>
      <c r="AD225" s="24" t="inlineStr">
        <is>
          <t>yfinance_download</t>
        </is>
      </c>
      <c r="AE225" s="24" t="inlineStr">
        <is>
          <t>317330.KQ</t>
        </is>
      </c>
    </row>
    <row r="226" ht="24" customHeight="1">
      <c r="A226" s="29" t="inlineStr">
        <is>
          <t>2024-05-09</t>
        </is>
      </c>
      <c r="B226" s="31" t="n">
        <v>39150</v>
      </c>
      <c r="C226" s="31" t="n">
        <v>40400</v>
      </c>
      <c r="D226" s="31" t="n">
        <v>38350</v>
      </c>
      <c r="E226" s="31" t="n">
        <v>38500</v>
      </c>
      <c r="F226" s="31" t="n">
        <v>38500</v>
      </c>
      <c r="G226" s="31" t="n">
        <v>524075</v>
      </c>
      <c r="H226" s="36" t="n">
        <v>-0.01282051282051277</v>
      </c>
      <c r="I226" s="36" t="n">
        <v>-0.1348314606741573</v>
      </c>
      <c r="J226" s="31" t="n">
        <v>39615</v>
      </c>
      <c r="K226" s="31" t="n">
        <v>35255</v>
      </c>
      <c r="L226" s="31" t="n">
        <v>27105.08333333333</v>
      </c>
      <c r="M226" s="36" t="n">
        <v>0.7391544405252605</v>
      </c>
      <c r="N226" s="36" t="n">
        <v>1.142844447912139</v>
      </c>
      <c r="O226" s="36" t="n">
        <v>0.02803738317756999</v>
      </c>
      <c r="P226" s="36" t="n">
        <v>0.9259629814907453</v>
      </c>
      <c r="Q226" s="36" t="n">
        <v>1.20756880733945</v>
      </c>
      <c r="R226" s="36" t="n">
        <v>-0.02814590432916819</v>
      </c>
      <c r="S226" s="36" t="n">
        <v>0.09204368174726985</v>
      </c>
      <c r="T226" s="36" t="n">
        <v>0.4203977728654835</v>
      </c>
      <c r="U226" s="31" t="n">
        <v>44500</v>
      </c>
      <c r="V226" s="31" t="n">
        <v>13990</v>
      </c>
      <c r="W226" s="36" t="n">
        <v>-0.1348314606741573</v>
      </c>
      <c r="X226" s="36" t="n">
        <v>1.751965689778413</v>
      </c>
      <c r="Y226" s="31" t="n">
        <v>20476584</v>
      </c>
      <c r="Z226" s="31" t="n">
        <v>788348484000</v>
      </c>
      <c r="AA226" s="31" t="n">
        <v>20176887500</v>
      </c>
      <c r="AB226" s="31" t="n">
        <v>25520421747.5</v>
      </c>
      <c r="AC226" s="36" t="n">
        <v>0.02559386858667442</v>
      </c>
      <c r="AD226" s="29" t="inlineStr">
        <is>
          <t>yfinance_download</t>
        </is>
      </c>
      <c r="AE226" s="29" t="inlineStr">
        <is>
          <t>317330.KQ</t>
        </is>
      </c>
    </row>
    <row r="227" ht="24" customHeight="1">
      <c r="A227" s="24" t="inlineStr">
        <is>
          <t>2024-05-10</t>
        </is>
      </c>
      <c r="B227" s="30" t="n">
        <v>38150</v>
      </c>
      <c r="C227" s="30" t="n">
        <v>38400</v>
      </c>
      <c r="D227" s="30" t="n">
        <v>36600</v>
      </c>
      <c r="E227" s="30" t="n">
        <v>37450</v>
      </c>
      <c r="F227" s="30" t="n">
        <v>37450</v>
      </c>
      <c r="G227" s="30" t="n">
        <v>657448</v>
      </c>
      <c r="H227" s="35" t="n">
        <v>-0.02727272727272723</v>
      </c>
      <c r="I227" s="35" t="n">
        <v>-0.1584269662921348</v>
      </c>
      <c r="J227" s="30" t="n">
        <v>39485</v>
      </c>
      <c r="K227" s="30" t="n">
        <v>35535</v>
      </c>
      <c r="L227" s="30" t="n">
        <v>27273.83333333333</v>
      </c>
      <c r="M227" s="35" t="n">
        <v>0.7015888627781537</v>
      </c>
      <c r="N227" s="35" t="n">
        <v>1.145088265643786</v>
      </c>
      <c r="O227" s="35" t="n">
        <v>-0.06491885143570542</v>
      </c>
      <c r="P227" s="35" t="n">
        <v>0.8135593220338984</v>
      </c>
      <c r="Q227" s="35" t="n">
        <v>1.177325581395349</v>
      </c>
      <c r="R227" s="35" t="n">
        <v>-0.05153855894643533</v>
      </c>
      <c r="S227" s="35" t="n">
        <v>0.0538905304629238</v>
      </c>
      <c r="T227" s="35" t="n">
        <v>0.3731109793880583</v>
      </c>
      <c r="U227" s="30" t="n">
        <v>44500</v>
      </c>
      <c r="V227" s="30" t="n">
        <v>13990</v>
      </c>
      <c r="W227" s="35" t="n">
        <v>-0.1584269662921348</v>
      </c>
      <c r="X227" s="35" t="n">
        <v>1.676912080057184</v>
      </c>
      <c r="Y227" s="30" t="n">
        <v>20476584</v>
      </c>
      <c r="Z227" s="30" t="n">
        <v>766848070800</v>
      </c>
      <c r="AA227" s="30" t="n">
        <v>24621427600</v>
      </c>
      <c r="AB227" s="30" t="n">
        <v>24963813317.5</v>
      </c>
      <c r="AC227" s="35" t="n">
        <v>0.03210730852372642</v>
      </c>
      <c r="AD227" s="24" t="inlineStr">
        <is>
          <t>yfinance_download</t>
        </is>
      </c>
      <c r="AE227" s="24" t="inlineStr">
        <is>
          <t>317330.KQ</t>
        </is>
      </c>
    </row>
    <row r="228" ht="24" customHeight="1">
      <c r="A228" s="29" t="inlineStr">
        <is>
          <t>2024-05-13</t>
        </is>
      </c>
      <c r="B228" s="31" t="n">
        <v>37950</v>
      </c>
      <c r="C228" s="31" t="n">
        <v>39050</v>
      </c>
      <c r="D228" s="31" t="n">
        <v>37300</v>
      </c>
      <c r="E228" s="31" t="n">
        <v>37550</v>
      </c>
      <c r="F228" s="31" t="n">
        <v>37550</v>
      </c>
      <c r="G228" s="31" t="n">
        <v>371561</v>
      </c>
      <c r="H228" s="36" t="n">
        <v>0.002670226969292422</v>
      </c>
      <c r="I228" s="36" t="n">
        <v>-0.1561797752808989</v>
      </c>
      <c r="J228" s="31" t="n">
        <v>39327.5</v>
      </c>
      <c r="K228" s="31" t="n">
        <v>35812.5</v>
      </c>
      <c r="L228" s="31" t="n">
        <v>27437.33333333333</v>
      </c>
      <c r="M228" s="36" t="n">
        <v>0.698446933319926</v>
      </c>
      <c r="N228" s="36" t="n">
        <v>1.145259684518929</v>
      </c>
      <c r="O228" s="36" t="n">
        <v>-0.07739557739557734</v>
      </c>
      <c r="P228" s="36" t="n">
        <v>0.7966507177033493</v>
      </c>
      <c r="Q228" s="36" t="n">
        <v>1.09425543781372</v>
      </c>
      <c r="R228" s="36" t="n">
        <v>-0.04519738096751635</v>
      </c>
      <c r="S228" s="36" t="n">
        <v>0.04851657940663179</v>
      </c>
      <c r="T228" s="36" t="n">
        <v>0.3685732335503937</v>
      </c>
      <c r="U228" s="31" t="n">
        <v>44500</v>
      </c>
      <c r="V228" s="31" t="n">
        <v>13990</v>
      </c>
      <c r="W228" s="36" t="n">
        <v>-0.1561797752808989</v>
      </c>
      <c r="X228" s="36" t="n">
        <v>1.684060042887777</v>
      </c>
      <c r="Y228" s="31" t="n">
        <v>20476584</v>
      </c>
      <c r="Z228" s="31" t="n">
        <v>768895729200</v>
      </c>
      <c r="AA228" s="31" t="n">
        <v>13952115550</v>
      </c>
      <c r="AB228" s="31" t="n">
        <v>24258384275</v>
      </c>
      <c r="AC228" s="36" t="n">
        <v>0.01814565359143889</v>
      </c>
      <c r="AD228" s="29" t="inlineStr">
        <is>
          <t>yfinance_download</t>
        </is>
      </c>
      <c r="AE228" s="29" t="inlineStr">
        <is>
          <t>317330.KQ</t>
        </is>
      </c>
    </row>
    <row r="229" ht="24" customHeight="1">
      <c r="A229" s="24" t="inlineStr">
        <is>
          <t>2024-05-14</t>
        </is>
      </c>
      <c r="B229" s="30" t="n">
        <v>37950</v>
      </c>
      <c r="C229" s="30" t="n">
        <v>39150</v>
      </c>
      <c r="D229" s="30" t="n">
        <v>37200</v>
      </c>
      <c r="E229" s="30" t="n">
        <v>38600</v>
      </c>
      <c r="F229" s="30" t="n">
        <v>38600</v>
      </c>
      <c r="G229" s="30" t="n">
        <v>319105</v>
      </c>
      <c r="H229" s="35" t="n">
        <v>0.02796271637816239</v>
      </c>
      <c r="I229" s="35" t="n">
        <v>-0.1325842696629214</v>
      </c>
      <c r="J229" s="30" t="n">
        <v>39252.5</v>
      </c>
      <c r="K229" s="30" t="n">
        <v>36058.33333333334</v>
      </c>
      <c r="L229" s="30" t="n">
        <v>27606.83333333333</v>
      </c>
      <c r="M229" s="35" t="n">
        <v>0.7054358860782247</v>
      </c>
      <c r="N229" s="35" t="n">
        <v>1.113880645289899</v>
      </c>
      <c r="O229" s="35" t="n">
        <v>-0.03740648379052369</v>
      </c>
      <c r="P229" s="35" t="n">
        <v>0.6184486373165619</v>
      </c>
      <c r="Q229" s="35" t="n">
        <v>1.113910186199343</v>
      </c>
      <c r="R229" s="35" t="n">
        <v>-0.01662314502260998</v>
      </c>
      <c r="S229" s="35" t="n">
        <v>0.07048763577536388</v>
      </c>
      <c r="T229" s="35" t="n">
        <v>0.398204550805658</v>
      </c>
      <c r="U229" s="30" t="n">
        <v>44500</v>
      </c>
      <c r="V229" s="30" t="n">
        <v>13990</v>
      </c>
      <c r="W229" s="35" t="n">
        <v>-0.1325842696629214</v>
      </c>
      <c r="X229" s="35" t="n">
        <v>1.759113652609007</v>
      </c>
      <c r="Y229" s="30" t="n">
        <v>20476584</v>
      </c>
      <c r="Z229" s="30" t="n">
        <v>790396142400</v>
      </c>
      <c r="AA229" s="30" t="n">
        <v>12317453000</v>
      </c>
      <c r="AB229" s="30" t="n">
        <v>24115268185</v>
      </c>
      <c r="AC229" s="35" t="n">
        <v>0.01558389817364068</v>
      </c>
      <c r="AD229" s="24" t="inlineStr">
        <is>
          <t>yfinance_download</t>
        </is>
      </c>
      <c r="AE229" s="24" t="inlineStr">
        <is>
          <t>317330.KQ</t>
        </is>
      </c>
    </row>
    <row r="230" ht="24" customHeight="1">
      <c r="A230" s="29" t="inlineStr">
        <is>
          <t>2024-05-16</t>
        </is>
      </c>
      <c r="B230" s="31" t="n">
        <v>38850</v>
      </c>
      <c r="C230" s="31" t="n">
        <v>39650</v>
      </c>
      <c r="D230" s="31" t="n">
        <v>38050</v>
      </c>
      <c r="E230" s="31" t="n">
        <v>38100</v>
      </c>
      <c r="F230" s="31" t="n">
        <v>38100</v>
      </c>
      <c r="G230" s="31" t="n">
        <v>281608</v>
      </c>
      <c r="H230" s="36" t="n">
        <v>-0.01295336787564771</v>
      </c>
      <c r="I230" s="36" t="n">
        <v>-0.1438202247191012</v>
      </c>
      <c r="J230" s="31" t="n">
        <v>39132.5</v>
      </c>
      <c r="K230" s="31" t="n">
        <v>36277.5</v>
      </c>
      <c r="L230" s="31" t="n">
        <v>27767.66666666667</v>
      </c>
      <c r="M230" s="36" t="n">
        <v>0.7054067752848322</v>
      </c>
      <c r="N230" s="36" t="n">
        <v>1.11234318400975</v>
      </c>
      <c r="O230" s="36" t="n">
        <v>-0.05925925925925923</v>
      </c>
      <c r="P230" s="36" t="n">
        <v>0.5270541082164328</v>
      </c>
      <c r="Q230" s="36" t="n">
        <v>1.026595744680851</v>
      </c>
      <c r="R230" s="36" t="n">
        <v>-0.02638471858429692</v>
      </c>
      <c r="S230" s="36" t="n">
        <v>0.05023775067190406</v>
      </c>
      <c r="T230" s="36" t="n">
        <v>0.3720994441976879</v>
      </c>
      <c r="U230" s="31" t="n">
        <v>44500</v>
      </c>
      <c r="V230" s="31" t="n">
        <v>13990</v>
      </c>
      <c r="W230" s="36" t="n">
        <v>-0.1438202247191012</v>
      </c>
      <c r="X230" s="36" t="n">
        <v>1.72337383845604</v>
      </c>
      <c r="Y230" s="31" t="n">
        <v>20476584</v>
      </c>
      <c r="Z230" s="31" t="n">
        <v>780157850400</v>
      </c>
      <c r="AA230" s="31" t="n">
        <v>10729264800</v>
      </c>
      <c r="AB230" s="31" t="n">
        <v>21425157175</v>
      </c>
      <c r="AC230" s="36" t="n">
        <v>0.01375268452980243</v>
      </c>
      <c r="AD230" s="29" t="inlineStr">
        <is>
          <t>yfinance_download</t>
        </is>
      </c>
      <c r="AE230" s="29" t="inlineStr">
        <is>
          <t>317330.KQ</t>
        </is>
      </c>
    </row>
    <row r="231" ht="24" customHeight="1">
      <c r="A231" s="24" t="inlineStr">
        <is>
          <t>2024-05-17</t>
        </is>
      </c>
      <c r="B231" s="30" t="n">
        <v>37800</v>
      </c>
      <c r="C231" s="30" t="n">
        <v>38500</v>
      </c>
      <c r="D231" s="30" t="n">
        <v>36500</v>
      </c>
      <c r="E231" s="30" t="n">
        <v>37550</v>
      </c>
      <c r="F231" s="30" t="n">
        <v>37550</v>
      </c>
      <c r="G231" s="30" t="n">
        <v>403619</v>
      </c>
      <c r="H231" s="35" t="n">
        <v>-0.01443569553805779</v>
      </c>
      <c r="I231" s="35" t="n">
        <v>-0.1561797752808989</v>
      </c>
      <c r="J231" s="30" t="n">
        <v>39002.5</v>
      </c>
      <c r="K231" s="30" t="n">
        <v>36463.33333333334</v>
      </c>
      <c r="L231" s="30" t="n">
        <v>27931.25</v>
      </c>
      <c r="M231" s="35" t="n">
        <v>0.7064152332543231</v>
      </c>
      <c r="N231" s="35" t="n">
        <v>1.108677765105752</v>
      </c>
      <c r="O231" s="35" t="n">
        <v>-0.06475716064757164</v>
      </c>
      <c r="P231" s="35" t="n">
        <v>0.4223484848484849</v>
      </c>
      <c r="Q231" s="35" t="n">
        <v>1.095424107142857</v>
      </c>
      <c r="R231" s="35" t="n">
        <v>-0.03724120248702001</v>
      </c>
      <c r="S231" s="35" t="n">
        <v>0.0298016272054118</v>
      </c>
      <c r="T231" s="35" t="n">
        <v>0.3443723428059968</v>
      </c>
      <c r="U231" s="30" t="n">
        <v>44500</v>
      </c>
      <c r="V231" s="30" t="n">
        <v>13990</v>
      </c>
      <c r="W231" s="35" t="n">
        <v>-0.1561797752808989</v>
      </c>
      <c r="X231" s="35" t="n">
        <v>1.684060042887777</v>
      </c>
      <c r="Y231" s="30" t="n">
        <v>20476584</v>
      </c>
      <c r="Z231" s="30" t="n">
        <v>768895729200</v>
      </c>
      <c r="AA231" s="30" t="n">
        <v>15155893450</v>
      </c>
      <c r="AB231" s="30" t="n">
        <v>20906956742.5</v>
      </c>
      <c r="AC231" s="35" t="n">
        <v>0.01971124675873671</v>
      </c>
      <c r="AD231" s="24" t="inlineStr">
        <is>
          <t>yfinance_download</t>
        </is>
      </c>
      <c r="AE231" s="24" t="inlineStr">
        <is>
          <t>317330.KQ</t>
        </is>
      </c>
    </row>
    <row r="232" ht="24" customHeight="1">
      <c r="A232" s="29" t="inlineStr">
        <is>
          <t>2024-05-20</t>
        </is>
      </c>
      <c r="B232" s="31" t="n">
        <v>37000</v>
      </c>
      <c r="C232" s="31" t="n">
        <v>38250</v>
      </c>
      <c r="D232" s="31" t="n">
        <v>36600</v>
      </c>
      <c r="E232" s="31" t="n">
        <v>36850</v>
      </c>
      <c r="F232" s="31" t="n">
        <v>36850</v>
      </c>
      <c r="G232" s="31" t="n">
        <v>213111</v>
      </c>
      <c r="H232" s="36" t="n">
        <v>-0.01864181091877493</v>
      </c>
      <c r="I232" s="36" t="n">
        <v>-0.1719101123595506</v>
      </c>
      <c r="J232" s="31" t="n">
        <v>38940</v>
      </c>
      <c r="K232" s="31" t="n">
        <v>36655.83333333334</v>
      </c>
      <c r="L232" s="31" t="n">
        <v>28087</v>
      </c>
      <c r="M232" s="36" t="n">
        <v>0.6858853141857255</v>
      </c>
      <c r="N232" s="36" t="n">
        <v>1.105262195009823</v>
      </c>
      <c r="O232" s="36" t="n">
        <v>-0.03280839895013121</v>
      </c>
      <c r="P232" s="36" t="n">
        <v>0.4565217391304348</v>
      </c>
      <c r="Q232" s="36" t="n">
        <v>1.029185022026432</v>
      </c>
      <c r="R232" s="36" t="n">
        <v>-0.0536723163841808</v>
      </c>
      <c r="S232" s="36" t="n">
        <v>0.005297019573965001</v>
      </c>
      <c r="T232" s="36" t="n">
        <v>0.3119948730729518</v>
      </c>
      <c r="U232" s="31" t="n">
        <v>44500</v>
      </c>
      <c r="V232" s="31" t="n">
        <v>13990</v>
      </c>
      <c r="W232" s="36" t="n">
        <v>-0.1719101123595506</v>
      </c>
      <c r="X232" s="36" t="n">
        <v>1.634024303073624</v>
      </c>
      <c r="Y232" s="31" t="n">
        <v>20476584</v>
      </c>
      <c r="Z232" s="31" t="n">
        <v>754562120400</v>
      </c>
      <c r="AA232" s="31" t="n">
        <v>7853140350</v>
      </c>
      <c r="AB232" s="31" t="n">
        <v>20423930980</v>
      </c>
      <c r="AC232" s="36" t="n">
        <v>0.01040754649310647</v>
      </c>
      <c r="AD232" s="29" t="inlineStr">
        <is>
          <t>yfinance_download</t>
        </is>
      </c>
      <c r="AE232" s="29" t="inlineStr">
        <is>
          <t>317330.KQ</t>
        </is>
      </c>
    </row>
    <row r="233" ht="24" customHeight="1">
      <c r="A233" s="24" t="inlineStr">
        <is>
          <t>2024-05-21</t>
        </is>
      </c>
      <c r="B233" s="30" t="n">
        <v>36800</v>
      </c>
      <c r="C233" s="30" t="n">
        <v>37200</v>
      </c>
      <c r="D233" s="30" t="n">
        <v>35000</v>
      </c>
      <c r="E233" s="30" t="n">
        <v>35750</v>
      </c>
      <c r="F233" s="30" t="n">
        <v>35750</v>
      </c>
      <c r="G233" s="30" t="n">
        <v>427069</v>
      </c>
      <c r="H233" s="35" t="n">
        <v>-0.02985074626865669</v>
      </c>
      <c r="I233" s="35" t="n">
        <v>-0.1966292134831461</v>
      </c>
      <c r="J233" s="30" t="n">
        <v>38822.5</v>
      </c>
      <c r="K233" s="30" t="n">
        <v>36727.5</v>
      </c>
      <c r="L233" s="30" t="n">
        <v>28235.5</v>
      </c>
      <c r="M233" s="35" t="n">
        <v>0.6935658884416063</v>
      </c>
      <c r="N233" s="35" t="n">
        <v>0.9937333901303689</v>
      </c>
      <c r="O233" s="35" t="n">
        <v>-0.06167979002624668</v>
      </c>
      <c r="P233" s="35" t="n">
        <v>0.1367249602543721</v>
      </c>
      <c r="Q233" s="35" t="n">
        <v>0.9938650306748467</v>
      </c>
      <c r="R233" s="35" t="n">
        <v>-0.07914224998390107</v>
      </c>
      <c r="S233" s="35" t="n">
        <v>-0.02661493431352524</v>
      </c>
      <c r="T233" s="35" t="n">
        <v>0.2661366010872837</v>
      </c>
      <c r="U233" s="30" t="n">
        <v>44500</v>
      </c>
      <c r="V233" s="30" t="n">
        <v>13990</v>
      </c>
      <c r="W233" s="35" t="n">
        <v>-0.1966292134831461</v>
      </c>
      <c r="X233" s="35" t="n">
        <v>1.555396711937098</v>
      </c>
      <c r="Y233" s="30" t="n">
        <v>20476584</v>
      </c>
      <c r="Z233" s="30" t="n">
        <v>732037878000</v>
      </c>
      <c r="AA233" s="30" t="n">
        <v>15267716750</v>
      </c>
      <c r="AB233" s="30" t="n">
        <v>20504892477.5</v>
      </c>
      <c r="AC233" s="35" t="n">
        <v>0.02085645730752747</v>
      </c>
      <c r="AD233" s="24" t="inlineStr">
        <is>
          <t>yfinance_download</t>
        </is>
      </c>
      <c r="AE233" s="24" t="inlineStr">
        <is>
          <t>317330.KQ</t>
        </is>
      </c>
    </row>
    <row r="234" ht="24" customHeight="1">
      <c r="A234" s="29" t="inlineStr">
        <is>
          <t>2024-05-22</t>
        </is>
      </c>
      <c r="B234" s="31" t="n">
        <v>35000</v>
      </c>
      <c r="C234" s="31" t="n">
        <v>36450</v>
      </c>
      <c r="D234" s="31" t="n">
        <v>34050</v>
      </c>
      <c r="E234" s="31" t="n">
        <v>35200</v>
      </c>
      <c r="F234" s="31" t="n">
        <v>35200</v>
      </c>
      <c r="G234" s="31" t="n">
        <v>600480</v>
      </c>
      <c r="H234" s="36" t="n">
        <v>-0.01538461538461533</v>
      </c>
      <c r="I234" s="36" t="n">
        <v>-0.2089887640449438</v>
      </c>
      <c r="J234" s="31" t="n">
        <v>38785</v>
      </c>
      <c r="K234" s="31" t="n">
        <v>36818.33333333334</v>
      </c>
      <c r="L234" s="31" t="n">
        <v>28382.58333333333</v>
      </c>
      <c r="M234" s="36" t="n">
        <v>0.6658191820776717</v>
      </c>
      <c r="N234" s="36" t="n">
        <v>0.9872340046975565</v>
      </c>
      <c r="O234" s="36" t="n">
        <v>-0.02086230876216966</v>
      </c>
      <c r="P234" s="36" t="n">
        <v>0.1831932773109244</v>
      </c>
      <c r="Q234" s="36" t="n">
        <v>1.005698005698006</v>
      </c>
      <c r="R234" s="36" t="n">
        <v>-0.09243264148511021</v>
      </c>
      <c r="S234" s="36" t="n">
        <v>-0.04395455162735962</v>
      </c>
      <c r="T234" s="36" t="n">
        <v>0.2401971866549615</v>
      </c>
      <c r="U234" s="31" t="n">
        <v>44500</v>
      </c>
      <c r="V234" s="31" t="n">
        <v>13990</v>
      </c>
      <c r="W234" s="36" t="n">
        <v>-0.2089887640449438</v>
      </c>
      <c r="X234" s="36" t="n">
        <v>1.516082916368835</v>
      </c>
      <c r="Y234" s="31" t="n">
        <v>20476584</v>
      </c>
      <c r="Z234" s="31" t="n">
        <v>720775756800</v>
      </c>
      <c r="AA234" s="31" t="n">
        <v>21136896000</v>
      </c>
      <c r="AB234" s="31" t="n">
        <v>20648903865</v>
      </c>
      <c r="AC234" s="36" t="n">
        <v>0.02932520385236131</v>
      </c>
      <c r="AD234" s="29" t="inlineStr">
        <is>
          <t>yfinance_download</t>
        </is>
      </c>
      <c r="AE234" s="29" t="inlineStr">
        <is>
          <t>317330.KQ</t>
        </is>
      </c>
    </row>
    <row r="235" ht="24" customHeight="1">
      <c r="A235" s="24" t="inlineStr">
        <is>
          <t>2024-05-23</t>
        </is>
      </c>
      <c r="B235" s="30" t="n">
        <v>35000</v>
      </c>
      <c r="C235" s="30" t="n">
        <v>36700</v>
      </c>
      <c r="D235" s="30" t="n">
        <v>34300</v>
      </c>
      <c r="E235" s="30" t="n">
        <v>36450</v>
      </c>
      <c r="F235" s="30" t="n">
        <v>36450</v>
      </c>
      <c r="G235" s="30" t="n">
        <v>315649</v>
      </c>
      <c r="H235" s="35" t="n">
        <v>0.03551136363636354</v>
      </c>
      <c r="I235" s="35" t="n">
        <v>-0.1808988764044944</v>
      </c>
      <c r="J235" s="30" t="n">
        <v>38780</v>
      </c>
      <c r="K235" s="30" t="n">
        <v>36991.66666666666</v>
      </c>
      <c r="L235" s="30" t="n">
        <v>28542.58333333333</v>
      </c>
      <c r="M235" s="35" t="n">
        <v>0.6754485246185711</v>
      </c>
      <c r="N235" s="35" t="n">
        <v>0.9517757497559937</v>
      </c>
      <c r="O235" s="35" t="n">
        <v>-0.002735978112175075</v>
      </c>
      <c r="P235" s="35" t="n">
        <v>0.3992322456813819</v>
      </c>
      <c r="Q235" s="35" t="n">
        <v>1.113043478260869</v>
      </c>
      <c r="R235" s="35" t="n">
        <v>-0.06008251676121712</v>
      </c>
      <c r="S235" s="35" t="n">
        <v>-0.01464293759855817</v>
      </c>
      <c r="T235" s="35" t="n">
        <v>0.2770392775706474</v>
      </c>
      <c r="U235" s="30" t="n">
        <v>44500</v>
      </c>
      <c r="V235" s="30" t="n">
        <v>13990</v>
      </c>
      <c r="W235" s="35" t="n">
        <v>-0.1808988764044944</v>
      </c>
      <c r="X235" s="35" t="n">
        <v>1.605432451751251</v>
      </c>
      <c r="Y235" s="30" t="n">
        <v>20476584</v>
      </c>
      <c r="Z235" s="30" t="n">
        <v>746371486800</v>
      </c>
      <c r="AA235" s="30" t="n">
        <v>11505406050</v>
      </c>
      <c r="AB235" s="30" t="n">
        <v>20172365680</v>
      </c>
      <c r="AC235" s="35" t="n">
        <v>0.01541512002197241</v>
      </c>
      <c r="AD235" s="24" t="inlineStr">
        <is>
          <t>yfinance_download</t>
        </is>
      </c>
      <c r="AE235" s="24" t="inlineStr">
        <is>
          <t>317330.KQ</t>
        </is>
      </c>
    </row>
    <row r="236" ht="24" customHeight="1">
      <c r="A236" s="29" t="inlineStr">
        <is>
          <t>2024-05-24</t>
        </is>
      </c>
      <c r="B236" s="31" t="n">
        <v>35900</v>
      </c>
      <c r="C236" s="31" t="n">
        <v>36250</v>
      </c>
      <c r="D236" s="31" t="n">
        <v>34600</v>
      </c>
      <c r="E236" s="31" t="n">
        <v>34700</v>
      </c>
      <c r="F236" s="31" t="n">
        <v>34700</v>
      </c>
      <c r="G236" s="31" t="n">
        <v>327054</v>
      </c>
      <c r="H236" s="36" t="n">
        <v>-0.0480109739368999</v>
      </c>
      <c r="I236" s="36" t="n">
        <v>-0.2202247191011236</v>
      </c>
      <c r="J236" s="31" t="n">
        <v>38650</v>
      </c>
      <c r="K236" s="31" t="n">
        <v>37100</v>
      </c>
      <c r="L236" s="31" t="n">
        <v>28688.58333333333</v>
      </c>
      <c r="M236" s="36" t="n">
        <v>0.6923728544098617</v>
      </c>
      <c r="N236" s="36" t="n">
        <v>0.9452476757303471</v>
      </c>
      <c r="O236" s="36" t="n">
        <v>-0.06970509383378021</v>
      </c>
      <c r="P236" s="36" t="n">
        <v>0.2304964539007093</v>
      </c>
      <c r="Q236" s="36" t="n">
        <v>1.019790454016298</v>
      </c>
      <c r="R236" s="36" t="n">
        <v>-0.1021992238033635</v>
      </c>
      <c r="S236" s="36" t="n">
        <v>-0.06469002695417791</v>
      </c>
      <c r="T236" s="36" t="n">
        <v>0.2095403804649354</v>
      </c>
      <c r="U236" s="31" t="n">
        <v>44500</v>
      </c>
      <c r="V236" s="31" t="n">
        <v>13990</v>
      </c>
      <c r="W236" s="36" t="n">
        <v>-0.2202247191011236</v>
      </c>
      <c r="X236" s="36" t="n">
        <v>1.480343102215869</v>
      </c>
      <c r="Y236" s="31" t="n">
        <v>20476584</v>
      </c>
      <c r="Z236" s="31" t="n">
        <v>710537464800</v>
      </c>
      <c r="AA236" s="31" t="n">
        <v>11348773800</v>
      </c>
      <c r="AB236" s="31" t="n">
        <v>20304498450</v>
      </c>
      <c r="AC236" s="36" t="n">
        <v>0.01597209768973184</v>
      </c>
      <c r="AD236" s="29" t="inlineStr">
        <is>
          <t>yfinance_download</t>
        </is>
      </c>
      <c r="AE236" s="29" t="inlineStr">
        <is>
          <t>317330.KQ</t>
        </is>
      </c>
    </row>
    <row r="237" ht="24" customHeight="1">
      <c r="A237" s="24" t="inlineStr">
        <is>
          <t>2024-05-27</t>
        </is>
      </c>
      <c r="B237" s="30" t="n">
        <v>34650</v>
      </c>
      <c r="C237" s="30" t="n">
        <v>36000</v>
      </c>
      <c r="D237" s="30" t="n">
        <v>33000</v>
      </c>
      <c r="E237" s="30" t="n">
        <v>35500</v>
      </c>
      <c r="F237" s="30" t="n">
        <v>35500</v>
      </c>
      <c r="G237" s="30" t="n">
        <v>674491</v>
      </c>
      <c r="H237" s="35" t="n">
        <v>0.02305475504322763</v>
      </c>
      <c r="I237" s="35" t="n">
        <v>-0.202247191011236</v>
      </c>
      <c r="J237" s="30" t="n">
        <v>38370</v>
      </c>
      <c r="K237" s="30" t="n">
        <v>37220.83333333334</v>
      </c>
      <c r="L237" s="30" t="n">
        <v>28844.16666666667</v>
      </c>
      <c r="M237" s="35" t="n">
        <v>0.5822000020951886</v>
      </c>
      <c r="N237" s="35" t="n">
        <v>0.9459367391128233</v>
      </c>
      <c r="O237" s="35" t="n">
        <v>-0.1362530413625304</v>
      </c>
      <c r="P237" s="35" t="n">
        <v>0.2566371681415929</v>
      </c>
      <c r="Q237" s="35" t="n">
        <v>1.109328579916815</v>
      </c>
      <c r="R237" s="35" t="n">
        <v>-0.07479801928590046</v>
      </c>
      <c r="S237" s="35" t="n">
        <v>-0.04623306839807462</v>
      </c>
      <c r="T237" s="35" t="n">
        <v>0.2307514517666771</v>
      </c>
      <c r="U237" s="30" t="n">
        <v>44500</v>
      </c>
      <c r="V237" s="30" t="n">
        <v>13990</v>
      </c>
      <c r="W237" s="35" t="n">
        <v>-0.202247191011236</v>
      </c>
      <c r="X237" s="35" t="n">
        <v>1.537526804860615</v>
      </c>
      <c r="Y237" s="30" t="n">
        <v>20476584</v>
      </c>
      <c r="Z237" s="30" t="n">
        <v>726918732000</v>
      </c>
      <c r="AA237" s="30" t="n">
        <v>23944430500</v>
      </c>
      <c r="AB237" s="30" t="n">
        <v>19933865945</v>
      </c>
      <c r="AC237" s="35" t="n">
        <v>0.032939625085903</v>
      </c>
      <c r="AD237" s="24" t="inlineStr">
        <is>
          <t>yfinance_download</t>
        </is>
      </c>
      <c r="AE237" s="24" t="inlineStr">
        <is>
          <t>317330.KQ</t>
        </is>
      </c>
    </row>
    <row r="238" ht="24" customHeight="1">
      <c r="A238" s="29" t="inlineStr">
        <is>
          <t>2024-05-28</t>
        </is>
      </c>
      <c r="B238" s="31" t="n">
        <v>35450</v>
      </c>
      <c r="C238" s="31" t="n">
        <v>37350</v>
      </c>
      <c r="D238" s="31" t="n">
        <v>34400</v>
      </c>
      <c r="E238" s="31" t="n">
        <v>36550</v>
      </c>
      <c r="F238" s="31" t="n">
        <v>36550</v>
      </c>
      <c r="G238" s="31" t="n">
        <v>353359</v>
      </c>
      <c r="H238" s="36" t="n">
        <v>0.02957746478873235</v>
      </c>
      <c r="I238" s="36" t="n">
        <v>-0.1786516853932584</v>
      </c>
      <c r="J238" s="31" t="n">
        <v>38177.5</v>
      </c>
      <c r="K238" s="31" t="n">
        <v>37365</v>
      </c>
      <c r="L238" s="31" t="n">
        <v>29008.41666666667</v>
      </c>
      <c r="M238" s="36" t="n">
        <v>0.5945695010383033</v>
      </c>
      <c r="N238" s="36" t="n">
        <v>0.9464711919621717</v>
      </c>
      <c r="O238" s="36" t="n">
        <v>-0.09529702970297027</v>
      </c>
      <c r="P238" s="36" t="n">
        <v>0.3100358422939069</v>
      </c>
      <c r="Q238" s="36" t="n">
        <v>1.17042755344418</v>
      </c>
      <c r="R238" s="36" t="n">
        <v>-0.04262982122978198</v>
      </c>
      <c r="S238" s="36" t="n">
        <v>-0.02181185601498725</v>
      </c>
      <c r="T238" s="36" t="n">
        <v>0.2599791439840735</v>
      </c>
      <c r="U238" s="31" t="n">
        <v>44500</v>
      </c>
      <c r="V238" s="31" t="n">
        <v>13990</v>
      </c>
      <c r="W238" s="36" t="n">
        <v>-0.1786516853932584</v>
      </c>
      <c r="X238" s="36" t="n">
        <v>1.612580414581844</v>
      </c>
      <c r="Y238" s="31" t="n">
        <v>20476584</v>
      </c>
      <c r="Z238" s="31" t="n">
        <v>748419145200</v>
      </c>
      <c r="AA238" s="31" t="n">
        <v>12915271450</v>
      </c>
      <c r="AB238" s="31" t="n">
        <v>19828959137.5</v>
      </c>
      <c r="AC238" s="36" t="n">
        <v>0.01725673579147772</v>
      </c>
      <c r="AD238" s="29" t="inlineStr">
        <is>
          <t>yfinance_download</t>
        </is>
      </c>
      <c r="AE238" s="29" t="inlineStr">
        <is>
          <t>317330.KQ</t>
        </is>
      </c>
    </row>
    <row r="239" ht="24" customHeight="1">
      <c r="A239" s="24" t="inlineStr">
        <is>
          <t>2024-05-29</t>
        </is>
      </c>
      <c r="B239" s="30" t="n">
        <v>36000</v>
      </c>
      <c r="C239" s="30" t="n">
        <v>37900</v>
      </c>
      <c r="D239" s="30" t="n">
        <v>34600</v>
      </c>
      <c r="E239" s="30" t="n">
        <v>36150</v>
      </c>
      <c r="F239" s="30" t="n">
        <v>36150</v>
      </c>
      <c r="G239" s="30" t="n">
        <v>596490</v>
      </c>
      <c r="H239" s="35" t="n">
        <v>-0.01094391244870041</v>
      </c>
      <c r="I239" s="35" t="n">
        <v>-0.1876404494382022</v>
      </c>
      <c r="J239" s="30" t="n">
        <v>38050</v>
      </c>
      <c r="K239" s="30" t="n">
        <v>37520</v>
      </c>
      <c r="L239" s="30" t="n">
        <v>29172.83333333333</v>
      </c>
      <c r="M239" s="35" t="n">
        <v>0.5784067546042827</v>
      </c>
      <c r="N239" s="35" t="n">
        <v>0.9427741693967964</v>
      </c>
      <c r="O239" s="35" t="n">
        <v>-0.06589147286821706</v>
      </c>
      <c r="P239" s="35" t="n">
        <v>0.3463687150837989</v>
      </c>
      <c r="Q239" s="35" t="n">
        <v>1.201583434835567</v>
      </c>
      <c r="R239" s="35" t="n">
        <v>-0.04993429697766094</v>
      </c>
      <c r="S239" s="35" t="n">
        <v>-0.03651385927505335</v>
      </c>
      <c r="T239" s="35" t="n">
        <v>0.2391665762096014</v>
      </c>
      <c r="U239" s="30" t="n">
        <v>44500</v>
      </c>
      <c r="V239" s="30" t="n">
        <v>13990</v>
      </c>
      <c r="W239" s="35" t="n">
        <v>-0.1876404494382022</v>
      </c>
      <c r="X239" s="35" t="n">
        <v>1.583988563259471</v>
      </c>
      <c r="Y239" s="30" t="n">
        <v>20476584</v>
      </c>
      <c r="Z239" s="30" t="n">
        <v>740228511600</v>
      </c>
      <c r="AA239" s="30" t="n">
        <v>21563113500</v>
      </c>
      <c r="AB239" s="30" t="n">
        <v>20324259917.5</v>
      </c>
      <c r="AC239" s="35" t="n">
        <v>0.0291303471321193</v>
      </c>
      <c r="AD239" s="24" t="inlineStr">
        <is>
          <t>yfinance_download</t>
        </is>
      </c>
      <c r="AE239" s="24" t="inlineStr">
        <is>
          <t>317330.KQ</t>
        </is>
      </c>
    </row>
    <row r="240" ht="24" customHeight="1">
      <c r="A240" s="29" t="inlineStr">
        <is>
          <t>2024-05-30</t>
        </is>
      </c>
      <c r="B240" s="31" t="n">
        <v>36200</v>
      </c>
      <c r="C240" s="31" t="n">
        <v>36950</v>
      </c>
      <c r="D240" s="31" t="n">
        <v>34950</v>
      </c>
      <c r="E240" s="31" t="n">
        <v>35550</v>
      </c>
      <c r="F240" s="31" t="n">
        <v>35550</v>
      </c>
      <c r="G240" s="31" t="n">
        <v>234447</v>
      </c>
      <c r="H240" s="36" t="n">
        <v>-0.01659751037344404</v>
      </c>
      <c r="I240" s="36" t="n">
        <v>-0.201123595505618</v>
      </c>
      <c r="J240" s="31" t="n">
        <v>37807.5</v>
      </c>
      <c r="K240" s="31" t="n">
        <v>37616.66666666666</v>
      </c>
      <c r="L240" s="31" t="n">
        <v>29329.33333333333</v>
      </c>
      <c r="M240" s="36" t="n">
        <v>0.5529240461201442</v>
      </c>
      <c r="N240" s="36" t="n">
        <v>0.9198146255379375</v>
      </c>
      <c r="O240" s="36" t="n">
        <v>-0.120049504950495</v>
      </c>
      <c r="P240" s="36" t="n">
        <v>0.1949579831932773</v>
      </c>
      <c r="Q240" s="36" t="n">
        <v>1.119856887298748</v>
      </c>
      <c r="R240" s="36" t="n">
        <v>-0.05971037492561004</v>
      </c>
      <c r="S240" s="36" t="n">
        <v>-0.05494018608772699</v>
      </c>
      <c r="T240" s="36" t="n">
        <v>0.2120971041505659</v>
      </c>
      <c r="U240" s="31" t="n">
        <v>44500</v>
      </c>
      <c r="V240" s="31" t="n">
        <v>13990</v>
      </c>
      <c r="W240" s="36" t="n">
        <v>-0.201123595505618</v>
      </c>
      <c r="X240" s="36" t="n">
        <v>1.541100786275911</v>
      </c>
      <c r="Y240" s="31" t="n">
        <v>20476584</v>
      </c>
      <c r="Z240" s="31" t="n">
        <v>727942561200</v>
      </c>
      <c r="AA240" s="31" t="n">
        <v>8334590850</v>
      </c>
      <c r="AB240" s="31" t="n">
        <v>19986149800</v>
      </c>
      <c r="AC240" s="36" t="n">
        <v>0.01144951716555847</v>
      </c>
      <c r="AD240" s="29" t="inlineStr">
        <is>
          <t>yfinance_download</t>
        </is>
      </c>
      <c r="AE240" s="29" t="inlineStr">
        <is>
          <t>317330.KQ</t>
        </is>
      </c>
    </row>
    <row r="241" ht="24" customHeight="1">
      <c r="A241" s="24" t="inlineStr">
        <is>
          <t>2024-05-31</t>
        </is>
      </c>
      <c r="B241" s="30" t="n">
        <v>35100</v>
      </c>
      <c r="C241" s="30" t="n">
        <v>36600</v>
      </c>
      <c r="D241" s="30" t="n">
        <v>34800</v>
      </c>
      <c r="E241" s="30" t="n">
        <v>35800</v>
      </c>
      <c r="F241" s="30" t="n">
        <v>35800</v>
      </c>
      <c r="G241" s="30" t="n">
        <v>250253</v>
      </c>
      <c r="H241" s="35" t="n">
        <v>0.007032348804500765</v>
      </c>
      <c r="I241" s="35" t="n">
        <v>-0.1955056179775281</v>
      </c>
      <c r="J241" s="30" t="n">
        <v>37555</v>
      </c>
      <c r="K241" s="30" t="n">
        <v>37569.16666666666</v>
      </c>
      <c r="L241" s="30" t="n">
        <v>29484.58333333333</v>
      </c>
      <c r="M241" s="35" t="n">
        <v>0.551445311934654</v>
      </c>
      <c r="N241" s="35" t="n">
        <v>0.6849417149517143</v>
      </c>
      <c r="O241" s="35" t="n">
        <v>-0.1236230110159119</v>
      </c>
      <c r="P241" s="35" t="n">
        <v>-0.07373868046571797</v>
      </c>
      <c r="Q241" s="35" t="n">
        <v>1.085032032615026</v>
      </c>
      <c r="R241" s="35" t="n">
        <v>-0.04673146052456401</v>
      </c>
      <c r="S241" s="35" t="n">
        <v>-0.0470909211898054</v>
      </c>
      <c r="T241" s="35" t="n">
        <v>0.2141938583723133</v>
      </c>
      <c r="U241" s="30" t="n">
        <v>44500</v>
      </c>
      <c r="V241" s="30" t="n">
        <v>13990</v>
      </c>
      <c r="W241" s="35" t="n">
        <v>-0.1955056179775281</v>
      </c>
      <c r="X241" s="35" t="n">
        <v>1.558970693352395</v>
      </c>
      <c r="Y241" s="30" t="n">
        <v>20476584</v>
      </c>
      <c r="Z241" s="30" t="n">
        <v>733061707200</v>
      </c>
      <c r="AA241" s="30" t="n">
        <v>8959057400</v>
      </c>
      <c r="AB241" s="30" t="n">
        <v>19181039132.5</v>
      </c>
      <c r="AC241" s="35" t="n">
        <v>0.01222142326083296</v>
      </c>
      <c r="AD241" s="24" t="inlineStr">
        <is>
          <t>yfinance_download</t>
        </is>
      </c>
      <c r="AE241" s="24" t="inlineStr">
        <is>
          <t>317330.KQ</t>
        </is>
      </c>
    </row>
    <row r="242" ht="24" customHeight="1">
      <c r="A242" s="29" t="inlineStr">
        <is>
          <t>2024-06-03</t>
        </is>
      </c>
      <c r="B242" s="31" t="n">
        <v>35850</v>
      </c>
      <c r="C242" s="31" t="n">
        <v>37700</v>
      </c>
      <c r="D242" s="31" t="n">
        <v>35150</v>
      </c>
      <c r="E242" s="31" t="n">
        <v>35400</v>
      </c>
      <c r="F242" s="31" t="n">
        <v>35400</v>
      </c>
      <c r="G242" s="31" t="n">
        <v>357343</v>
      </c>
      <c r="H242" s="36" t="n">
        <v>-0.01117318435754189</v>
      </c>
      <c r="I242" s="36" t="n">
        <v>-0.2044943820224719</v>
      </c>
      <c r="J242" s="31" t="n">
        <v>37100</v>
      </c>
      <c r="K242" s="31" t="n">
        <v>37532.5</v>
      </c>
      <c r="L242" s="31" t="n">
        <v>29618.33333333333</v>
      </c>
      <c r="M242" s="36" t="n">
        <v>0.4208708633870771</v>
      </c>
      <c r="N242" s="36" t="n">
        <v>0.6830516239068513</v>
      </c>
      <c r="O242" s="36" t="n">
        <v>-0.2044943820224719</v>
      </c>
      <c r="P242" s="36" t="n">
        <v>-0.05851063829787229</v>
      </c>
      <c r="Q242" s="36" t="n">
        <v>0.8294573643410852</v>
      </c>
      <c r="R242" s="36" t="n">
        <v>-0.04582210242587603</v>
      </c>
      <c r="S242" s="36" t="n">
        <v>-0.05681742489842134</v>
      </c>
      <c r="T242" s="36" t="n">
        <v>0.1952056721625119</v>
      </c>
      <c r="U242" s="31" t="n">
        <v>44500</v>
      </c>
      <c r="V242" s="31" t="n">
        <v>13990</v>
      </c>
      <c r="W242" s="36" t="n">
        <v>-0.2044943820224719</v>
      </c>
      <c r="X242" s="36" t="n">
        <v>1.530378842030022</v>
      </c>
      <c r="Y242" s="31" t="n">
        <v>20476584</v>
      </c>
      <c r="Z242" s="31" t="n">
        <v>724871073600</v>
      </c>
      <c r="AA242" s="31" t="n">
        <v>12649942200</v>
      </c>
      <c r="AB242" s="31" t="n">
        <v>16860983492.5</v>
      </c>
      <c r="AC242" s="36" t="n">
        <v>0.0174512994940953</v>
      </c>
      <c r="AD242" s="29" t="inlineStr">
        <is>
          <t>yfinance_download</t>
        </is>
      </c>
      <c r="AE242" s="29" t="inlineStr">
        <is>
          <t>317330.KQ</t>
        </is>
      </c>
    </row>
    <row r="243" ht="24" customHeight="1">
      <c r="A243" s="24" t="inlineStr">
        <is>
          <t>2024-06-04</t>
        </is>
      </c>
      <c r="B243" s="30" t="n">
        <v>36500</v>
      </c>
      <c r="C243" s="30" t="n">
        <v>39000</v>
      </c>
      <c r="D243" s="30" t="n">
        <v>36300</v>
      </c>
      <c r="E243" s="30" t="n">
        <v>38350</v>
      </c>
      <c r="F243" s="30" t="n">
        <v>38350</v>
      </c>
      <c r="G243" s="30" t="n">
        <v>812419</v>
      </c>
      <c r="H243" s="35" t="n">
        <v>0.08333333333333326</v>
      </c>
      <c r="I243" s="35" t="n">
        <v>-0.1382022471910113</v>
      </c>
      <c r="J243" s="30" t="n">
        <v>36930</v>
      </c>
      <c r="K243" s="30" t="n">
        <v>37589.16666666666</v>
      </c>
      <c r="L243" s="30" t="n">
        <v>29775</v>
      </c>
      <c r="M243" s="35" t="n">
        <v>0.497096288304137</v>
      </c>
      <c r="N243" s="35" t="n">
        <v>0.6880893725083028</v>
      </c>
      <c r="O243" s="35" t="n">
        <v>-0.08143712574850304</v>
      </c>
      <c r="P243" s="35" t="n">
        <v>0.09728183118741063</v>
      </c>
      <c r="Q243" s="35" t="n">
        <v>0.9616368286445012</v>
      </c>
      <c r="R243" s="35" t="n">
        <v>0.0384511237476306</v>
      </c>
      <c r="S243" s="35" t="n">
        <v>0.02024076085751658</v>
      </c>
      <c r="T243" s="35" t="n">
        <v>0.2879932829554996</v>
      </c>
      <c r="U243" s="30" t="n">
        <v>44500</v>
      </c>
      <c r="V243" s="30" t="n">
        <v>13990</v>
      </c>
      <c r="W243" s="35" t="n">
        <v>-0.1382022471910113</v>
      </c>
      <c r="X243" s="35" t="n">
        <v>1.741243745532523</v>
      </c>
      <c r="Y243" s="30" t="n">
        <v>20476584</v>
      </c>
      <c r="Z243" s="30" t="n">
        <v>785276996400</v>
      </c>
      <c r="AA243" s="30" t="n">
        <v>31156268650</v>
      </c>
      <c r="AB243" s="30" t="n">
        <v>16248034900</v>
      </c>
      <c r="AC243" s="35" t="n">
        <v>0.03967551423616361</v>
      </c>
      <c r="AD243" s="24" t="inlineStr">
        <is>
          <t>yfinance_download</t>
        </is>
      </c>
      <c r="AE243" s="24" t="inlineStr">
        <is>
          <t>317330.KQ</t>
        </is>
      </c>
    </row>
    <row r="244" ht="24" customHeight="1">
      <c r="A244" s="29" t="inlineStr">
        <is>
          <t>2024-06-05</t>
        </is>
      </c>
      <c r="B244" s="31" t="n">
        <v>38650</v>
      </c>
      <c r="C244" s="31" t="n">
        <v>40350</v>
      </c>
      <c r="D244" s="31" t="n">
        <v>38500</v>
      </c>
      <c r="E244" s="31" t="n">
        <v>39100</v>
      </c>
      <c r="F244" s="31" t="n">
        <v>39100</v>
      </c>
      <c r="G244" s="31" t="n">
        <v>441289</v>
      </c>
      <c r="H244" s="36" t="n">
        <v>0.01955671447196861</v>
      </c>
      <c r="I244" s="36" t="n">
        <v>-0.1213483146067416</v>
      </c>
      <c r="J244" s="31" t="n">
        <v>36905</v>
      </c>
      <c r="K244" s="31" t="n">
        <v>37683.33333333334</v>
      </c>
      <c r="L244" s="31" t="n">
        <v>29940.25</v>
      </c>
      <c r="M244" s="36" t="n">
        <v>0.4698722808049863</v>
      </c>
      <c r="N244" s="36" t="n">
        <v>0.6823830690997367</v>
      </c>
      <c r="O244" s="36" t="n">
        <v>-0.01262626262626265</v>
      </c>
      <c r="P244" s="36" t="n">
        <v>0.1689088191330343</v>
      </c>
      <c r="Q244" s="36" t="n">
        <v>1.029060716139076</v>
      </c>
      <c r="R244" s="36" t="n">
        <v>0.05947703563202822</v>
      </c>
      <c r="S244" s="36" t="n">
        <v>0.03759398496240585</v>
      </c>
      <c r="T244" s="36" t="n">
        <v>0.3059343191857116</v>
      </c>
      <c r="U244" s="31" t="n">
        <v>44500</v>
      </c>
      <c r="V244" s="31" t="n">
        <v>13990</v>
      </c>
      <c r="W244" s="36" t="n">
        <v>-0.1213483146067416</v>
      </c>
      <c r="X244" s="36" t="n">
        <v>1.794853466761973</v>
      </c>
      <c r="Y244" s="31" t="n">
        <v>20476584</v>
      </c>
      <c r="Z244" s="31" t="n">
        <v>800634434400</v>
      </c>
      <c r="AA244" s="31" t="n">
        <v>17254399900</v>
      </c>
      <c r="AB244" s="31" t="n">
        <v>15730910715</v>
      </c>
      <c r="AC244" s="36" t="n">
        <v>0.02155090907741252</v>
      </c>
      <c r="AD244" s="29" t="inlineStr">
        <is>
          <t>yfinance_download</t>
        </is>
      </c>
      <c r="AE244" s="29" t="inlineStr">
        <is>
          <t>317330.KQ</t>
        </is>
      </c>
    </row>
    <row r="245" ht="24" customHeight="1">
      <c r="A245" s="24" t="inlineStr">
        <is>
          <t>2024-06-07</t>
        </is>
      </c>
      <c r="B245" s="30" t="n">
        <v>40100</v>
      </c>
      <c r="C245" s="30" t="n">
        <v>43300</v>
      </c>
      <c r="D245" s="30" t="n">
        <v>39850</v>
      </c>
      <c r="E245" s="30" t="n">
        <v>41300</v>
      </c>
      <c r="F245" s="30" t="n">
        <v>41300</v>
      </c>
      <c r="G245" s="30" t="n">
        <v>815808</v>
      </c>
      <c r="H245" s="35" t="n">
        <v>0.05626598465473154</v>
      </c>
      <c r="I245" s="35" t="n">
        <v>-0.07191011235955058</v>
      </c>
      <c r="J245" s="30" t="n">
        <v>37020</v>
      </c>
      <c r="K245" s="30" t="n">
        <v>37830</v>
      </c>
      <c r="L245" s="30" t="n">
        <v>30130.75</v>
      </c>
      <c r="M245" s="35" t="n">
        <v>0.5067266313730928</v>
      </c>
      <c r="N245" s="35" t="n">
        <v>0.6875221964313486</v>
      </c>
      <c r="O245" s="35" t="n">
        <v>0.05897435897435899</v>
      </c>
      <c r="P245" s="35" t="n">
        <v>0.2707692307692309</v>
      </c>
      <c r="Q245" s="35" t="n">
        <v>1.239696312364425</v>
      </c>
      <c r="R245" s="35" t="n">
        <v>0.1156131820637494</v>
      </c>
      <c r="S245" s="35" t="n">
        <v>0.09172614327253492</v>
      </c>
      <c r="T245" s="35" t="n">
        <v>0.3706927308480539</v>
      </c>
      <c r="U245" s="30" t="n">
        <v>44500</v>
      </c>
      <c r="V245" s="30" t="n">
        <v>13990</v>
      </c>
      <c r="W245" s="35" t="n">
        <v>-0.07191011235955058</v>
      </c>
      <c r="X245" s="35" t="n">
        <v>1.952108649035025</v>
      </c>
      <c r="Y245" s="30" t="n">
        <v>20476584</v>
      </c>
      <c r="Z245" s="30" t="n">
        <v>845682919200</v>
      </c>
      <c r="AA245" s="30" t="n">
        <v>33692870400</v>
      </c>
      <c r="AB245" s="30" t="n">
        <v>16726745985</v>
      </c>
      <c r="AC245" s="35" t="n">
        <v>0.03984102035769248</v>
      </c>
      <c r="AD245" s="24" t="inlineStr">
        <is>
          <t>yfinance_download</t>
        </is>
      </c>
      <c r="AE245" s="24" t="inlineStr">
        <is>
          <t>317330.KQ</t>
        </is>
      </c>
    </row>
    <row r="246" ht="24" customHeight="1">
      <c r="A246" s="29" t="inlineStr">
        <is>
          <t>2024-06-10</t>
        </is>
      </c>
      <c r="B246" s="31" t="n">
        <v>42000</v>
      </c>
      <c r="C246" s="31" t="n">
        <v>53600</v>
      </c>
      <c r="D246" s="31" t="n">
        <v>41850</v>
      </c>
      <c r="E246" s="31" t="n">
        <v>51000</v>
      </c>
      <c r="F246" s="31" t="n">
        <v>51000</v>
      </c>
      <c r="G246" s="31" t="n">
        <v>4160061</v>
      </c>
      <c r="H246" s="36" t="n">
        <v>0.2348668280871671</v>
      </c>
      <c r="I246" s="36" t="n">
        <v>0</v>
      </c>
      <c r="J246" s="31" t="n">
        <v>37645</v>
      </c>
      <c r="K246" s="31" t="n">
        <v>38136.66666666666</v>
      </c>
      <c r="L246" s="31" t="n">
        <v>30382.83333333333</v>
      </c>
      <c r="M246" s="36" t="n">
        <v>0.9610228696216124</v>
      </c>
      <c r="N246" s="36" t="n">
        <v>0.8334986896188393</v>
      </c>
      <c r="O246" s="36" t="n">
        <v>0.3246753246753247</v>
      </c>
      <c r="P246" s="36" t="n">
        <v>0.5644171779141105</v>
      </c>
      <c r="Q246" s="36" t="n">
        <v>1.457831325301205</v>
      </c>
      <c r="R246" s="36" t="n">
        <v>0.3547615885243725</v>
      </c>
      <c r="S246" s="36" t="n">
        <v>0.3372956909361071</v>
      </c>
      <c r="T246" s="36" t="n">
        <v>0.6785794609894842</v>
      </c>
      <c r="U246" s="31" t="n">
        <v>51000</v>
      </c>
      <c r="V246" s="31" t="n">
        <v>13990</v>
      </c>
      <c r="W246" s="36" t="n">
        <v>0</v>
      </c>
      <c r="X246" s="36" t="n">
        <v>2.645461043602573</v>
      </c>
      <c r="Y246" s="31" t="n">
        <v>20476584</v>
      </c>
      <c r="Z246" s="31" t="n">
        <v>1044305784000</v>
      </c>
      <c r="AA246" s="31" t="n">
        <v>212163111000</v>
      </c>
      <c r="AB246" s="31" t="n">
        <v>26326057160</v>
      </c>
      <c r="AC246" s="36" t="n">
        <v>0.2031618652798728</v>
      </c>
      <c r="AD246" s="29" t="inlineStr">
        <is>
          <t>yfinance_download</t>
        </is>
      </c>
      <c r="AE246" s="29" t="inlineStr">
        <is>
          <t>317330.KQ</t>
        </is>
      </c>
    </row>
    <row r="247" ht="24" customHeight="1">
      <c r="A247" s="24" t="inlineStr">
        <is>
          <t>2024-06-11</t>
        </is>
      </c>
      <c r="B247" s="30" t="n">
        <v>51000</v>
      </c>
      <c r="C247" s="30" t="n">
        <v>52500</v>
      </c>
      <c r="D247" s="30" t="n">
        <v>50500</v>
      </c>
      <c r="E247" s="30" t="n">
        <v>52300</v>
      </c>
      <c r="F247" s="30" t="n">
        <v>52300</v>
      </c>
      <c r="G247" s="30" t="n">
        <v>1086998</v>
      </c>
      <c r="H247" s="35" t="n">
        <v>0.02549019607843128</v>
      </c>
      <c r="I247" s="35" t="n">
        <v>0</v>
      </c>
      <c r="J247" s="30" t="n">
        <v>38387.5</v>
      </c>
      <c r="K247" s="30" t="n">
        <v>38460</v>
      </c>
      <c r="L247" s="30" t="n">
        <v>30649.08333333333</v>
      </c>
      <c r="M247" s="35" t="n">
        <v>0.9478701634717065</v>
      </c>
      <c r="N247" s="35" t="n">
        <v>0.8342030984672736</v>
      </c>
      <c r="O247" s="35" t="n">
        <v>0.39652870493992</v>
      </c>
      <c r="P247" s="35" t="n">
        <v>0.5896656534954408</v>
      </c>
      <c r="Q247" s="35" t="n">
        <v>1.57002457002457</v>
      </c>
      <c r="R247" s="35" t="n">
        <v>0.362422663627483</v>
      </c>
      <c r="S247" s="35" t="n">
        <v>0.359854394175767</v>
      </c>
      <c r="T247" s="35" t="n">
        <v>0.7064131879963784</v>
      </c>
      <c r="U247" s="30" t="n">
        <v>52300</v>
      </c>
      <c r="V247" s="30" t="n">
        <v>13990</v>
      </c>
      <c r="W247" s="35" t="n">
        <v>0</v>
      </c>
      <c r="X247" s="35" t="n">
        <v>2.738384560400286</v>
      </c>
      <c r="Y247" s="30" t="n">
        <v>20476584</v>
      </c>
      <c r="Z247" s="30" t="n">
        <v>1070925343200</v>
      </c>
      <c r="AA247" s="30" t="n">
        <v>56849995400</v>
      </c>
      <c r="AB247" s="30" t="n">
        <v>27937485550</v>
      </c>
      <c r="AC247" s="35" t="n">
        <v>0.05308492861895324</v>
      </c>
      <c r="AD247" s="24" t="inlineStr">
        <is>
          <t>yfinance_download</t>
        </is>
      </c>
      <c r="AE247" s="24" t="inlineStr">
        <is>
          <t>317330.KQ</t>
        </is>
      </c>
    </row>
    <row r="248" ht="24" customHeight="1">
      <c r="A248" s="29" t="inlineStr">
        <is>
          <t>2024-06-12</t>
        </is>
      </c>
      <c r="B248" s="31" t="n">
        <v>56000</v>
      </c>
      <c r="C248" s="31" t="n">
        <v>59600</v>
      </c>
      <c r="D248" s="31" t="n">
        <v>49100</v>
      </c>
      <c r="E248" s="31" t="n">
        <v>50300</v>
      </c>
      <c r="F248" s="31" t="n">
        <v>50300</v>
      </c>
      <c r="G248" s="31" t="n">
        <v>2257688</v>
      </c>
      <c r="H248" s="36" t="n">
        <v>-0.03824091778202676</v>
      </c>
      <c r="I248" s="36" t="n">
        <v>-0.03824091778202676</v>
      </c>
      <c r="J248" s="31" t="n">
        <v>39025</v>
      </c>
      <c r="K248" s="31" t="n">
        <v>38761.66666666666</v>
      </c>
      <c r="L248" s="31" t="n">
        <v>30899.91666666667</v>
      </c>
      <c r="M248" s="36" t="n">
        <v>0.9677709890425178</v>
      </c>
      <c r="N248" s="36" t="n">
        <v>0.8375540043034532</v>
      </c>
      <c r="O248" s="36" t="n">
        <v>0.3395472703062583</v>
      </c>
      <c r="P248" s="36" t="n">
        <v>0.5621118012422359</v>
      </c>
      <c r="Q248" s="36" t="n">
        <v>1.49009900990099</v>
      </c>
      <c r="R248" s="36" t="n">
        <v>0.2889173606662396</v>
      </c>
      <c r="S248" s="36" t="n">
        <v>0.2976738186352497</v>
      </c>
      <c r="T248" s="36" t="n">
        <v>0.6278361052753647</v>
      </c>
      <c r="U248" s="31" t="n">
        <v>52300</v>
      </c>
      <c r="V248" s="31" t="n">
        <v>13990</v>
      </c>
      <c r="W248" s="36" t="n">
        <v>-0.03824091778202676</v>
      </c>
      <c r="X248" s="36" t="n">
        <v>2.59542530378842</v>
      </c>
      <c r="Y248" s="31" t="n">
        <v>20476584</v>
      </c>
      <c r="Z248" s="31" t="n">
        <v>1029972175200</v>
      </c>
      <c r="AA248" s="31" t="n">
        <v>113561706400</v>
      </c>
      <c r="AB248" s="31" t="n">
        <v>32917965092.5</v>
      </c>
      <c r="AC248" s="36" t="n">
        <v>0.1102570624084564</v>
      </c>
      <c r="AD248" s="29" t="inlineStr">
        <is>
          <t>yfinance_download</t>
        </is>
      </c>
      <c r="AE248" s="29" t="inlineStr">
        <is>
          <t>317330.KQ</t>
        </is>
      </c>
    </row>
    <row r="249" ht="24" customHeight="1">
      <c r="A249" s="24" t="inlineStr">
        <is>
          <t>2024-06-13</t>
        </is>
      </c>
      <c r="B249" s="30" t="n">
        <v>50100</v>
      </c>
      <c r="C249" s="30" t="n">
        <v>59800</v>
      </c>
      <c r="D249" s="30" t="n">
        <v>49850</v>
      </c>
      <c r="E249" s="30" t="n">
        <v>57700</v>
      </c>
      <c r="F249" s="30" t="n">
        <v>57700</v>
      </c>
      <c r="G249" s="30" t="n">
        <v>2647092</v>
      </c>
      <c r="H249" s="35" t="n">
        <v>0.1471172962226641</v>
      </c>
      <c r="I249" s="35" t="n">
        <v>0</v>
      </c>
      <c r="J249" s="30" t="n">
        <v>39980</v>
      </c>
      <c r="K249" s="30" t="n">
        <v>39205.83333333334</v>
      </c>
      <c r="L249" s="30" t="n">
        <v>31219.16666666667</v>
      </c>
      <c r="M249" s="35" t="n">
        <v>1.073438237953756</v>
      </c>
      <c r="N249" s="35" t="n">
        <v>0.878883991206501</v>
      </c>
      <c r="O249" s="35" t="n">
        <v>0.4948186528497409</v>
      </c>
      <c r="P249" s="35" t="n">
        <v>0.8582930756843801</v>
      </c>
      <c r="Q249" s="35" t="n">
        <v>1.975760701392471</v>
      </c>
      <c r="R249" s="35" t="n">
        <v>0.4432216108054028</v>
      </c>
      <c r="S249" s="35" t="n">
        <v>0.4717197695921098</v>
      </c>
      <c r="T249" s="35" t="n">
        <v>0.8482235805995249</v>
      </c>
      <c r="U249" s="30" t="n">
        <v>57700</v>
      </c>
      <c r="V249" s="30" t="n">
        <v>13990</v>
      </c>
      <c r="W249" s="35" t="n">
        <v>0</v>
      </c>
      <c r="X249" s="35" t="n">
        <v>3.124374553252323</v>
      </c>
      <c r="Y249" s="30" t="n">
        <v>20476584</v>
      </c>
      <c r="Z249" s="30" t="n">
        <v>1181498896800</v>
      </c>
      <c r="AA249" s="30" t="n">
        <v>152737208400</v>
      </c>
      <c r="AB249" s="30" t="n">
        <v>39938952862.5</v>
      </c>
      <c r="AC249" s="35" t="n">
        <v>0.1292741015786618</v>
      </c>
      <c r="AD249" s="24" t="inlineStr">
        <is>
          <t>yfinance_download</t>
        </is>
      </c>
      <c r="AE249" s="24" t="inlineStr">
        <is>
          <t>317330.KQ</t>
        </is>
      </c>
    </row>
    <row r="250" ht="24" customHeight="1">
      <c r="A250" s="29" t="inlineStr">
        <is>
          <t>2024-06-14</t>
        </is>
      </c>
      <c r="B250" s="31" t="n">
        <v>57700</v>
      </c>
      <c r="C250" s="31" t="n">
        <v>58700</v>
      </c>
      <c r="D250" s="31" t="n">
        <v>54400</v>
      </c>
      <c r="E250" s="31" t="n">
        <v>57100</v>
      </c>
      <c r="F250" s="31" t="n">
        <v>57100</v>
      </c>
      <c r="G250" s="31" t="n">
        <v>836153</v>
      </c>
      <c r="H250" s="36" t="n">
        <v>-0.0103986135181976</v>
      </c>
      <c r="I250" s="36" t="n">
        <v>-0.0103986135181976</v>
      </c>
      <c r="J250" s="31" t="n">
        <v>40930</v>
      </c>
      <c r="K250" s="31" t="n">
        <v>39614.16666666666</v>
      </c>
      <c r="L250" s="31" t="n">
        <v>31533.25</v>
      </c>
      <c r="M250" s="36" t="n">
        <v>1.072363872465059</v>
      </c>
      <c r="N250" s="36" t="n">
        <v>0.8764006626429749</v>
      </c>
      <c r="O250" s="36" t="n">
        <v>0.4986876640419948</v>
      </c>
      <c r="P250" s="36" t="n">
        <v>0.7515337423312884</v>
      </c>
      <c r="Q250" s="36" t="n">
        <v>1.941782586295724</v>
      </c>
      <c r="R250" s="36" t="n">
        <v>0.3950647446860494</v>
      </c>
      <c r="S250" s="36" t="n">
        <v>0.4414035382964849</v>
      </c>
      <c r="T250" s="36" t="n">
        <v>0.8107870263927759</v>
      </c>
      <c r="U250" s="31" t="n">
        <v>57700</v>
      </c>
      <c r="V250" s="31" t="n">
        <v>13990</v>
      </c>
      <c r="W250" s="36" t="n">
        <v>-0.0103986135181976</v>
      </c>
      <c r="X250" s="36" t="n">
        <v>3.081486776268763</v>
      </c>
      <c r="Y250" s="31" t="n">
        <v>20476584</v>
      </c>
      <c r="Z250" s="31" t="n">
        <v>1169212946400</v>
      </c>
      <c r="AA250" s="31" t="n">
        <v>47744336300</v>
      </c>
      <c r="AB250" s="31" t="n">
        <v>41789706437.5</v>
      </c>
      <c r="AC250" s="36" t="n">
        <v>0.04083459428584377</v>
      </c>
      <c r="AD250" s="29" t="inlineStr">
        <is>
          <t>yfinance_download</t>
        </is>
      </c>
      <c r="AE250" s="29" t="inlineStr">
        <is>
          <t>317330.KQ</t>
        </is>
      </c>
    </row>
    <row r="251" ht="24" customHeight="1">
      <c r="A251" s="24" t="inlineStr">
        <is>
          <t>2024-06-17</t>
        </is>
      </c>
      <c r="B251" s="30" t="n">
        <v>55400</v>
      </c>
      <c r="C251" s="30" t="n">
        <v>58900</v>
      </c>
      <c r="D251" s="30" t="n">
        <v>54200</v>
      </c>
      <c r="E251" s="30" t="n">
        <v>54300</v>
      </c>
      <c r="F251" s="30" t="n">
        <v>54300</v>
      </c>
      <c r="G251" s="30" t="n">
        <v>555155</v>
      </c>
      <c r="H251" s="35" t="n">
        <v>-0.04903677758318736</v>
      </c>
      <c r="I251" s="35" t="n">
        <v>-0.05892547660311953</v>
      </c>
      <c r="J251" s="30" t="n">
        <v>41767.5</v>
      </c>
      <c r="K251" s="30" t="n">
        <v>39944.16666666666</v>
      </c>
      <c r="L251" s="30" t="n">
        <v>31812</v>
      </c>
      <c r="M251" s="35" t="n">
        <v>1.094926741376393</v>
      </c>
      <c r="N251" s="35" t="n">
        <v>0.8791584353464219</v>
      </c>
      <c r="O251" s="35" t="n">
        <v>0.4460719041278296</v>
      </c>
      <c r="P251" s="35" t="n">
        <v>0.5739130434782609</v>
      </c>
      <c r="Q251" s="35" t="n">
        <v>1.60431654676259</v>
      </c>
      <c r="R251" s="35" t="n">
        <v>0.3000538696354822</v>
      </c>
      <c r="S251" s="35" t="n">
        <v>0.3593974923330483</v>
      </c>
      <c r="T251" s="35" t="n">
        <v>0.7069030554507734</v>
      </c>
      <c r="U251" s="30" t="n">
        <v>57700</v>
      </c>
      <c r="V251" s="30" t="n">
        <v>13990</v>
      </c>
      <c r="W251" s="35" t="n">
        <v>-0.05892547660311953</v>
      </c>
      <c r="X251" s="35" t="n">
        <v>2.881343817012151</v>
      </c>
      <c r="Y251" s="30" t="n">
        <v>20476584</v>
      </c>
      <c r="Z251" s="30" t="n">
        <v>1111878511200</v>
      </c>
      <c r="AA251" s="30" t="n">
        <v>30144916500</v>
      </c>
      <c r="AB251" s="30" t="n">
        <v>42539157590</v>
      </c>
      <c r="AC251" s="35" t="n">
        <v>0.02711169988119112</v>
      </c>
      <c r="AD251" s="24" t="inlineStr">
        <is>
          <t>yfinance_download</t>
        </is>
      </c>
      <c r="AE251" s="24" t="inlineStr">
        <is>
          <t>317330.KQ</t>
        </is>
      </c>
    </row>
    <row r="252" ht="24" customHeight="1">
      <c r="A252" s="29" t="inlineStr">
        <is>
          <t>2024-06-18</t>
        </is>
      </c>
      <c r="B252" s="31" t="n">
        <v>53800</v>
      </c>
      <c r="C252" s="31" t="n">
        <v>55000</v>
      </c>
      <c r="D252" s="31" t="n">
        <v>51800</v>
      </c>
      <c r="E252" s="31" t="n">
        <v>54100</v>
      </c>
      <c r="F252" s="31" t="n">
        <v>54100</v>
      </c>
      <c r="G252" s="31" t="n">
        <v>721647</v>
      </c>
      <c r="H252" s="36" t="n">
        <v>-0.003683241252302016</v>
      </c>
      <c r="I252" s="36" t="n">
        <v>-0.06239168110918547</v>
      </c>
      <c r="J252" s="31" t="n">
        <v>42630</v>
      </c>
      <c r="K252" s="31" t="n">
        <v>40270.83333333334</v>
      </c>
      <c r="L252" s="31" t="n">
        <v>32088.66666666667</v>
      </c>
      <c r="M252" s="36" t="n">
        <v>1.089074215406219</v>
      </c>
      <c r="N252" s="36" t="n">
        <v>0.8793520352078195</v>
      </c>
      <c r="O252" s="36" t="n">
        <v>0.4681139755766621</v>
      </c>
      <c r="P252" s="36" t="n">
        <v>0.5681159420289854</v>
      </c>
      <c r="Q252" s="36" t="n">
        <v>1.588516746411483</v>
      </c>
      <c r="R252" s="36" t="n">
        <v>0.269059347877082</v>
      </c>
      <c r="S252" s="36" t="n">
        <v>0.3434040351784791</v>
      </c>
      <c r="T252" s="36" t="n">
        <v>0.685953503833129</v>
      </c>
      <c r="U252" s="31" t="n">
        <v>57700</v>
      </c>
      <c r="V252" s="31" t="n">
        <v>13990</v>
      </c>
      <c r="W252" s="36" t="n">
        <v>-0.06239168110918547</v>
      </c>
      <c r="X252" s="36" t="n">
        <v>2.867047891350965</v>
      </c>
      <c r="Y252" s="31" t="n">
        <v>20476584</v>
      </c>
      <c r="Z252" s="31" t="n">
        <v>1107783194400</v>
      </c>
      <c r="AA252" s="31" t="n">
        <v>39041102700</v>
      </c>
      <c r="AB252" s="31" t="n">
        <v>44098555707.5</v>
      </c>
      <c r="AC252" s="36" t="n">
        <v>0.03524254826879327</v>
      </c>
      <c r="AD252" s="29" t="inlineStr">
        <is>
          <t>yfinance_download</t>
        </is>
      </c>
      <c r="AE252" s="29" t="inlineStr">
        <is>
          <t>317330.KQ</t>
        </is>
      </c>
    </row>
    <row r="253" ht="24" customHeight="1">
      <c r="A253" s="24" t="inlineStr">
        <is>
          <t>2024-06-19</t>
        </is>
      </c>
      <c r="B253" s="30" t="n">
        <v>53600</v>
      </c>
      <c r="C253" s="30" t="n">
        <v>62600</v>
      </c>
      <c r="D253" s="30" t="n">
        <v>53600</v>
      </c>
      <c r="E253" s="30" t="n">
        <v>61200</v>
      </c>
      <c r="F253" s="30" t="n">
        <v>61200</v>
      </c>
      <c r="G253" s="30" t="n">
        <v>1686908</v>
      </c>
      <c r="H253" s="35" t="n">
        <v>0.1312384473197783</v>
      </c>
      <c r="I253" s="35" t="n">
        <v>0</v>
      </c>
      <c r="J253" s="30" t="n">
        <v>43902.5</v>
      </c>
      <c r="K253" s="30" t="n">
        <v>40707.5</v>
      </c>
      <c r="L253" s="30" t="n">
        <v>32430.33333333333</v>
      </c>
      <c r="M253" s="35" t="n">
        <v>1.137517350526027</v>
      </c>
      <c r="N253" s="35" t="n">
        <v>0.9143488429374953</v>
      </c>
      <c r="O253" s="35" t="n">
        <v>0.711888111888112</v>
      </c>
      <c r="P253" s="35" t="n">
        <v>0.7485714285714287</v>
      </c>
      <c r="Q253" s="35" t="n">
        <v>2.02970297029703</v>
      </c>
      <c r="R253" s="35" t="n">
        <v>0.3939980638915779</v>
      </c>
      <c r="S253" s="35" t="n">
        <v>0.5034084628139777</v>
      </c>
      <c r="T253" s="35" t="n">
        <v>0.887122138738424</v>
      </c>
      <c r="U253" s="30" t="n">
        <v>61200</v>
      </c>
      <c r="V253" s="30" t="n">
        <v>13990</v>
      </c>
      <c r="W253" s="35" t="n">
        <v>0</v>
      </c>
      <c r="X253" s="35" t="n">
        <v>3.374553252323088</v>
      </c>
      <c r="Y253" s="30" t="n">
        <v>20476584</v>
      </c>
      <c r="Z253" s="30" t="n">
        <v>1253166940800</v>
      </c>
      <c r="AA253" s="30" t="n">
        <v>103238769600</v>
      </c>
      <c r="AB253" s="30" t="n">
        <v>48497108350</v>
      </c>
      <c r="AC253" s="35" t="n">
        <v>0.08238229579699427</v>
      </c>
      <c r="AD253" s="24" t="inlineStr">
        <is>
          <t>yfinance_download</t>
        </is>
      </c>
      <c r="AE253" s="24" t="inlineStr">
        <is>
          <t>317330.KQ</t>
        </is>
      </c>
    </row>
    <row r="254" ht="24" customHeight="1">
      <c r="A254" s="29" t="inlineStr">
        <is>
          <t>2024-06-20</t>
        </is>
      </c>
      <c r="B254" s="31" t="n">
        <v>61100</v>
      </c>
      <c r="C254" s="31" t="n">
        <v>61400</v>
      </c>
      <c r="D254" s="31" t="n">
        <v>56100</v>
      </c>
      <c r="E254" s="31" t="n">
        <v>58800</v>
      </c>
      <c r="F254" s="31" t="n">
        <v>58800</v>
      </c>
      <c r="G254" s="31" t="n">
        <v>803253</v>
      </c>
      <c r="H254" s="36" t="n">
        <v>-0.03921568627450978</v>
      </c>
      <c r="I254" s="36" t="n">
        <v>-0.03921568627450978</v>
      </c>
      <c r="J254" s="31" t="n">
        <v>45082.5</v>
      </c>
      <c r="K254" s="31" t="n">
        <v>41079.16666666666</v>
      </c>
      <c r="L254" s="31" t="n">
        <v>32752.41666666667</v>
      </c>
      <c r="M254" s="36" t="n">
        <v>1.153022945538874</v>
      </c>
      <c r="N254" s="36" t="n">
        <v>0.9175594788039216</v>
      </c>
      <c r="O254" s="36" t="n">
        <v>0.6704545454545454</v>
      </c>
      <c r="P254" s="36" t="n">
        <v>0.6109589041095891</v>
      </c>
      <c r="Q254" s="36" t="n">
        <v>1.918114143920596</v>
      </c>
      <c r="R254" s="36" t="n">
        <v>0.3042754949259689</v>
      </c>
      <c r="S254" s="36" t="n">
        <v>0.431382493153464</v>
      </c>
      <c r="T254" s="36" t="n">
        <v>0.7952873706520383</v>
      </c>
      <c r="U254" s="31" t="n">
        <v>61200</v>
      </c>
      <c r="V254" s="31" t="n">
        <v>13990</v>
      </c>
      <c r="W254" s="36" t="n">
        <v>-0.03921568627450978</v>
      </c>
      <c r="X254" s="36" t="n">
        <v>3.203002144388849</v>
      </c>
      <c r="Y254" s="31" t="n">
        <v>20476584</v>
      </c>
      <c r="Z254" s="31" t="n">
        <v>1204023139200</v>
      </c>
      <c r="AA254" s="31" t="n">
        <v>47231276400</v>
      </c>
      <c r="AB254" s="31" t="n">
        <v>49801827370</v>
      </c>
      <c r="AC254" s="36" t="n">
        <v>0.0392278809785851</v>
      </c>
      <c r="AD254" s="29" t="inlineStr">
        <is>
          <t>yfinance_download</t>
        </is>
      </c>
      <c r="AE254" s="29" t="inlineStr">
        <is>
          <t>317330.KQ</t>
        </is>
      </c>
    </row>
    <row r="255" ht="24" customHeight="1">
      <c r="A255" s="24" t="inlineStr">
        <is>
          <t>2024-06-21</t>
        </is>
      </c>
      <c r="B255" s="30" t="n">
        <v>58100</v>
      </c>
      <c r="C255" s="30" t="n">
        <v>61400</v>
      </c>
      <c r="D255" s="30" t="n">
        <v>56700</v>
      </c>
      <c r="E255" s="30" t="n">
        <v>61400</v>
      </c>
      <c r="F255" s="30" t="n">
        <v>61400</v>
      </c>
      <c r="G255" s="30" t="n">
        <v>592349</v>
      </c>
      <c r="H255" s="35" t="n">
        <v>0.04421768707482987</v>
      </c>
      <c r="I255" s="35" t="n">
        <v>0</v>
      </c>
      <c r="J255" s="30" t="n">
        <v>46330</v>
      </c>
      <c r="K255" s="30" t="n">
        <v>41505.83333333334</v>
      </c>
      <c r="L255" s="30" t="n">
        <v>33100.58333333334</v>
      </c>
      <c r="M255" s="35" t="n">
        <v>1.154160037178154</v>
      </c>
      <c r="N255" s="35" t="n">
        <v>0.9182867944340601</v>
      </c>
      <c r="O255" s="35" t="n">
        <v>0.6844993141289437</v>
      </c>
      <c r="P255" s="35" t="n">
        <v>0.7150837988826815</v>
      </c>
      <c r="Q255" s="35" t="n">
        <v>2.129459734964322</v>
      </c>
      <c r="R255" s="35" t="n">
        <v>0.3252751996546515</v>
      </c>
      <c r="S255" s="35" t="n">
        <v>0.4793101371293191</v>
      </c>
      <c r="T255" s="35" t="n">
        <v>0.8549522037627735</v>
      </c>
      <c r="U255" s="30" t="n">
        <v>61400</v>
      </c>
      <c r="V255" s="30" t="n">
        <v>13990</v>
      </c>
      <c r="W255" s="35" t="n">
        <v>0</v>
      </c>
      <c r="X255" s="35" t="n">
        <v>3.388849177984275</v>
      </c>
      <c r="Y255" s="30" t="n">
        <v>20476584</v>
      </c>
      <c r="Z255" s="30" t="n">
        <v>1257262257600</v>
      </c>
      <c r="AA255" s="30" t="n">
        <v>36370228600</v>
      </c>
      <c r="AB255" s="30" t="n">
        <v>51045068497.5</v>
      </c>
      <c r="AC255" s="35" t="n">
        <v>0.02892811613499596</v>
      </c>
      <c r="AD255" s="24" t="inlineStr">
        <is>
          <t>yfinance_download</t>
        </is>
      </c>
      <c r="AE255" s="24" t="inlineStr">
        <is>
          <t>317330.KQ</t>
        </is>
      </c>
    </row>
    <row r="256" ht="24" customHeight="1">
      <c r="A256" s="29" t="inlineStr">
        <is>
          <t>2024-06-24</t>
        </is>
      </c>
      <c r="B256" s="31" t="n">
        <v>64100</v>
      </c>
      <c r="C256" s="31" t="n">
        <v>67500</v>
      </c>
      <c r="D256" s="31" t="n">
        <v>55200</v>
      </c>
      <c r="E256" s="31" t="n">
        <v>57700</v>
      </c>
      <c r="F256" s="31" t="n">
        <v>57700</v>
      </c>
      <c r="G256" s="31" t="n">
        <v>1665513</v>
      </c>
      <c r="H256" s="36" t="n">
        <v>-0.06026058631921827</v>
      </c>
      <c r="I256" s="36" t="n">
        <v>-0.06026058631921827</v>
      </c>
      <c r="J256" s="31" t="n">
        <v>47480</v>
      </c>
      <c r="K256" s="31" t="n">
        <v>41795.83333333334</v>
      </c>
      <c r="L256" s="31" t="n">
        <v>33421.41666666666</v>
      </c>
      <c r="M256" s="36" t="n">
        <v>1.165722786335842</v>
      </c>
      <c r="N256" s="36" t="n">
        <v>0.897565978336907</v>
      </c>
      <c r="O256" s="36" t="n">
        <v>0.6628242074927955</v>
      </c>
      <c r="P256" s="36" t="n">
        <v>0.4317617866004964</v>
      </c>
      <c r="Q256" s="36" t="n">
        <v>2.005208333333333</v>
      </c>
      <c r="R256" s="36" t="n">
        <v>0.2152485256950294</v>
      </c>
      <c r="S256" s="36" t="n">
        <v>0.380520386800917</v>
      </c>
      <c r="T256" s="36" t="n">
        <v>0.7264378878812738</v>
      </c>
      <c r="U256" s="31" t="n">
        <v>61400</v>
      </c>
      <c r="V256" s="31" t="n">
        <v>13990</v>
      </c>
      <c r="W256" s="36" t="n">
        <v>-0.06026058631921827</v>
      </c>
      <c r="X256" s="36" t="n">
        <v>3.124374553252323</v>
      </c>
      <c r="Y256" s="31" t="n">
        <v>20476584</v>
      </c>
      <c r="Z256" s="31" t="n">
        <v>1181498896800</v>
      </c>
      <c r="AA256" s="31" t="n">
        <v>96100100100</v>
      </c>
      <c r="AB256" s="31" t="n">
        <v>55282634812.5</v>
      </c>
      <c r="AC256" s="36" t="n">
        <v>0.08133744378456875</v>
      </c>
      <c r="AD256" s="29" t="inlineStr">
        <is>
          <t>yfinance_download</t>
        </is>
      </c>
      <c r="AE256" s="29" t="inlineStr">
        <is>
          <t>317330.KQ</t>
        </is>
      </c>
    </row>
    <row r="257" ht="24" customHeight="1">
      <c r="A257" s="24" t="inlineStr">
        <is>
          <t>2024-06-25</t>
        </is>
      </c>
      <c r="B257" s="30" t="n">
        <v>57500</v>
      </c>
      <c r="C257" s="30" t="n">
        <v>57900</v>
      </c>
      <c r="D257" s="30" t="n">
        <v>53000</v>
      </c>
      <c r="E257" s="30" t="n">
        <v>54000</v>
      </c>
      <c r="F257" s="30" t="n">
        <v>54000</v>
      </c>
      <c r="G257" s="30" t="n">
        <v>632306</v>
      </c>
      <c r="H257" s="35" t="n">
        <v>-0.06412478336221838</v>
      </c>
      <c r="I257" s="35" t="n">
        <v>-0.1205211726384365</v>
      </c>
      <c r="J257" s="30" t="n">
        <v>48405</v>
      </c>
      <c r="K257" s="30" t="n">
        <v>41990</v>
      </c>
      <c r="L257" s="30" t="n">
        <v>33718.58333333334</v>
      </c>
      <c r="M257" s="35" t="n">
        <v>1.21093502293684</v>
      </c>
      <c r="N257" s="35" t="n">
        <v>0.9047348493278043</v>
      </c>
      <c r="O257" s="35" t="n">
        <v>0.5211267605633803</v>
      </c>
      <c r="P257" s="35" t="n">
        <v>0.2750885478158205</v>
      </c>
      <c r="Q257" s="35" t="n">
        <v>1.944383860414395</v>
      </c>
      <c r="R257" s="35" t="n">
        <v>0.1155872327238923</v>
      </c>
      <c r="S257" s="35" t="n">
        <v>0.2860204810669207</v>
      </c>
      <c r="T257" s="35" t="n">
        <v>0.6014907704208607</v>
      </c>
      <c r="U257" s="30" t="n">
        <v>61400</v>
      </c>
      <c r="V257" s="30" t="n">
        <v>13990</v>
      </c>
      <c r="W257" s="35" t="n">
        <v>-0.1205211726384365</v>
      </c>
      <c r="X257" s="35" t="n">
        <v>2.859899928520372</v>
      </c>
      <c r="Y257" s="30" t="n">
        <v>20476584</v>
      </c>
      <c r="Z257" s="30" t="n">
        <v>1105735536000</v>
      </c>
      <c r="AA257" s="30" t="n">
        <v>34144524000</v>
      </c>
      <c r="AB257" s="30" t="n">
        <v>55792639487.5</v>
      </c>
      <c r="AC257" s="35" t="n">
        <v>0.03087946700484807</v>
      </c>
      <c r="AD257" s="24" t="inlineStr">
        <is>
          <t>yfinance_download</t>
        </is>
      </c>
      <c r="AE257" s="24" t="inlineStr">
        <is>
          <t>317330.KQ</t>
        </is>
      </c>
    </row>
    <row r="258" ht="24" customHeight="1">
      <c r="A258" s="29" t="inlineStr">
        <is>
          <t>2024-06-26</t>
        </is>
      </c>
      <c r="B258" s="31" t="n">
        <v>54000</v>
      </c>
      <c r="C258" s="31" t="n">
        <v>54900</v>
      </c>
      <c r="D258" s="31" t="n">
        <v>51000</v>
      </c>
      <c r="E258" s="31" t="n">
        <v>51200</v>
      </c>
      <c r="F258" s="31" t="n">
        <v>51200</v>
      </c>
      <c r="G258" s="31" t="n">
        <v>524946</v>
      </c>
      <c r="H258" s="36" t="n">
        <v>-0.05185185185185182</v>
      </c>
      <c r="I258" s="36" t="n">
        <v>-0.1661237785016286</v>
      </c>
      <c r="J258" s="31" t="n">
        <v>49137.5</v>
      </c>
      <c r="K258" s="31" t="n">
        <v>42176.66666666666</v>
      </c>
      <c r="L258" s="31" t="n">
        <v>33989.16666666666</v>
      </c>
      <c r="M258" s="36" t="n">
        <v>1.239889394898286</v>
      </c>
      <c r="N258" s="36" t="n">
        <v>0.903716334867229</v>
      </c>
      <c r="O258" s="36" t="n">
        <v>0.4008207934336525</v>
      </c>
      <c r="P258" s="36" t="n">
        <v>0.28</v>
      </c>
      <c r="Q258" s="36" t="n">
        <v>1.733582487987186</v>
      </c>
      <c r="R258" s="36" t="n">
        <v>0.04197405240396845</v>
      </c>
      <c r="S258" s="36" t="n">
        <v>0.2139413577807636</v>
      </c>
      <c r="T258" s="36" t="n">
        <v>0.5063623213278743</v>
      </c>
      <c r="U258" s="31" t="n">
        <v>61400</v>
      </c>
      <c r="V258" s="31" t="n">
        <v>13990</v>
      </c>
      <c r="W258" s="36" t="n">
        <v>-0.1661237785016286</v>
      </c>
      <c r="X258" s="36" t="n">
        <v>2.65975696926376</v>
      </c>
      <c r="Y258" s="31" t="n">
        <v>20476584</v>
      </c>
      <c r="Z258" s="31" t="n">
        <v>1048401100800</v>
      </c>
      <c r="AA258" s="31" t="n">
        <v>26877235200</v>
      </c>
      <c r="AB258" s="31" t="n">
        <v>56490737675</v>
      </c>
      <c r="AC258" s="36" t="n">
        <v>0.02563640497848665</v>
      </c>
      <c r="AD258" s="29" t="inlineStr">
        <is>
          <t>yfinance_download</t>
        </is>
      </c>
      <c r="AE258" s="29" t="inlineStr">
        <is>
          <t>317330.KQ</t>
        </is>
      </c>
    </row>
    <row r="259" ht="24" customHeight="1">
      <c r="A259" s="24" t="inlineStr">
        <is>
          <t>2024-06-27</t>
        </is>
      </c>
      <c r="B259" s="30" t="n">
        <v>52500</v>
      </c>
      <c r="C259" s="30" t="n">
        <v>56600</v>
      </c>
      <c r="D259" s="30" t="n">
        <v>52200</v>
      </c>
      <c r="E259" s="30" t="n">
        <v>52500</v>
      </c>
      <c r="F259" s="30" t="n">
        <v>52500</v>
      </c>
      <c r="G259" s="30" t="n">
        <v>691569</v>
      </c>
      <c r="H259" s="35" t="n">
        <v>0.025390625</v>
      </c>
      <c r="I259" s="35" t="n">
        <v>-0.1449511400651465</v>
      </c>
      <c r="J259" s="30" t="n">
        <v>49955</v>
      </c>
      <c r="K259" s="30" t="n">
        <v>42318.33333333334</v>
      </c>
      <c r="L259" s="30" t="n">
        <v>34270.91666666666</v>
      </c>
      <c r="M259" s="35" t="n">
        <v>1.23468401951425</v>
      </c>
      <c r="N259" s="35" t="n">
        <v>0.8831393699351646</v>
      </c>
      <c r="O259" s="35" t="n">
        <v>0.4522821576763485</v>
      </c>
      <c r="P259" s="35" t="n">
        <v>0.1931818181818181</v>
      </c>
      <c r="Q259" s="35" t="n">
        <v>1.808988764044944</v>
      </c>
      <c r="R259" s="35" t="n">
        <v>0.0509458512661396</v>
      </c>
      <c r="S259" s="35" t="n">
        <v>0.2405970619510849</v>
      </c>
      <c r="T259" s="35" t="n">
        <v>0.5319111686050613</v>
      </c>
      <c r="U259" s="30" t="n">
        <v>61400</v>
      </c>
      <c r="V259" s="30" t="n">
        <v>13990</v>
      </c>
      <c r="W259" s="35" t="n">
        <v>-0.1449511400651465</v>
      </c>
      <c r="X259" s="35" t="n">
        <v>2.752680486061473</v>
      </c>
      <c r="Y259" s="30" t="n">
        <v>20476584</v>
      </c>
      <c r="Z259" s="30" t="n">
        <v>1075020660000</v>
      </c>
      <c r="AA259" s="30" t="n">
        <v>36307372500</v>
      </c>
      <c r="AB259" s="30" t="n">
        <v>57227950625</v>
      </c>
      <c r="AC259" s="35" t="n">
        <v>0.03377365091755539</v>
      </c>
      <c r="AD259" s="24" t="inlineStr">
        <is>
          <t>yfinance_download</t>
        </is>
      </c>
      <c r="AE259" s="24" t="inlineStr">
        <is>
          <t>317330.KQ</t>
        </is>
      </c>
    </row>
    <row r="260" ht="24" customHeight="1">
      <c r="A260" s="29" t="inlineStr">
        <is>
          <t>2024-06-28</t>
        </is>
      </c>
      <c r="B260" s="31" t="n">
        <v>53000</v>
      </c>
      <c r="C260" s="31" t="n">
        <v>56100</v>
      </c>
      <c r="D260" s="31" t="n">
        <v>52500</v>
      </c>
      <c r="E260" s="31" t="n">
        <v>54100</v>
      </c>
      <c r="F260" s="31" t="n">
        <v>54100</v>
      </c>
      <c r="G260" s="31" t="n">
        <v>459173</v>
      </c>
      <c r="H260" s="36" t="n">
        <v>0.03047619047619055</v>
      </c>
      <c r="I260" s="36" t="n">
        <v>-0.1188925081433225</v>
      </c>
      <c r="J260" s="31" t="n">
        <v>50882.5</v>
      </c>
      <c r="K260" s="31" t="n">
        <v>42545.83333333334</v>
      </c>
      <c r="L260" s="31" t="n">
        <v>34563.5</v>
      </c>
      <c r="M260" s="36" t="n">
        <v>1.226702057474562</v>
      </c>
      <c r="N260" s="36" t="n">
        <v>0.8666351383090852</v>
      </c>
      <c r="O260" s="36" t="n">
        <v>0.5218002812939522</v>
      </c>
      <c r="P260" s="36" t="n">
        <v>0.3374536464771323</v>
      </c>
      <c r="Q260" s="36" t="n">
        <v>1.848867825171143</v>
      </c>
      <c r="R260" s="36" t="n">
        <v>0.06323392128924477</v>
      </c>
      <c r="S260" s="36" t="n">
        <v>0.2715698756243266</v>
      </c>
      <c r="T260" s="36" t="n">
        <v>0.5652350022422499</v>
      </c>
      <c r="U260" s="31" t="n">
        <v>61400</v>
      </c>
      <c r="V260" s="31" t="n">
        <v>13990</v>
      </c>
      <c r="W260" s="36" t="n">
        <v>-0.1188925081433225</v>
      </c>
      <c r="X260" s="36" t="n">
        <v>2.867047891350965</v>
      </c>
      <c r="Y260" s="31" t="n">
        <v>20476584</v>
      </c>
      <c r="Z260" s="31" t="n">
        <v>1107783194400</v>
      </c>
      <c r="AA260" s="31" t="n">
        <v>24841259300</v>
      </c>
      <c r="AB260" s="31" t="n">
        <v>58053284047.5</v>
      </c>
      <c r="AC260" s="36" t="n">
        <v>0.02242429694327921</v>
      </c>
      <c r="AD260" s="29" t="inlineStr">
        <is>
          <t>yfinance_download</t>
        </is>
      </c>
      <c r="AE260" s="29" t="inlineStr">
        <is>
          <t>317330.KQ</t>
        </is>
      </c>
    </row>
    <row r="261" ht="24" customHeight="1">
      <c r="A261" s="24" t="inlineStr">
        <is>
          <t>2024-07-01</t>
        </is>
      </c>
      <c r="B261" s="30" t="n">
        <v>53800</v>
      </c>
      <c r="C261" s="30" t="n">
        <v>57400</v>
      </c>
      <c r="D261" s="30" t="n">
        <v>51500</v>
      </c>
      <c r="E261" s="30" t="n">
        <v>54700</v>
      </c>
      <c r="F261" s="30" t="n">
        <v>54700</v>
      </c>
      <c r="G261" s="30" t="n">
        <v>662969</v>
      </c>
      <c r="H261" s="35" t="n">
        <v>0.01109057301293892</v>
      </c>
      <c r="I261" s="35" t="n">
        <v>-0.1091205211726385</v>
      </c>
      <c r="J261" s="30" t="n">
        <v>51827.5</v>
      </c>
      <c r="K261" s="30" t="n">
        <v>42802.5</v>
      </c>
      <c r="L261" s="30" t="n">
        <v>34864.5</v>
      </c>
      <c r="M261" s="35" t="n">
        <v>1.226048544614446</v>
      </c>
      <c r="N261" s="35" t="n">
        <v>0.8636625072908251</v>
      </c>
      <c r="O261" s="35" t="n">
        <v>0.5279329608938548</v>
      </c>
      <c r="P261" s="35" t="n">
        <v>0.3918575063613232</v>
      </c>
      <c r="Q261" s="35" t="n">
        <v>1.944025834230355</v>
      </c>
      <c r="R261" s="35" t="n">
        <v>0.05542424388596778</v>
      </c>
      <c r="S261" s="35" t="n">
        <v>0.2779627358215058</v>
      </c>
      <c r="T261" s="35" t="n">
        <v>0.5689311477290653</v>
      </c>
      <c r="U261" s="30" t="n">
        <v>61400</v>
      </c>
      <c r="V261" s="30" t="n">
        <v>13990</v>
      </c>
      <c r="W261" s="35" t="n">
        <v>-0.1091205211726385</v>
      </c>
      <c r="X261" s="35" t="n">
        <v>2.909935668334525</v>
      </c>
      <c r="Y261" s="30" t="n">
        <v>20476584</v>
      </c>
      <c r="Z261" s="30" t="n">
        <v>1120069144800</v>
      </c>
      <c r="AA261" s="30" t="n">
        <v>36264404300</v>
      </c>
      <c r="AB261" s="30" t="n">
        <v>59418551392.5</v>
      </c>
      <c r="AC261" s="35" t="n">
        <v>0.0323769335744673</v>
      </c>
      <c r="AD261" s="24" t="inlineStr">
        <is>
          <t>yfinance_download</t>
        </is>
      </c>
      <c r="AE261" s="24" t="inlineStr">
        <is>
          <t>317330.KQ</t>
        </is>
      </c>
    </row>
    <row r="262" ht="24" customHeight="1">
      <c r="A262" s="29" t="inlineStr">
        <is>
          <t>2024-07-02</t>
        </is>
      </c>
      <c r="B262" s="31" t="n">
        <v>54700</v>
      </c>
      <c r="C262" s="31" t="n">
        <v>55600</v>
      </c>
      <c r="D262" s="31" t="n">
        <v>51500</v>
      </c>
      <c r="E262" s="31" t="n">
        <v>51800</v>
      </c>
      <c r="F262" s="31" t="n">
        <v>51800</v>
      </c>
      <c r="G262" s="31" t="n">
        <v>392770</v>
      </c>
      <c r="H262" s="36" t="n">
        <v>-0.05301645338208405</v>
      </c>
      <c r="I262" s="36" t="n">
        <v>-0.1563517915309446</v>
      </c>
      <c r="J262" s="31" t="n">
        <v>52647.5</v>
      </c>
      <c r="K262" s="31" t="n">
        <v>43017.5</v>
      </c>
      <c r="L262" s="31" t="n">
        <v>35141.66666666666</v>
      </c>
      <c r="M262" s="36" t="n">
        <v>1.250741774251117</v>
      </c>
      <c r="N262" s="36" t="n">
        <v>0.8717042128309235</v>
      </c>
      <c r="O262" s="36" t="n">
        <v>0.463276836158192</v>
      </c>
      <c r="P262" s="36" t="n">
        <v>0.3316195372750643</v>
      </c>
      <c r="Q262" s="36" t="n">
        <v>1.793959007551241</v>
      </c>
      <c r="R262" s="36" t="n">
        <v>-0.01609763046678381</v>
      </c>
      <c r="S262" s="36" t="n">
        <v>0.2041610972278725</v>
      </c>
      <c r="T262" s="36" t="n">
        <v>0.4740336732274129</v>
      </c>
      <c r="U262" s="31" t="n">
        <v>61400</v>
      </c>
      <c r="V262" s="31" t="n">
        <v>13990</v>
      </c>
      <c r="W262" s="36" t="n">
        <v>-0.1563517915309446</v>
      </c>
      <c r="X262" s="36" t="n">
        <v>2.702644746247319</v>
      </c>
      <c r="Y262" s="31" t="n">
        <v>20476584</v>
      </c>
      <c r="Z262" s="31" t="n">
        <v>1060687051200</v>
      </c>
      <c r="AA262" s="31" t="n">
        <v>20345486000</v>
      </c>
      <c r="AB262" s="31" t="n">
        <v>59803328582.5</v>
      </c>
      <c r="AC262" s="36" t="n">
        <v>0.01918142205750725</v>
      </c>
      <c r="AD262" s="29" t="inlineStr">
        <is>
          <t>yfinance_download</t>
        </is>
      </c>
      <c r="AE262" s="29" t="inlineStr">
        <is>
          <t>317330.KQ</t>
        </is>
      </c>
    </row>
    <row r="263" ht="24" customHeight="1">
      <c r="A263" s="24" t="inlineStr">
        <is>
          <t>2024-07-03</t>
        </is>
      </c>
      <c r="B263" s="30" t="n">
        <v>53300</v>
      </c>
      <c r="C263" s="30" t="n">
        <v>55200</v>
      </c>
      <c r="D263" s="30" t="n">
        <v>49650</v>
      </c>
      <c r="E263" s="30" t="n">
        <v>54400</v>
      </c>
      <c r="F263" s="30" t="n">
        <v>54400</v>
      </c>
      <c r="G263" s="30" t="n">
        <v>850299</v>
      </c>
      <c r="H263" s="35" t="n">
        <v>0.05019305019305009</v>
      </c>
      <c r="I263" s="35" t="n">
        <v>-0.1140065146579805</v>
      </c>
      <c r="J263" s="30" t="n">
        <v>53450</v>
      </c>
      <c r="K263" s="30" t="n">
        <v>43268.33333333334</v>
      </c>
      <c r="L263" s="30" t="n">
        <v>35434.16666666666</v>
      </c>
      <c r="M263" s="35" t="n">
        <v>1.234601673010565</v>
      </c>
      <c r="N263" s="35" t="n">
        <v>0.8763056443989713</v>
      </c>
      <c r="O263" s="35" t="n">
        <v>0.4185136897001305</v>
      </c>
      <c r="P263" s="35" t="n">
        <v>0.3824650571791615</v>
      </c>
      <c r="Q263" s="35" t="n">
        <v>1.818652849740932</v>
      </c>
      <c r="R263" s="35" t="n">
        <v>0.01777362020579987</v>
      </c>
      <c r="S263" s="35" t="n">
        <v>0.2572705211663648</v>
      </c>
      <c r="T263" s="35" t="n">
        <v>0.5352414101267611</v>
      </c>
      <c r="U263" s="30" t="n">
        <v>61400</v>
      </c>
      <c r="V263" s="30" t="n">
        <v>13990</v>
      </c>
      <c r="W263" s="35" t="n">
        <v>-0.1140065146579805</v>
      </c>
      <c r="X263" s="35" t="n">
        <v>2.888491779842745</v>
      </c>
      <c r="Y263" s="30" t="n">
        <v>20476584</v>
      </c>
      <c r="Z263" s="30" t="n">
        <v>1113926169600</v>
      </c>
      <c r="AA263" s="30" t="n">
        <v>46256265600</v>
      </c>
      <c r="AB263" s="30" t="n">
        <v>60558328430</v>
      </c>
      <c r="AC263" s="35" t="n">
        <v>0.04152543217169426</v>
      </c>
      <c r="AD263" s="24" t="inlineStr">
        <is>
          <t>yfinance_download</t>
        </is>
      </c>
      <c r="AE263" s="24" t="inlineStr">
        <is>
          <t>317330.KQ</t>
        </is>
      </c>
    </row>
    <row r="264" ht="24" customHeight="1">
      <c r="A264" s="29" t="inlineStr">
        <is>
          <t>2024-07-04</t>
        </is>
      </c>
      <c r="B264" s="31" t="n">
        <v>54200</v>
      </c>
      <c r="C264" s="31" t="n">
        <v>56000</v>
      </c>
      <c r="D264" s="31" t="n">
        <v>53500</v>
      </c>
      <c r="E264" s="31" t="n">
        <v>54300</v>
      </c>
      <c r="F264" s="31" t="n">
        <v>54300</v>
      </c>
      <c r="G264" s="31" t="n">
        <v>523381</v>
      </c>
      <c r="H264" s="36" t="n">
        <v>-0.001838235294117641</v>
      </c>
      <c r="I264" s="36" t="n">
        <v>-0.1156351791530945</v>
      </c>
      <c r="J264" s="31" t="n">
        <v>54210</v>
      </c>
      <c r="K264" s="31" t="n">
        <v>43545</v>
      </c>
      <c r="L264" s="31" t="n">
        <v>35724.75</v>
      </c>
      <c r="M264" s="36" t="n">
        <v>1.237106632129229</v>
      </c>
      <c r="N264" s="36" t="n">
        <v>0.8706114826687661</v>
      </c>
      <c r="O264" s="36" t="n">
        <v>0.3887468030690537</v>
      </c>
      <c r="P264" s="36" t="n">
        <v>0.4403183023872679</v>
      </c>
      <c r="Q264" s="36" t="n">
        <v>1.794647452393206</v>
      </c>
      <c r="R264" s="36" t="n">
        <v>0.001660210293303876</v>
      </c>
      <c r="S264" s="36" t="n">
        <v>0.2469858766792974</v>
      </c>
      <c r="T264" s="36" t="n">
        <v>0.5199546532865871</v>
      </c>
      <c r="U264" s="31" t="n">
        <v>61400</v>
      </c>
      <c r="V264" s="31" t="n">
        <v>13990</v>
      </c>
      <c r="W264" s="36" t="n">
        <v>-0.1156351791530945</v>
      </c>
      <c r="X264" s="36" t="n">
        <v>2.881343817012151</v>
      </c>
      <c r="Y264" s="31" t="n">
        <v>20476584</v>
      </c>
      <c r="Z264" s="31" t="n">
        <v>1111878511200</v>
      </c>
      <c r="AA264" s="31" t="n">
        <v>28419588300</v>
      </c>
      <c r="AB264" s="31" t="n">
        <v>61116587850</v>
      </c>
      <c r="AC264" s="36" t="n">
        <v>0.0255599762147827</v>
      </c>
      <c r="AD264" s="29" t="inlineStr">
        <is>
          <t>yfinance_download</t>
        </is>
      </c>
      <c r="AE264" s="29" t="inlineStr">
        <is>
          <t>317330.KQ</t>
        </is>
      </c>
    </row>
    <row r="265" ht="24" customHeight="1">
      <c r="A265" s="24" t="inlineStr">
        <is>
          <t>2024-07-05</t>
        </is>
      </c>
      <c r="B265" s="30" t="n">
        <v>52700</v>
      </c>
      <c r="C265" s="30" t="n">
        <v>56200</v>
      </c>
      <c r="D265" s="30" t="n">
        <v>52100</v>
      </c>
      <c r="E265" s="30" t="n">
        <v>54100</v>
      </c>
      <c r="F265" s="30" t="n">
        <v>54100</v>
      </c>
      <c r="G265" s="30" t="n">
        <v>523135</v>
      </c>
      <c r="H265" s="35" t="n">
        <v>-0.003683241252302016</v>
      </c>
      <c r="I265" s="35" t="n">
        <v>-0.1188925081433225</v>
      </c>
      <c r="J265" s="30" t="n">
        <v>54850</v>
      </c>
      <c r="K265" s="30" t="n">
        <v>43810.83333333334</v>
      </c>
      <c r="L265" s="30" t="n">
        <v>36014.91666666666</v>
      </c>
      <c r="M265" s="35" t="n">
        <v>1.231595148302587</v>
      </c>
      <c r="N265" s="35" t="n">
        <v>0.8708594484769243</v>
      </c>
      <c r="O265" s="35" t="n">
        <v>0.3099273607748183</v>
      </c>
      <c r="P265" s="35" t="n">
        <v>0.4180865006553081</v>
      </c>
      <c r="Q265" s="35" t="n">
        <v>1.806016597510373</v>
      </c>
      <c r="R265" s="35" t="n">
        <v>-0.01367365542388332</v>
      </c>
      <c r="S265" s="35" t="n">
        <v>0.2348543929393414</v>
      </c>
      <c r="T265" s="35" t="n">
        <v>0.5021553569238673</v>
      </c>
      <c r="U265" s="30" t="n">
        <v>61400</v>
      </c>
      <c r="V265" s="30" t="n">
        <v>13990</v>
      </c>
      <c r="W265" s="35" t="n">
        <v>-0.1188925081433225</v>
      </c>
      <c r="X265" s="35" t="n">
        <v>2.867047891350965</v>
      </c>
      <c r="Y265" s="30" t="n">
        <v>20476584</v>
      </c>
      <c r="Z265" s="30" t="n">
        <v>1107783194400</v>
      </c>
      <c r="AA265" s="30" t="n">
        <v>28301603500</v>
      </c>
      <c r="AB265" s="30" t="n">
        <v>60847024505</v>
      </c>
      <c r="AC265" s="35" t="n">
        <v>0.02554796249218131</v>
      </c>
      <c r="AD265" s="24" t="inlineStr">
        <is>
          <t>yfinance_download</t>
        </is>
      </c>
      <c r="AE265" s="24" t="inlineStr">
        <is>
          <t>317330.KQ</t>
        </is>
      </c>
    </row>
    <row r="266" ht="24" customHeight="1">
      <c r="A266" s="29" t="inlineStr">
        <is>
          <t>2024-07-08</t>
        </is>
      </c>
      <c r="B266" s="31" t="n">
        <v>52900</v>
      </c>
      <c r="C266" s="31" t="n">
        <v>53300</v>
      </c>
      <c r="D266" s="31" t="n">
        <v>49900</v>
      </c>
      <c r="E266" s="31" t="n">
        <v>53100</v>
      </c>
      <c r="F266" s="31" t="n">
        <v>53100</v>
      </c>
      <c r="G266" s="31" t="n">
        <v>957349</v>
      </c>
      <c r="H266" s="36" t="n">
        <v>-0.01848428835489835</v>
      </c>
      <c r="I266" s="36" t="n">
        <v>-0.1351791530944625</v>
      </c>
      <c r="J266" s="31" t="n">
        <v>54955</v>
      </c>
      <c r="K266" s="31" t="n">
        <v>44071.66666666666</v>
      </c>
      <c r="L266" s="31" t="n">
        <v>36296.5</v>
      </c>
      <c r="M266" s="36" t="n">
        <v>0.9253547284377087</v>
      </c>
      <c r="N266" s="36" t="n">
        <v>0.8708765139197928</v>
      </c>
      <c r="O266" s="36" t="n">
        <v>0.04117647058823537</v>
      </c>
      <c r="P266" s="36" t="n">
        <v>0.4178905206942589</v>
      </c>
      <c r="Q266" s="36" t="n">
        <v>1.749870533402382</v>
      </c>
      <c r="R266" s="36" t="n">
        <v>-0.03375489036484391</v>
      </c>
      <c r="S266" s="36" t="n">
        <v>0.2048557274136824</v>
      </c>
      <c r="T266" s="36" t="n">
        <v>0.462950973234334</v>
      </c>
      <c r="U266" s="31" t="n">
        <v>61400</v>
      </c>
      <c r="V266" s="31" t="n">
        <v>13990</v>
      </c>
      <c r="W266" s="36" t="n">
        <v>-0.1351791530944625</v>
      </c>
      <c r="X266" s="36" t="n">
        <v>2.795568263045032</v>
      </c>
      <c r="Y266" s="31" t="n">
        <v>20476584</v>
      </c>
      <c r="Z266" s="31" t="n">
        <v>1087306610400</v>
      </c>
      <c r="AA266" s="31" t="n">
        <v>50835231900</v>
      </c>
      <c r="AB266" s="31" t="n">
        <v>52780630550</v>
      </c>
      <c r="AC266" s="36" t="n">
        <v>0.04675335495412711</v>
      </c>
      <c r="AD266" s="29" t="inlineStr">
        <is>
          <t>yfinance_download</t>
        </is>
      </c>
      <c r="AE266" s="29" t="inlineStr">
        <is>
          <t>317330.KQ</t>
        </is>
      </c>
    </row>
    <row r="267" ht="24" customHeight="1">
      <c r="A267" s="24" t="inlineStr">
        <is>
          <t>2024-07-09</t>
        </is>
      </c>
      <c r="B267" s="30" t="n">
        <v>53100</v>
      </c>
      <c r="C267" s="30" t="n">
        <v>55900</v>
      </c>
      <c r="D267" s="30" t="n">
        <v>52100</v>
      </c>
      <c r="E267" s="30" t="n">
        <v>55500</v>
      </c>
      <c r="F267" s="30" t="n">
        <v>55500</v>
      </c>
      <c r="G267" s="30" t="n">
        <v>621000</v>
      </c>
      <c r="H267" s="35" t="n">
        <v>0.04519774011299438</v>
      </c>
      <c r="I267" s="35" t="n">
        <v>-0.09609120521172643</v>
      </c>
      <c r="J267" s="30" t="n">
        <v>55115</v>
      </c>
      <c r="K267" s="30" t="n">
        <v>44329.16666666666</v>
      </c>
      <c r="L267" s="30" t="n">
        <v>36598.25</v>
      </c>
      <c r="M267" s="35" t="n">
        <v>0.9341492283775822</v>
      </c>
      <c r="N267" s="35" t="n">
        <v>0.8648809096266469</v>
      </c>
      <c r="O267" s="35" t="n">
        <v>0.06118546845124273</v>
      </c>
      <c r="P267" s="35" t="n">
        <v>0.3857677902621723</v>
      </c>
      <c r="Q267" s="35" t="n">
        <v>1.877138413685848</v>
      </c>
      <c r="R267" s="35" t="n">
        <v>0.00698539417581423</v>
      </c>
      <c r="S267" s="35" t="n">
        <v>0.2519973681737007</v>
      </c>
      <c r="T267" s="35" t="n">
        <v>0.5164659512408381</v>
      </c>
      <c r="U267" s="30" t="n">
        <v>61400</v>
      </c>
      <c r="V267" s="30" t="n">
        <v>13990</v>
      </c>
      <c r="W267" s="35" t="n">
        <v>-0.09609120521172643</v>
      </c>
      <c r="X267" s="35" t="n">
        <v>2.967119370979271</v>
      </c>
      <c r="Y267" s="30" t="n">
        <v>20476584</v>
      </c>
      <c r="Z267" s="30" t="n">
        <v>1136450412000</v>
      </c>
      <c r="AA267" s="30" t="n">
        <v>34465500000</v>
      </c>
      <c r="AB267" s="30" t="n">
        <v>51661405780</v>
      </c>
      <c r="AC267" s="35" t="n">
        <v>0.03032732412789164</v>
      </c>
      <c r="AD267" s="24" t="inlineStr">
        <is>
          <t>yfinance_download</t>
        </is>
      </c>
      <c r="AE267" s="24" t="inlineStr">
        <is>
          <t>317330.KQ</t>
        </is>
      </c>
    </row>
    <row r="268" ht="24" customHeight="1">
      <c r="A268" s="29" t="inlineStr">
        <is>
          <t>2024-07-10</t>
        </is>
      </c>
      <c r="B268" s="31" t="n">
        <v>54000</v>
      </c>
      <c r="C268" s="31" t="n">
        <v>56900</v>
      </c>
      <c r="D268" s="31" t="n">
        <v>51800</v>
      </c>
      <c r="E268" s="31" t="n">
        <v>53500</v>
      </c>
      <c r="F268" s="31" t="n">
        <v>53500</v>
      </c>
      <c r="G268" s="31" t="n">
        <v>1178189</v>
      </c>
      <c r="H268" s="36" t="n">
        <v>-0.036036036036036</v>
      </c>
      <c r="I268" s="36" t="n">
        <v>-0.1286644951140065</v>
      </c>
      <c r="J268" s="31" t="n">
        <v>55275</v>
      </c>
      <c r="K268" s="31" t="n">
        <v>44542.5</v>
      </c>
      <c r="L268" s="31" t="n">
        <v>36887.66666666666</v>
      </c>
      <c r="M268" s="36" t="n">
        <v>0.9328413865838848</v>
      </c>
      <c r="N268" s="36" t="n">
        <v>0.8690765043496934</v>
      </c>
      <c r="O268" s="36" t="n">
        <v>0.06361829025844923</v>
      </c>
      <c r="P268" s="36" t="n">
        <v>0.3144963144963144</v>
      </c>
      <c r="Q268" s="36" t="n">
        <v>1.850293020777837</v>
      </c>
      <c r="R268" s="36" t="n">
        <v>-0.03211216644052461</v>
      </c>
      <c r="S268" s="36" t="n">
        <v>0.2011000729640231</v>
      </c>
      <c r="T268" s="36" t="n">
        <v>0.4503492585597717</v>
      </c>
      <c r="U268" s="31" t="n">
        <v>61400</v>
      </c>
      <c r="V268" s="31" t="n">
        <v>13990</v>
      </c>
      <c r="W268" s="36" t="n">
        <v>-0.1286644951140065</v>
      </c>
      <c r="X268" s="36" t="n">
        <v>2.824160114367405</v>
      </c>
      <c r="Y268" s="31" t="n">
        <v>20476584</v>
      </c>
      <c r="Z268" s="31" t="n">
        <v>1095497244000</v>
      </c>
      <c r="AA268" s="31" t="n">
        <v>63033111500</v>
      </c>
      <c r="AB268" s="31" t="n">
        <v>49134976035</v>
      </c>
      <c r="AC268" s="36" t="n">
        <v>0.05753835698376253</v>
      </c>
      <c r="AD268" s="29" t="inlineStr">
        <is>
          <t>yfinance_download</t>
        </is>
      </c>
      <c r="AE268" s="29" t="inlineStr">
        <is>
          <t>317330.KQ</t>
        </is>
      </c>
    </row>
    <row r="269" ht="24" customHeight="1">
      <c r="A269" s="24" t="inlineStr">
        <is>
          <t>2024-07-11</t>
        </is>
      </c>
      <c r="B269" s="30" t="n">
        <v>53500</v>
      </c>
      <c r="C269" s="30" t="n">
        <v>54100</v>
      </c>
      <c r="D269" s="30" t="n">
        <v>51000</v>
      </c>
      <c r="E269" s="30" t="n">
        <v>51500</v>
      </c>
      <c r="F269" s="30" t="n">
        <v>51500</v>
      </c>
      <c r="G269" s="30" t="n">
        <v>394679</v>
      </c>
      <c r="H269" s="35" t="n">
        <v>-0.03738317757009346</v>
      </c>
      <c r="I269" s="35" t="n">
        <v>-0.1612377850162866</v>
      </c>
      <c r="J269" s="30" t="n">
        <v>54965</v>
      </c>
      <c r="K269" s="30" t="n">
        <v>44732.5</v>
      </c>
      <c r="L269" s="30" t="n">
        <v>37150.58333333334</v>
      </c>
      <c r="M269" s="35" t="n">
        <v>0.7758363741245894</v>
      </c>
      <c r="N269" s="35" t="n">
        <v>0.8726110796159047</v>
      </c>
      <c r="O269" s="35" t="n">
        <v>-0.1074523396880416</v>
      </c>
      <c r="P269" s="35" t="n">
        <v>0.2842892768079801</v>
      </c>
      <c r="Q269" s="35" t="n">
        <v>1.581453634085213</v>
      </c>
      <c r="R269" s="35" t="n">
        <v>-0.06304011643773311</v>
      </c>
      <c r="S269" s="35" t="n">
        <v>0.1512882132677584</v>
      </c>
      <c r="T269" s="35" t="n">
        <v>0.3862501037444455</v>
      </c>
      <c r="U269" s="30" t="n">
        <v>61400</v>
      </c>
      <c r="V269" s="30" t="n">
        <v>13990</v>
      </c>
      <c r="W269" s="35" t="n">
        <v>-0.1612377850162866</v>
      </c>
      <c r="X269" s="35" t="n">
        <v>2.68120085775554</v>
      </c>
      <c r="Y269" s="30" t="n">
        <v>20476584</v>
      </c>
      <c r="Z269" s="30" t="n">
        <v>1054544076000</v>
      </c>
      <c r="AA269" s="30" t="n">
        <v>20325968500</v>
      </c>
      <c r="AB269" s="30" t="n">
        <v>42514414040</v>
      </c>
      <c r="AC269" s="35" t="n">
        <v>0.01927465049834484</v>
      </c>
      <c r="AD269" s="24" t="inlineStr">
        <is>
          <t>yfinance_download</t>
        </is>
      </c>
      <c r="AE269" s="24" t="inlineStr">
        <is>
          <t>317330.KQ</t>
        </is>
      </c>
    </row>
    <row r="270" ht="24" customHeight="1">
      <c r="A270" s="29" t="inlineStr">
        <is>
          <t>2024-07-12</t>
        </is>
      </c>
      <c r="B270" s="31" t="n">
        <v>50800</v>
      </c>
      <c r="C270" s="31" t="n">
        <v>52000</v>
      </c>
      <c r="D270" s="31" t="n">
        <v>48550</v>
      </c>
      <c r="E270" s="31" t="n">
        <v>50000</v>
      </c>
      <c r="F270" s="31" t="n">
        <v>50000</v>
      </c>
      <c r="G270" s="31" t="n">
        <v>520945</v>
      </c>
      <c r="H270" s="36" t="n">
        <v>-0.029126213592233</v>
      </c>
      <c r="I270" s="36" t="n">
        <v>-0.1856677524429967</v>
      </c>
      <c r="J270" s="31" t="n">
        <v>54610</v>
      </c>
      <c r="K270" s="31" t="n">
        <v>44890.83333333334</v>
      </c>
      <c r="L270" s="31" t="n">
        <v>37399.75</v>
      </c>
      <c r="M270" s="36" t="n">
        <v>0.7805392027005456</v>
      </c>
      <c r="N270" s="36" t="n">
        <v>0.8754444054688757</v>
      </c>
      <c r="O270" s="36" t="n">
        <v>-0.1243432574430823</v>
      </c>
      <c r="P270" s="36" t="n">
        <v>0.2345679012345678</v>
      </c>
      <c r="Q270" s="36" t="n">
        <v>1.487562189054726</v>
      </c>
      <c r="R270" s="36" t="n">
        <v>-0.08441677348470977</v>
      </c>
      <c r="S270" s="36" t="n">
        <v>0.1138131392823329</v>
      </c>
      <c r="T270" s="36" t="n">
        <v>0.3369073322682639</v>
      </c>
      <c r="U270" s="31" t="n">
        <v>61400</v>
      </c>
      <c r="V270" s="31" t="n">
        <v>13990</v>
      </c>
      <c r="W270" s="36" t="n">
        <v>-0.1856677524429967</v>
      </c>
      <c r="X270" s="36" t="n">
        <v>2.57398141529664</v>
      </c>
      <c r="Y270" s="31" t="n">
        <v>20476584</v>
      </c>
      <c r="Z270" s="31" t="n">
        <v>1023829200000</v>
      </c>
      <c r="AA270" s="31" t="n">
        <v>26047250000</v>
      </c>
      <c r="AB270" s="31" t="n">
        <v>41429559725</v>
      </c>
      <c r="AC270" s="36" t="n">
        <v>0.02544101105926653</v>
      </c>
      <c r="AD270" s="29" t="inlineStr">
        <is>
          <t>yfinance_download</t>
        </is>
      </c>
      <c r="AE270" s="29" t="inlineStr">
        <is>
          <t>317330.KQ</t>
        </is>
      </c>
    </row>
    <row r="271" ht="24" customHeight="1">
      <c r="A271" s="24" t="inlineStr">
        <is>
          <t>2024-07-15</t>
        </is>
      </c>
      <c r="B271" s="30" t="n">
        <v>49800</v>
      </c>
      <c r="C271" s="30" t="n">
        <v>50300</v>
      </c>
      <c r="D271" s="30" t="n">
        <v>48200</v>
      </c>
      <c r="E271" s="30" t="n">
        <v>48200</v>
      </c>
      <c r="F271" s="30" t="n">
        <v>48200</v>
      </c>
      <c r="G271" s="30" t="n">
        <v>380690</v>
      </c>
      <c r="H271" s="35" t="n">
        <v>-0.03600000000000003</v>
      </c>
      <c r="I271" s="35" t="n">
        <v>-0.2149837133550488</v>
      </c>
      <c r="J271" s="30" t="n">
        <v>54305</v>
      </c>
      <c r="K271" s="30" t="n">
        <v>45025</v>
      </c>
      <c r="L271" s="30" t="n">
        <v>37639.91666666666</v>
      </c>
      <c r="M271" s="35" t="n">
        <v>0.7722214855952043</v>
      </c>
      <c r="N271" s="35" t="n">
        <v>0.8790434845768162</v>
      </c>
      <c r="O271" s="35" t="n">
        <v>-0.1123388581952118</v>
      </c>
      <c r="P271" s="35" t="n">
        <v>0.2004981320049812</v>
      </c>
      <c r="Q271" s="35" t="n">
        <v>1.487100103199174</v>
      </c>
      <c r="R271" s="35" t="n">
        <v>-0.1124205874228892</v>
      </c>
      <c r="S271" s="35" t="n">
        <v>0.07051637978900605</v>
      </c>
      <c r="T271" s="35" t="n">
        <v>0.2805554387075777</v>
      </c>
      <c r="U271" s="30" t="n">
        <v>61400</v>
      </c>
      <c r="V271" s="30" t="n">
        <v>13990</v>
      </c>
      <c r="W271" s="35" t="n">
        <v>-0.2149837133550488</v>
      </c>
      <c r="X271" s="35" t="n">
        <v>2.445318084345961</v>
      </c>
      <c r="Y271" s="30" t="n">
        <v>20476584</v>
      </c>
      <c r="Z271" s="30" t="n">
        <v>986971348800</v>
      </c>
      <c r="AA271" s="30" t="n">
        <v>18349258000</v>
      </c>
      <c r="AB271" s="30" t="n">
        <v>40839776800</v>
      </c>
      <c r="AC271" s="35" t="n">
        <v>0.01859147990700011</v>
      </c>
      <c r="AD271" s="24" t="inlineStr">
        <is>
          <t>yfinance_download</t>
        </is>
      </c>
      <c r="AE271" s="24" t="inlineStr">
        <is>
          <t>317330.KQ</t>
        </is>
      </c>
    </row>
    <row r="272" ht="24" customHeight="1">
      <c r="A272" s="29" t="inlineStr">
        <is>
          <t>2024-07-16</t>
        </is>
      </c>
      <c r="B272" s="31" t="n">
        <v>46900</v>
      </c>
      <c r="C272" s="31" t="n">
        <v>47350</v>
      </c>
      <c r="D272" s="31" t="n">
        <v>45000</v>
      </c>
      <c r="E272" s="31" t="n">
        <v>45150</v>
      </c>
      <c r="F272" s="31" t="n">
        <v>45150</v>
      </c>
      <c r="G272" s="31" t="n">
        <v>747811</v>
      </c>
      <c r="H272" s="36" t="n">
        <v>-0.06327800829875518</v>
      </c>
      <c r="I272" s="36" t="n">
        <v>-0.2646579804560261</v>
      </c>
      <c r="J272" s="31" t="n">
        <v>53857.5</v>
      </c>
      <c r="K272" s="31" t="n">
        <v>45142.5</v>
      </c>
      <c r="L272" s="31" t="n">
        <v>37849.83333333334</v>
      </c>
      <c r="M272" s="36" t="n">
        <v>0.7995241572641095</v>
      </c>
      <c r="N272" s="36" t="n">
        <v>0.8826895771840934</v>
      </c>
      <c r="O272" s="36" t="n">
        <v>-0.1654343807763401</v>
      </c>
      <c r="P272" s="36" t="n">
        <v>0.1850393700787401</v>
      </c>
      <c r="Q272" s="36" t="n">
        <v>1.262024048096192</v>
      </c>
      <c r="R272" s="36" t="n">
        <v>-0.1616766467065869</v>
      </c>
      <c r="S272" s="36" t="n">
        <v>0.0001661405549093775</v>
      </c>
      <c r="T272" s="36" t="n">
        <v>0.1928718312277904</v>
      </c>
      <c r="U272" s="31" t="n">
        <v>61400</v>
      </c>
      <c r="V272" s="31" t="n">
        <v>13990</v>
      </c>
      <c r="W272" s="36" t="n">
        <v>-0.2646579804560261</v>
      </c>
      <c r="X272" s="36" t="n">
        <v>2.227305218012866</v>
      </c>
      <c r="Y272" s="31" t="n">
        <v>20476584</v>
      </c>
      <c r="Z272" s="31" t="n">
        <v>924517767600</v>
      </c>
      <c r="AA272" s="31" t="n">
        <v>33763666650</v>
      </c>
      <c r="AB272" s="31" t="n">
        <v>40575904997.5</v>
      </c>
      <c r="AC272" s="36" t="n">
        <v>0.03652030045636518</v>
      </c>
      <c r="AD272" s="29" t="inlineStr">
        <is>
          <t>yfinance_download</t>
        </is>
      </c>
      <c r="AE272" s="29" t="inlineStr">
        <is>
          <t>317330.KQ</t>
        </is>
      </c>
    </row>
    <row r="273" ht="24" customHeight="1">
      <c r="A273" s="24" t="inlineStr">
        <is>
          <t>2024-07-17</t>
        </is>
      </c>
      <c r="B273" s="30" t="n">
        <v>45700</v>
      </c>
      <c r="C273" s="30" t="n">
        <v>48400</v>
      </c>
      <c r="D273" s="30" t="n">
        <v>44900</v>
      </c>
      <c r="E273" s="30" t="n">
        <v>46200</v>
      </c>
      <c r="F273" s="30" t="n">
        <v>46200</v>
      </c>
      <c r="G273" s="30" t="n">
        <v>648140</v>
      </c>
      <c r="H273" s="35" t="n">
        <v>0.02325581395348841</v>
      </c>
      <c r="I273" s="35" t="n">
        <v>-0.247557003257329</v>
      </c>
      <c r="J273" s="30" t="n">
        <v>53107.5</v>
      </c>
      <c r="K273" s="30" t="n">
        <v>45277.5</v>
      </c>
      <c r="L273" s="30" t="n">
        <v>38054.83333333334</v>
      </c>
      <c r="M273" s="35" t="n">
        <v>0.6227584476521046</v>
      </c>
      <c r="N273" s="35" t="n">
        <v>0.8834957369003205</v>
      </c>
      <c r="O273" s="35" t="n">
        <v>-0.2450980392156863</v>
      </c>
      <c r="P273" s="35" t="n">
        <v>0.2125984251968505</v>
      </c>
      <c r="Q273" s="35" t="n">
        <v>1.138888888888889</v>
      </c>
      <c r="R273" s="35" t="n">
        <v>-0.1300663748058184</v>
      </c>
      <c r="S273" s="35" t="n">
        <v>0.02037435812489652</v>
      </c>
      <c r="T273" s="35" t="n">
        <v>0.2140376386705147</v>
      </c>
      <c r="U273" s="30" t="n">
        <v>61400</v>
      </c>
      <c r="V273" s="30" t="n">
        <v>13990</v>
      </c>
      <c r="W273" s="35" t="n">
        <v>-0.247557003257329</v>
      </c>
      <c r="X273" s="35" t="n">
        <v>2.302358827734096</v>
      </c>
      <c r="Y273" s="30" t="n">
        <v>20476584</v>
      </c>
      <c r="Z273" s="30" t="n">
        <v>946018180800</v>
      </c>
      <c r="AA273" s="30" t="n">
        <v>29944068000</v>
      </c>
      <c r="AB273" s="30" t="n">
        <v>36911169917.5</v>
      </c>
      <c r="AC273" s="35" t="n">
        <v>0.03165274051570321</v>
      </c>
      <c r="AD273" s="24" t="inlineStr">
        <is>
          <t>yfinance_download</t>
        </is>
      </c>
      <c r="AE273" s="24" t="inlineStr">
        <is>
          <t>317330.KQ</t>
        </is>
      </c>
    </row>
    <row r="274" ht="24" customHeight="1">
      <c r="A274" s="29" t="inlineStr">
        <is>
          <t>2024-07-18</t>
        </is>
      </c>
      <c r="B274" s="31" t="n">
        <v>44400</v>
      </c>
      <c r="C274" s="31" t="n">
        <v>45600</v>
      </c>
      <c r="D274" s="31" t="n">
        <v>43450</v>
      </c>
      <c r="E274" s="31" t="n">
        <v>44200</v>
      </c>
      <c r="F274" s="31" t="n">
        <v>44200</v>
      </c>
      <c r="G274" s="31" t="n">
        <v>477165</v>
      </c>
      <c r="H274" s="36" t="n">
        <v>-0.04329004329004327</v>
      </c>
      <c r="I274" s="36" t="n">
        <v>-0.2801302931596091</v>
      </c>
      <c r="J274" s="31" t="n">
        <v>52377.5</v>
      </c>
      <c r="K274" s="31" t="n">
        <v>45415</v>
      </c>
      <c r="L274" s="31" t="n">
        <v>38254.83333333334</v>
      </c>
      <c r="M274" s="36" t="n">
        <v>0.6251770845114729</v>
      </c>
      <c r="N274" s="36" t="n">
        <v>0.8800188227732985</v>
      </c>
      <c r="O274" s="36" t="n">
        <v>-0.2482993197278912</v>
      </c>
      <c r="P274" s="36" t="n">
        <v>0.2294853963838666</v>
      </c>
      <c r="Q274" s="36" t="n">
        <v>1.188118811881188</v>
      </c>
      <c r="R274" s="36" t="n">
        <v>-0.1561261992267672</v>
      </c>
      <c r="S274" s="36" t="n">
        <v>-0.02675327534955407</v>
      </c>
      <c r="T274" s="36" t="n">
        <v>0.1554095560909514</v>
      </c>
      <c r="U274" s="31" t="n">
        <v>61400</v>
      </c>
      <c r="V274" s="31" t="n">
        <v>13990</v>
      </c>
      <c r="W274" s="36" t="n">
        <v>-0.2801302931596091</v>
      </c>
      <c r="X274" s="36" t="n">
        <v>2.15939957112223</v>
      </c>
      <c r="Y274" s="31" t="n">
        <v>20476584</v>
      </c>
      <c r="Z274" s="31" t="n">
        <v>905065012800</v>
      </c>
      <c r="AA274" s="31" t="n">
        <v>21090693000</v>
      </c>
      <c r="AB274" s="31" t="n">
        <v>35604140747.5</v>
      </c>
      <c r="AC274" s="36" t="n">
        <v>0.02330295912638554</v>
      </c>
      <c r="AD274" s="29" t="inlineStr">
        <is>
          <t>yfinance_download</t>
        </is>
      </c>
      <c r="AE274" s="29" t="inlineStr">
        <is>
          <t>317330.KQ</t>
        </is>
      </c>
    </row>
    <row r="275" ht="24" customHeight="1">
      <c r="A275" s="24" t="inlineStr">
        <is>
          <t>2024-07-19</t>
        </is>
      </c>
      <c r="B275" s="30" t="n">
        <v>44250</v>
      </c>
      <c r="C275" s="30" t="n">
        <v>45100</v>
      </c>
      <c r="D275" s="30" t="n">
        <v>43100</v>
      </c>
      <c r="E275" s="30" t="n">
        <v>44500</v>
      </c>
      <c r="F275" s="30" t="n">
        <v>44500</v>
      </c>
      <c r="G275" s="30" t="n">
        <v>279919</v>
      </c>
      <c r="H275" s="35" t="n">
        <v>0.006787330316742057</v>
      </c>
      <c r="I275" s="35" t="n">
        <v>-0.2752442996742671</v>
      </c>
      <c r="J275" s="30" t="n">
        <v>51532.5</v>
      </c>
      <c r="K275" s="30" t="n">
        <v>45547.5</v>
      </c>
      <c r="L275" s="30" t="n">
        <v>38463.16666666666</v>
      </c>
      <c r="M275" s="35" t="n">
        <v>0.592675311516806</v>
      </c>
      <c r="N275" s="35" t="n">
        <v>0.8796848454981251</v>
      </c>
      <c r="O275" s="35" t="n">
        <v>-0.2752442996742671</v>
      </c>
      <c r="P275" s="35" t="n">
        <v>0.2175102599179206</v>
      </c>
      <c r="Q275" s="35" t="n">
        <v>1.282051282051282</v>
      </c>
      <c r="R275" s="35" t="n">
        <v>-0.1364672779314026</v>
      </c>
      <c r="S275" s="35" t="n">
        <v>-0.02299796915308194</v>
      </c>
      <c r="T275" s="35" t="n">
        <v>0.1569510224067181</v>
      </c>
      <c r="U275" s="30" t="n">
        <v>61400</v>
      </c>
      <c r="V275" s="30" t="n">
        <v>13990</v>
      </c>
      <c r="W275" s="35" t="n">
        <v>-0.2752442996742671</v>
      </c>
      <c r="X275" s="35" t="n">
        <v>2.18084345961401</v>
      </c>
      <c r="Y275" s="30" t="n">
        <v>20476584</v>
      </c>
      <c r="Z275" s="30" t="n">
        <v>911207988000</v>
      </c>
      <c r="AA275" s="30" t="n">
        <v>12456395500</v>
      </c>
      <c r="AB275" s="30" t="n">
        <v>34408449092.5</v>
      </c>
      <c r="AC275" s="35" t="n">
        <v>0.01367020006852706</v>
      </c>
      <c r="AD275" s="24" t="inlineStr">
        <is>
          <t>yfinance_download</t>
        </is>
      </c>
      <c r="AE275" s="24" t="inlineStr">
        <is>
          <t>317330.KQ</t>
        </is>
      </c>
    </row>
    <row r="276" ht="24" customHeight="1">
      <c r="A276" s="29" t="inlineStr">
        <is>
          <t>2024-07-22</t>
        </is>
      </c>
      <c r="B276" s="31" t="n">
        <v>44700</v>
      </c>
      <c r="C276" s="31" t="n">
        <v>44800</v>
      </c>
      <c r="D276" s="31" t="n">
        <v>41600</v>
      </c>
      <c r="E276" s="31" t="n">
        <v>41950</v>
      </c>
      <c r="F276" s="31" t="n">
        <v>41950</v>
      </c>
      <c r="G276" s="31" t="n">
        <v>350083</v>
      </c>
      <c r="H276" s="36" t="n">
        <v>-0.05730337078651682</v>
      </c>
      <c r="I276" s="36" t="n">
        <v>-0.3167752442996743</v>
      </c>
      <c r="J276" s="31" t="n">
        <v>50745</v>
      </c>
      <c r="K276" s="31" t="n">
        <v>45625</v>
      </c>
      <c r="L276" s="31" t="n">
        <v>38653.83333333334</v>
      </c>
      <c r="M276" s="36" t="n">
        <v>0.5897857674900352</v>
      </c>
      <c r="N276" s="36" t="n">
        <v>0.8881279376767375</v>
      </c>
      <c r="O276" s="36" t="n">
        <v>-0.2729636048526863</v>
      </c>
      <c r="P276" s="36" t="n">
        <v>0.1246648793565683</v>
      </c>
      <c r="Q276" s="36" t="n">
        <v>1.199790246460409</v>
      </c>
      <c r="R276" s="36" t="n">
        <v>-0.1733175682333234</v>
      </c>
      <c r="S276" s="36" t="n">
        <v>-0.08054794520547948</v>
      </c>
      <c r="T276" s="36" t="n">
        <v>0.08527399179900219</v>
      </c>
      <c r="U276" s="31" t="n">
        <v>61400</v>
      </c>
      <c r="V276" s="31" t="n">
        <v>13990</v>
      </c>
      <c r="W276" s="36" t="n">
        <v>-0.3167752442996743</v>
      </c>
      <c r="X276" s="36" t="n">
        <v>1.998570407433881</v>
      </c>
      <c r="Y276" s="31" t="n">
        <v>20476584</v>
      </c>
      <c r="Z276" s="31" t="n">
        <v>858992698800</v>
      </c>
      <c r="AA276" s="31" t="n">
        <v>14685981850</v>
      </c>
      <c r="AB276" s="31" t="n">
        <v>30337743180</v>
      </c>
      <c r="AC276" s="36" t="n">
        <v>0.01709674816854218</v>
      </c>
      <c r="AD276" s="29" t="inlineStr">
        <is>
          <t>yfinance_download</t>
        </is>
      </c>
      <c r="AE276" s="29" t="inlineStr">
        <is>
          <t>317330.KQ</t>
        </is>
      </c>
    </row>
    <row r="277" ht="24" customHeight="1">
      <c r="A277" s="24" t="inlineStr">
        <is>
          <t>2024-07-23</t>
        </is>
      </c>
      <c r="B277" s="30" t="n">
        <v>42100</v>
      </c>
      <c r="C277" s="30" t="n">
        <v>42850</v>
      </c>
      <c r="D277" s="30" t="n">
        <v>40500</v>
      </c>
      <c r="E277" s="30" t="n">
        <v>40600</v>
      </c>
      <c r="F277" s="30" t="n">
        <v>40600</v>
      </c>
      <c r="G277" s="30" t="n">
        <v>317289</v>
      </c>
      <c r="H277" s="35" t="n">
        <v>-0.03218116805721094</v>
      </c>
      <c r="I277" s="35" t="n">
        <v>-0.3387622149837134</v>
      </c>
      <c r="J277" s="30" t="n">
        <v>50075</v>
      </c>
      <c r="K277" s="30" t="n">
        <v>45616.66666666666</v>
      </c>
      <c r="L277" s="30" t="n">
        <v>38840</v>
      </c>
      <c r="M277" s="35" t="n">
        <v>0.5649837592291586</v>
      </c>
      <c r="N277" s="35" t="n">
        <v>0.8668863435449973</v>
      </c>
      <c r="O277" s="35" t="n">
        <v>-0.2481481481481481</v>
      </c>
      <c r="P277" s="35" t="n">
        <v>-0.01216545012165449</v>
      </c>
      <c r="Q277" s="35" t="n">
        <v>1.223439211391018</v>
      </c>
      <c r="R277" s="35" t="n">
        <v>-0.1892161757363954</v>
      </c>
      <c r="S277" s="35" t="n">
        <v>-0.1099744245524297</v>
      </c>
      <c r="T277" s="35" t="n">
        <v>0.04531410916580847</v>
      </c>
      <c r="U277" s="30" t="n">
        <v>61400</v>
      </c>
      <c r="V277" s="30" t="n">
        <v>13990</v>
      </c>
      <c r="W277" s="35" t="n">
        <v>-0.3387622149837134</v>
      </c>
      <c r="X277" s="35" t="n">
        <v>1.902072909220872</v>
      </c>
      <c r="Y277" s="30" t="n">
        <v>20476584</v>
      </c>
      <c r="Z277" s="30" t="n">
        <v>831349310400</v>
      </c>
      <c r="AA277" s="30" t="n">
        <v>12881933400</v>
      </c>
      <c r="AB277" s="30" t="n">
        <v>29274613650</v>
      </c>
      <c r="AC277" s="35" t="n">
        <v>0.01549521150598166</v>
      </c>
      <c r="AD277" s="24" t="inlineStr">
        <is>
          <t>yfinance_download</t>
        </is>
      </c>
      <c r="AE277" s="24" t="inlineStr">
        <is>
          <t>317330.KQ</t>
        </is>
      </c>
    </row>
    <row r="278" ht="24" customHeight="1">
      <c r="A278" s="29" t="inlineStr">
        <is>
          <t>2024-07-24</t>
        </is>
      </c>
      <c r="B278" s="31" t="n">
        <v>40200</v>
      </c>
      <c r="C278" s="31" t="n">
        <v>42450</v>
      </c>
      <c r="D278" s="31" t="n">
        <v>40200</v>
      </c>
      <c r="E278" s="31" t="n">
        <v>40700</v>
      </c>
      <c r="F278" s="31" t="n">
        <v>40700</v>
      </c>
      <c r="G278" s="31" t="n">
        <v>259375</v>
      </c>
      <c r="H278" s="36" t="n">
        <v>0.002463054187192171</v>
      </c>
      <c r="I278" s="36" t="n">
        <v>-0.3371335504885994</v>
      </c>
      <c r="J278" s="31" t="n">
        <v>49550</v>
      </c>
      <c r="K278" s="31" t="n">
        <v>45621.66666666666</v>
      </c>
      <c r="L278" s="31" t="n">
        <v>39023.83333333334</v>
      </c>
      <c r="M278" s="36" t="n">
        <v>0.5488164668743524</v>
      </c>
      <c r="N278" s="36" t="n">
        <v>0.8660576119042714</v>
      </c>
      <c r="O278" s="36" t="n">
        <v>-0.205078125</v>
      </c>
      <c r="P278" s="36" t="n">
        <v>0.007425742574257432</v>
      </c>
      <c r="Q278" s="36" t="n">
        <v>1.183476394849786</v>
      </c>
      <c r="R278" s="36" t="n">
        <v>-0.1786074672048436</v>
      </c>
      <c r="S278" s="36" t="n">
        <v>-0.1078800277645855</v>
      </c>
      <c r="T278" s="36" t="n">
        <v>0.04295238379964372</v>
      </c>
      <c r="U278" s="31" t="n">
        <v>61400</v>
      </c>
      <c r="V278" s="31" t="n">
        <v>13990</v>
      </c>
      <c r="W278" s="36" t="n">
        <v>-0.3371335504885994</v>
      </c>
      <c r="X278" s="36" t="n">
        <v>1.909220872051465</v>
      </c>
      <c r="Y278" s="31" t="n">
        <v>20476584</v>
      </c>
      <c r="Z278" s="31" t="n">
        <v>833396968800</v>
      </c>
      <c r="AA278" s="31" t="n">
        <v>10556562500</v>
      </c>
      <c r="AB278" s="31" t="n">
        <v>28458580015</v>
      </c>
      <c r="AC278" s="36" t="n">
        <v>0.01266690772249903</v>
      </c>
      <c r="AD278" s="29" t="inlineStr">
        <is>
          <t>yfinance_download</t>
        </is>
      </c>
      <c r="AE278" s="29" t="inlineStr">
        <is>
          <t>317330.KQ</t>
        </is>
      </c>
    </row>
    <row r="279" ht="24" customHeight="1">
      <c r="A279" s="24" t="inlineStr">
        <is>
          <t>2024-07-25</t>
        </is>
      </c>
      <c r="B279" s="30" t="n">
        <v>39700</v>
      </c>
      <c r="C279" s="30" t="n">
        <v>41100</v>
      </c>
      <c r="D279" s="30" t="n">
        <v>39100</v>
      </c>
      <c r="E279" s="30" t="n">
        <v>40100</v>
      </c>
      <c r="F279" s="30" t="n">
        <v>40100</v>
      </c>
      <c r="G279" s="30" t="n">
        <v>304952</v>
      </c>
      <c r="H279" s="35" t="n">
        <v>-0.01474201474201475</v>
      </c>
      <c r="I279" s="35" t="n">
        <v>-0.3469055374592834</v>
      </c>
      <c r="J279" s="30" t="n">
        <v>48930</v>
      </c>
      <c r="K279" s="30" t="n">
        <v>45645</v>
      </c>
      <c r="L279" s="30" t="n">
        <v>39199.08333333334</v>
      </c>
      <c r="M279" s="35" t="n">
        <v>0.5319071147563217</v>
      </c>
      <c r="N279" s="35" t="n">
        <v>0.8619844804972816</v>
      </c>
      <c r="O279" s="35" t="n">
        <v>-0.2361904761904762</v>
      </c>
      <c r="P279" s="35" t="n">
        <v>0.03617571059431524</v>
      </c>
      <c r="Q279" s="35" t="n">
        <v>1.102779234399581</v>
      </c>
      <c r="R279" s="35" t="n">
        <v>-0.1804618843245452</v>
      </c>
      <c r="S279" s="35" t="n">
        <v>-0.1214809946324898</v>
      </c>
      <c r="T279" s="35" t="n">
        <v>0.02298310547227933</v>
      </c>
      <c r="U279" s="30" t="n">
        <v>61400</v>
      </c>
      <c r="V279" s="30" t="n">
        <v>13990</v>
      </c>
      <c r="W279" s="35" t="n">
        <v>-0.3469055374592834</v>
      </c>
      <c r="X279" s="35" t="n">
        <v>1.866333095067906</v>
      </c>
      <c r="Y279" s="30" t="n">
        <v>20476584</v>
      </c>
      <c r="Z279" s="30" t="n">
        <v>821111018400</v>
      </c>
      <c r="AA279" s="30" t="n">
        <v>12228575200</v>
      </c>
      <c r="AB279" s="30" t="n">
        <v>27254640150</v>
      </c>
      <c r="AC279" s="35" t="n">
        <v>0.01489271843389503</v>
      </c>
      <c r="AD279" s="24" t="inlineStr">
        <is>
          <t>yfinance_download</t>
        </is>
      </c>
      <c r="AE279" s="24" t="inlineStr">
        <is>
          <t>317330.KQ</t>
        </is>
      </c>
    </row>
    <row r="280" ht="24" customHeight="1">
      <c r="A280" s="29" t="inlineStr">
        <is>
          <t>2024-07-26</t>
        </is>
      </c>
      <c r="B280" s="31" t="n">
        <v>39900</v>
      </c>
      <c r="C280" s="31" t="n">
        <v>39900</v>
      </c>
      <c r="D280" s="31" t="n">
        <v>37200</v>
      </c>
      <c r="E280" s="31" t="n">
        <v>39200</v>
      </c>
      <c r="F280" s="31" t="n">
        <v>39200</v>
      </c>
      <c r="G280" s="31" t="n">
        <v>662773</v>
      </c>
      <c r="H280" s="36" t="n">
        <v>-0.02244389027431426</v>
      </c>
      <c r="I280" s="36" t="n">
        <v>-0.3615635179153095</v>
      </c>
      <c r="J280" s="31" t="n">
        <v>48185</v>
      </c>
      <c r="K280" s="31" t="n">
        <v>45625</v>
      </c>
      <c r="L280" s="31" t="n">
        <v>39371.25</v>
      </c>
      <c r="M280" s="36" t="n">
        <v>0.5073448827954637</v>
      </c>
      <c r="N280" s="36" t="n">
        <v>0.8589081897859828</v>
      </c>
      <c r="O280" s="36" t="n">
        <v>-0.2754158964879853</v>
      </c>
      <c r="P280" s="36" t="n">
        <v>-0.02970297029702973</v>
      </c>
      <c r="Q280" s="36" t="n">
        <v>1.114347357065804</v>
      </c>
      <c r="R280" s="36" t="n">
        <v>-0.1864688180969182</v>
      </c>
      <c r="S280" s="36" t="n">
        <v>-0.1408219178082192</v>
      </c>
      <c r="T280" s="36" t="n">
        <v>-0.004349620598787185</v>
      </c>
      <c r="U280" s="31" t="n">
        <v>61400</v>
      </c>
      <c r="V280" s="31" t="n">
        <v>13990</v>
      </c>
      <c r="W280" s="36" t="n">
        <v>-0.3615635179153095</v>
      </c>
      <c r="X280" s="36" t="n">
        <v>1.802001429592566</v>
      </c>
      <c r="Y280" s="31" t="n">
        <v>20476584</v>
      </c>
      <c r="Z280" s="31" t="n">
        <v>802682092800</v>
      </c>
      <c r="AA280" s="31" t="n">
        <v>25980701600</v>
      </c>
      <c r="AB280" s="31" t="n">
        <v>27311612265</v>
      </c>
      <c r="AC280" s="36" t="n">
        <v>0.03236736166540279</v>
      </c>
      <c r="AD280" s="29" t="inlineStr">
        <is>
          <t>yfinance_download</t>
        </is>
      </c>
      <c r="AE280" s="29" t="inlineStr">
        <is>
          <t>317330.KQ</t>
        </is>
      </c>
    </row>
    <row r="281" ht="24" customHeight="1">
      <c r="A281" s="24" t="inlineStr">
        <is>
          <t>2024-07-29</t>
        </is>
      </c>
      <c r="B281" s="30" t="n">
        <v>38800</v>
      </c>
      <c r="C281" s="30" t="n">
        <v>40400</v>
      </c>
      <c r="D281" s="30" t="n">
        <v>37650</v>
      </c>
      <c r="E281" s="30" t="n">
        <v>40050</v>
      </c>
      <c r="F281" s="30" t="n">
        <v>40050</v>
      </c>
      <c r="G281" s="30" t="n">
        <v>498994</v>
      </c>
      <c r="H281" s="35" t="n">
        <v>0.02168367346938771</v>
      </c>
      <c r="I281" s="35" t="n">
        <v>-0.3477198697068404</v>
      </c>
      <c r="J281" s="30" t="n">
        <v>47452.5</v>
      </c>
      <c r="K281" s="30" t="n">
        <v>45611.66666666666</v>
      </c>
      <c r="L281" s="30" t="n">
        <v>39550.16666666666</v>
      </c>
      <c r="M281" s="35" t="n">
        <v>0.516025210143482</v>
      </c>
      <c r="N281" s="35" t="n">
        <v>0.8597191245886786</v>
      </c>
      <c r="O281" s="35" t="n">
        <v>-0.2678244972577697</v>
      </c>
      <c r="P281" s="35" t="n">
        <v>-0.01958384332925334</v>
      </c>
      <c r="Q281" s="35" t="n">
        <v>1.155543595263724</v>
      </c>
      <c r="R281" s="35" t="n">
        <v>-0.1559981033665244</v>
      </c>
      <c r="S281" s="35" t="n">
        <v>-0.1219351774034421</v>
      </c>
      <c r="T281" s="35" t="n">
        <v>0.01263795769929343</v>
      </c>
      <c r="U281" s="30" t="n">
        <v>61400</v>
      </c>
      <c r="V281" s="30" t="n">
        <v>13990</v>
      </c>
      <c r="W281" s="35" t="n">
        <v>-0.3477198697068404</v>
      </c>
      <c r="X281" s="35" t="n">
        <v>1.862759113652609</v>
      </c>
      <c r="Y281" s="30" t="n">
        <v>20476584</v>
      </c>
      <c r="Z281" s="30" t="n">
        <v>820087189200</v>
      </c>
      <c r="AA281" s="30" t="n">
        <v>19984709700</v>
      </c>
      <c r="AB281" s="30" t="n">
        <v>26497627535</v>
      </c>
      <c r="AC281" s="35" t="n">
        <v>0.02436900608031105</v>
      </c>
      <c r="AD281" s="24" t="inlineStr">
        <is>
          <t>yfinance_download</t>
        </is>
      </c>
      <c r="AE281" s="24" t="inlineStr">
        <is>
          <t>317330.KQ</t>
        </is>
      </c>
    </row>
    <row r="282" ht="24" customHeight="1">
      <c r="A282" s="29" t="inlineStr">
        <is>
          <t>2024-07-30</t>
        </is>
      </c>
      <c r="B282" s="31" t="n">
        <v>41800</v>
      </c>
      <c r="C282" s="31" t="n">
        <v>41800</v>
      </c>
      <c r="D282" s="31" t="n">
        <v>39650</v>
      </c>
      <c r="E282" s="31" t="n">
        <v>39650</v>
      </c>
      <c r="F282" s="31" t="n">
        <v>39650</v>
      </c>
      <c r="G282" s="31" t="n">
        <v>364832</v>
      </c>
      <c r="H282" s="36" t="n">
        <v>-0.009987515605493158</v>
      </c>
      <c r="I282" s="36" t="n">
        <v>-0.3542345276872965</v>
      </c>
      <c r="J282" s="31" t="n">
        <v>46845</v>
      </c>
      <c r="K282" s="31" t="n">
        <v>45530.83333333334</v>
      </c>
      <c r="L282" s="31" t="n">
        <v>39727.5</v>
      </c>
      <c r="M282" s="36" t="n">
        <v>0.4961598875103586</v>
      </c>
      <c r="N282" s="36" t="n">
        <v>0.840007492329894</v>
      </c>
      <c r="O282" s="36" t="n">
        <v>-0.2345559845559846</v>
      </c>
      <c r="P282" s="36" t="n">
        <v>-0.1089887640449438</v>
      </c>
      <c r="Q282" s="36" t="n">
        <v>1.158410451823626</v>
      </c>
      <c r="R282" s="36" t="n">
        <v>-0.1535916319777991</v>
      </c>
      <c r="S282" s="36" t="n">
        <v>-0.129161557186522</v>
      </c>
      <c r="T282" s="36" t="n">
        <v>-0.001950789755207349</v>
      </c>
      <c r="U282" s="31" t="n">
        <v>61400</v>
      </c>
      <c r="V282" s="31" t="n">
        <v>13990</v>
      </c>
      <c r="W282" s="36" t="n">
        <v>-0.3542345276872965</v>
      </c>
      <c r="X282" s="36" t="n">
        <v>1.834167262330236</v>
      </c>
      <c r="Y282" s="31" t="n">
        <v>20476584</v>
      </c>
      <c r="Z282" s="31" t="n">
        <v>811896555600</v>
      </c>
      <c r="AA282" s="31" t="n">
        <v>14465588800</v>
      </c>
      <c r="AB282" s="31" t="n">
        <v>26203632675</v>
      </c>
      <c r="AC282" s="36" t="n">
        <v>0.01781703432564729</v>
      </c>
      <c r="AD282" s="29" t="inlineStr">
        <is>
          <t>yfinance_download</t>
        </is>
      </c>
      <c r="AE282" s="29" t="inlineStr">
        <is>
          <t>317330.KQ</t>
        </is>
      </c>
    </row>
    <row r="283" ht="24" customHeight="1">
      <c r="A283" s="24" t="inlineStr">
        <is>
          <t>2024-07-31</t>
        </is>
      </c>
      <c r="B283" s="30" t="n">
        <v>38850</v>
      </c>
      <c r="C283" s="30" t="n">
        <v>40550</v>
      </c>
      <c r="D283" s="30" t="n">
        <v>38850</v>
      </c>
      <c r="E283" s="30" t="n">
        <v>40550</v>
      </c>
      <c r="F283" s="30" t="n">
        <v>40550</v>
      </c>
      <c r="G283" s="30" t="n">
        <v>186332</v>
      </c>
      <c r="H283" s="35" t="n">
        <v>0.02269861286254726</v>
      </c>
      <c r="I283" s="35" t="n">
        <v>-0.3395765472312704</v>
      </c>
      <c r="J283" s="30" t="n">
        <v>46152.5</v>
      </c>
      <c r="K283" s="30" t="n">
        <v>45510.83333333334</v>
      </c>
      <c r="L283" s="30" t="n">
        <v>39906.58333333334</v>
      </c>
      <c r="M283" s="35" t="n">
        <v>0.4579845903328436</v>
      </c>
      <c r="N283" s="35" t="n">
        <v>0.8315329530298567</v>
      </c>
      <c r="O283" s="35" t="n">
        <v>-0.2545955882352942</v>
      </c>
      <c r="P283" s="35" t="n">
        <v>-0.02874251497005986</v>
      </c>
      <c r="Q283" s="35" t="n">
        <v>1.127492130115425</v>
      </c>
      <c r="R283" s="35" t="n">
        <v>-0.1213910405720167</v>
      </c>
      <c r="S283" s="35" t="n">
        <v>-0.1090033508505301</v>
      </c>
      <c r="T283" s="35" t="n">
        <v>0.01612307075482522</v>
      </c>
      <c r="U283" s="30" t="n">
        <v>61400</v>
      </c>
      <c r="V283" s="30" t="n">
        <v>13990</v>
      </c>
      <c r="W283" s="35" t="n">
        <v>-0.3395765472312704</v>
      </c>
      <c r="X283" s="35" t="n">
        <v>1.898498927805575</v>
      </c>
      <c r="Y283" s="30" t="n">
        <v>20476584</v>
      </c>
      <c r="Z283" s="30" t="n">
        <v>830325481200</v>
      </c>
      <c r="AA283" s="30" t="n">
        <v>7555762600</v>
      </c>
      <c r="AB283" s="30" t="n">
        <v>24268607525</v>
      </c>
      <c r="AC283" s="35" t="n">
        <v>0.009099759999031088</v>
      </c>
      <c r="AD283" s="24" t="inlineStr">
        <is>
          <t>yfinance_download</t>
        </is>
      </c>
      <c r="AE283" s="24" t="inlineStr">
        <is>
          <t>317330.KQ</t>
        </is>
      </c>
    </row>
    <row r="284" ht="24" customHeight="1">
      <c r="A284" s="29" t="inlineStr">
        <is>
          <t>2024-08-01</t>
        </is>
      </c>
      <c r="B284" s="31" t="n">
        <v>40950</v>
      </c>
      <c r="C284" s="31" t="n">
        <v>42350</v>
      </c>
      <c r="D284" s="31" t="n">
        <v>40200</v>
      </c>
      <c r="E284" s="31" t="n">
        <v>41850</v>
      </c>
      <c r="F284" s="31" t="n">
        <v>41850</v>
      </c>
      <c r="G284" s="31" t="n">
        <v>273296</v>
      </c>
      <c r="H284" s="36" t="n">
        <v>0.03205918618988912</v>
      </c>
      <c r="I284" s="36" t="n">
        <v>-0.3184039087947883</v>
      </c>
      <c r="J284" s="31" t="n">
        <v>45530</v>
      </c>
      <c r="K284" s="31" t="n">
        <v>45548.33333333334</v>
      </c>
      <c r="L284" s="31" t="n">
        <v>40095.33333333334</v>
      </c>
      <c r="M284" s="36" t="n">
        <v>0.4851074199311802</v>
      </c>
      <c r="N284" s="36" t="n">
        <v>0.8267141935225475</v>
      </c>
      <c r="O284" s="36" t="n">
        <v>-0.2292817679558011</v>
      </c>
      <c r="P284" s="36" t="n">
        <v>0.05681818181818188</v>
      </c>
      <c r="Q284" s="36" t="n">
        <v>1.1796875</v>
      </c>
      <c r="R284" s="36" t="n">
        <v>-0.08082582912365477</v>
      </c>
      <c r="S284" s="36" t="n">
        <v>-0.08119579933404086</v>
      </c>
      <c r="T284" s="36" t="n">
        <v>0.04376236636017494</v>
      </c>
      <c r="U284" s="31" t="n">
        <v>61400</v>
      </c>
      <c r="V284" s="31" t="n">
        <v>13990</v>
      </c>
      <c r="W284" s="36" t="n">
        <v>-0.3184039087947883</v>
      </c>
      <c r="X284" s="36" t="n">
        <v>1.991422444603288</v>
      </c>
      <c r="Y284" s="31" t="n">
        <v>20476584</v>
      </c>
      <c r="Z284" s="31" t="n">
        <v>856945040400</v>
      </c>
      <c r="AA284" s="31" t="n">
        <v>11437437600</v>
      </c>
      <c r="AB284" s="31" t="n">
        <v>23419499990</v>
      </c>
      <c r="AC284" s="36" t="n">
        <v>0.01334675744743362</v>
      </c>
      <c r="AD284" s="29" t="inlineStr">
        <is>
          <t>yfinance_download</t>
        </is>
      </c>
      <c r="AE284" s="29" t="inlineStr">
        <is>
          <t>317330.KQ</t>
        </is>
      </c>
    </row>
    <row r="285" ht="24" customHeight="1">
      <c r="A285" s="24" t="inlineStr">
        <is>
          <t>2024-08-02</t>
        </is>
      </c>
      <c r="B285" s="30" t="n">
        <v>40800</v>
      </c>
      <c r="C285" s="30" t="n">
        <v>41000</v>
      </c>
      <c r="D285" s="30" t="n">
        <v>38900</v>
      </c>
      <c r="E285" s="30" t="n">
        <v>39700</v>
      </c>
      <c r="F285" s="30" t="n">
        <v>39700</v>
      </c>
      <c r="G285" s="30" t="n">
        <v>256265</v>
      </c>
      <c r="H285" s="35" t="n">
        <v>-0.05137395459976102</v>
      </c>
      <c r="I285" s="35" t="n">
        <v>-0.3534201954397395</v>
      </c>
      <c r="J285" s="30" t="n">
        <v>44810</v>
      </c>
      <c r="K285" s="30" t="n">
        <v>45560</v>
      </c>
      <c r="L285" s="30" t="n">
        <v>40253.25</v>
      </c>
      <c r="M285" s="35" t="n">
        <v>0.5028379856898619</v>
      </c>
      <c r="N285" s="35" t="n">
        <v>0.8332631740239343</v>
      </c>
      <c r="O285" s="35" t="n">
        <v>-0.2661737523105361</v>
      </c>
      <c r="P285" s="35" t="n">
        <v>0.01794871794871788</v>
      </c>
      <c r="Q285" s="35" t="n">
        <v>0.9132530120481928</v>
      </c>
      <c r="R285" s="35" t="n">
        <v>-0.1140370453023879</v>
      </c>
      <c r="S285" s="35" t="n">
        <v>-0.1286215978928885</v>
      </c>
      <c r="T285" s="35" t="n">
        <v>-0.01374423183221229</v>
      </c>
      <c r="U285" s="30" t="n">
        <v>61400</v>
      </c>
      <c r="V285" s="30" t="n">
        <v>13990</v>
      </c>
      <c r="W285" s="35" t="n">
        <v>-0.3534201954397395</v>
      </c>
      <c r="X285" s="35" t="n">
        <v>1.837741243745532</v>
      </c>
      <c r="Y285" s="30" t="n">
        <v>20476584</v>
      </c>
      <c r="Z285" s="30" t="n">
        <v>812920384800</v>
      </c>
      <c r="AA285" s="30" t="n">
        <v>10173720500</v>
      </c>
      <c r="AB285" s="30" t="n">
        <v>22513105840</v>
      </c>
      <c r="AC285" s="35" t="n">
        <v>0.01251502692050588</v>
      </c>
      <c r="AD285" s="24" t="inlineStr">
        <is>
          <t>yfinance_download</t>
        </is>
      </c>
      <c r="AE285" s="24" t="inlineStr">
        <is>
          <t>317330.KQ</t>
        </is>
      </c>
    </row>
    <row r="286" ht="24" customHeight="1">
      <c r="A286" s="29" t="inlineStr">
        <is>
          <t>2024-08-05</t>
        </is>
      </c>
      <c r="B286" s="31" t="n">
        <v>37950</v>
      </c>
      <c r="C286" s="31" t="n">
        <v>38750</v>
      </c>
      <c r="D286" s="31" t="n">
        <v>32050</v>
      </c>
      <c r="E286" s="31" t="n">
        <v>34800</v>
      </c>
      <c r="F286" s="31" t="n">
        <v>34800</v>
      </c>
      <c r="G286" s="31" t="n">
        <v>620594</v>
      </c>
      <c r="H286" s="36" t="n">
        <v>-0.1234256926952141</v>
      </c>
      <c r="I286" s="36" t="n">
        <v>-0.4332247557003257</v>
      </c>
      <c r="J286" s="31" t="n">
        <v>43895</v>
      </c>
      <c r="K286" s="31" t="n">
        <v>45498.33333333334</v>
      </c>
      <c r="L286" s="31" t="n">
        <v>40376.66666666666</v>
      </c>
      <c r="M286" s="36" t="n">
        <v>0.6337629180036064</v>
      </c>
      <c r="N286" s="36" t="n">
        <v>0.8713803278829541</v>
      </c>
      <c r="O286" s="36" t="n">
        <v>-0.344632768361582</v>
      </c>
      <c r="P286" s="36" t="n">
        <v>-0.09610389610389614</v>
      </c>
      <c r="Q286" s="36" t="n">
        <v>0.7408704352176088</v>
      </c>
      <c r="R286" s="36" t="n">
        <v>-0.207198997607928</v>
      </c>
      <c r="S286" s="36" t="n">
        <v>-0.2351368181984689</v>
      </c>
      <c r="T286" s="36" t="n">
        <v>-0.138116073639891</v>
      </c>
      <c r="U286" s="31" t="n">
        <v>61400</v>
      </c>
      <c r="V286" s="31" t="n">
        <v>13990</v>
      </c>
      <c r="W286" s="36" t="n">
        <v>-0.4332247557003257</v>
      </c>
      <c r="X286" s="36" t="n">
        <v>1.487491065046462</v>
      </c>
      <c r="Y286" s="31" t="n">
        <v>20476584</v>
      </c>
      <c r="Z286" s="31" t="n">
        <v>712585123200</v>
      </c>
      <c r="AA286" s="31" t="n">
        <v>21596671200</v>
      </c>
      <c r="AB286" s="31" t="n">
        <v>21051177805</v>
      </c>
      <c r="AC286" s="36" t="n">
        <v>0.03030749660197228</v>
      </c>
      <c r="AD286" s="29" t="inlineStr">
        <is>
          <t>yfinance_download</t>
        </is>
      </c>
      <c r="AE286" s="29" t="inlineStr">
        <is>
          <t>317330.KQ</t>
        </is>
      </c>
    </row>
    <row r="287" ht="24" customHeight="1">
      <c r="A287" s="24" t="inlineStr">
        <is>
          <t>2024-08-06</t>
        </is>
      </c>
      <c r="B287" s="30" t="n">
        <v>35000</v>
      </c>
      <c r="C287" s="30" t="n">
        <v>37850</v>
      </c>
      <c r="D287" s="30" t="n">
        <v>34950</v>
      </c>
      <c r="E287" s="30" t="n">
        <v>36800</v>
      </c>
      <c r="F287" s="30" t="n">
        <v>36800</v>
      </c>
      <c r="G287" s="30" t="n">
        <v>386965</v>
      </c>
      <c r="H287" s="35" t="n">
        <v>0.05747126436781613</v>
      </c>
      <c r="I287" s="35" t="n">
        <v>-0.4006514657980456</v>
      </c>
      <c r="J287" s="30" t="n">
        <v>42960</v>
      </c>
      <c r="K287" s="30" t="n">
        <v>45487.5</v>
      </c>
      <c r="L287" s="30" t="n">
        <v>40511.25</v>
      </c>
      <c r="M287" s="35" t="n">
        <v>0.6517817866374637</v>
      </c>
      <c r="N287" s="35" t="n">
        <v>0.8774519104700617</v>
      </c>
      <c r="O287" s="35" t="n">
        <v>-0.3369369369369369</v>
      </c>
      <c r="P287" s="35" t="n">
        <v>-0.01735647530040052</v>
      </c>
      <c r="Q287" s="35" t="n">
        <v>0.7820823244552058</v>
      </c>
      <c r="R287" s="35" t="n">
        <v>-0.1433891992551211</v>
      </c>
      <c r="S287" s="35" t="n">
        <v>-0.1909865347622973</v>
      </c>
      <c r="T287" s="35" t="n">
        <v>-0.09161035514826132</v>
      </c>
      <c r="U287" s="30" t="n">
        <v>61400</v>
      </c>
      <c r="V287" s="30" t="n">
        <v>13990</v>
      </c>
      <c r="W287" s="35" t="n">
        <v>-0.4006514657980456</v>
      </c>
      <c r="X287" s="35" t="n">
        <v>1.630450321658327</v>
      </c>
      <c r="Y287" s="30" t="n">
        <v>20476584</v>
      </c>
      <c r="Z287" s="30" t="n">
        <v>753538291200</v>
      </c>
      <c r="AA287" s="30" t="n">
        <v>14240312000</v>
      </c>
      <c r="AB287" s="30" t="n">
        <v>20039918405</v>
      </c>
      <c r="AC287" s="35" t="n">
        <v>0.01889792750587696</v>
      </c>
      <c r="AD287" s="24" t="inlineStr">
        <is>
          <t>yfinance_download</t>
        </is>
      </c>
      <c r="AE287" s="24" t="inlineStr">
        <is>
          <t>317330.KQ</t>
        </is>
      </c>
    </row>
    <row r="288" ht="24" customHeight="1">
      <c r="A288" s="29" t="inlineStr">
        <is>
          <t>2024-08-07</t>
        </is>
      </c>
      <c r="B288" s="31" t="n">
        <v>36100</v>
      </c>
      <c r="C288" s="31" t="n">
        <v>38800</v>
      </c>
      <c r="D288" s="31" t="n">
        <v>36100</v>
      </c>
      <c r="E288" s="31" t="n">
        <v>38150</v>
      </c>
      <c r="F288" s="31" t="n">
        <v>38150</v>
      </c>
      <c r="G288" s="31" t="n">
        <v>183184</v>
      </c>
      <c r="H288" s="36" t="n">
        <v>0.03668478260869557</v>
      </c>
      <c r="I288" s="36" t="n">
        <v>-0.3786644951140065</v>
      </c>
      <c r="J288" s="31" t="n">
        <v>42192.5</v>
      </c>
      <c r="K288" s="31" t="n">
        <v>45497.5</v>
      </c>
      <c r="L288" s="31" t="n">
        <v>40655</v>
      </c>
      <c r="M288" s="36" t="n">
        <v>0.6779149683267471</v>
      </c>
      <c r="N288" s="36" t="n">
        <v>0.8804694758246915</v>
      </c>
      <c r="O288" s="36" t="n">
        <v>-0.2869158878504673</v>
      </c>
      <c r="P288" s="36" t="n">
        <v>0.01597869507323568</v>
      </c>
      <c r="Q288" s="36" t="n">
        <v>0.8253588516746411</v>
      </c>
      <c r="R288" s="36" t="n">
        <v>-0.095810866860224</v>
      </c>
      <c r="S288" s="36" t="n">
        <v>-0.1614923896917413</v>
      </c>
      <c r="T288" s="36" t="n">
        <v>-0.06161603738777521</v>
      </c>
      <c r="U288" s="31" t="n">
        <v>61400</v>
      </c>
      <c r="V288" s="31" t="n">
        <v>13990</v>
      </c>
      <c r="W288" s="36" t="n">
        <v>-0.3786644951140065</v>
      </c>
      <c r="X288" s="36" t="n">
        <v>1.726947819871337</v>
      </c>
      <c r="Y288" s="31" t="n">
        <v>20476584</v>
      </c>
      <c r="Z288" s="31" t="n">
        <v>781181679600</v>
      </c>
      <c r="AA288" s="31" t="n">
        <v>6988469600</v>
      </c>
      <c r="AB288" s="31" t="n">
        <v>17237686310</v>
      </c>
      <c r="AC288" s="36" t="n">
        <v>0.008946023418749924</v>
      </c>
      <c r="AD288" s="29" t="inlineStr">
        <is>
          <t>yfinance_download</t>
        </is>
      </c>
      <c r="AE288" s="29" t="inlineStr">
        <is>
          <t>317330.KQ</t>
        </is>
      </c>
    </row>
    <row r="289" ht="24" customHeight="1">
      <c r="A289" s="24" t="inlineStr">
        <is>
          <t>2024-08-08</t>
        </is>
      </c>
      <c r="B289" s="30" t="n">
        <v>37700</v>
      </c>
      <c r="C289" s="30" t="n">
        <v>37850</v>
      </c>
      <c r="D289" s="30" t="n">
        <v>35950</v>
      </c>
      <c r="E289" s="30" t="n">
        <v>36650</v>
      </c>
      <c r="F289" s="30" t="n">
        <v>36650</v>
      </c>
      <c r="G289" s="30" t="n">
        <v>163182</v>
      </c>
      <c r="H289" s="35" t="n">
        <v>-0.03931847968545221</v>
      </c>
      <c r="I289" s="35" t="n">
        <v>-0.4030944625407166</v>
      </c>
      <c r="J289" s="30" t="n">
        <v>41450</v>
      </c>
      <c r="K289" s="30" t="n">
        <v>45465</v>
      </c>
      <c r="L289" s="30" t="n">
        <v>40761.66666666666</v>
      </c>
      <c r="M289" s="35" t="n">
        <v>0.6787637480523668</v>
      </c>
      <c r="N289" s="35" t="n">
        <v>0.8826932096843233</v>
      </c>
      <c r="O289" s="35" t="n">
        <v>-0.2883495145631068</v>
      </c>
      <c r="P289" s="35" t="n">
        <v>-0.05051813471502586</v>
      </c>
      <c r="Q289" s="35" t="n">
        <v>0.5366876310272537</v>
      </c>
      <c r="R289" s="35" t="n">
        <v>-0.1158021712907117</v>
      </c>
      <c r="S289" s="35" t="n">
        <v>-0.1938854063565379</v>
      </c>
      <c r="T289" s="35" t="n">
        <v>-0.1008709163020811</v>
      </c>
      <c r="U289" s="30" t="n">
        <v>61400</v>
      </c>
      <c r="V289" s="30" t="n">
        <v>13990</v>
      </c>
      <c r="W289" s="35" t="n">
        <v>-0.4030944625407166</v>
      </c>
      <c r="X289" s="35" t="n">
        <v>1.619728377412438</v>
      </c>
      <c r="Y289" s="30" t="n">
        <v>20476584</v>
      </c>
      <c r="Z289" s="30" t="n">
        <v>750466803600</v>
      </c>
      <c r="AA289" s="30" t="n">
        <v>5980620300</v>
      </c>
      <c r="AB289" s="30" t="n">
        <v>16520418900</v>
      </c>
      <c r="AC289" s="35" t="n">
        <v>0.007969200331461536</v>
      </c>
      <c r="AD289" s="24" t="inlineStr">
        <is>
          <t>yfinance_download</t>
        </is>
      </c>
      <c r="AE289" s="24" t="inlineStr">
        <is>
          <t>317330.KQ</t>
        </is>
      </c>
    </row>
    <row r="290" ht="24" customHeight="1">
      <c r="A290" s="29" t="inlineStr">
        <is>
          <t>2024-08-09</t>
        </is>
      </c>
      <c r="B290" s="31" t="n">
        <v>37500</v>
      </c>
      <c r="C290" s="31" t="n">
        <v>38750</v>
      </c>
      <c r="D290" s="31" t="n">
        <v>37400</v>
      </c>
      <c r="E290" s="31" t="n">
        <v>37750</v>
      </c>
      <c r="F290" s="31" t="n">
        <v>37750</v>
      </c>
      <c r="G290" s="31" t="n">
        <v>134441</v>
      </c>
      <c r="H290" s="36" t="n">
        <v>0.0300136425648021</v>
      </c>
      <c r="I290" s="36" t="n">
        <v>-0.3851791530944625</v>
      </c>
      <c r="J290" s="31" t="n">
        <v>40837.5</v>
      </c>
      <c r="K290" s="31" t="n">
        <v>45459.16666666666</v>
      </c>
      <c r="L290" s="31" t="n">
        <v>40868.33333333334</v>
      </c>
      <c r="M290" s="36" t="n">
        <v>0.6958070267949514</v>
      </c>
      <c r="N290" s="36" t="n">
        <v>0.8842695787872064</v>
      </c>
      <c r="O290" s="36" t="n">
        <v>-0.245</v>
      </c>
      <c r="P290" s="36" t="n">
        <v>-0.009186351706036766</v>
      </c>
      <c r="Q290" s="36" t="n">
        <v>0.5130260521042085</v>
      </c>
      <c r="R290" s="36" t="n">
        <v>-0.07560453014998469</v>
      </c>
      <c r="S290" s="36" t="n">
        <v>-0.1695844255833989</v>
      </c>
      <c r="T290" s="36" t="n">
        <v>-0.07630194527140011</v>
      </c>
      <c r="U290" s="31" t="n">
        <v>61400</v>
      </c>
      <c r="V290" s="31" t="n">
        <v>13990</v>
      </c>
      <c r="W290" s="36" t="n">
        <v>-0.3851791530944625</v>
      </c>
      <c r="X290" s="36" t="n">
        <v>1.698355968548964</v>
      </c>
      <c r="Y290" s="31" t="n">
        <v>20476584</v>
      </c>
      <c r="Z290" s="31" t="n">
        <v>772991046000</v>
      </c>
      <c r="AA290" s="31" t="n">
        <v>5075147750</v>
      </c>
      <c r="AB290" s="31" t="n">
        <v>15471813787.5</v>
      </c>
      <c r="AC290" s="36" t="n">
        <v>0.006565597074199485</v>
      </c>
      <c r="AD290" s="29" t="inlineStr">
        <is>
          <t>yfinance_download</t>
        </is>
      </c>
      <c r="AE290" s="29" t="inlineStr">
        <is>
          <t>317330.KQ</t>
        </is>
      </c>
    </row>
    <row r="291" ht="24" customHeight="1">
      <c r="A291" s="24" t="inlineStr">
        <is>
          <t>2024-08-12</t>
        </is>
      </c>
      <c r="B291" s="30" t="n">
        <v>37850</v>
      </c>
      <c r="C291" s="30" t="n">
        <v>39350</v>
      </c>
      <c r="D291" s="30" t="n">
        <v>37600</v>
      </c>
      <c r="E291" s="30" t="n">
        <v>38750</v>
      </c>
      <c r="F291" s="30" t="n">
        <v>38750</v>
      </c>
      <c r="G291" s="30" t="n">
        <v>165262</v>
      </c>
      <c r="H291" s="35" t="n">
        <v>0.02649006622516548</v>
      </c>
      <c r="I291" s="35" t="n">
        <v>-0.3688925081433225</v>
      </c>
      <c r="J291" s="30" t="n">
        <v>40365</v>
      </c>
      <c r="K291" s="30" t="n">
        <v>45479.16666666666</v>
      </c>
      <c r="L291" s="30" t="n">
        <v>40971.25</v>
      </c>
      <c r="M291" s="35" t="n">
        <v>0.7037356047981864</v>
      </c>
      <c r="N291" s="35" t="n">
        <v>0.8851363158434519</v>
      </c>
      <c r="O291" s="35" t="n">
        <v>-0.196058091286307</v>
      </c>
      <c r="P291" s="35" t="n">
        <v>0.03195739014647137</v>
      </c>
      <c r="Q291" s="35" t="n">
        <v>0.4678030303030303</v>
      </c>
      <c r="R291" s="35" t="n">
        <v>-0.04000990957512696</v>
      </c>
      <c r="S291" s="35" t="n">
        <v>-0.1479615208428767</v>
      </c>
      <c r="T291" s="35" t="n">
        <v>-0.05421484577600144</v>
      </c>
      <c r="U291" s="30" t="n">
        <v>61400</v>
      </c>
      <c r="V291" s="30" t="n">
        <v>13990</v>
      </c>
      <c r="W291" s="35" t="n">
        <v>-0.3688925081433225</v>
      </c>
      <c r="X291" s="35" t="n">
        <v>1.769835596854896</v>
      </c>
      <c r="Y291" s="30" t="n">
        <v>20476584</v>
      </c>
      <c r="Z291" s="30" t="n">
        <v>793467630000</v>
      </c>
      <c r="AA291" s="30" t="n">
        <v>6403902500</v>
      </c>
      <c r="AB291" s="30" t="n">
        <v>14874546012.5</v>
      </c>
      <c r="AC291" s="35" t="n">
        <v>0.008070779774595216</v>
      </c>
      <c r="AD291" s="24" t="inlineStr">
        <is>
          <t>yfinance_download</t>
        </is>
      </c>
      <c r="AE291" s="24" t="inlineStr">
        <is>
          <t>317330.KQ</t>
        </is>
      </c>
    </row>
    <row r="292" ht="24" customHeight="1">
      <c r="A292" s="29" t="inlineStr">
        <is>
          <t>2024-08-13</t>
        </is>
      </c>
      <c r="B292" s="31" t="n">
        <v>39450</v>
      </c>
      <c r="C292" s="31" t="n">
        <v>40650</v>
      </c>
      <c r="D292" s="31" t="n">
        <v>38250</v>
      </c>
      <c r="E292" s="31" t="n">
        <v>38550</v>
      </c>
      <c r="F292" s="31" t="n">
        <v>38550</v>
      </c>
      <c r="G292" s="31" t="n">
        <v>243845</v>
      </c>
      <c r="H292" s="36" t="n">
        <v>-0.005161290322580614</v>
      </c>
      <c r="I292" s="36" t="n">
        <v>-0.3721498371335505</v>
      </c>
      <c r="J292" s="31" t="n">
        <v>40035</v>
      </c>
      <c r="K292" s="31" t="n">
        <v>45507.5</v>
      </c>
      <c r="L292" s="31" t="n">
        <v>41081.66666666666</v>
      </c>
      <c r="M292" s="36" t="n">
        <v>0.6749014294883849</v>
      </c>
      <c r="N292" s="36" t="n">
        <v>0.8842254507999829</v>
      </c>
      <c r="O292" s="36" t="n">
        <v>-0.1461794019933554</v>
      </c>
      <c r="P292" s="36" t="n">
        <v>0.04613297150610585</v>
      </c>
      <c r="Q292" s="36" t="n">
        <v>0.5237154150197629</v>
      </c>
      <c r="R292" s="36" t="n">
        <v>-0.03709254402397899</v>
      </c>
      <c r="S292" s="36" t="n">
        <v>-0.1528868867769049</v>
      </c>
      <c r="T292" s="36" t="n">
        <v>-0.06162521806158461</v>
      </c>
      <c r="U292" s="31" t="n">
        <v>61400</v>
      </c>
      <c r="V292" s="31" t="n">
        <v>13990</v>
      </c>
      <c r="W292" s="36" t="n">
        <v>-0.3721498371335505</v>
      </c>
      <c r="X292" s="36" t="n">
        <v>1.75553967119371</v>
      </c>
      <c r="Y292" s="31" t="n">
        <v>20476584</v>
      </c>
      <c r="Z292" s="31" t="n">
        <v>789372313200</v>
      </c>
      <c r="AA292" s="31" t="n">
        <v>9400224750</v>
      </c>
      <c r="AB292" s="31" t="n">
        <v>13656373917.5</v>
      </c>
      <c r="AC292" s="36" t="n">
        <v>0.01190848043794805</v>
      </c>
      <c r="AD292" s="29" t="inlineStr">
        <is>
          <t>yfinance_download</t>
        </is>
      </c>
      <c r="AE292" s="29" t="inlineStr">
        <is>
          <t>317330.KQ</t>
        </is>
      </c>
    </row>
    <row r="293" ht="24" customHeight="1">
      <c r="A293" s="24" t="inlineStr">
        <is>
          <t>2024-08-14</t>
        </is>
      </c>
      <c r="B293" s="30" t="n">
        <v>39500</v>
      </c>
      <c r="C293" s="30" t="n">
        <v>41050</v>
      </c>
      <c r="D293" s="30" t="n">
        <v>39150</v>
      </c>
      <c r="E293" s="30" t="n">
        <v>39900</v>
      </c>
      <c r="F293" s="30" t="n">
        <v>39900</v>
      </c>
      <c r="G293" s="30" t="n">
        <v>232297</v>
      </c>
      <c r="H293" s="35" t="n">
        <v>0.03501945525291839</v>
      </c>
      <c r="I293" s="35" t="n">
        <v>-0.3501628664495114</v>
      </c>
      <c r="J293" s="30" t="n">
        <v>39720</v>
      </c>
      <c r="K293" s="30" t="n">
        <v>45576.66666666666</v>
      </c>
      <c r="L293" s="30" t="n">
        <v>41152.08333333334</v>
      </c>
      <c r="M293" s="35" t="n">
        <v>0.6831331109197676</v>
      </c>
      <c r="N293" s="35" t="n">
        <v>0.8841745539540923</v>
      </c>
      <c r="O293" s="35" t="n">
        <v>-0.1363636363636364</v>
      </c>
      <c r="P293" s="35" t="n">
        <v>0.116083916083916</v>
      </c>
      <c r="Q293" s="35" t="n">
        <v>0.2686804451510334</v>
      </c>
      <c r="R293" s="35" t="n">
        <v>0.004531722054380571</v>
      </c>
      <c r="S293" s="35" t="n">
        <v>-0.1245520368609668</v>
      </c>
      <c r="T293" s="35" t="n">
        <v>-0.03042575811269177</v>
      </c>
      <c r="U293" s="30" t="n">
        <v>61400</v>
      </c>
      <c r="V293" s="30" t="n">
        <v>13990</v>
      </c>
      <c r="W293" s="35" t="n">
        <v>-0.3501628664495114</v>
      </c>
      <c r="X293" s="35" t="n">
        <v>1.852037169406719</v>
      </c>
      <c r="Y293" s="30" t="n">
        <v>20476584</v>
      </c>
      <c r="Z293" s="30" t="n">
        <v>817015701600</v>
      </c>
      <c r="AA293" s="30" t="n">
        <v>9268650300</v>
      </c>
      <c r="AB293" s="30" t="n">
        <v>12622603032.5</v>
      </c>
      <c r="AC293" s="35" t="n">
        <v>0.01134451918347318</v>
      </c>
      <c r="AD293" s="24" t="inlineStr">
        <is>
          <t>yfinance_download</t>
        </is>
      </c>
      <c r="AE293" s="24" t="inlineStr">
        <is>
          <t>317330.KQ</t>
        </is>
      </c>
    </row>
    <row r="294" ht="24" customHeight="1">
      <c r="A294" s="29" t="inlineStr">
        <is>
          <t>2024-08-16</t>
        </is>
      </c>
      <c r="B294" s="31" t="n">
        <v>40500</v>
      </c>
      <c r="C294" s="31" t="n">
        <v>42850</v>
      </c>
      <c r="D294" s="31" t="n">
        <v>40500</v>
      </c>
      <c r="E294" s="31" t="n">
        <v>41250</v>
      </c>
      <c r="F294" s="31" t="n">
        <v>41250</v>
      </c>
      <c r="G294" s="31" t="n">
        <v>368273</v>
      </c>
      <c r="H294" s="36" t="n">
        <v>0.03383458646616533</v>
      </c>
      <c r="I294" s="36" t="n">
        <v>-0.3281758957654723</v>
      </c>
      <c r="J294" s="31" t="n">
        <v>39572.5</v>
      </c>
      <c r="K294" s="31" t="n">
        <v>45677.5</v>
      </c>
      <c r="L294" s="31" t="n">
        <v>41247.91666666666</v>
      </c>
      <c r="M294" s="36" t="n">
        <v>0.6827391441954855</v>
      </c>
      <c r="N294" s="36" t="n">
        <v>0.885487807315448</v>
      </c>
      <c r="O294" s="36" t="n">
        <v>-0.06674208144796379</v>
      </c>
      <c r="P294" s="36" t="n">
        <v>0.171875</v>
      </c>
      <c r="Q294" s="36" t="n">
        <v>0.3865546218487395</v>
      </c>
      <c r="R294" s="36" t="n">
        <v>0.04239054899235573</v>
      </c>
      <c r="S294" s="36" t="n">
        <v>-0.09692956050571944</v>
      </c>
      <c r="T294" s="36" t="n">
        <v>5.050760139413413e-05</v>
      </c>
      <c r="U294" s="31" t="n">
        <v>61400</v>
      </c>
      <c r="V294" s="31" t="n">
        <v>13990</v>
      </c>
      <c r="W294" s="36" t="n">
        <v>-0.3281758957654723</v>
      </c>
      <c r="X294" s="36" t="n">
        <v>1.948534667619728</v>
      </c>
      <c r="Y294" s="31" t="n">
        <v>20476584</v>
      </c>
      <c r="Z294" s="31" t="n">
        <v>844659090000</v>
      </c>
      <c r="AA294" s="31" t="n">
        <v>15191261250</v>
      </c>
      <c r="AB294" s="31" t="n">
        <v>12327631445</v>
      </c>
      <c r="AC294" s="36" t="n">
        <v>0.01798507993325449</v>
      </c>
      <c r="AD294" s="29" t="inlineStr">
        <is>
          <t>yfinance_download</t>
        </is>
      </c>
      <c r="AE294" s="29" t="inlineStr">
        <is>
          <t>317330.KQ</t>
        </is>
      </c>
    </row>
    <row r="295" ht="24" customHeight="1">
      <c r="A295" s="24" t="inlineStr">
        <is>
          <t>2024-08-19</t>
        </is>
      </c>
      <c r="B295" s="30" t="n">
        <v>41500</v>
      </c>
      <c r="C295" s="30" t="n">
        <v>42000</v>
      </c>
      <c r="D295" s="30" t="n">
        <v>39050</v>
      </c>
      <c r="E295" s="30" t="n">
        <v>39100</v>
      </c>
      <c r="F295" s="30" t="n">
        <v>39100</v>
      </c>
      <c r="G295" s="30" t="n">
        <v>212275</v>
      </c>
      <c r="H295" s="35" t="n">
        <v>-0.05212121212121212</v>
      </c>
      <c r="I295" s="35" t="n">
        <v>-0.3631921824104235</v>
      </c>
      <c r="J295" s="30" t="n">
        <v>39302.5</v>
      </c>
      <c r="K295" s="30" t="n">
        <v>45721.66666666666</v>
      </c>
      <c r="L295" s="30" t="n">
        <v>41356.66666666666</v>
      </c>
      <c r="M295" s="35" t="n">
        <v>0.703766769237159</v>
      </c>
      <c r="N295" s="35" t="n">
        <v>0.8904122292165148</v>
      </c>
      <c r="O295" s="35" t="n">
        <v>-0.1213483146067416</v>
      </c>
      <c r="P295" s="35" t="n">
        <v>0.07270233196159115</v>
      </c>
      <c r="Q295" s="35" t="n">
        <v>0.5009596928982725</v>
      </c>
      <c r="R295" s="35" t="n">
        <v>-0.005152343998473419</v>
      </c>
      <c r="S295" s="35" t="n">
        <v>-0.1448255750373637</v>
      </c>
      <c r="T295" s="35" t="n">
        <v>-0.05456597082292247</v>
      </c>
      <c r="U295" s="30" t="n">
        <v>61400</v>
      </c>
      <c r="V295" s="30" t="n">
        <v>13990</v>
      </c>
      <c r="W295" s="35" t="n">
        <v>-0.3631921824104235</v>
      </c>
      <c r="X295" s="35" t="n">
        <v>1.794853466761973</v>
      </c>
      <c r="Y295" s="30" t="n">
        <v>20476584</v>
      </c>
      <c r="Z295" s="30" t="n">
        <v>800634434400</v>
      </c>
      <c r="AA295" s="30" t="n">
        <v>8299952500</v>
      </c>
      <c r="AB295" s="30" t="n">
        <v>12119809295</v>
      </c>
      <c r="AC295" s="35" t="n">
        <v>0.01036671937077005</v>
      </c>
      <c r="AD295" s="24" t="inlineStr">
        <is>
          <t>yfinance_download</t>
        </is>
      </c>
      <c r="AE295" s="24" t="inlineStr">
        <is>
          <t>317330.KQ</t>
        </is>
      </c>
    </row>
    <row r="296" ht="24" customHeight="1">
      <c r="A296" s="29" t="inlineStr">
        <is>
          <t>2024-08-20</t>
        </is>
      </c>
      <c r="B296" s="31" t="n">
        <v>39600</v>
      </c>
      <c r="C296" s="31" t="n">
        <v>41100</v>
      </c>
      <c r="D296" s="31" t="n">
        <v>37900</v>
      </c>
      <c r="E296" s="31" t="n">
        <v>40400</v>
      </c>
      <c r="F296" s="31" t="n">
        <v>40400</v>
      </c>
      <c r="G296" s="31" t="n">
        <v>376649</v>
      </c>
      <c r="H296" s="36" t="n">
        <v>0.03324808184143224</v>
      </c>
      <c r="I296" s="36" t="n">
        <v>-0.3420195439739414</v>
      </c>
      <c r="J296" s="31" t="n">
        <v>39225</v>
      </c>
      <c r="K296" s="31" t="n">
        <v>45816.66666666666</v>
      </c>
      <c r="L296" s="31" t="n">
        <v>41458.33333333334</v>
      </c>
      <c r="M296" s="36" t="n">
        <v>0.6885691512039798</v>
      </c>
      <c r="N296" s="36" t="n">
        <v>0.8862294270006872</v>
      </c>
      <c r="O296" s="36" t="n">
        <v>-0.03694874851013108</v>
      </c>
      <c r="P296" s="36" t="n">
        <v>0.1642651296829971</v>
      </c>
      <c r="Q296" s="36" t="n">
        <v>0.4326241134751774</v>
      </c>
      <c r="R296" s="36" t="n">
        <v>0.02995538559592092</v>
      </c>
      <c r="S296" s="36" t="n">
        <v>-0.1182248090214623</v>
      </c>
      <c r="T296" s="36" t="n">
        <v>-0.02552763819095483</v>
      </c>
      <c r="U296" s="31" t="n">
        <v>61400</v>
      </c>
      <c r="V296" s="31" t="n">
        <v>13990</v>
      </c>
      <c r="W296" s="36" t="n">
        <v>-0.3420195439739414</v>
      </c>
      <c r="X296" s="36" t="n">
        <v>1.887776983559685</v>
      </c>
      <c r="Y296" s="31" t="n">
        <v>20476584</v>
      </c>
      <c r="Z296" s="31" t="n">
        <v>827253993600</v>
      </c>
      <c r="AA296" s="31" t="n">
        <v>15216619600</v>
      </c>
      <c r="AB296" s="31" t="n">
        <v>12146341182.5</v>
      </c>
      <c r="AC296" s="36" t="n">
        <v>0.0183941325369505</v>
      </c>
      <c r="AD296" s="29" t="inlineStr">
        <is>
          <t>yfinance_download</t>
        </is>
      </c>
      <c r="AE296" s="29" t="inlineStr">
        <is>
          <t>317330.KQ</t>
        </is>
      </c>
    </row>
    <row r="297" ht="24" customHeight="1">
      <c r="A297" s="24" t="inlineStr">
        <is>
          <t>2024-08-21</t>
        </is>
      </c>
      <c r="B297" s="30" t="n">
        <v>39150</v>
      </c>
      <c r="C297" s="30" t="n">
        <v>39900</v>
      </c>
      <c r="D297" s="30" t="n">
        <v>38150</v>
      </c>
      <c r="E297" s="30" t="n">
        <v>38950</v>
      </c>
      <c r="F297" s="30" t="n">
        <v>38950</v>
      </c>
      <c r="G297" s="30" t="n">
        <v>446174</v>
      </c>
      <c r="H297" s="35" t="n">
        <v>-0.03589108910891092</v>
      </c>
      <c r="I297" s="35" t="n">
        <v>-0.3656351791530945</v>
      </c>
      <c r="J297" s="30" t="n">
        <v>39142.5</v>
      </c>
      <c r="K297" s="30" t="n">
        <v>45874.16666666666</v>
      </c>
      <c r="L297" s="30" t="n">
        <v>41547.5</v>
      </c>
      <c r="M297" s="35" t="n">
        <v>0.6909225248158414</v>
      </c>
      <c r="N297" s="35" t="n">
        <v>0.8890455119344518</v>
      </c>
      <c r="O297" s="35" t="n">
        <v>-0.04064039408866993</v>
      </c>
      <c r="P297" s="35" t="n">
        <v>0.09718309859154939</v>
      </c>
      <c r="Q297" s="35" t="n">
        <v>0.3787610619469026</v>
      </c>
      <c r="R297" s="35" t="n">
        <v>-0.004917928083285394</v>
      </c>
      <c r="S297" s="35" t="n">
        <v>-0.1509382550091736</v>
      </c>
      <c r="T297" s="35" t="n">
        <v>-0.06251880377880736</v>
      </c>
      <c r="U297" s="30" t="n">
        <v>61400</v>
      </c>
      <c r="V297" s="30" t="n">
        <v>13990</v>
      </c>
      <c r="W297" s="35" t="n">
        <v>-0.3656351791530945</v>
      </c>
      <c r="X297" s="35" t="n">
        <v>1.784131522516083</v>
      </c>
      <c r="Y297" s="30" t="n">
        <v>20476584</v>
      </c>
      <c r="Z297" s="30" t="n">
        <v>797562946800</v>
      </c>
      <c r="AA297" s="30" t="n">
        <v>17378477300</v>
      </c>
      <c r="AB297" s="30" t="n">
        <v>12371168377.5</v>
      </c>
      <c r="AC297" s="35" t="n">
        <v>0.02178947425996446</v>
      </c>
      <c r="AD297" s="24" t="inlineStr">
        <is>
          <t>yfinance_download</t>
        </is>
      </c>
      <c r="AE297" s="24" t="inlineStr">
        <is>
          <t>317330.KQ</t>
        </is>
      </c>
    </row>
    <row r="298" ht="24" customHeight="1">
      <c r="A298" s="29" t="inlineStr">
        <is>
          <t>2024-08-22</t>
        </is>
      </c>
      <c r="B298" s="31" t="n">
        <v>39150</v>
      </c>
      <c r="C298" s="31" t="n">
        <v>44850</v>
      </c>
      <c r="D298" s="31" t="n">
        <v>38700</v>
      </c>
      <c r="E298" s="31" t="n">
        <v>42000</v>
      </c>
      <c r="F298" s="31" t="n">
        <v>42000</v>
      </c>
      <c r="G298" s="31" t="n">
        <v>1263265</v>
      </c>
      <c r="H298" s="36" t="n">
        <v>0.07830551989730417</v>
      </c>
      <c r="I298" s="36" t="n">
        <v>-0.3159609120521173</v>
      </c>
      <c r="J298" s="31" t="n">
        <v>39207.5</v>
      </c>
      <c r="K298" s="31" t="n">
        <v>45965</v>
      </c>
      <c r="L298" s="31" t="n">
        <v>41665</v>
      </c>
      <c r="M298" s="36" t="n">
        <v>0.7463904552356153</v>
      </c>
      <c r="N298" s="36" t="n">
        <v>0.9007938364274034</v>
      </c>
      <c r="O298" s="36" t="n">
        <v>0.03194103194103204</v>
      </c>
      <c r="P298" s="36" t="n">
        <v>0.1491108071135432</v>
      </c>
      <c r="Q298" s="36" t="n">
        <v>0.5053763440860215</v>
      </c>
      <c r="R298" s="36" t="n">
        <v>0.07122361793024301</v>
      </c>
      <c r="S298" s="36" t="n">
        <v>-0.08626128576090508</v>
      </c>
      <c r="T298" s="36" t="n">
        <v>0.008040321612864609</v>
      </c>
      <c r="U298" s="31" t="n">
        <v>61400</v>
      </c>
      <c r="V298" s="31" t="n">
        <v>13990</v>
      </c>
      <c r="W298" s="36" t="n">
        <v>-0.3159609120521173</v>
      </c>
      <c r="X298" s="36" t="n">
        <v>2.002144388849178</v>
      </c>
      <c r="Y298" s="31" t="n">
        <v>20476584</v>
      </c>
      <c r="Z298" s="31" t="n">
        <v>860016528000</v>
      </c>
      <c r="AA298" s="31" t="n">
        <v>53057130000</v>
      </c>
      <c r="AB298" s="31" t="n">
        <v>14496196752.5</v>
      </c>
      <c r="AC298" s="36" t="n">
        <v>0.06169315155301294</v>
      </c>
      <c r="AD298" s="29" t="inlineStr">
        <is>
          <t>yfinance_download</t>
        </is>
      </c>
      <c r="AE298" s="29" t="inlineStr">
        <is>
          <t>317330.KQ</t>
        </is>
      </c>
    </row>
    <row r="299" ht="24" customHeight="1">
      <c r="A299" s="24" t="inlineStr">
        <is>
          <t>2024-08-23</t>
        </is>
      </c>
      <c r="B299" s="30" t="n">
        <v>40700</v>
      </c>
      <c r="C299" s="30" t="n">
        <v>41900</v>
      </c>
      <c r="D299" s="30" t="n">
        <v>39800</v>
      </c>
      <c r="E299" s="30" t="n">
        <v>41400</v>
      </c>
      <c r="F299" s="30" t="n">
        <v>41400</v>
      </c>
      <c r="G299" s="30" t="n">
        <v>358639</v>
      </c>
      <c r="H299" s="35" t="n">
        <v>-0.01428571428571423</v>
      </c>
      <c r="I299" s="35" t="n">
        <v>-0.3257328990228013</v>
      </c>
      <c r="J299" s="30" t="n">
        <v>39272.5</v>
      </c>
      <c r="K299" s="30" t="n">
        <v>46052.5</v>
      </c>
      <c r="L299" s="30" t="n">
        <v>41786.25</v>
      </c>
      <c r="M299" s="35" t="n">
        <v>0.7462511616222899</v>
      </c>
      <c r="N299" s="35" t="n">
        <v>0.9010539510070974</v>
      </c>
      <c r="O299" s="35" t="n">
        <v>0.03241895261845396</v>
      </c>
      <c r="P299" s="35" t="n">
        <v>0.1452282157676348</v>
      </c>
      <c r="Q299" s="35" t="n">
        <v>0.5418994413407821</v>
      </c>
      <c r="R299" s="35" t="n">
        <v>0.05417276720351394</v>
      </c>
      <c r="S299" s="35" t="n">
        <v>-0.1010260029314369</v>
      </c>
      <c r="T299" s="35" t="n">
        <v>-0.009243471237548206</v>
      </c>
      <c r="U299" s="30" t="n">
        <v>61400</v>
      </c>
      <c r="V299" s="30" t="n">
        <v>13990</v>
      </c>
      <c r="W299" s="35" t="n">
        <v>-0.3257328990228013</v>
      </c>
      <c r="X299" s="35" t="n">
        <v>1.959256611865619</v>
      </c>
      <c r="Y299" s="30" t="n">
        <v>20476584</v>
      </c>
      <c r="Z299" s="30" t="n">
        <v>847730577600</v>
      </c>
      <c r="AA299" s="30" t="n">
        <v>14847654600</v>
      </c>
      <c r="AB299" s="30" t="n">
        <v>14627150722.5</v>
      </c>
      <c r="AC299" s="35" t="n">
        <v>0.0175145913009709</v>
      </c>
      <c r="AD299" s="24" t="inlineStr">
        <is>
          <t>yfinance_download</t>
        </is>
      </c>
      <c r="AE299" s="24" t="inlineStr">
        <is>
          <t>317330.KQ</t>
        </is>
      </c>
    </row>
    <row r="300" ht="24" customHeight="1">
      <c r="A300" s="29" t="inlineStr">
        <is>
          <t>2024-08-26</t>
        </is>
      </c>
      <c r="B300" s="31" t="n">
        <v>42000</v>
      </c>
      <c r="C300" s="31" t="n">
        <v>43300</v>
      </c>
      <c r="D300" s="31" t="n">
        <v>41250</v>
      </c>
      <c r="E300" s="31" t="n">
        <v>41500</v>
      </c>
      <c r="F300" s="31" t="n">
        <v>41500</v>
      </c>
      <c r="G300" s="31" t="n">
        <v>307423</v>
      </c>
      <c r="H300" s="36" t="n">
        <v>0.002415458937198078</v>
      </c>
      <c r="I300" s="36" t="n">
        <v>-0.3241042345276873</v>
      </c>
      <c r="J300" s="31" t="n">
        <v>39387.5</v>
      </c>
      <c r="K300" s="31" t="n">
        <v>46151.66666666666</v>
      </c>
      <c r="L300" s="31" t="n">
        <v>41884.16666666666</v>
      </c>
      <c r="M300" s="36" t="n">
        <v>0.7403467844593198</v>
      </c>
      <c r="N300" s="36" t="n">
        <v>0.9000597751252243</v>
      </c>
      <c r="O300" s="36" t="n">
        <v>0.05867346938775508</v>
      </c>
      <c r="P300" s="36" t="n">
        <v>0.1673699015471168</v>
      </c>
      <c r="Q300" s="36" t="n">
        <v>0.3949579831932772</v>
      </c>
      <c r="R300" s="36" t="n">
        <v>0.05363376705807688</v>
      </c>
      <c r="S300" s="36" t="n">
        <v>-0.1007908706800043</v>
      </c>
      <c r="T300" s="36" t="n">
        <v>-0.009172121525636068</v>
      </c>
      <c r="U300" s="31" t="n">
        <v>61400</v>
      </c>
      <c r="V300" s="31" t="n">
        <v>13990</v>
      </c>
      <c r="W300" s="36" t="n">
        <v>-0.3241042345276873</v>
      </c>
      <c r="X300" s="36" t="n">
        <v>1.966404574696212</v>
      </c>
      <c r="Y300" s="31" t="n">
        <v>20476584</v>
      </c>
      <c r="Z300" s="31" t="n">
        <v>849778236000</v>
      </c>
      <c r="AA300" s="31" t="n">
        <v>12758054500</v>
      </c>
      <c r="AB300" s="31" t="n">
        <v>13966018367.5</v>
      </c>
      <c r="AC300" s="36" t="n">
        <v>0.01501339285888701</v>
      </c>
      <c r="AD300" s="29" t="inlineStr">
        <is>
          <t>yfinance_download</t>
        </is>
      </c>
      <c r="AE300" s="29" t="inlineStr">
        <is>
          <t>317330.KQ</t>
        </is>
      </c>
    </row>
    <row r="301" ht="24" customHeight="1">
      <c r="A301" s="24" t="inlineStr">
        <is>
          <t>2024-08-27</t>
        </is>
      </c>
      <c r="B301" s="30" t="n">
        <v>41050</v>
      </c>
      <c r="C301" s="30" t="n">
        <v>43200</v>
      </c>
      <c r="D301" s="30" t="n">
        <v>40800</v>
      </c>
      <c r="E301" s="30" t="n">
        <v>42700</v>
      </c>
      <c r="F301" s="30" t="n">
        <v>42700</v>
      </c>
      <c r="G301" s="30" t="n">
        <v>242640</v>
      </c>
      <c r="H301" s="35" t="n">
        <v>0.02891566265060241</v>
      </c>
      <c r="I301" s="35" t="n">
        <v>-0.3045602605863192</v>
      </c>
      <c r="J301" s="30" t="n">
        <v>39520</v>
      </c>
      <c r="K301" s="30" t="n">
        <v>46266.66666666666</v>
      </c>
      <c r="L301" s="30" t="n">
        <v>41917.91666666666</v>
      </c>
      <c r="M301" s="35" t="n">
        <v>0.7430884873109512</v>
      </c>
      <c r="N301" s="35" t="n">
        <v>0.9014812715186482</v>
      </c>
      <c r="O301" s="35" t="n">
        <v>0.06616729088639195</v>
      </c>
      <c r="P301" s="35" t="n">
        <v>0.1927374301675977</v>
      </c>
      <c r="Q301" s="35" t="n">
        <v>0.1047865459249677</v>
      </c>
      <c r="R301" s="35" t="n">
        <v>0.08046558704453433</v>
      </c>
      <c r="S301" s="35" t="n">
        <v>-0.07708933717579247</v>
      </c>
      <c r="T301" s="35" t="n">
        <v>0.01865749530332095</v>
      </c>
      <c r="U301" s="30" t="n">
        <v>61400</v>
      </c>
      <c r="V301" s="30" t="n">
        <v>13990</v>
      </c>
      <c r="W301" s="35" t="n">
        <v>-0.3045602605863192</v>
      </c>
      <c r="X301" s="35" t="n">
        <v>2.052180128663331</v>
      </c>
      <c r="Y301" s="30" t="n">
        <v>20476584</v>
      </c>
      <c r="Z301" s="30" t="n">
        <v>874350136800</v>
      </c>
      <c r="AA301" s="30" t="n">
        <v>10360728000</v>
      </c>
      <c r="AB301" s="30" t="n">
        <v>13484819282.5</v>
      </c>
      <c r="AC301" s="35" t="n">
        <v>0.01184963273170955</v>
      </c>
      <c r="AD301" s="24" t="inlineStr">
        <is>
          <t>yfinance_download</t>
        </is>
      </c>
      <c r="AE301" s="24" t="inlineStr">
        <is>
          <t>317330.KQ</t>
        </is>
      </c>
    </row>
    <row r="302" ht="24" customHeight="1">
      <c r="A302" s="29" t="inlineStr">
        <is>
          <t>2024-08-28</t>
        </is>
      </c>
      <c r="B302" s="31" t="n">
        <v>42750</v>
      </c>
      <c r="C302" s="31" t="n">
        <v>43000</v>
      </c>
      <c r="D302" s="31" t="n">
        <v>40450</v>
      </c>
      <c r="E302" s="31" t="n">
        <v>42500</v>
      </c>
      <c r="F302" s="31" t="n">
        <v>42500</v>
      </c>
      <c r="G302" s="31" t="n">
        <v>317539</v>
      </c>
      <c r="H302" s="36" t="n">
        <v>-0.004683840749414525</v>
      </c>
      <c r="I302" s="36" t="n">
        <v>-0.3078175895765473</v>
      </c>
      <c r="J302" s="31" t="n">
        <v>39662.5</v>
      </c>
      <c r="K302" s="31" t="n">
        <v>46385</v>
      </c>
      <c r="L302" s="31" t="n">
        <v>41958.75</v>
      </c>
      <c r="M302" s="36" t="n">
        <v>0.741975560474548</v>
      </c>
      <c r="N302" s="36" t="n">
        <v>0.9010987170918316</v>
      </c>
      <c r="O302" s="36" t="n">
        <v>0.07187894073139978</v>
      </c>
      <c r="P302" s="36" t="n">
        <v>0.2005649717514124</v>
      </c>
      <c r="Q302" s="36" t="n">
        <v>0.1303191489361701</v>
      </c>
      <c r="R302" s="36" t="n">
        <v>0.07154112826977621</v>
      </c>
      <c r="S302" s="36" t="n">
        <v>-0.08375552441522038</v>
      </c>
      <c r="T302" s="36" t="n">
        <v>0.01289957398635555</v>
      </c>
      <c r="U302" s="31" t="n">
        <v>61400</v>
      </c>
      <c r="V302" s="31" t="n">
        <v>13990</v>
      </c>
      <c r="W302" s="36" t="n">
        <v>-0.3078175895765473</v>
      </c>
      <c r="X302" s="36" t="n">
        <v>2.037884203002144</v>
      </c>
      <c r="Y302" s="31" t="n">
        <v>20476584</v>
      </c>
      <c r="Z302" s="31" t="n">
        <v>870254820000</v>
      </c>
      <c r="AA302" s="31" t="n">
        <v>13495407500</v>
      </c>
      <c r="AB302" s="31" t="n">
        <v>13436310217.5</v>
      </c>
      <c r="AC302" s="36" t="n">
        <v>0.015507420573666</v>
      </c>
      <c r="AD302" s="29" t="inlineStr">
        <is>
          <t>yfinance_download</t>
        </is>
      </c>
      <c r="AE302" s="29" t="inlineStr">
        <is>
          <t>317330.KQ</t>
        </is>
      </c>
    </row>
    <row r="303" ht="24" customHeight="1">
      <c r="A303" s="24" t="inlineStr">
        <is>
          <t>2024-08-29</t>
        </is>
      </c>
      <c r="B303" s="30" t="n">
        <v>42550</v>
      </c>
      <c r="C303" s="30" t="n">
        <v>46400</v>
      </c>
      <c r="D303" s="30" t="n">
        <v>42200</v>
      </c>
      <c r="E303" s="30" t="n">
        <v>45450</v>
      </c>
      <c r="F303" s="30" t="n">
        <v>45450</v>
      </c>
      <c r="G303" s="30" t="n">
        <v>593694</v>
      </c>
      <c r="H303" s="35" t="n">
        <v>0.06941176470588228</v>
      </c>
      <c r="I303" s="35" t="n">
        <v>-0.259771986970684</v>
      </c>
      <c r="J303" s="30" t="n">
        <v>39907.5</v>
      </c>
      <c r="K303" s="30" t="n">
        <v>46503.33333333334</v>
      </c>
      <c r="L303" s="30" t="n">
        <v>42046.25</v>
      </c>
      <c r="M303" s="35" t="n">
        <v>0.7749305644589531</v>
      </c>
      <c r="N303" s="35" t="n">
        <v>0.8963400818345234</v>
      </c>
      <c r="O303" s="35" t="n">
        <v>0.1208384710234278</v>
      </c>
      <c r="P303" s="35" t="n">
        <v>0.1851368970013039</v>
      </c>
      <c r="Q303" s="35" t="n">
        <v>0.3004291845493563</v>
      </c>
      <c r="R303" s="35" t="n">
        <v>0.1388836684833679</v>
      </c>
      <c r="S303" s="35" t="n">
        <v>-0.02265070604257768</v>
      </c>
      <c r="T303" s="35" t="n">
        <v>0.08095252251984419</v>
      </c>
      <c r="U303" s="30" t="n">
        <v>61400</v>
      </c>
      <c r="V303" s="30" t="n">
        <v>13990</v>
      </c>
      <c r="W303" s="35" t="n">
        <v>-0.259771986970684</v>
      </c>
      <c r="X303" s="35" t="n">
        <v>2.248749106504646</v>
      </c>
      <c r="Y303" s="30" t="n">
        <v>20476584</v>
      </c>
      <c r="Z303" s="30" t="n">
        <v>930660742800</v>
      </c>
      <c r="AA303" s="30" t="n">
        <v>26983392300</v>
      </c>
      <c r="AB303" s="30" t="n">
        <v>14407691702.5</v>
      </c>
      <c r="AC303" s="35" t="n">
        <v>0.02899380091913768</v>
      </c>
      <c r="AD303" s="24" t="inlineStr">
        <is>
          <t>yfinance_download</t>
        </is>
      </c>
      <c r="AE303" s="24" t="inlineStr">
        <is>
          <t>317330.KQ</t>
        </is>
      </c>
    </row>
    <row r="304" ht="24" customHeight="1">
      <c r="A304" s="29" t="inlineStr">
        <is>
          <t>2024-08-30</t>
        </is>
      </c>
      <c r="B304" s="31" t="n">
        <v>45000</v>
      </c>
      <c r="C304" s="31" t="n">
        <v>47300</v>
      </c>
      <c r="D304" s="31" t="n">
        <v>42750</v>
      </c>
      <c r="E304" s="31" t="n">
        <v>46350</v>
      </c>
      <c r="F304" s="31" t="n">
        <v>46350</v>
      </c>
      <c r="G304" s="31" t="n">
        <v>971562</v>
      </c>
      <c r="H304" s="36" t="n">
        <v>0.01980198019801982</v>
      </c>
      <c r="I304" s="36" t="n">
        <v>-0.245114006514658</v>
      </c>
      <c r="J304" s="31" t="n">
        <v>40132.5</v>
      </c>
      <c r="K304" s="31" t="n">
        <v>46624.16666666666</v>
      </c>
      <c r="L304" s="31" t="n">
        <v>42153.75</v>
      </c>
      <c r="M304" s="36" t="n">
        <v>0.7708591326566995</v>
      </c>
      <c r="N304" s="36" t="n">
        <v>0.8963580147043202</v>
      </c>
      <c r="O304" s="36" t="n">
        <v>0.10752688172043</v>
      </c>
      <c r="P304" s="36" t="n">
        <v>0.1854219948849105</v>
      </c>
      <c r="Q304" s="36" t="n">
        <v>0.3856502242152466</v>
      </c>
      <c r="R304" s="36" t="n">
        <v>0.1549243132124836</v>
      </c>
      <c r="S304" s="36" t="n">
        <v>-0.005880355323598208</v>
      </c>
      <c r="T304" s="36" t="n">
        <v>0.09954630370963446</v>
      </c>
      <c r="U304" s="31" t="n">
        <v>61400</v>
      </c>
      <c r="V304" s="31" t="n">
        <v>13990</v>
      </c>
      <c r="W304" s="36" t="n">
        <v>-0.245114006514658</v>
      </c>
      <c r="X304" s="36" t="n">
        <v>2.313080771979986</v>
      </c>
      <c r="Y304" s="31" t="n">
        <v>20476584</v>
      </c>
      <c r="Z304" s="31" t="n">
        <v>949089668400</v>
      </c>
      <c r="AA304" s="31" t="n">
        <v>45031898700</v>
      </c>
      <c r="AB304" s="31" t="n">
        <v>16087414757.5</v>
      </c>
      <c r="AC304" s="36" t="n">
        <v>0.04744746487011701</v>
      </c>
      <c r="AD304" s="29" t="inlineStr">
        <is>
          <t>yfinance_download</t>
        </is>
      </c>
      <c r="AE304" s="29" t="inlineStr">
        <is>
          <t>317330.KQ</t>
        </is>
      </c>
    </row>
    <row r="305" ht="24" customHeight="1">
      <c r="A305" s="24" t="inlineStr">
        <is>
          <t>2024-09-02</t>
        </is>
      </c>
      <c r="B305" s="30" t="n">
        <v>46300</v>
      </c>
      <c r="C305" s="30" t="n">
        <v>46800</v>
      </c>
      <c r="D305" s="30" t="n">
        <v>43500</v>
      </c>
      <c r="E305" s="30" t="n">
        <v>45850</v>
      </c>
      <c r="F305" s="30" t="n">
        <v>45850</v>
      </c>
      <c r="G305" s="30" t="n">
        <v>329321</v>
      </c>
      <c r="H305" s="35" t="n">
        <v>-0.01078748651564188</v>
      </c>
      <c r="I305" s="35" t="n">
        <v>-0.253257328990228</v>
      </c>
      <c r="J305" s="30" t="n">
        <v>40440</v>
      </c>
      <c r="K305" s="30" t="n">
        <v>46700</v>
      </c>
      <c r="L305" s="30" t="n">
        <v>42265</v>
      </c>
      <c r="M305" s="35" t="n">
        <v>0.7435871883555834</v>
      </c>
      <c r="N305" s="35" t="n">
        <v>0.8902792023222594</v>
      </c>
      <c r="O305" s="35" t="n">
        <v>0.1549118387909321</v>
      </c>
      <c r="P305" s="35" t="n">
        <v>0.1101694915254237</v>
      </c>
      <c r="Q305" s="35" t="n">
        <v>0.4107692307692308</v>
      </c>
      <c r="R305" s="35" t="n">
        <v>0.1337784371909001</v>
      </c>
      <c r="S305" s="35" t="n">
        <v>-0.0182012847965739</v>
      </c>
      <c r="T305" s="35" t="n">
        <v>0.08482195670176274</v>
      </c>
      <c r="U305" s="30" t="n">
        <v>61400</v>
      </c>
      <c r="V305" s="30" t="n">
        <v>13990</v>
      </c>
      <c r="W305" s="35" t="n">
        <v>-0.253257328990228</v>
      </c>
      <c r="X305" s="35" t="n">
        <v>2.277340957827019</v>
      </c>
      <c r="Y305" s="30" t="n">
        <v>20476584</v>
      </c>
      <c r="Z305" s="30" t="n">
        <v>938851376400</v>
      </c>
      <c r="AA305" s="30" t="n">
        <v>15099367850</v>
      </c>
      <c r="AB305" s="30" t="n">
        <v>16333697125</v>
      </c>
      <c r="AC305" s="35" t="n">
        <v>0.0160828095154934</v>
      </c>
      <c r="AD305" s="24" t="inlineStr">
        <is>
          <t>yfinance_download</t>
        </is>
      </c>
      <c r="AE305" s="24" t="inlineStr">
        <is>
          <t>317330.KQ</t>
        </is>
      </c>
    </row>
    <row r="306" ht="24" customHeight="1">
      <c r="A306" s="29" t="inlineStr">
        <is>
          <t>2024-09-03</t>
        </is>
      </c>
      <c r="B306" s="31" t="n">
        <v>45850</v>
      </c>
      <c r="C306" s="31" t="n">
        <v>46700</v>
      </c>
      <c r="D306" s="31" t="n">
        <v>44950</v>
      </c>
      <c r="E306" s="31" t="n">
        <v>44950</v>
      </c>
      <c r="F306" s="31" t="n">
        <v>44950</v>
      </c>
      <c r="G306" s="31" t="n">
        <v>116459</v>
      </c>
      <c r="H306" s="36" t="n">
        <v>-0.01962922573609593</v>
      </c>
      <c r="I306" s="36" t="n">
        <v>-0.2679153094462541</v>
      </c>
      <c r="J306" s="31" t="n">
        <v>40947.5</v>
      </c>
      <c r="K306" s="31" t="n">
        <v>46599.16666666666</v>
      </c>
      <c r="L306" s="31" t="n">
        <v>42367.91666666666</v>
      </c>
      <c r="M306" s="36" t="n">
        <v>0.5709587393399467</v>
      </c>
      <c r="N306" s="36" t="n">
        <v>0.7490145748310066</v>
      </c>
      <c r="O306" s="36" t="n">
        <v>0.2916666666666667</v>
      </c>
      <c r="P306" s="36" t="n">
        <v>-0.1186274509803922</v>
      </c>
      <c r="Q306" s="36" t="n">
        <v>0.3788343558282208</v>
      </c>
      <c r="R306" s="36" t="n">
        <v>0.09774711520849877</v>
      </c>
      <c r="S306" s="36" t="n">
        <v>-0.03539047550921859</v>
      </c>
      <c r="T306" s="36" t="n">
        <v>0.06094430730800626</v>
      </c>
      <c r="U306" s="31" t="n">
        <v>61400</v>
      </c>
      <c r="V306" s="31" t="n">
        <v>13990</v>
      </c>
      <c r="W306" s="36" t="n">
        <v>-0.2679153094462541</v>
      </c>
      <c r="X306" s="36" t="n">
        <v>2.21300929235168</v>
      </c>
      <c r="Y306" s="31" t="n">
        <v>20476584</v>
      </c>
      <c r="Z306" s="31" t="n">
        <v>920422450800</v>
      </c>
      <c r="AA306" s="31" t="n">
        <v>5234832050</v>
      </c>
      <c r="AB306" s="31" t="n">
        <v>15515605167.5</v>
      </c>
      <c r="AC306" s="36" t="n">
        <v>0.005687423253800537</v>
      </c>
      <c r="AD306" s="29" t="inlineStr">
        <is>
          <t>yfinance_download</t>
        </is>
      </c>
      <c r="AE306" s="29" t="inlineStr">
        <is>
          <t>317330.KQ</t>
        </is>
      </c>
    </row>
    <row r="307" ht="24" customHeight="1">
      <c r="A307" s="24" t="inlineStr">
        <is>
          <t>2024-09-04</t>
        </is>
      </c>
      <c r="B307" s="30" t="n">
        <v>42350</v>
      </c>
      <c r="C307" s="30" t="n">
        <v>44000</v>
      </c>
      <c r="D307" s="30" t="n">
        <v>41400</v>
      </c>
      <c r="E307" s="30" t="n">
        <v>41750</v>
      </c>
      <c r="F307" s="30" t="n">
        <v>41750</v>
      </c>
      <c r="G307" s="30" t="n">
        <v>228995</v>
      </c>
      <c r="H307" s="35" t="n">
        <v>-0.07119021134593995</v>
      </c>
      <c r="I307" s="35" t="n">
        <v>-0.3200325732899023</v>
      </c>
      <c r="J307" s="30" t="n">
        <v>41195</v>
      </c>
      <c r="K307" s="30" t="n">
        <v>46423.33333333334</v>
      </c>
      <c r="L307" s="30" t="n">
        <v>42441.66666666666</v>
      </c>
      <c r="M307" s="35" t="n">
        <v>0.6200450485002827</v>
      </c>
      <c r="N307" s="35" t="n">
        <v>0.7605161855966934</v>
      </c>
      <c r="O307" s="35" t="n">
        <v>0.1345108695652173</v>
      </c>
      <c r="P307" s="35" t="n">
        <v>-0.2017208413001912</v>
      </c>
      <c r="Q307" s="35" t="n">
        <v>0.2689969604863223</v>
      </c>
      <c r="R307" s="35" t="n">
        <v>0.0134725087996117</v>
      </c>
      <c r="S307" s="35" t="n">
        <v>-0.1006677676455806</v>
      </c>
      <c r="T307" s="35" t="n">
        <v>-0.01629687806793634</v>
      </c>
      <c r="U307" s="30" t="n">
        <v>61400</v>
      </c>
      <c r="V307" s="30" t="n">
        <v>13990</v>
      </c>
      <c r="W307" s="35" t="n">
        <v>-0.3200325732899023</v>
      </c>
      <c r="X307" s="35" t="n">
        <v>1.984274481772695</v>
      </c>
      <c r="Y307" s="30" t="n">
        <v>20476584</v>
      </c>
      <c r="Z307" s="30" t="n">
        <v>854897382000</v>
      </c>
      <c r="AA307" s="30" t="n">
        <v>9560541250</v>
      </c>
      <c r="AB307" s="30" t="n">
        <v>15281616630</v>
      </c>
      <c r="AC307" s="35" t="n">
        <v>0.01118326181749847</v>
      </c>
      <c r="AD307" s="24" t="inlineStr">
        <is>
          <t>yfinance_download</t>
        </is>
      </c>
      <c r="AE307" s="24" t="inlineStr">
        <is>
          <t>317330.KQ</t>
        </is>
      </c>
    </row>
    <row r="308" ht="24" customHeight="1">
      <c r="A308" s="29" t="inlineStr">
        <is>
          <t>2024-09-05</t>
        </is>
      </c>
      <c r="B308" s="31" t="n">
        <v>42500</v>
      </c>
      <c r="C308" s="31" t="n">
        <v>44250</v>
      </c>
      <c r="D308" s="31" t="n">
        <v>41350</v>
      </c>
      <c r="E308" s="31" t="n">
        <v>41850</v>
      </c>
      <c r="F308" s="31" t="n">
        <v>41850</v>
      </c>
      <c r="G308" s="31" t="n">
        <v>168292</v>
      </c>
      <c r="H308" s="36" t="n">
        <v>0.002395209580838387</v>
      </c>
      <c r="I308" s="36" t="n">
        <v>-0.3184039087947883</v>
      </c>
      <c r="J308" s="31" t="n">
        <v>41380</v>
      </c>
      <c r="K308" s="31" t="n">
        <v>46282.5</v>
      </c>
      <c r="L308" s="31" t="n">
        <v>42522.08333333334</v>
      </c>
      <c r="M308" s="36" t="n">
        <v>0.610179343803999</v>
      </c>
      <c r="N308" s="36" t="n">
        <v>0.756941108389924</v>
      </c>
      <c r="O308" s="36" t="n">
        <v>0.09698558322411532</v>
      </c>
      <c r="P308" s="36" t="n">
        <v>-0.1679920477137177</v>
      </c>
      <c r="Q308" s="36" t="n">
        <v>0.2996894409937889</v>
      </c>
      <c r="R308" s="36" t="n">
        <v>0.01135814403093272</v>
      </c>
      <c r="S308" s="36" t="n">
        <v>-0.09577053962080695</v>
      </c>
      <c r="T308" s="36" t="n">
        <v>-0.01580551282176912</v>
      </c>
      <c r="U308" s="31" t="n">
        <v>61400</v>
      </c>
      <c r="V308" s="31" t="n">
        <v>13990</v>
      </c>
      <c r="W308" s="36" t="n">
        <v>-0.3184039087947883</v>
      </c>
      <c r="X308" s="36" t="n">
        <v>1.991422444603288</v>
      </c>
      <c r="Y308" s="31" t="n">
        <v>20476584</v>
      </c>
      <c r="Z308" s="31" t="n">
        <v>856945040400</v>
      </c>
      <c r="AA308" s="31" t="n">
        <v>7043020200</v>
      </c>
      <c r="AB308" s="31" t="n">
        <v>15284344160</v>
      </c>
      <c r="AC308" s="36" t="n">
        <v>0.008218753674929373</v>
      </c>
      <c r="AD308" s="29" t="inlineStr">
        <is>
          <t>yfinance_download</t>
        </is>
      </c>
      <c r="AE308" s="29" t="inlineStr">
        <is>
          <t>317330.KQ</t>
        </is>
      </c>
    </row>
    <row r="309" ht="24" customHeight="1">
      <c r="A309" s="24" t="inlineStr">
        <is>
          <t>2024-09-06</t>
        </is>
      </c>
      <c r="B309" s="30" t="n">
        <v>41050</v>
      </c>
      <c r="C309" s="30" t="n">
        <v>42050</v>
      </c>
      <c r="D309" s="30" t="n">
        <v>39000</v>
      </c>
      <c r="E309" s="30" t="n">
        <v>39250</v>
      </c>
      <c r="F309" s="30" t="n">
        <v>39250</v>
      </c>
      <c r="G309" s="30" t="n">
        <v>280312</v>
      </c>
      <c r="H309" s="35" t="n">
        <v>-0.06212664277180402</v>
      </c>
      <c r="I309" s="35" t="n">
        <v>-0.3607491856677525</v>
      </c>
      <c r="J309" s="30" t="n">
        <v>41510</v>
      </c>
      <c r="K309" s="30" t="n">
        <v>45975</v>
      </c>
      <c r="L309" s="30" t="n">
        <v>42590.41666666666</v>
      </c>
      <c r="M309" s="35" t="n">
        <v>0.6370966232808977</v>
      </c>
      <c r="N309" s="35" t="n">
        <v>0.7002778845618342</v>
      </c>
      <c r="O309" s="35" t="n">
        <v>0.07094133697135052</v>
      </c>
      <c r="P309" s="35" t="n">
        <v>-0.3197573656845754</v>
      </c>
      <c r="Q309" s="35" t="n">
        <v>0.2640901771336555</v>
      </c>
      <c r="R309" s="35" t="n">
        <v>-0.05444471211756208</v>
      </c>
      <c r="S309" s="35" t="n">
        <v>-0.1462751495377923</v>
      </c>
      <c r="T309" s="35" t="n">
        <v>-0.07843118072336297</v>
      </c>
      <c r="U309" s="30" t="n">
        <v>61400</v>
      </c>
      <c r="V309" s="30" t="n">
        <v>13990</v>
      </c>
      <c r="W309" s="35" t="n">
        <v>-0.3607491856677525</v>
      </c>
      <c r="X309" s="35" t="n">
        <v>1.805575411007863</v>
      </c>
      <c r="Y309" s="30" t="n">
        <v>20476584</v>
      </c>
      <c r="Z309" s="30" t="n">
        <v>803705922000</v>
      </c>
      <c r="AA309" s="30" t="n">
        <v>11002246000</v>
      </c>
      <c r="AB309" s="30" t="n">
        <v>15535425445</v>
      </c>
      <c r="AC309" s="35" t="n">
        <v>0.01368939272292683</v>
      </c>
      <c r="AD309" s="24" t="inlineStr">
        <is>
          <t>yfinance_download</t>
        </is>
      </c>
      <c r="AE309" s="24" t="inlineStr">
        <is>
          <t>317330.KQ</t>
        </is>
      </c>
    </row>
    <row r="310" ht="24" customHeight="1">
      <c r="A310" s="29" t="inlineStr">
        <is>
          <t>2024-09-09</t>
        </is>
      </c>
      <c r="B310" s="31" t="n">
        <v>37950</v>
      </c>
      <c r="C310" s="31" t="n">
        <v>39850</v>
      </c>
      <c r="D310" s="31" t="n">
        <v>37050</v>
      </c>
      <c r="E310" s="31" t="n">
        <v>38350</v>
      </c>
      <c r="F310" s="31" t="n">
        <v>38350</v>
      </c>
      <c r="G310" s="31" t="n">
        <v>175671</v>
      </c>
      <c r="H310" s="36" t="n">
        <v>-0.02292993630573248</v>
      </c>
      <c r="I310" s="36" t="n">
        <v>-0.3754071661237784</v>
      </c>
      <c r="J310" s="31" t="n">
        <v>41540</v>
      </c>
      <c r="K310" s="31" t="n">
        <v>45662.5</v>
      </c>
      <c r="L310" s="31" t="n">
        <v>42638.33333333334</v>
      </c>
      <c r="M310" s="36" t="n">
        <v>0.6363613639995988</v>
      </c>
      <c r="N310" s="36" t="n">
        <v>0.7011270260212165</v>
      </c>
      <c r="O310" s="36" t="n">
        <v>0.01589403973509929</v>
      </c>
      <c r="P310" s="36" t="n">
        <v>-0.3283712784588442</v>
      </c>
      <c r="Q310" s="36" t="n">
        <v>0.1763803680981595</v>
      </c>
      <c r="R310" s="36" t="n">
        <v>-0.07679345209436683</v>
      </c>
      <c r="S310" s="36" t="n">
        <v>-0.1601423487544484</v>
      </c>
      <c r="T310" s="36" t="n">
        <v>-0.1005746003205255</v>
      </c>
      <c r="U310" s="31" t="n">
        <v>61400</v>
      </c>
      <c r="V310" s="31" t="n">
        <v>13990</v>
      </c>
      <c r="W310" s="36" t="n">
        <v>-0.3754071661237784</v>
      </c>
      <c r="X310" s="36" t="n">
        <v>1.741243745532523</v>
      </c>
      <c r="Y310" s="31" t="n">
        <v>20476584</v>
      </c>
      <c r="Z310" s="31" t="n">
        <v>785276996400</v>
      </c>
      <c r="AA310" s="31" t="n">
        <v>6736982850</v>
      </c>
      <c r="AB310" s="31" t="n">
        <v>15618517200</v>
      </c>
      <c r="AC310" s="36" t="n">
        <v>0.008579116516700246</v>
      </c>
      <c r="AD310" s="29" t="inlineStr">
        <is>
          <t>yfinance_download</t>
        </is>
      </c>
      <c r="AE310" s="29" t="inlineStr">
        <is>
          <t>317330.KQ</t>
        </is>
      </c>
    </row>
    <row r="311" ht="24" customHeight="1">
      <c r="A311" s="24" t="inlineStr">
        <is>
          <t>2024-09-10</t>
        </is>
      </c>
      <c r="B311" s="30" t="n">
        <v>38800</v>
      </c>
      <c r="C311" s="30" t="n">
        <v>39950</v>
      </c>
      <c r="D311" s="30" t="n">
        <v>37850</v>
      </c>
      <c r="E311" s="30" t="n">
        <v>38200</v>
      </c>
      <c r="F311" s="30" t="n">
        <v>38200</v>
      </c>
      <c r="G311" s="30" t="n">
        <v>89570</v>
      </c>
      <c r="H311" s="35" t="n">
        <v>-0.003911342894393766</v>
      </c>
      <c r="I311" s="35" t="n">
        <v>-0.3778501628664495</v>
      </c>
      <c r="J311" s="30" t="n">
        <v>41512.5</v>
      </c>
      <c r="K311" s="30" t="n">
        <v>45394.16666666666</v>
      </c>
      <c r="L311" s="30" t="n">
        <v>42669.16666666666</v>
      </c>
      <c r="M311" s="35" t="n">
        <v>0.6296744674542913</v>
      </c>
      <c r="N311" s="35" t="n">
        <v>0.6952753221636727</v>
      </c>
      <c r="O311" s="35" t="n">
        <v>-0.01419354838709674</v>
      </c>
      <c r="P311" s="35" t="n">
        <v>-0.2965009208103131</v>
      </c>
      <c r="Q311" s="35" t="n">
        <v>0.1072463768115941</v>
      </c>
      <c r="R311" s="35" t="n">
        <v>-0.07979524239686842</v>
      </c>
      <c r="S311" s="35" t="n">
        <v>-0.158482183834193</v>
      </c>
      <c r="T311" s="35" t="n">
        <v>-0.1047399566431654</v>
      </c>
      <c r="U311" s="30" t="n">
        <v>61400</v>
      </c>
      <c r="V311" s="30" t="n">
        <v>13990</v>
      </c>
      <c r="W311" s="35" t="n">
        <v>-0.3778501628664495</v>
      </c>
      <c r="X311" s="35" t="n">
        <v>1.730521801286633</v>
      </c>
      <c r="Y311" s="30" t="n">
        <v>20476584</v>
      </c>
      <c r="Z311" s="30" t="n">
        <v>782205508800</v>
      </c>
      <c r="AA311" s="30" t="n">
        <v>3421574000</v>
      </c>
      <c r="AB311" s="30" t="n">
        <v>15469400775</v>
      </c>
      <c r="AC311" s="35" t="n">
        <v>0.00437426476994405</v>
      </c>
      <c r="AD311" s="24" t="inlineStr">
        <is>
          <t>yfinance_download</t>
        </is>
      </c>
      <c r="AE311" s="24" t="inlineStr">
        <is>
          <t>317330.KQ</t>
        </is>
      </c>
    </row>
    <row r="312" ht="24" customHeight="1">
      <c r="A312" s="29" t="inlineStr">
        <is>
          <t>2024-09-11</t>
        </is>
      </c>
      <c r="B312" s="31" t="n">
        <v>38050</v>
      </c>
      <c r="C312" s="31" t="n">
        <v>39650</v>
      </c>
      <c r="D312" s="31" t="n">
        <v>37700</v>
      </c>
      <c r="E312" s="31" t="n">
        <v>39200</v>
      </c>
      <c r="F312" s="31" t="n">
        <v>39200</v>
      </c>
      <c r="G312" s="31" t="n">
        <v>109223</v>
      </c>
      <c r="H312" s="36" t="n">
        <v>0.02617801047120416</v>
      </c>
      <c r="I312" s="36" t="n">
        <v>-0.3615635179153095</v>
      </c>
      <c r="J312" s="31" t="n">
        <v>41545</v>
      </c>
      <c r="K312" s="31" t="n">
        <v>45145.83333333334</v>
      </c>
      <c r="L312" s="31" t="n">
        <v>42708.33333333334</v>
      </c>
      <c r="M312" s="36" t="n">
        <v>0.6360410426910785</v>
      </c>
      <c r="N312" s="36" t="n">
        <v>0.6981857170142229</v>
      </c>
      <c r="O312" s="36" t="n">
        <v>0.01686121919584949</v>
      </c>
      <c r="P312" s="36" t="n">
        <v>-0.2754158964879853</v>
      </c>
      <c r="Q312" s="36" t="n">
        <v>0.136231884057971</v>
      </c>
      <c r="R312" s="36" t="n">
        <v>-0.05644481887110364</v>
      </c>
      <c r="S312" s="36" t="n">
        <v>-0.131702814951546</v>
      </c>
      <c r="T312" s="36" t="n">
        <v>-0.08214634146341471</v>
      </c>
      <c r="U312" s="31" t="n">
        <v>61400</v>
      </c>
      <c r="V312" s="31" t="n">
        <v>13990</v>
      </c>
      <c r="W312" s="36" t="n">
        <v>-0.3615635179153095</v>
      </c>
      <c r="X312" s="36" t="n">
        <v>1.802001429592566</v>
      </c>
      <c r="Y312" s="31" t="n">
        <v>20476584</v>
      </c>
      <c r="Z312" s="31" t="n">
        <v>802682092800</v>
      </c>
      <c r="AA312" s="31" t="n">
        <v>4281541600</v>
      </c>
      <c r="AB312" s="31" t="n">
        <v>15213466617.5</v>
      </c>
      <c r="AC312" s="36" t="n">
        <v>0.005334043998745103</v>
      </c>
      <c r="AD312" s="29" t="inlineStr">
        <is>
          <t>yfinance_download</t>
        </is>
      </c>
      <c r="AE312" s="29" t="inlineStr">
        <is>
          <t>317330.KQ</t>
        </is>
      </c>
    </row>
    <row r="313" ht="24" customHeight="1">
      <c r="A313" s="24" t="inlineStr">
        <is>
          <t>2024-09-12</t>
        </is>
      </c>
      <c r="B313" s="30" t="n">
        <v>39950</v>
      </c>
      <c r="C313" s="30" t="n">
        <v>41700</v>
      </c>
      <c r="D313" s="30" t="n">
        <v>39800</v>
      </c>
      <c r="E313" s="30" t="n">
        <v>40650</v>
      </c>
      <c r="F313" s="30" t="n">
        <v>40650</v>
      </c>
      <c r="G313" s="30" t="n">
        <v>130990</v>
      </c>
      <c r="H313" s="35" t="n">
        <v>0.03698979591836737</v>
      </c>
      <c r="I313" s="35" t="n">
        <v>-0.3379478827361564</v>
      </c>
      <c r="J313" s="30" t="n">
        <v>41582.5</v>
      </c>
      <c r="K313" s="30" t="n">
        <v>44803.33333333334</v>
      </c>
      <c r="L313" s="30" t="n">
        <v>42755.41666666666</v>
      </c>
      <c r="M313" s="35" t="n">
        <v>0.6374510980256739</v>
      </c>
      <c r="N313" s="35" t="n">
        <v>0.6446438253180075</v>
      </c>
      <c r="O313" s="35" t="n">
        <v>0.01879699248120303</v>
      </c>
      <c r="P313" s="35" t="n">
        <v>-0.3357843137254902</v>
      </c>
      <c r="Q313" s="35" t="n">
        <v>0.1614285714285715</v>
      </c>
      <c r="R313" s="35" t="n">
        <v>-0.02242529910419044</v>
      </c>
      <c r="S313" s="35" t="n">
        <v>-0.09270143590506663</v>
      </c>
      <c r="T313" s="35" t="n">
        <v>-0.04924327326946876</v>
      </c>
      <c r="U313" s="30" t="n">
        <v>61400</v>
      </c>
      <c r="V313" s="30" t="n">
        <v>13990</v>
      </c>
      <c r="W313" s="35" t="n">
        <v>-0.3379478827361564</v>
      </c>
      <c r="X313" s="35" t="n">
        <v>1.905646890636169</v>
      </c>
      <c r="Y313" s="30" t="n">
        <v>20476584</v>
      </c>
      <c r="Z313" s="30" t="n">
        <v>832373139600</v>
      </c>
      <c r="AA313" s="30" t="n">
        <v>5324743500</v>
      </c>
      <c r="AB313" s="30" t="n">
        <v>15016271277.5</v>
      </c>
      <c r="AC313" s="35" t="n">
        <v>0.006397063103884906</v>
      </c>
      <c r="AD313" s="24" t="inlineStr">
        <is>
          <t>yfinance_download</t>
        </is>
      </c>
      <c r="AE313" s="24" t="inlineStr">
        <is>
          <t>317330.KQ</t>
        </is>
      </c>
    </row>
    <row r="314" ht="24" customHeight="1">
      <c r="A314" s="29" t="inlineStr">
        <is>
          <t>2024-09-13</t>
        </is>
      </c>
      <c r="B314" s="31" t="n">
        <v>41350</v>
      </c>
      <c r="C314" s="31" t="n">
        <v>41350</v>
      </c>
      <c r="D314" s="31" t="n">
        <v>40100</v>
      </c>
      <c r="E314" s="31" t="n">
        <v>40700</v>
      </c>
      <c r="F314" s="31" t="n">
        <v>40700</v>
      </c>
      <c r="G314" s="31" t="n">
        <v>77447</v>
      </c>
      <c r="H314" s="36" t="n">
        <v>0.001230012300122985</v>
      </c>
      <c r="I314" s="36" t="n">
        <v>-0.3371335504885994</v>
      </c>
      <c r="J314" s="31" t="n">
        <v>41555</v>
      </c>
      <c r="K314" s="31" t="n">
        <v>44501.66666666666</v>
      </c>
      <c r="L314" s="31" t="n">
        <v>42790.41666666666</v>
      </c>
      <c r="M314" s="36" t="n">
        <v>0.626053734162778</v>
      </c>
      <c r="N314" s="36" t="n">
        <v>0.6410545280022872</v>
      </c>
      <c r="O314" s="36" t="n">
        <v>-0.01333333333333331</v>
      </c>
      <c r="P314" s="36" t="n">
        <v>-0.3078231292517006</v>
      </c>
      <c r="Q314" s="36" t="n">
        <v>0.1150684931506849</v>
      </c>
      <c r="R314" s="36" t="n">
        <v>-0.02057514137889549</v>
      </c>
      <c r="S314" s="36" t="n">
        <v>-0.08542751207819932</v>
      </c>
      <c r="T314" s="36" t="n">
        <v>-0.04885244943863987</v>
      </c>
      <c r="U314" s="31" t="n">
        <v>61400</v>
      </c>
      <c r="V314" s="31" t="n">
        <v>13990</v>
      </c>
      <c r="W314" s="36" t="n">
        <v>-0.3371335504885994</v>
      </c>
      <c r="X314" s="36" t="n">
        <v>1.909220872051465</v>
      </c>
      <c r="Y314" s="31" t="n">
        <v>20476584</v>
      </c>
      <c r="Z314" s="31" t="n">
        <v>833396968800</v>
      </c>
      <c r="AA314" s="31" t="n">
        <v>3152092900</v>
      </c>
      <c r="AB314" s="31" t="n">
        <v>14414312860</v>
      </c>
      <c r="AC314" s="36" t="n">
        <v>0.003782222659795208</v>
      </c>
      <c r="AD314" s="29" t="inlineStr">
        <is>
          <t>yfinance_download</t>
        </is>
      </c>
      <c r="AE314" s="29" t="inlineStr">
        <is>
          <t>317330.KQ</t>
        </is>
      </c>
    </row>
    <row r="315" ht="24" customHeight="1">
      <c r="A315" s="24" t="inlineStr">
        <is>
          <t>2024-09-19</t>
        </is>
      </c>
      <c r="B315" s="30" t="n">
        <v>40800</v>
      </c>
      <c r="C315" s="30" t="n">
        <v>41000</v>
      </c>
      <c r="D315" s="30" t="n">
        <v>39200</v>
      </c>
      <c r="E315" s="30" t="n">
        <v>40500</v>
      </c>
      <c r="F315" s="30" t="n">
        <v>40500</v>
      </c>
      <c r="G315" s="30" t="n">
        <v>121906</v>
      </c>
      <c r="H315" s="35" t="n">
        <v>-0.004914004914004955</v>
      </c>
      <c r="I315" s="35" t="n">
        <v>-0.3403908794788274</v>
      </c>
      <c r="J315" s="30" t="n">
        <v>41625</v>
      </c>
      <c r="K315" s="30" t="n">
        <v>44153.33333333334</v>
      </c>
      <c r="L315" s="30" t="n">
        <v>42829.58333333334</v>
      </c>
      <c r="M315" s="35" t="n">
        <v>0.5955427313116198</v>
      </c>
      <c r="N315" s="35" t="n">
        <v>0.6326982798920002</v>
      </c>
      <c r="O315" s="35" t="n">
        <v>0.03580562659846542</v>
      </c>
      <c r="P315" s="35" t="n">
        <v>-0.3403908794788274</v>
      </c>
      <c r="Q315" s="35" t="n">
        <v>0.1312849162011174</v>
      </c>
      <c r="R315" s="35" t="n">
        <v>-0.02702702702702697</v>
      </c>
      <c r="S315" s="35" t="n">
        <v>-0.082741959836932</v>
      </c>
      <c r="T315" s="35" t="n">
        <v>-0.05439192147172422</v>
      </c>
      <c r="U315" s="30" t="n">
        <v>61400</v>
      </c>
      <c r="V315" s="30" t="n">
        <v>13990</v>
      </c>
      <c r="W315" s="35" t="n">
        <v>-0.3403908794788274</v>
      </c>
      <c r="X315" s="35" t="n">
        <v>1.894924946390279</v>
      </c>
      <c r="Y315" s="30" t="n">
        <v>20476584</v>
      </c>
      <c r="Z315" s="30" t="n">
        <v>829301652000</v>
      </c>
      <c r="AA315" s="30" t="n">
        <v>4937193000</v>
      </c>
      <c r="AB315" s="30" t="n">
        <v>14246174885</v>
      </c>
      <c r="AC315" s="35" t="n">
        <v>0.005953434420506858</v>
      </c>
      <c r="AD315" s="24" t="inlineStr">
        <is>
          <t>yfinance_download</t>
        </is>
      </c>
      <c r="AE315" s="24" t="inlineStr">
        <is>
          <t>317330.KQ</t>
        </is>
      </c>
    </row>
    <row r="316" ht="24" customHeight="1">
      <c r="A316" s="29" t="inlineStr">
        <is>
          <t>2024-09-20</t>
        </is>
      </c>
      <c r="B316" s="31" t="n">
        <v>40700</v>
      </c>
      <c r="C316" s="31" t="n">
        <v>43550</v>
      </c>
      <c r="D316" s="31" t="n">
        <v>40400</v>
      </c>
      <c r="E316" s="31" t="n">
        <v>42500</v>
      </c>
      <c r="F316" s="31" t="n">
        <v>42500</v>
      </c>
      <c r="G316" s="31" t="n">
        <v>291193</v>
      </c>
      <c r="H316" s="36" t="n">
        <v>0.04938271604938271</v>
      </c>
      <c r="I316" s="36" t="n">
        <v>-0.3078175895765473</v>
      </c>
      <c r="J316" s="31" t="n">
        <v>41730</v>
      </c>
      <c r="K316" s="31" t="n">
        <v>43900</v>
      </c>
      <c r="L316" s="31" t="n">
        <v>42847.91666666666</v>
      </c>
      <c r="M316" s="36" t="n">
        <v>0.6092145793870904</v>
      </c>
      <c r="N316" s="36" t="n">
        <v>0.6325245877169469</v>
      </c>
      <c r="O316" s="36" t="n">
        <v>0.05198019801980203</v>
      </c>
      <c r="P316" s="36" t="n">
        <v>-0.2634315424610052</v>
      </c>
      <c r="Q316" s="36" t="n">
        <v>0.05459057071960305</v>
      </c>
      <c r="R316" s="36" t="n">
        <v>0.01845195303139224</v>
      </c>
      <c r="S316" s="36" t="n">
        <v>-0.03189066059225509</v>
      </c>
      <c r="T316" s="36" t="n">
        <v>-0.008119803568823802</v>
      </c>
      <c r="U316" s="31" t="n">
        <v>61400</v>
      </c>
      <c r="V316" s="31" t="n">
        <v>13990</v>
      </c>
      <c r="W316" s="36" t="n">
        <v>-0.3078175895765473</v>
      </c>
      <c r="X316" s="36" t="n">
        <v>2.037884203002144</v>
      </c>
      <c r="Y316" s="31" t="n">
        <v>20476584</v>
      </c>
      <c r="Z316" s="31" t="n">
        <v>870254820000</v>
      </c>
      <c r="AA316" s="31" t="n">
        <v>12375702500</v>
      </c>
      <c r="AB316" s="31" t="n">
        <v>14104129030</v>
      </c>
      <c r="AC316" s="36" t="n">
        <v>0.01422078018481989</v>
      </c>
      <c r="AD316" s="29" t="inlineStr">
        <is>
          <t>yfinance_download</t>
        </is>
      </c>
      <c r="AE316" s="29" t="inlineStr">
        <is>
          <t>317330.KQ</t>
        </is>
      </c>
    </row>
    <row r="317" ht="24" customHeight="1">
      <c r="A317" s="24" t="inlineStr">
        <is>
          <t>2024-09-23</t>
        </is>
      </c>
      <c r="B317" s="30" t="n">
        <v>42350</v>
      </c>
      <c r="C317" s="30" t="n">
        <v>44400</v>
      </c>
      <c r="D317" s="30" t="n">
        <v>41500</v>
      </c>
      <c r="E317" s="30" t="n">
        <v>43400</v>
      </c>
      <c r="F317" s="30" t="n">
        <v>43400</v>
      </c>
      <c r="G317" s="30" t="n">
        <v>142721</v>
      </c>
      <c r="H317" s="35" t="n">
        <v>0.02117647058823535</v>
      </c>
      <c r="I317" s="35" t="n">
        <v>-0.2931596091205212</v>
      </c>
      <c r="J317" s="30" t="n">
        <v>41952.5</v>
      </c>
      <c r="K317" s="30" t="n">
        <v>43723.33333333334</v>
      </c>
      <c r="L317" s="30" t="n">
        <v>42856.66666666666</v>
      </c>
      <c r="M317" s="35" t="n">
        <v>0.5940958739295437</v>
      </c>
      <c r="N317" s="35" t="n">
        <v>0.6221319447308813</v>
      </c>
      <c r="O317" s="35" t="n">
        <v>0.1142490372272145</v>
      </c>
      <c r="P317" s="35" t="n">
        <v>-0.1962962962962963</v>
      </c>
      <c r="Q317" s="35" t="n">
        <v>0.02479338842975198</v>
      </c>
      <c r="R317" s="35" t="n">
        <v>0.03450330731184081</v>
      </c>
      <c r="S317" s="35" t="n">
        <v>-0.007394983609056993</v>
      </c>
      <c r="T317" s="35" t="n">
        <v>0.01267791864354062</v>
      </c>
      <c r="U317" s="30" t="n">
        <v>61400</v>
      </c>
      <c r="V317" s="30" t="n">
        <v>13990</v>
      </c>
      <c r="W317" s="35" t="n">
        <v>-0.2931596091205212</v>
      </c>
      <c r="X317" s="35" t="n">
        <v>2.102215868477484</v>
      </c>
      <c r="Y317" s="30" t="n">
        <v>20476584</v>
      </c>
      <c r="Z317" s="30" t="n">
        <v>888683745600</v>
      </c>
      <c r="AA317" s="30" t="n">
        <v>6194091400</v>
      </c>
      <c r="AB317" s="30" t="n">
        <v>13544909735</v>
      </c>
      <c r="AC317" s="35" t="n">
        <v>0.006969961395904708</v>
      </c>
      <c r="AD317" s="24" t="inlineStr">
        <is>
          <t>yfinance_download</t>
        </is>
      </c>
      <c r="AE317" s="24" t="inlineStr">
        <is>
          <t>317330.KQ</t>
        </is>
      </c>
    </row>
    <row r="318" ht="24" customHeight="1">
      <c r="A318" s="29" t="inlineStr">
        <is>
          <t>2024-09-24</t>
        </is>
      </c>
      <c r="B318" s="31" t="n">
        <v>43400</v>
      </c>
      <c r="C318" s="31" t="n">
        <v>45550</v>
      </c>
      <c r="D318" s="31" t="n">
        <v>43200</v>
      </c>
      <c r="E318" s="31" t="n">
        <v>44450</v>
      </c>
      <c r="F318" s="31" t="n">
        <v>44450</v>
      </c>
      <c r="G318" s="31" t="n">
        <v>154610</v>
      </c>
      <c r="H318" s="36" t="n">
        <v>0.02419354838709675</v>
      </c>
      <c r="I318" s="36" t="n">
        <v>-0.2760586319218241</v>
      </c>
      <c r="J318" s="31" t="n">
        <v>42075</v>
      </c>
      <c r="K318" s="31" t="n">
        <v>43610.83333333334</v>
      </c>
      <c r="L318" s="31" t="n">
        <v>42893.75</v>
      </c>
      <c r="M318" s="36" t="n">
        <v>0.5349602847124212</v>
      </c>
      <c r="N318" s="36" t="n">
        <v>0.6160492167549698</v>
      </c>
      <c r="O318" s="36" t="n">
        <v>0.05833333333333335</v>
      </c>
      <c r="P318" s="36" t="n">
        <v>-0.1318359375</v>
      </c>
      <c r="Q318" s="36" t="n">
        <v>0.1112500000000001</v>
      </c>
      <c r="R318" s="36" t="n">
        <v>0.05644682115270361</v>
      </c>
      <c r="S318" s="36" t="n">
        <v>0.01924216077809415</v>
      </c>
      <c r="T318" s="36" t="n">
        <v>0.03628150954393128</v>
      </c>
      <c r="U318" s="31" t="n">
        <v>61400</v>
      </c>
      <c r="V318" s="31" t="n">
        <v>13990</v>
      </c>
      <c r="W318" s="36" t="n">
        <v>-0.2760586319218241</v>
      </c>
      <c r="X318" s="36" t="n">
        <v>2.177269478198713</v>
      </c>
      <c r="Y318" s="31" t="n">
        <v>20476584</v>
      </c>
      <c r="Z318" s="31" t="n">
        <v>910184158800</v>
      </c>
      <c r="AA318" s="31" t="n">
        <v>6872414500</v>
      </c>
      <c r="AB318" s="31" t="n">
        <v>11235673960</v>
      </c>
      <c r="AC318" s="36" t="n">
        <v>0.00755057581870101</v>
      </c>
      <c r="AD318" s="29" t="inlineStr">
        <is>
          <t>yfinance_download</t>
        </is>
      </c>
      <c r="AE318" s="29" t="inlineStr">
        <is>
          <t>317330.KQ</t>
        </is>
      </c>
    </row>
    <row r="319" ht="24" customHeight="1">
      <c r="A319" s="24" t="inlineStr">
        <is>
          <t>2024-09-25</t>
        </is>
      </c>
      <c r="B319" s="30" t="n">
        <v>45000</v>
      </c>
      <c r="C319" s="30" t="n">
        <v>45100</v>
      </c>
      <c r="D319" s="30" t="n">
        <v>42600</v>
      </c>
      <c r="E319" s="30" t="n">
        <v>43100</v>
      </c>
      <c r="F319" s="30" t="n">
        <v>43100</v>
      </c>
      <c r="G319" s="30" t="n">
        <v>144912</v>
      </c>
      <c r="H319" s="35" t="n">
        <v>-0.03037120359955003</v>
      </c>
      <c r="I319" s="35" t="n">
        <v>-0.2980456026058632</v>
      </c>
      <c r="J319" s="30" t="n">
        <v>42160</v>
      </c>
      <c r="K319" s="30" t="n">
        <v>43454.16666666666</v>
      </c>
      <c r="L319" s="30" t="n">
        <v>42886.25</v>
      </c>
      <c r="M319" s="35" t="n">
        <v>0.5449597388511878</v>
      </c>
      <c r="N319" s="35" t="n">
        <v>0.6162131586173784</v>
      </c>
      <c r="O319" s="35" t="n">
        <v>0.04106280193236711</v>
      </c>
      <c r="P319" s="35" t="n">
        <v>-0.179047619047619</v>
      </c>
      <c r="Q319" s="35" t="n">
        <v>-0.0204545454545455</v>
      </c>
      <c r="R319" s="35" t="n">
        <v>0.02229601518026558</v>
      </c>
      <c r="S319" s="35" t="n">
        <v>-0.008150349985616923</v>
      </c>
      <c r="T319" s="35" t="n">
        <v>0.004984114955259633</v>
      </c>
      <c r="U319" s="30" t="n">
        <v>61400</v>
      </c>
      <c r="V319" s="30" t="n">
        <v>13990</v>
      </c>
      <c r="W319" s="35" t="n">
        <v>-0.2980456026058632</v>
      </c>
      <c r="X319" s="35" t="n">
        <v>2.080771979985704</v>
      </c>
      <c r="Y319" s="30" t="n">
        <v>20476584</v>
      </c>
      <c r="Z319" s="30" t="n">
        <v>882540770400</v>
      </c>
      <c r="AA319" s="30" t="n">
        <v>6245707200</v>
      </c>
      <c r="AB319" s="30" t="n">
        <v>10805576590</v>
      </c>
      <c r="AC319" s="35" t="n">
        <v>0.007076961665090232</v>
      </c>
      <c r="AD319" s="24" t="inlineStr">
        <is>
          <t>yfinance_download</t>
        </is>
      </c>
      <c r="AE319" s="24" t="inlineStr">
        <is>
          <t>317330.KQ</t>
        </is>
      </c>
    </row>
    <row r="320" ht="24" customHeight="1">
      <c r="A320" s="29" t="inlineStr">
        <is>
          <t>2024-09-26</t>
        </is>
      </c>
      <c r="B320" s="31" t="n">
        <v>43800</v>
      </c>
      <c r="C320" s="31" t="n">
        <v>45250</v>
      </c>
      <c r="D320" s="31" t="n">
        <v>43350</v>
      </c>
      <c r="E320" s="31" t="n">
        <v>45100</v>
      </c>
      <c r="F320" s="31" t="n">
        <v>45100</v>
      </c>
      <c r="G320" s="31" t="n">
        <v>187665</v>
      </c>
      <c r="H320" s="36" t="n">
        <v>0.04640371229698381</v>
      </c>
      <c r="I320" s="36" t="n">
        <v>-0.2654723127035831</v>
      </c>
      <c r="J320" s="31" t="n">
        <v>42340</v>
      </c>
      <c r="K320" s="31" t="n">
        <v>43304.16666666666</v>
      </c>
      <c r="L320" s="31" t="n">
        <v>42925</v>
      </c>
      <c r="M320" s="36" t="n">
        <v>0.5667211020497445</v>
      </c>
      <c r="N320" s="36" t="n">
        <v>0.6207052753357394</v>
      </c>
      <c r="O320" s="36" t="n">
        <v>0.08674698795180724</v>
      </c>
      <c r="P320" s="36" t="n">
        <v>-0.166358595194085</v>
      </c>
      <c r="Q320" s="36" t="n">
        <v>0.1149567367119901</v>
      </c>
      <c r="R320" s="36" t="n">
        <v>0.06518658478979678</v>
      </c>
      <c r="S320" s="36" t="n">
        <v>0.04147022034061387</v>
      </c>
      <c r="T320" s="36" t="n">
        <v>0.05066977285963881</v>
      </c>
      <c r="U320" s="31" t="n">
        <v>61400</v>
      </c>
      <c r="V320" s="31" t="n">
        <v>13990</v>
      </c>
      <c r="W320" s="36" t="n">
        <v>-0.2654723127035831</v>
      </c>
      <c r="X320" s="36" t="n">
        <v>2.22373123659757</v>
      </c>
      <c r="Y320" s="31" t="n">
        <v>20476584</v>
      </c>
      <c r="Z320" s="31" t="n">
        <v>923493938400</v>
      </c>
      <c r="AA320" s="31" t="n">
        <v>8463691500</v>
      </c>
      <c r="AB320" s="31" t="n">
        <v>10590858440</v>
      </c>
      <c r="AC320" s="36" t="n">
        <v>0.009164858747923971</v>
      </c>
      <c r="AD320" s="29" t="inlineStr">
        <is>
          <t>yfinance_download</t>
        </is>
      </c>
      <c r="AE320" s="29" t="inlineStr">
        <is>
          <t>317330.KQ</t>
        </is>
      </c>
    </row>
    <row r="321" ht="24" customHeight="1">
      <c r="A321" s="24" t="inlineStr">
        <is>
          <t>2024-09-27</t>
        </is>
      </c>
      <c r="B321" s="30" t="n">
        <v>45150</v>
      </c>
      <c r="C321" s="30" t="n">
        <v>45650</v>
      </c>
      <c r="D321" s="30" t="n">
        <v>44000</v>
      </c>
      <c r="E321" s="30" t="n">
        <v>44500</v>
      </c>
      <c r="F321" s="30" t="n">
        <v>44500</v>
      </c>
      <c r="G321" s="30" t="n">
        <v>141880</v>
      </c>
      <c r="H321" s="35" t="n">
        <v>-0.01330376940133038</v>
      </c>
      <c r="I321" s="35" t="n">
        <v>-0.2752442996742671</v>
      </c>
      <c r="J321" s="30" t="n">
        <v>42430</v>
      </c>
      <c r="K321" s="30" t="n">
        <v>43134.16666666666</v>
      </c>
      <c r="L321" s="30" t="n">
        <v>42968.33333333334</v>
      </c>
      <c r="M321" s="35" t="n">
        <v>0.5626706539854505</v>
      </c>
      <c r="N321" s="35" t="n">
        <v>0.6204765899078684</v>
      </c>
      <c r="O321" s="35" t="n">
        <v>0.04215456674473073</v>
      </c>
      <c r="P321" s="35" t="n">
        <v>-0.1864716636197441</v>
      </c>
      <c r="Q321" s="35" t="n">
        <v>0.1323155216284988</v>
      </c>
      <c r="R321" s="35" t="n">
        <v>0.04878623615366484</v>
      </c>
      <c r="S321" s="35" t="n">
        <v>0.03166476690944919</v>
      </c>
      <c r="T321" s="35" t="n">
        <v>0.03564640626818183</v>
      </c>
      <c r="U321" s="30" t="n">
        <v>61400</v>
      </c>
      <c r="V321" s="30" t="n">
        <v>14020</v>
      </c>
      <c r="W321" s="35" t="n">
        <v>-0.2752442996742671</v>
      </c>
      <c r="X321" s="35" t="n">
        <v>2.174037089871612</v>
      </c>
      <c r="Y321" s="30" t="n">
        <v>20476584</v>
      </c>
      <c r="Z321" s="30" t="n">
        <v>911207988000</v>
      </c>
      <c r="AA321" s="30" t="n">
        <v>6313660000</v>
      </c>
      <c r="AB321" s="30" t="n">
        <v>10388505040</v>
      </c>
      <c r="AC321" s="35" t="n">
        <v>0.0069288900922146</v>
      </c>
      <c r="AD321" s="24" t="inlineStr">
        <is>
          <t>yfinance_download</t>
        </is>
      </c>
      <c r="AE321" s="24" t="inlineStr">
        <is>
          <t>317330.KQ</t>
        </is>
      </c>
    </row>
    <row r="322" ht="24" customHeight="1">
      <c r="A322" s="29" t="inlineStr">
        <is>
          <t>2024-09-30</t>
        </is>
      </c>
      <c r="B322" s="31" t="n">
        <v>44500</v>
      </c>
      <c r="C322" s="31" t="n">
        <v>46400</v>
      </c>
      <c r="D322" s="31" t="n">
        <v>43150</v>
      </c>
      <c r="E322" s="31" t="n">
        <v>45000</v>
      </c>
      <c r="F322" s="31" t="n">
        <v>45000</v>
      </c>
      <c r="G322" s="31" t="n">
        <v>293408</v>
      </c>
      <c r="H322" s="36" t="n">
        <v>0.0112359550561798</v>
      </c>
      <c r="I322" s="36" t="n">
        <v>-0.2671009771986971</v>
      </c>
      <c r="J322" s="31" t="n">
        <v>42555</v>
      </c>
      <c r="K322" s="31" t="n">
        <v>43020.83333333334</v>
      </c>
      <c r="L322" s="31" t="n">
        <v>43019.16666666666</v>
      </c>
      <c r="M322" s="36" t="n">
        <v>0.5627503098215869</v>
      </c>
      <c r="N322" s="36" t="n">
        <v>0.6121257115225665</v>
      </c>
      <c r="O322" s="36" t="n">
        <v>0.05882352941176472</v>
      </c>
      <c r="P322" s="36" t="n">
        <v>-0.1312741312741312</v>
      </c>
      <c r="Q322" s="36" t="n">
        <v>0.1568123393316196</v>
      </c>
      <c r="R322" s="36" t="n">
        <v>0.05745505816002816</v>
      </c>
      <c r="S322" s="36" t="n">
        <v>0.04600484261501214</v>
      </c>
      <c r="T322" s="36" t="n">
        <v>0.04604536737500742</v>
      </c>
      <c r="U322" s="31" t="n">
        <v>61400</v>
      </c>
      <c r="V322" s="31" t="n">
        <v>14020</v>
      </c>
      <c r="W322" s="36" t="n">
        <v>-0.2671009771986971</v>
      </c>
      <c r="X322" s="36" t="n">
        <v>2.209700427960057</v>
      </c>
      <c r="Y322" s="31" t="n">
        <v>20476584</v>
      </c>
      <c r="Z322" s="31" t="n">
        <v>921446280000</v>
      </c>
      <c r="AA322" s="31" t="n">
        <v>13203360000</v>
      </c>
      <c r="AB322" s="31" t="n">
        <v>10373902665</v>
      </c>
      <c r="AC322" s="36" t="n">
        <v>0.01432895252450311</v>
      </c>
      <c r="AD322" s="29" t="inlineStr">
        <is>
          <t>yfinance_download</t>
        </is>
      </c>
      <c r="AE322" s="29" t="inlineStr">
        <is>
          <t>317330.KQ</t>
        </is>
      </c>
    </row>
    <row r="323" ht="24" customHeight="1">
      <c r="A323" s="24" t="inlineStr">
        <is>
          <t>2024-10-02</t>
        </is>
      </c>
      <c r="B323" s="30" t="n">
        <v>44400</v>
      </c>
      <c r="C323" s="30" t="n">
        <v>45750</v>
      </c>
      <c r="D323" s="30" t="n">
        <v>43550</v>
      </c>
      <c r="E323" s="30" t="n">
        <v>44950</v>
      </c>
      <c r="F323" s="30" t="n">
        <v>44950</v>
      </c>
      <c r="G323" s="30" t="n">
        <v>181976</v>
      </c>
      <c r="H323" s="35" t="n">
        <v>-0.001111111111111063</v>
      </c>
      <c r="I323" s="35" t="n">
        <v>-0.2679153094462541</v>
      </c>
      <c r="J323" s="30" t="n">
        <v>42530</v>
      </c>
      <c r="K323" s="30" t="n">
        <v>42863.33333333334</v>
      </c>
      <c r="L323" s="30" t="n">
        <v>43065.83333333334</v>
      </c>
      <c r="M323" s="35" t="n">
        <v>0.5059449111261773</v>
      </c>
      <c r="N323" s="35" t="n">
        <v>0.6025392187661556</v>
      </c>
      <c r="O323" s="35" t="n">
        <v>-0.01100110011001099</v>
      </c>
      <c r="P323" s="35" t="n">
        <v>-0.1737132352941176</v>
      </c>
      <c r="Q323" s="35" t="n">
        <v>0.142312579415502</v>
      </c>
      <c r="R323" s="35" t="n">
        <v>0.05690101105102285</v>
      </c>
      <c r="S323" s="35" t="n">
        <v>0.04868185706509043</v>
      </c>
      <c r="T323" s="35" t="n">
        <v>0.04375084657210859</v>
      </c>
      <c r="U323" s="30" t="n">
        <v>61400</v>
      </c>
      <c r="V323" s="30" t="n">
        <v>14020</v>
      </c>
      <c r="W323" s="35" t="n">
        <v>-0.2679153094462541</v>
      </c>
      <c r="X323" s="35" t="n">
        <v>2.206134094151213</v>
      </c>
      <c r="Y323" s="30" t="n">
        <v>20476584</v>
      </c>
      <c r="Z323" s="30" t="n">
        <v>920422450800</v>
      </c>
      <c r="AA323" s="30" t="n">
        <v>8179821200</v>
      </c>
      <c r="AB323" s="30" t="n">
        <v>9433724110</v>
      </c>
      <c r="AC323" s="35" t="n">
        <v>0.008887029203699211</v>
      </c>
      <c r="AD323" s="24" t="inlineStr">
        <is>
          <t>yfinance_download</t>
        </is>
      </c>
      <c r="AE323" s="24" t="inlineStr">
        <is>
          <t>317330.KQ</t>
        </is>
      </c>
    </row>
    <row r="324" ht="24" customHeight="1">
      <c r="A324" s="29" t="inlineStr">
        <is>
          <t>2024-10-04</t>
        </is>
      </c>
      <c r="B324" s="31" t="n">
        <v>45150</v>
      </c>
      <c r="C324" s="31" t="n">
        <v>45150</v>
      </c>
      <c r="D324" s="31" t="n">
        <v>43500</v>
      </c>
      <c r="E324" s="31" t="n">
        <v>43500</v>
      </c>
      <c r="F324" s="31" t="n">
        <v>43500</v>
      </c>
      <c r="G324" s="31" t="n">
        <v>171706</v>
      </c>
      <c r="H324" s="36" t="n">
        <v>-0.032258064516129</v>
      </c>
      <c r="I324" s="36" t="n">
        <v>-0.2915309446254072</v>
      </c>
      <c r="J324" s="31" t="n">
        <v>42387.5</v>
      </c>
      <c r="K324" s="31" t="n">
        <v>42683.33333333334</v>
      </c>
      <c r="L324" s="31" t="n">
        <v>43114.16666666666</v>
      </c>
      <c r="M324" s="36" t="n">
        <v>0.5125375245169088</v>
      </c>
      <c r="N324" s="36" t="n">
        <v>0.6056232095620891</v>
      </c>
      <c r="O324" s="36" t="n">
        <v>-0.06148867313915862</v>
      </c>
      <c r="P324" s="36" t="n">
        <v>-0.1988950276243094</v>
      </c>
      <c r="Q324" s="36" t="n">
        <v>0.1538461538461537</v>
      </c>
      <c r="R324" s="36" t="n">
        <v>0.02624594514892364</v>
      </c>
      <c r="S324" s="36" t="n">
        <v>0.01913315111284652</v>
      </c>
      <c r="T324" s="36" t="n">
        <v>0.008949107988480254</v>
      </c>
      <c r="U324" s="31" t="n">
        <v>61400</v>
      </c>
      <c r="V324" s="31" t="n">
        <v>14020</v>
      </c>
      <c r="W324" s="36" t="n">
        <v>-0.2915309446254072</v>
      </c>
      <c r="X324" s="36" t="n">
        <v>2.102710413694722</v>
      </c>
      <c r="Y324" s="31" t="n">
        <v>20476584</v>
      </c>
      <c r="Z324" s="31" t="n">
        <v>890731404000</v>
      </c>
      <c r="AA324" s="31" t="n">
        <v>7469211000</v>
      </c>
      <c r="AB324" s="31" t="n">
        <v>7555589725</v>
      </c>
      <c r="AC324" s="36" t="n">
        <v>0.00838548070322667</v>
      </c>
      <c r="AD324" s="29" t="inlineStr">
        <is>
          <t>yfinance_download</t>
        </is>
      </c>
      <c r="AE324" s="29" t="inlineStr">
        <is>
          <t>317330.KQ</t>
        </is>
      </c>
    </row>
    <row r="325" ht="24" customHeight="1">
      <c r="A325" s="24" t="inlineStr">
        <is>
          <t>2024-10-07</t>
        </is>
      </c>
      <c r="B325" s="30" t="n">
        <v>43500</v>
      </c>
      <c r="C325" s="30" t="n">
        <v>44800</v>
      </c>
      <c r="D325" s="30" t="n">
        <v>40800</v>
      </c>
      <c r="E325" s="30" t="n">
        <v>44300</v>
      </c>
      <c r="F325" s="30" t="n">
        <v>44300</v>
      </c>
      <c r="G325" s="30" t="n">
        <v>237692</v>
      </c>
      <c r="H325" s="35" t="n">
        <v>0.01839080459770126</v>
      </c>
      <c r="I325" s="35" t="n">
        <v>-0.2785016286644951</v>
      </c>
      <c r="J325" s="30" t="n">
        <v>42310</v>
      </c>
      <c r="K325" s="30" t="n">
        <v>42520</v>
      </c>
      <c r="L325" s="30" t="n">
        <v>43165.41666666666</v>
      </c>
      <c r="M325" s="35" t="n">
        <v>0.5168530801148381</v>
      </c>
      <c r="N325" s="35" t="n">
        <v>0.6071986482272782</v>
      </c>
      <c r="O325" s="35" t="n">
        <v>-0.03380588876772084</v>
      </c>
      <c r="P325" s="35" t="n">
        <v>-0.1811460258780037</v>
      </c>
      <c r="Q325" s="35" t="n">
        <v>0.1612057667103539</v>
      </c>
      <c r="R325" s="35" t="n">
        <v>0.04703379815646413</v>
      </c>
      <c r="S325" s="35" t="n">
        <v>0.04186265286923807</v>
      </c>
      <c r="T325" s="35" t="n">
        <v>0.02628454491925458</v>
      </c>
      <c r="U325" s="30" t="n">
        <v>61400</v>
      </c>
      <c r="V325" s="30" t="n">
        <v>14020</v>
      </c>
      <c r="W325" s="35" t="n">
        <v>-0.2785016286644951</v>
      </c>
      <c r="X325" s="35" t="n">
        <v>2.159771754636234</v>
      </c>
      <c r="Y325" s="30" t="n">
        <v>20476584</v>
      </c>
      <c r="Z325" s="30" t="n">
        <v>907112671200</v>
      </c>
      <c r="AA325" s="30" t="n">
        <v>10529755600</v>
      </c>
      <c r="AB325" s="30" t="n">
        <v>7327109112.5</v>
      </c>
      <c r="AC325" s="35" t="n">
        <v>0.01160799086410116</v>
      </c>
      <c r="AD325" s="24" t="inlineStr">
        <is>
          <t>yfinance_download</t>
        </is>
      </c>
      <c r="AE325" s="24" t="inlineStr">
        <is>
          <t>317330.KQ</t>
        </is>
      </c>
    </row>
    <row r="326" ht="24" customHeight="1">
      <c r="A326" s="29" t="inlineStr">
        <is>
          <t>2024-10-08</t>
        </is>
      </c>
      <c r="B326" s="31" t="n">
        <v>43200</v>
      </c>
      <c r="C326" s="31" t="n">
        <v>48650</v>
      </c>
      <c r="D326" s="31" t="n">
        <v>43100</v>
      </c>
      <c r="E326" s="31" t="n">
        <v>46750</v>
      </c>
      <c r="F326" s="31" t="n">
        <v>46750</v>
      </c>
      <c r="G326" s="31" t="n">
        <v>613280</v>
      </c>
      <c r="H326" s="36" t="n">
        <v>0.0553047404063205</v>
      </c>
      <c r="I326" s="36" t="n">
        <v>-0.2385993485342019</v>
      </c>
      <c r="J326" s="31" t="n">
        <v>42400</v>
      </c>
      <c r="K326" s="31" t="n">
        <v>42414.16666666666</v>
      </c>
      <c r="L326" s="31" t="n">
        <v>43242.91666666666</v>
      </c>
      <c r="M326" s="36" t="n">
        <v>0.5488825036791277</v>
      </c>
      <c r="N326" s="36" t="n">
        <v>0.6176917236820908</v>
      </c>
      <c r="O326" s="36" t="n">
        <v>0.04004449388209119</v>
      </c>
      <c r="P326" s="36" t="n">
        <v>-0.1195856873822976</v>
      </c>
      <c r="Q326" s="36" t="n">
        <v>0.2483311081441923</v>
      </c>
      <c r="R326" s="36" t="n">
        <v>0.1025943396226414</v>
      </c>
      <c r="S326" s="36" t="n">
        <v>0.1022260644045818</v>
      </c>
      <c r="T326" s="36" t="n">
        <v>0.08110191457175064</v>
      </c>
      <c r="U326" s="31" t="n">
        <v>61400</v>
      </c>
      <c r="V326" s="31" t="n">
        <v>14020</v>
      </c>
      <c r="W326" s="36" t="n">
        <v>-0.2385993485342019</v>
      </c>
      <c r="X326" s="36" t="n">
        <v>2.334522111269615</v>
      </c>
      <c r="Y326" s="31" t="n">
        <v>20476584</v>
      </c>
      <c r="Z326" s="31" t="n">
        <v>957280302000</v>
      </c>
      <c r="AA326" s="31" t="n">
        <v>28670840000</v>
      </c>
      <c r="AB326" s="31" t="n">
        <v>8498909510</v>
      </c>
      <c r="AC326" s="36" t="n">
        <v>0.02995030811779933</v>
      </c>
      <c r="AD326" s="29" t="inlineStr">
        <is>
          <t>yfinance_download</t>
        </is>
      </c>
      <c r="AE326" s="29" t="inlineStr">
        <is>
          <t>317330.KQ</t>
        </is>
      </c>
    </row>
    <row r="327" ht="24" customHeight="1">
      <c r="A327" s="24" t="inlineStr">
        <is>
          <t>2024-10-10</t>
        </is>
      </c>
      <c r="B327" s="30" t="n">
        <v>46750</v>
      </c>
      <c r="C327" s="30" t="n">
        <v>47950</v>
      </c>
      <c r="D327" s="30" t="n">
        <v>46200</v>
      </c>
      <c r="E327" s="30" t="n">
        <v>47150</v>
      </c>
      <c r="F327" s="30" t="n">
        <v>47150</v>
      </c>
      <c r="G327" s="30" t="n">
        <v>270283</v>
      </c>
      <c r="H327" s="35" t="n">
        <v>0.008556149732620311</v>
      </c>
      <c r="I327" s="35" t="n">
        <v>-0.2320846905537459</v>
      </c>
      <c r="J327" s="30" t="n">
        <v>42670</v>
      </c>
      <c r="K327" s="30" t="n">
        <v>42275</v>
      </c>
      <c r="L327" s="30" t="n">
        <v>43302.08333333334</v>
      </c>
      <c r="M327" s="35" t="n">
        <v>0.4748031248141692</v>
      </c>
      <c r="N327" s="35" t="n">
        <v>0.6104157985893586</v>
      </c>
      <c r="O327" s="35" t="n">
        <v>0.1293413173652695</v>
      </c>
      <c r="P327" s="35" t="n">
        <v>-0.1504504504504505</v>
      </c>
      <c r="Q327" s="35" t="n">
        <v>0.1772784019975031</v>
      </c>
      <c r="R327" s="35" t="n">
        <v>0.104991797515819</v>
      </c>
      <c r="S327" s="35" t="n">
        <v>0.1153163808397397</v>
      </c>
      <c r="T327" s="35" t="n">
        <v>0.08886216021169102</v>
      </c>
      <c r="U327" s="30" t="n">
        <v>61400</v>
      </c>
      <c r="V327" s="30" t="n">
        <v>14020</v>
      </c>
      <c r="W327" s="35" t="n">
        <v>-0.2320846905537459</v>
      </c>
      <c r="X327" s="35" t="n">
        <v>2.363052781740371</v>
      </c>
      <c r="Y327" s="30" t="n">
        <v>20476584</v>
      </c>
      <c r="Z327" s="30" t="n">
        <v>965470935600</v>
      </c>
      <c r="AA327" s="30" t="n">
        <v>12743843450</v>
      </c>
      <c r="AB327" s="30" t="n">
        <v>8658074620</v>
      </c>
      <c r="AC327" s="35" t="n">
        <v>0.01319961376370199</v>
      </c>
      <c r="AD327" s="24" t="inlineStr">
        <is>
          <t>yfinance_download</t>
        </is>
      </c>
      <c r="AE327" s="24" t="inlineStr">
        <is>
          <t>317330.KQ</t>
        </is>
      </c>
    </row>
    <row r="328" ht="24" customHeight="1">
      <c r="A328" s="29" t="inlineStr">
        <is>
          <t>2024-10-11</t>
        </is>
      </c>
      <c r="B328" s="31" t="n">
        <v>47000</v>
      </c>
      <c r="C328" s="31" t="n">
        <v>47450</v>
      </c>
      <c r="D328" s="31" t="n">
        <v>44250</v>
      </c>
      <c r="E328" s="31" t="n">
        <v>45150</v>
      </c>
      <c r="F328" s="31" t="n">
        <v>45150</v>
      </c>
      <c r="G328" s="31" t="n">
        <v>349727</v>
      </c>
      <c r="H328" s="36" t="n">
        <v>-0.04241781548250267</v>
      </c>
      <c r="I328" s="36" t="n">
        <v>-0.2646579804560261</v>
      </c>
      <c r="J328" s="31" t="n">
        <v>42835</v>
      </c>
      <c r="K328" s="31" t="n">
        <v>42135.83333333334</v>
      </c>
      <c r="L328" s="31" t="n">
        <v>43339.16666666666</v>
      </c>
      <c r="M328" s="36" t="n">
        <v>0.5056196771007446</v>
      </c>
      <c r="N328" s="36" t="n">
        <v>0.6120745823938157</v>
      </c>
      <c r="O328" s="36" t="n">
        <v>0.07885304659498216</v>
      </c>
      <c r="P328" s="36" t="n">
        <v>-0.1560747663551402</v>
      </c>
      <c r="Q328" s="36" t="n">
        <v>0.1093366093366093</v>
      </c>
      <c r="R328" s="36" t="n">
        <v>0.05404458970468085</v>
      </c>
      <c r="S328" s="36" t="n">
        <v>0.07153452129027138</v>
      </c>
      <c r="T328" s="36" t="n">
        <v>0.04178283692579843</v>
      </c>
      <c r="U328" s="31" t="n">
        <v>61400</v>
      </c>
      <c r="V328" s="31" t="n">
        <v>14040</v>
      </c>
      <c r="W328" s="36" t="n">
        <v>-0.2646579804560261</v>
      </c>
      <c r="X328" s="36" t="n">
        <v>2.215811965811966</v>
      </c>
      <c r="Y328" s="31" t="n">
        <v>20476584</v>
      </c>
      <c r="Z328" s="31" t="n">
        <v>924517767600</v>
      </c>
      <c r="AA328" s="31" t="n">
        <v>15790174050</v>
      </c>
      <c r="AB328" s="31" t="n">
        <v>9095432312.5</v>
      </c>
      <c r="AC328" s="36" t="n">
        <v>0.01707936245615968</v>
      </c>
      <c r="AD328" s="29" t="inlineStr">
        <is>
          <t>yfinance_download</t>
        </is>
      </c>
      <c r="AE328" s="29" t="inlineStr">
        <is>
          <t>317330.KQ</t>
        </is>
      </c>
    </row>
    <row r="329" ht="24" customHeight="1">
      <c r="A329" s="24" t="inlineStr">
        <is>
          <t>2024-10-14</t>
        </is>
      </c>
      <c r="B329" s="30" t="n">
        <v>43800</v>
      </c>
      <c r="C329" s="30" t="n">
        <v>44500</v>
      </c>
      <c r="D329" s="30" t="n">
        <v>42750</v>
      </c>
      <c r="E329" s="30" t="n">
        <v>43050</v>
      </c>
      <c r="F329" s="30" t="n">
        <v>43050</v>
      </c>
      <c r="G329" s="30" t="n">
        <v>306524</v>
      </c>
      <c r="H329" s="35" t="n">
        <v>-0.04651162790697672</v>
      </c>
      <c r="I329" s="35" t="n">
        <v>-0.2988599348534202</v>
      </c>
      <c r="J329" s="30" t="n">
        <v>43025</v>
      </c>
      <c r="K329" s="30" t="n">
        <v>41995</v>
      </c>
      <c r="L329" s="30" t="n">
        <v>43363.75</v>
      </c>
      <c r="M329" s="35" t="n">
        <v>0.4808484713338624</v>
      </c>
      <c r="N329" s="35" t="n">
        <v>0.6146039150171829</v>
      </c>
      <c r="O329" s="35" t="n">
        <v>0.0968152866242038</v>
      </c>
      <c r="P329" s="35" t="n">
        <v>-0.1640776699029126</v>
      </c>
      <c r="Q329" s="35" t="n">
        <v>0.07356608478802995</v>
      </c>
      <c r="R329" s="35" t="n">
        <v>0.0005810575246949501</v>
      </c>
      <c r="S329" s="35" t="n">
        <v>0.02512203833789739</v>
      </c>
      <c r="T329" s="35" t="n">
        <v>-0.007235305987143614</v>
      </c>
      <c r="U329" s="30" t="n">
        <v>61400</v>
      </c>
      <c r="V329" s="30" t="n">
        <v>14040</v>
      </c>
      <c r="W329" s="35" t="n">
        <v>-0.2988599348534202</v>
      </c>
      <c r="X329" s="35" t="n">
        <v>2.066239316239316</v>
      </c>
      <c r="Y329" s="30" t="n">
        <v>20476584</v>
      </c>
      <c r="Z329" s="30" t="n">
        <v>881516941200</v>
      </c>
      <c r="AA329" s="30" t="n">
        <v>13195858200</v>
      </c>
      <c r="AB329" s="30" t="n">
        <v>9205112922.5</v>
      </c>
      <c r="AC329" s="35" t="n">
        <v>0.01496948905149414</v>
      </c>
      <c r="AD329" s="24" t="inlineStr">
        <is>
          <t>yfinance_download</t>
        </is>
      </c>
      <c r="AE329" s="24" t="inlineStr">
        <is>
          <t>317330.KQ</t>
        </is>
      </c>
    </row>
    <row r="330" ht="24" customHeight="1">
      <c r="A330" s="29" t="inlineStr">
        <is>
          <t>2024-10-15</t>
        </is>
      </c>
      <c r="B330" s="31" t="n">
        <v>42700</v>
      </c>
      <c r="C330" s="31" t="n">
        <v>43300</v>
      </c>
      <c r="D330" s="31" t="n">
        <v>40000</v>
      </c>
      <c r="E330" s="31" t="n">
        <v>42050</v>
      </c>
      <c r="F330" s="31" t="n">
        <v>42050</v>
      </c>
      <c r="G330" s="31" t="n">
        <v>427826</v>
      </c>
      <c r="H330" s="36" t="n">
        <v>-0.02322880371660863</v>
      </c>
      <c r="I330" s="36" t="n">
        <v>-0.3151465798045603</v>
      </c>
      <c r="J330" s="31" t="n">
        <v>43210</v>
      </c>
      <c r="K330" s="31" t="n">
        <v>41862.5</v>
      </c>
      <c r="L330" s="31" t="n">
        <v>43376.66666666666</v>
      </c>
      <c r="M330" s="36" t="n">
        <v>0.4810803703119443</v>
      </c>
      <c r="N330" s="36" t="n">
        <v>0.6136198384233437</v>
      </c>
      <c r="O330" s="36" t="n">
        <v>0.0964797913950457</v>
      </c>
      <c r="P330" s="36" t="n">
        <v>-0.159</v>
      </c>
      <c r="Q330" s="36" t="n">
        <v>0.03827160493827164</v>
      </c>
      <c r="R330" s="36" t="n">
        <v>-0.02684563758389258</v>
      </c>
      <c r="S330" s="36" t="n">
        <v>0.00447894893998213</v>
      </c>
      <c r="T330" s="36" t="n">
        <v>-0.03058479981556894</v>
      </c>
      <c r="U330" s="31" t="n">
        <v>61400</v>
      </c>
      <c r="V330" s="31" t="n">
        <v>14470</v>
      </c>
      <c r="W330" s="36" t="n">
        <v>-0.3151465798045603</v>
      </c>
      <c r="X330" s="36" t="n">
        <v>1.906012439530062</v>
      </c>
      <c r="Y330" s="31" t="n">
        <v>20476584</v>
      </c>
      <c r="Z330" s="31" t="n">
        <v>861040357200</v>
      </c>
      <c r="AA330" s="31" t="n">
        <v>17990083300</v>
      </c>
      <c r="AB330" s="31" t="n">
        <v>9767767945</v>
      </c>
      <c r="AC330" s="36" t="n">
        <v>0.02089342636447564</v>
      </c>
      <c r="AD330" s="29" t="inlineStr">
        <is>
          <t>yfinance_download</t>
        </is>
      </c>
      <c r="AE330" s="29" t="inlineStr">
        <is>
          <t>317330.KQ</t>
        </is>
      </c>
    </row>
    <row r="331" ht="24" customHeight="1">
      <c r="A331" s="24" t="inlineStr">
        <is>
          <t>2024-10-16</t>
        </is>
      </c>
      <c r="B331" s="30" t="n">
        <v>42100</v>
      </c>
      <c r="C331" s="30" t="n">
        <v>42350</v>
      </c>
      <c r="D331" s="30" t="n">
        <v>40900</v>
      </c>
      <c r="E331" s="30" t="n">
        <v>41200</v>
      </c>
      <c r="F331" s="30" t="n">
        <v>41200</v>
      </c>
      <c r="G331" s="30" t="n">
        <v>131476</v>
      </c>
      <c r="H331" s="35" t="n">
        <v>-0.02021403091557672</v>
      </c>
      <c r="I331" s="35" t="n">
        <v>-0.3289902280130294</v>
      </c>
      <c r="J331" s="30" t="n">
        <v>43360</v>
      </c>
      <c r="K331" s="30" t="n">
        <v>41745.83333333334</v>
      </c>
      <c r="L331" s="30" t="n">
        <v>43385.41666666666</v>
      </c>
      <c r="M331" s="35" t="n">
        <v>0.4885312296496496</v>
      </c>
      <c r="N331" s="35" t="n">
        <v>0.6107449819591999</v>
      </c>
      <c r="O331" s="35" t="n">
        <v>0.07853403141361248</v>
      </c>
      <c r="P331" s="35" t="n">
        <v>-0.1452282157676349</v>
      </c>
      <c r="Q331" s="35" t="n">
        <v>0.02615193026151941</v>
      </c>
      <c r="R331" s="35" t="n">
        <v>-0.04981549815498154</v>
      </c>
      <c r="S331" s="35" t="n">
        <v>-0.01307515720131758</v>
      </c>
      <c r="T331" s="35" t="n">
        <v>-0.05037214885954377</v>
      </c>
      <c r="U331" s="30" t="n">
        <v>61400</v>
      </c>
      <c r="V331" s="30" t="n">
        <v>14490</v>
      </c>
      <c r="W331" s="35" t="n">
        <v>-0.3289902280130294</v>
      </c>
      <c r="X331" s="35" t="n">
        <v>1.843340234644582</v>
      </c>
      <c r="Y331" s="30" t="n">
        <v>20476584</v>
      </c>
      <c r="Z331" s="30" t="n">
        <v>843635260800</v>
      </c>
      <c r="AA331" s="30" t="n">
        <v>5416811200</v>
      </c>
      <c r="AB331" s="30" t="n">
        <v>9867529805</v>
      </c>
      <c r="AC331" s="35" t="n">
        <v>0.006420797531463256</v>
      </c>
      <c r="AD331" s="24" t="inlineStr">
        <is>
          <t>yfinance_download</t>
        </is>
      </c>
      <c r="AE331" s="24" t="inlineStr">
        <is>
          <t>317330.KQ</t>
        </is>
      </c>
    </row>
    <row r="332" ht="24" customHeight="1">
      <c r="A332" s="29" t="inlineStr">
        <is>
          <t>2024-10-17</t>
        </is>
      </c>
      <c r="B332" s="31" t="n">
        <v>41200</v>
      </c>
      <c r="C332" s="31" t="n">
        <v>41900</v>
      </c>
      <c r="D332" s="31" t="n">
        <v>40450</v>
      </c>
      <c r="E332" s="31" t="n">
        <v>40450</v>
      </c>
      <c r="F332" s="31" t="n">
        <v>40450</v>
      </c>
      <c r="G332" s="31" t="n">
        <v>111265</v>
      </c>
      <c r="H332" s="36" t="n">
        <v>-0.01820388349514568</v>
      </c>
      <c r="I332" s="36" t="n">
        <v>-0.3412052117263844</v>
      </c>
      <c r="J332" s="31" t="n">
        <v>43422.5</v>
      </c>
      <c r="K332" s="31" t="n">
        <v>41667.5</v>
      </c>
      <c r="L332" s="31" t="n">
        <v>43405</v>
      </c>
      <c r="M332" s="36" t="n">
        <v>0.4874926400887089</v>
      </c>
      <c r="N332" s="36" t="n">
        <v>0.5982467646849062</v>
      </c>
      <c r="O332" s="36" t="n">
        <v>0.03188775510204089</v>
      </c>
      <c r="P332" s="36" t="n">
        <v>-0.1040974529346622</v>
      </c>
      <c r="Q332" s="36" t="n">
        <v>0.06167979002624668</v>
      </c>
      <c r="R332" s="36" t="n">
        <v>-0.06845529391444527</v>
      </c>
      <c r="S332" s="36" t="n">
        <v>-0.02921941561168773</v>
      </c>
      <c r="T332" s="36" t="n">
        <v>-0.06807971431862692</v>
      </c>
      <c r="U332" s="31" t="n">
        <v>61400</v>
      </c>
      <c r="V332" s="31" t="n">
        <v>14780</v>
      </c>
      <c r="W332" s="36" t="n">
        <v>-0.3412052117263844</v>
      </c>
      <c r="X332" s="36" t="n">
        <v>1.73680649526387</v>
      </c>
      <c r="Y332" s="31" t="n">
        <v>20476584</v>
      </c>
      <c r="Z332" s="31" t="n">
        <v>828277822800</v>
      </c>
      <c r="AA332" s="31" t="n">
        <v>4500669250</v>
      </c>
      <c r="AB332" s="31" t="n">
        <v>9878486187.5</v>
      </c>
      <c r="AC332" s="36" t="n">
        <v>0.005433767663590763</v>
      </c>
      <c r="AD332" s="29" t="inlineStr">
        <is>
          <t>yfinance_download</t>
        </is>
      </c>
      <c r="AE332" s="29" t="inlineStr">
        <is>
          <t>317330.KQ</t>
        </is>
      </c>
    </row>
    <row r="333" ht="24" customHeight="1">
      <c r="A333" s="24" t="inlineStr">
        <is>
          <t>2024-10-18</t>
        </is>
      </c>
      <c r="B333" s="30" t="n">
        <v>40000</v>
      </c>
      <c r="C333" s="30" t="n">
        <v>40600</v>
      </c>
      <c r="D333" s="30" t="n">
        <v>39100</v>
      </c>
      <c r="E333" s="30" t="n">
        <v>39200</v>
      </c>
      <c r="F333" s="30" t="n">
        <v>39200</v>
      </c>
      <c r="G333" s="30" t="n">
        <v>197170</v>
      </c>
      <c r="H333" s="35" t="n">
        <v>-0.03090234857849194</v>
      </c>
      <c r="I333" s="35" t="n">
        <v>-0.3615635179153095</v>
      </c>
      <c r="J333" s="30" t="n">
        <v>43350</v>
      </c>
      <c r="K333" s="30" t="n">
        <v>41550.83333333334</v>
      </c>
      <c r="L333" s="30" t="n">
        <v>43414.16666666666</v>
      </c>
      <c r="M333" s="35" t="n">
        <v>0.4824337866599585</v>
      </c>
      <c r="N333" s="35" t="n">
        <v>0.5991160952916994</v>
      </c>
      <c r="O333" s="35" t="n">
        <v>-0.035670356703567</v>
      </c>
      <c r="P333" s="35" t="n">
        <v>-0.1515151515151515</v>
      </c>
      <c r="Q333" s="35" t="n">
        <v>0.02887139107611558</v>
      </c>
      <c r="R333" s="35" t="n">
        <v>-0.09573241061130333</v>
      </c>
      <c r="S333" s="35" t="n">
        <v>-0.05657728485188829</v>
      </c>
      <c r="T333" s="35" t="n">
        <v>-0.09706892911300069</v>
      </c>
      <c r="U333" s="30" t="n">
        <v>61400</v>
      </c>
      <c r="V333" s="30" t="n">
        <v>15140</v>
      </c>
      <c r="W333" s="35" t="n">
        <v>-0.3615635179153095</v>
      </c>
      <c r="X333" s="35" t="n">
        <v>1.589167767503302</v>
      </c>
      <c r="Y333" s="30" t="n">
        <v>20476584</v>
      </c>
      <c r="Z333" s="30" t="n">
        <v>802682092800</v>
      </c>
      <c r="AA333" s="30" t="n">
        <v>7729064000</v>
      </c>
      <c r="AB333" s="30" t="n">
        <v>9998702212.5</v>
      </c>
      <c r="AC333" s="35" t="n">
        <v>0.009629047501282441</v>
      </c>
      <c r="AD333" s="24" t="inlineStr">
        <is>
          <t>yfinance_download</t>
        </is>
      </c>
      <c r="AE333" s="24" t="inlineStr">
        <is>
          <t>317330.KQ</t>
        </is>
      </c>
    </row>
    <row r="334" ht="24" customHeight="1">
      <c r="A334" s="29" t="inlineStr">
        <is>
          <t>2024-10-21</t>
        </is>
      </c>
      <c r="B334" s="31" t="n">
        <v>39200</v>
      </c>
      <c r="C334" s="31" t="n">
        <v>39850</v>
      </c>
      <c r="D334" s="31" t="n">
        <v>38700</v>
      </c>
      <c r="E334" s="31" t="n">
        <v>39050</v>
      </c>
      <c r="F334" s="31" t="n">
        <v>39050</v>
      </c>
      <c r="G334" s="31" t="n">
        <v>181770</v>
      </c>
      <c r="H334" s="36" t="n">
        <v>-0.003826530612244916</v>
      </c>
      <c r="I334" s="36" t="n">
        <v>-0.3640065146579805</v>
      </c>
      <c r="J334" s="31" t="n">
        <v>43267.5</v>
      </c>
      <c r="K334" s="31" t="n">
        <v>41465</v>
      </c>
      <c r="L334" s="31" t="n">
        <v>43440</v>
      </c>
      <c r="M334" s="36" t="n">
        <v>0.4824051094145861</v>
      </c>
      <c r="N334" s="36" t="n">
        <v>0.5929333746897152</v>
      </c>
      <c r="O334" s="36" t="n">
        <v>-0.04054054054054057</v>
      </c>
      <c r="P334" s="36" t="n">
        <v>-0.1165158371040724</v>
      </c>
      <c r="Q334" s="36" t="n">
        <v>0.08623087621696812</v>
      </c>
      <c r="R334" s="36" t="n">
        <v>-0.0974750101115156</v>
      </c>
      <c r="S334" s="36" t="n">
        <v>-0.05824189075123598</v>
      </c>
      <c r="T334" s="36" t="n">
        <v>-0.1010589318600368</v>
      </c>
      <c r="U334" s="31" t="n">
        <v>61400</v>
      </c>
      <c r="V334" s="31" t="n">
        <v>15250</v>
      </c>
      <c r="W334" s="36" t="n">
        <v>-0.3640065146579805</v>
      </c>
      <c r="X334" s="36" t="n">
        <v>1.560655737704918</v>
      </c>
      <c r="Y334" s="31" t="n">
        <v>20476584</v>
      </c>
      <c r="Z334" s="31" t="n">
        <v>799610605200</v>
      </c>
      <c r="AA334" s="31" t="n">
        <v>7098118500</v>
      </c>
      <c r="AB334" s="31" t="n">
        <v>10196003492.5</v>
      </c>
      <c r="AC334" s="36" t="n">
        <v>0.008876968931927317</v>
      </c>
      <c r="AD334" s="29" t="inlineStr">
        <is>
          <t>yfinance_download</t>
        </is>
      </c>
      <c r="AE334" s="29" t="inlineStr">
        <is>
          <t>317330.KQ</t>
        </is>
      </c>
    </row>
    <row r="335" ht="24" customHeight="1">
      <c r="A335" s="24" t="inlineStr">
        <is>
          <t>2024-10-22</t>
        </is>
      </c>
      <c r="B335" s="30" t="n">
        <v>39150</v>
      </c>
      <c r="C335" s="30" t="n">
        <v>39350</v>
      </c>
      <c r="D335" s="30" t="n">
        <v>37400</v>
      </c>
      <c r="E335" s="30" t="n">
        <v>37700</v>
      </c>
      <c r="F335" s="30" t="n">
        <v>37700</v>
      </c>
      <c r="G335" s="30" t="n">
        <v>196580</v>
      </c>
      <c r="H335" s="35" t="n">
        <v>-0.03457106274007682</v>
      </c>
      <c r="I335" s="35" t="n">
        <v>-0.3859934853420195</v>
      </c>
      <c r="J335" s="30" t="n">
        <v>43127.5</v>
      </c>
      <c r="K335" s="30" t="n">
        <v>41351.66666666666</v>
      </c>
      <c r="L335" s="30" t="n">
        <v>43449.58333333334</v>
      </c>
      <c r="M335" s="35" t="n">
        <v>0.4963664553322793</v>
      </c>
      <c r="N335" s="35" t="n">
        <v>0.5965511420059687</v>
      </c>
      <c r="O335" s="35" t="n">
        <v>-0.06913580246913575</v>
      </c>
      <c r="P335" s="35" t="n">
        <v>-0.1528089887640449</v>
      </c>
      <c r="Q335" s="35" t="n">
        <v>0.03146374829001375</v>
      </c>
      <c r="R335" s="35" t="n">
        <v>-0.1258477769404672</v>
      </c>
      <c r="S335" s="35" t="n">
        <v>-0.08830760549756156</v>
      </c>
      <c r="T335" s="35" t="n">
        <v>-0.132327697810681</v>
      </c>
      <c r="U335" s="30" t="n">
        <v>61400</v>
      </c>
      <c r="V335" s="30" t="n">
        <v>15340</v>
      </c>
      <c r="W335" s="35" t="n">
        <v>-0.3859934853420195</v>
      </c>
      <c r="X335" s="35" t="n">
        <v>1.457627118644068</v>
      </c>
      <c r="Y335" s="30" t="n">
        <v>20476584</v>
      </c>
      <c r="Z335" s="30" t="n">
        <v>771967216800</v>
      </c>
      <c r="AA335" s="30" t="n">
        <v>7411066000</v>
      </c>
      <c r="AB335" s="30" t="n">
        <v>10319697142.5</v>
      </c>
      <c r="AC335" s="35" t="n">
        <v>0.009600234101547407</v>
      </c>
      <c r="AD335" s="24" t="inlineStr">
        <is>
          <t>yfinance_download</t>
        </is>
      </c>
      <c r="AE335" s="24" t="inlineStr">
        <is>
          <t>317330.KQ</t>
        </is>
      </c>
    </row>
    <row r="336" ht="24" customHeight="1">
      <c r="A336" s="29" t="inlineStr">
        <is>
          <t>2024-10-23</t>
        </is>
      </c>
      <c r="B336" s="31" t="n">
        <v>37750</v>
      </c>
      <c r="C336" s="31" t="n">
        <v>38300</v>
      </c>
      <c r="D336" s="31" t="n">
        <v>36550</v>
      </c>
      <c r="E336" s="31" t="n">
        <v>38100</v>
      </c>
      <c r="F336" s="31" t="n">
        <v>38100</v>
      </c>
      <c r="G336" s="31" t="n">
        <v>201729</v>
      </c>
      <c r="H336" s="36" t="n">
        <v>0.01061007957559679</v>
      </c>
      <c r="I336" s="36" t="n">
        <v>-0.3794788273615635</v>
      </c>
      <c r="J336" s="31" t="n">
        <v>42907.5</v>
      </c>
      <c r="K336" s="31" t="n">
        <v>41287.5</v>
      </c>
      <c r="L336" s="31" t="n">
        <v>43456.25</v>
      </c>
      <c r="M336" s="36" t="n">
        <v>0.4597053771246842</v>
      </c>
      <c r="N336" s="36" t="n">
        <v>0.5858271738662998</v>
      </c>
      <c r="O336" s="36" t="n">
        <v>-0.1035294117647059</v>
      </c>
      <c r="P336" s="36" t="n">
        <v>-0.09177592371871279</v>
      </c>
      <c r="Q336" s="36" t="n">
        <v>0.02144772117962468</v>
      </c>
      <c r="R336" s="36" t="n">
        <v>-0.1120433490648488</v>
      </c>
      <c r="S336" s="36" t="n">
        <v>-0.07720254314259767</v>
      </c>
      <c r="T336" s="36" t="n">
        <v>-0.1232561484251402</v>
      </c>
      <c r="U336" s="31" t="n">
        <v>61400</v>
      </c>
      <c r="V336" s="31" t="n">
        <v>15880</v>
      </c>
      <c r="W336" s="36" t="n">
        <v>-0.3794788273615635</v>
      </c>
      <c r="X336" s="36" t="n">
        <v>1.399244332493703</v>
      </c>
      <c r="Y336" s="31" t="n">
        <v>20476584</v>
      </c>
      <c r="Z336" s="31" t="n">
        <v>780157850400</v>
      </c>
      <c r="AA336" s="31" t="n">
        <v>7685874900</v>
      </c>
      <c r="AB336" s="31" t="n">
        <v>10085205762.5</v>
      </c>
      <c r="AC336" s="36" t="n">
        <v>0.009851692059573999</v>
      </c>
      <c r="AD336" s="29" t="inlineStr">
        <is>
          <t>yfinance_download</t>
        </is>
      </c>
      <c r="AE336" s="29" t="inlineStr">
        <is>
          <t>317330.KQ</t>
        </is>
      </c>
    </row>
    <row r="337" ht="24" customHeight="1">
      <c r="A337" s="24" t="inlineStr">
        <is>
          <t>2024-10-24</t>
        </is>
      </c>
      <c r="B337" s="30" t="n">
        <v>38100</v>
      </c>
      <c r="C337" s="30" t="n">
        <v>38250</v>
      </c>
      <c r="D337" s="30" t="n">
        <v>36300</v>
      </c>
      <c r="E337" s="30" t="n">
        <v>36300</v>
      </c>
      <c r="F337" s="30" t="n">
        <v>36300</v>
      </c>
      <c r="G337" s="30" t="n">
        <v>252322</v>
      </c>
      <c r="H337" s="35" t="n">
        <v>-0.047244094488189</v>
      </c>
      <c r="I337" s="35" t="n">
        <v>-0.4087947882736156</v>
      </c>
      <c r="J337" s="30" t="n">
        <v>42552.5</v>
      </c>
      <c r="K337" s="30" t="n">
        <v>41215.83333333334</v>
      </c>
      <c r="L337" s="30" t="n">
        <v>43416.25</v>
      </c>
      <c r="M337" s="35" t="n">
        <v>0.4719219213177491</v>
      </c>
      <c r="N337" s="35" t="n">
        <v>0.5900579088679221</v>
      </c>
      <c r="O337" s="35" t="n">
        <v>-0.163594470046083</v>
      </c>
      <c r="P337" s="35" t="n">
        <v>-0.1059113300492611</v>
      </c>
      <c r="Q337" s="35" t="n">
        <v>-0.1167883211678832</v>
      </c>
      <c r="R337" s="35" t="n">
        <v>-0.1469361377122378</v>
      </c>
      <c r="S337" s="35" t="n">
        <v>-0.1192705068844903</v>
      </c>
      <c r="T337" s="35" t="n">
        <v>-0.1639075231048283</v>
      </c>
      <c r="U337" s="30" t="n">
        <v>61400</v>
      </c>
      <c r="V337" s="30" t="n">
        <v>15880</v>
      </c>
      <c r="W337" s="35" t="n">
        <v>-0.4087947882736156</v>
      </c>
      <c r="X337" s="35" t="n">
        <v>1.285894206549119</v>
      </c>
      <c r="Y337" s="30" t="n">
        <v>20476584</v>
      </c>
      <c r="Z337" s="30" t="n">
        <v>743299999200</v>
      </c>
      <c r="AA337" s="30" t="n">
        <v>9159288600</v>
      </c>
      <c r="AB337" s="30" t="n">
        <v>10233465622.5</v>
      </c>
      <c r="AC337" s="35" t="n">
        <v>0.01232246550498853</v>
      </c>
      <c r="AD337" s="24" t="inlineStr">
        <is>
          <t>yfinance_download</t>
        </is>
      </c>
      <c r="AE337" s="24" t="inlineStr">
        <is>
          <t>317330.KQ</t>
        </is>
      </c>
    </row>
    <row r="338" ht="24" customHeight="1">
      <c r="A338" s="29" t="inlineStr">
        <is>
          <t>2024-10-25</t>
        </is>
      </c>
      <c r="B338" s="31" t="n">
        <v>36600</v>
      </c>
      <c r="C338" s="31" t="n">
        <v>37100</v>
      </c>
      <c r="D338" s="31" t="n">
        <v>35550</v>
      </c>
      <c r="E338" s="31" t="n">
        <v>35550</v>
      </c>
      <c r="F338" s="31" t="n">
        <v>35550</v>
      </c>
      <c r="G338" s="31" t="n">
        <v>159208</v>
      </c>
      <c r="H338" s="36" t="n">
        <v>-0.02066115702479343</v>
      </c>
      <c r="I338" s="36" t="n">
        <v>-0.4210097719869706</v>
      </c>
      <c r="J338" s="31" t="n">
        <v>42107.5</v>
      </c>
      <c r="K338" s="31" t="n">
        <v>41130</v>
      </c>
      <c r="L338" s="31" t="n">
        <v>43375.83333333334</v>
      </c>
      <c r="M338" s="36" t="n">
        <v>0.4573757790079213</v>
      </c>
      <c r="N338" s="36" t="n">
        <v>0.5913505510398898</v>
      </c>
      <c r="O338" s="36" t="n">
        <v>-0.2002249718785152</v>
      </c>
      <c r="P338" s="36" t="n">
        <v>-0.1265356265356266</v>
      </c>
      <c r="Q338" s="36" t="n">
        <v>-0.120049504950495</v>
      </c>
      <c r="R338" s="36" t="n">
        <v>-0.1557323517188149</v>
      </c>
      <c r="S338" s="36" t="n">
        <v>-0.1356673960612691</v>
      </c>
      <c r="T338" s="36" t="n">
        <v>-0.1804192042419934</v>
      </c>
      <c r="U338" s="31" t="n">
        <v>61400</v>
      </c>
      <c r="V338" s="31" t="n">
        <v>16420</v>
      </c>
      <c r="W338" s="36" t="n">
        <v>-0.4210097719869706</v>
      </c>
      <c r="X338" s="36" t="n">
        <v>1.165042630937881</v>
      </c>
      <c r="Y338" s="31" t="n">
        <v>20476584</v>
      </c>
      <c r="Z338" s="31" t="n">
        <v>727942561200</v>
      </c>
      <c r="AA338" s="31" t="n">
        <v>5659844400</v>
      </c>
      <c r="AB338" s="31" t="n">
        <v>10172837117.5</v>
      </c>
      <c r="AC338" s="36" t="n">
        <v>0.007775124991551325</v>
      </c>
      <c r="AD338" s="29" t="inlineStr">
        <is>
          <t>yfinance_download</t>
        </is>
      </c>
      <c r="AE338" s="29" t="inlineStr">
        <is>
          <t>317330.KQ</t>
        </is>
      </c>
    </row>
    <row r="339" ht="24" customHeight="1">
      <c r="A339" s="24" t="inlineStr">
        <is>
          <t>2024-10-28</t>
        </is>
      </c>
      <c r="B339" s="30" t="n">
        <v>35250</v>
      </c>
      <c r="C339" s="30" t="n">
        <v>37200</v>
      </c>
      <c r="D339" s="30" t="n">
        <v>35000</v>
      </c>
      <c r="E339" s="30" t="n">
        <v>36950</v>
      </c>
      <c r="F339" s="30" t="n">
        <v>36950</v>
      </c>
      <c r="G339" s="30" t="n">
        <v>165120</v>
      </c>
      <c r="H339" s="35" t="n">
        <v>0.03938115330520398</v>
      </c>
      <c r="I339" s="35" t="n">
        <v>-0.3982084690553745</v>
      </c>
      <c r="J339" s="30" t="n">
        <v>41800</v>
      </c>
      <c r="K339" s="30" t="n">
        <v>41077.5</v>
      </c>
      <c r="L339" s="30" t="n">
        <v>43361.25</v>
      </c>
      <c r="M339" s="35" t="n">
        <v>0.4838692135979016</v>
      </c>
      <c r="N339" s="35" t="n">
        <v>0.5965772382623179</v>
      </c>
      <c r="O339" s="35" t="n">
        <v>-0.142691415313225</v>
      </c>
      <c r="P339" s="35" t="n">
        <v>-0.0785536159600998</v>
      </c>
      <c r="Q339" s="35" t="n">
        <v>-0.0452196382428941</v>
      </c>
      <c r="R339" s="35" t="n">
        <v>-0.1160287081339713</v>
      </c>
      <c r="S339" s="35" t="n">
        <v>-0.1004807984906579</v>
      </c>
      <c r="T339" s="35" t="n">
        <v>-0.147856669261149</v>
      </c>
      <c r="U339" s="30" t="n">
        <v>61400</v>
      </c>
      <c r="V339" s="30" t="n">
        <v>16420</v>
      </c>
      <c r="W339" s="35" t="n">
        <v>-0.3982084690553745</v>
      </c>
      <c r="X339" s="35" t="n">
        <v>1.250304506699147</v>
      </c>
      <c r="Y339" s="30" t="n">
        <v>20476584</v>
      </c>
      <c r="Z339" s="30" t="n">
        <v>756609778800</v>
      </c>
      <c r="AA339" s="30" t="n">
        <v>6101184000</v>
      </c>
      <c r="AB339" s="30" t="n">
        <v>10165610957.5</v>
      </c>
      <c r="AC339" s="35" t="n">
        <v>0.008063845024150513</v>
      </c>
      <c r="AD339" s="24" t="inlineStr">
        <is>
          <t>yfinance_download</t>
        </is>
      </c>
      <c r="AE339" s="24" t="inlineStr">
        <is>
          <t>317330.KQ</t>
        </is>
      </c>
    </row>
    <row r="340" ht="24" customHeight="1">
      <c r="A340" s="29" t="inlineStr">
        <is>
          <t>2024-10-29</t>
        </is>
      </c>
      <c r="B340" s="31" t="n">
        <v>36550</v>
      </c>
      <c r="C340" s="31" t="n">
        <v>36850</v>
      </c>
      <c r="D340" s="31" t="n">
        <v>34750</v>
      </c>
      <c r="E340" s="31" t="n">
        <v>35850</v>
      </c>
      <c r="F340" s="31" t="n">
        <v>35850</v>
      </c>
      <c r="G340" s="31" t="n">
        <v>208374</v>
      </c>
      <c r="H340" s="36" t="n">
        <v>-0.02976995940460081</v>
      </c>
      <c r="I340" s="36" t="n">
        <v>-0.4161237785016286</v>
      </c>
      <c r="J340" s="31" t="n">
        <v>41337.5</v>
      </c>
      <c r="K340" s="31" t="n">
        <v>41021.66666666666</v>
      </c>
      <c r="L340" s="31" t="n">
        <v>43323.33333333334</v>
      </c>
      <c r="M340" s="36" t="n">
        <v>0.445948677595883</v>
      </c>
      <c r="N340" s="36" t="n">
        <v>0.5979073328294263</v>
      </c>
      <c r="O340" s="36" t="n">
        <v>-0.20509977827051</v>
      </c>
      <c r="P340" s="36" t="n">
        <v>-0.08545918367346939</v>
      </c>
      <c r="Q340" s="36" t="n">
        <v>-0.1126237623762376</v>
      </c>
      <c r="R340" s="36" t="n">
        <v>-0.1327487148472937</v>
      </c>
      <c r="S340" s="36" t="n">
        <v>-0.1260715881851053</v>
      </c>
      <c r="T340" s="36" t="n">
        <v>-0.1725013464645688</v>
      </c>
      <c r="U340" s="31" t="n">
        <v>61400</v>
      </c>
      <c r="V340" s="31" t="n">
        <v>16420</v>
      </c>
      <c r="W340" s="36" t="n">
        <v>-0.4161237785016286</v>
      </c>
      <c r="X340" s="36" t="n">
        <v>1.183313032886724</v>
      </c>
      <c r="Y340" s="31" t="n">
        <v>20476584</v>
      </c>
      <c r="Z340" s="31" t="n">
        <v>734085536400</v>
      </c>
      <c r="AA340" s="31" t="n">
        <v>7470207900</v>
      </c>
      <c r="AB340" s="31" t="n">
        <v>10115936777.5</v>
      </c>
      <c r="AC340" s="36" t="n">
        <v>0.01017620907862366</v>
      </c>
      <c r="AD340" s="29" t="inlineStr">
        <is>
          <t>yfinance_download</t>
        </is>
      </c>
      <c r="AE340" s="29" t="inlineStr">
        <is>
          <t>317330.KQ</t>
        </is>
      </c>
    </row>
    <row r="341" ht="24" customHeight="1">
      <c r="A341" s="24" t="inlineStr">
        <is>
          <t>2024-10-30</t>
        </is>
      </c>
      <c r="B341" s="30" t="n">
        <v>35900</v>
      </c>
      <c r="C341" s="30" t="n">
        <v>37400</v>
      </c>
      <c r="D341" s="30" t="n">
        <v>35850</v>
      </c>
      <c r="E341" s="30" t="n">
        <v>35850</v>
      </c>
      <c r="F341" s="30" t="n">
        <v>35850</v>
      </c>
      <c r="G341" s="30" t="n">
        <v>163619</v>
      </c>
      <c r="H341" s="35" t="n">
        <v>0</v>
      </c>
      <c r="I341" s="35" t="n">
        <v>-0.4161237785016286</v>
      </c>
      <c r="J341" s="30" t="n">
        <v>40905</v>
      </c>
      <c r="K341" s="30" t="n">
        <v>40951.66666666666</v>
      </c>
      <c r="L341" s="30" t="n">
        <v>43281.66666666666</v>
      </c>
      <c r="M341" s="35" t="n">
        <v>0.4475493856079349</v>
      </c>
      <c r="N341" s="35" t="n">
        <v>0.596076201106524</v>
      </c>
      <c r="O341" s="35" t="n">
        <v>-0.1943820224719102</v>
      </c>
      <c r="P341" s="35" t="n">
        <v>-0.1048689138576779</v>
      </c>
      <c r="Q341" s="35" t="n">
        <v>-0.1223990208078335</v>
      </c>
      <c r="R341" s="35" t="n">
        <v>-0.1235790245691236</v>
      </c>
      <c r="S341" s="35" t="n">
        <v>-0.1245777542631556</v>
      </c>
      <c r="T341" s="35" t="n">
        <v>-0.1717047248642611</v>
      </c>
      <c r="U341" s="30" t="n">
        <v>61400</v>
      </c>
      <c r="V341" s="30" t="n">
        <v>16420</v>
      </c>
      <c r="W341" s="35" t="n">
        <v>-0.4161237785016286</v>
      </c>
      <c r="X341" s="35" t="n">
        <v>1.183313032886724</v>
      </c>
      <c r="Y341" s="30" t="n">
        <v>20476584</v>
      </c>
      <c r="Z341" s="30" t="n">
        <v>734085536400</v>
      </c>
      <c r="AA341" s="30" t="n">
        <v>5865741150</v>
      </c>
      <c r="AB341" s="30" t="n">
        <v>10093540835</v>
      </c>
      <c r="AC341" s="35" t="n">
        <v>0.007990541781773757</v>
      </c>
      <c r="AD341" s="24" t="inlineStr">
        <is>
          <t>yfinance_download</t>
        </is>
      </c>
      <c r="AE341" s="24" t="inlineStr">
        <is>
          <t>317330.KQ</t>
        </is>
      </c>
    </row>
    <row r="342" ht="24" customHeight="1">
      <c r="A342" s="29" t="inlineStr">
        <is>
          <t>2024-10-31</t>
        </is>
      </c>
      <c r="B342" s="31" t="n">
        <v>37400</v>
      </c>
      <c r="C342" s="31" t="n">
        <v>39150</v>
      </c>
      <c r="D342" s="31" t="n">
        <v>36650</v>
      </c>
      <c r="E342" s="31" t="n">
        <v>37800</v>
      </c>
      <c r="F342" s="31" t="n">
        <v>37800</v>
      </c>
      <c r="G342" s="31" t="n">
        <v>287017</v>
      </c>
      <c r="H342" s="36" t="n">
        <v>0.05439330543933063</v>
      </c>
      <c r="I342" s="36" t="n">
        <v>-0.3843648208469055</v>
      </c>
      <c r="J342" s="31" t="n">
        <v>40545</v>
      </c>
      <c r="K342" s="31" t="n">
        <v>40920.83333333334</v>
      </c>
      <c r="L342" s="31" t="n">
        <v>43225.83333333334</v>
      </c>
      <c r="M342" s="36" t="n">
        <v>0.4985034275707165</v>
      </c>
      <c r="N342" s="36" t="n">
        <v>0.6065070376891077</v>
      </c>
      <c r="O342" s="36" t="n">
        <v>-0.16</v>
      </c>
      <c r="P342" s="36" t="n">
        <v>-0.04665825977301385</v>
      </c>
      <c r="Q342" s="36" t="n">
        <v>-0.150561797752809</v>
      </c>
      <c r="R342" s="36" t="n">
        <v>-0.06770255271920089</v>
      </c>
      <c r="S342" s="36" t="n">
        <v>-0.07626514611546686</v>
      </c>
      <c r="T342" s="36" t="n">
        <v>-0.125522931888724</v>
      </c>
      <c r="U342" s="31" t="n">
        <v>61400</v>
      </c>
      <c r="V342" s="31" t="n">
        <v>16420</v>
      </c>
      <c r="W342" s="36" t="n">
        <v>-0.3843648208469055</v>
      </c>
      <c r="X342" s="36" t="n">
        <v>1.302070645554202</v>
      </c>
      <c r="Y342" s="31" t="n">
        <v>20476584</v>
      </c>
      <c r="Z342" s="31" t="n">
        <v>774014875200</v>
      </c>
      <c r="AA342" s="31" t="n">
        <v>10849242600</v>
      </c>
      <c r="AB342" s="31" t="n">
        <v>9975834965</v>
      </c>
      <c r="AC342" s="36" t="n">
        <v>0.01401683991822074</v>
      </c>
      <c r="AD342" s="29" t="inlineStr">
        <is>
          <t>yfinance_download</t>
        </is>
      </c>
      <c r="AE342" s="29" t="inlineStr">
        <is>
          <t>317330.KQ</t>
        </is>
      </c>
    </row>
    <row r="343" ht="24" customHeight="1">
      <c r="A343" s="24" t="inlineStr">
        <is>
          <t>2024-11-01</t>
        </is>
      </c>
      <c r="B343" s="30" t="n">
        <v>38850</v>
      </c>
      <c r="C343" s="30" t="n">
        <v>40800</v>
      </c>
      <c r="D343" s="30" t="n">
        <v>38150</v>
      </c>
      <c r="E343" s="30" t="n">
        <v>40300</v>
      </c>
      <c r="F343" s="30" t="n">
        <v>40300</v>
      </c>
      <c r="G343" s="30" t="n">
        <v>433951</v>
      </c>
      <c r="H343" s="35" t="n">
        <v>0.06613756613756605</v>
      </c>
      <c r="I343" s="35" t="n">
        <v>-0.3436482084690554</v>
      </c>
      <c r="J343" s="30" t="n">
        <v>40312.5</v>
      </c>
      <c r="K343" s="30" t="n">
        <v>40916.66666666666</v>
      </c>
      <c r="L343" s="30" t="n">
        <v>43213.75</v>
      </c>
      <c r="M343" s="35" t="n">
        <v>0.564055537801919</v>
      </c>
      <c r="N343" s="35" t="n">
        <v>0.6198584106824286</v>
      </c>
      <c r="O343" s="35" t="n">
        <v>-0.103448275862069</v>
      </c>
      <c r="P343" s="35" t="n">
        <v>-0.006165228113440224</v>
      </c>
      <c r="Q343" s="35" t="n">
        <v>-0.03473053892215572</v>
      </c>
      <c r="R343" s="35" t="n">
        <v>-0.0003100775193798366</v>
      </c>
      <c r="S343" s="35" t="n">
        <v>-0.01507128309572292</v>
      </c>
      <c r="T343" s="35" t="n">
        <v>-0.06742645569986405</v>
      </c>
      <c r="U343" s="30" t="n">
        <v>61400</v>
      </c>
      <c r="V343" s="30" t="n">
        <v>16420</v>
      </c>
      <c r="W343" s="35" t="n">
        <v>-0.3436482084690554</v>
      </c>
      <c r="X343" s="35" t="n">
        <v>1.454323995127893</v>
      </c>
      <c r="Y343" s="30" t="n">
        <v>20476584</v>
      </c>
      <c r="Z343" s="30" t="n">
        <v>825206335200</v>
      </c>
      <c r="AA343" s="30" t="n">
        <v>17488225300</v>
      </c>
      <c r="AB343" s="30" t="n">
        <v>10441255170</v>
      </c>
      <c r="AC343" s="35" t="n">
        <v>0.02119254852274188</v>
      </c>
      <c r="AD343" s="24" t="inlineStr">
        <is>
          <t>yfinance_download</t>
        </is>
      </c>
      <c r="AE343" s="24" t="inlineStr">
        <is>
          <t>317330.KQ</t>
        </is>
      </c>
    </row>
    <row r="344" ht="24" customHeight="1">
      <c r="A344" s="29" t="inlineStr">
        <is>
          <t>2024-11-04</t>
        </is>
      </c>
      <c r="B344" s="31" t="n">
        <v>40150</v>
      </c>
      <c r="C344" s="31" t="n">
        <v>40700</v>
      </c>
      <c r="D344" s="31" t="n">
        <v>39150</v>
      </c>
      <c r="E344" s="31" t="n">
        <v>40700</v>
      </c>
      <c r="F344" s="31" t="n">
        <v>40700</v>
      </c>
      <c r="G344" s="31" t="n">
        <v>158456</v>
      </c>
      <c r="H344" s="36" t="n">
        <v>0.009925558312655181</v>
      </c>
      <c r="I344" s="36" t="n">
        <v>-0.3371335504885994</v>
      </c>
      <c r="J344" s="31" t="n">
        <v>40172.5</v>
      </c>
      <c r="K344" s="31" t="n">
        <v>40897.5</v>
      </c>
      <c r="L344" s="31" t="n">
        <v>43222.91666666666</v>
      </c>
      <c r="M344" s="36" t="n">
        <v>0.5566981609970103</v>
      </c>
      <c r="N344" s="36" t="n">
        <v>0.616720573675037</v>
      </c>
      <c r="O344" s="36" t="n">
        <v>-0.06436781609195408</v>
      </c>
      <c r="P344" s="36" t="n">
        <v>-0.02747909199522103</v>
      </c>
      <c r="Q344" s="36" t="n">
        <v>0.02777777777777768</v>
      </c>
      <c r="R344" s="36" t="n">
        <v>0.01313087310971439</v>
      </c>
      <c r="S344" s="36" t="n">
        <v>-0.004829146035821297</v>
      </c>
      <c r="T344" s="36" t="n">
        <v>-0.05836988480262206</v>
      </c>
      <c r="U344" s="31" t="n">
        <v>61400</v>
      </c>
      <c r="V344" s="31" t="n">
        <v>16420</v>
      </c>
      <c r="W344" s="36" t="n">
        <v>-0.3371335504885994</v>
      </c>
      <c r="X344" s="36" t="n">
        <v>1.478684531059683</v>
      </c>
      <c r="Y344" s="31" t="n">
        <v>20476584</v>
      </c>
      <c r="Z344" s="31" t="n">
        <v>833396968800</v>
      </c>
      <c r="AA344" s="31" t="n">
        <v>6449159200</v>
      </c>
      <c r="AB344" s="31" t="n">
        <v>10390252580</v>
      </c>
      <c r="AC344" s="36" t="n">
        <v>0.007738400115956842</v>
      </c>
      <c r="AD344" s="29" t="inlineStr">
        <is>
          <t>yfinance_download</t>
        </is>
      </c>
      <c r="AE344" s="29" t="inlineStr">
        <is>
          <t>317330.KQ</t>
        </is>
      </c>
    </row>
    <row r="345" ht="24" customHeight="1">
      <c r="A345" s="24" t="inlineStr">
        <is>
          <t>2024-11-05</t>
        </is>
      </c>
      <c r="B345" s="30" t="n">
        <v>41200</v>
      </c>
      <c r="C345" s="30" t="n">
        <v>41200</v>
      </c>
      <c r="D345" s="30" t="n">
        <v>39250</v>
      </c>
      <c r="E345" s="30" t="n">
        <v>40100</v>
      </c>
      <c r="F345" s="30" t="n">
        <v>40100</v>
      </c>
      <c r="G345" s="30" t="n">
        <v>119699</v>
      </c>
      <c r="H345" s="35" t="n">
        <v>-0.01474201474201475</v>
      </c>
      <c r="I345" s="35" t="n">
        <v>-0.3469055374592834</v>
      </c>
      <c r="J345" s="30" t="n">
        <v>39962.5</v>
      </c>
      <c r="K345" s="30" t="n">
        <v>40904.16666666666</v>
      </c>
      <c r="L345" s="30" t="n">
        <v>43232.08333333334</v>
      </c>
      <c r="M345" s="35" t="n">
        <v>0.5524227971432183</v>
      </c>
      <c r="N345" s="35" t="n">
        <v>0.6081238876847863</v>
      </c>
      <c r="O345" s="35" t="n">
        <v>-0.09480812641083525</v>
      </c>
      <c r="P345" s="35" t="n">
        <v>0.01007556675062982</v>
      </c>
      <c r="Q345" s="35" t="n">
        <v>0.0282051282051281</v>
      </c>
      <c r="R345" s="35" t="n">
        <v>0.003440725680325274</v>
      </c>
      <c r="S345" s="35" t="n">
        <v>-0.01965977386166851</v>
      </c>
      <c r="T345" s="35" t="n">
        <v>-0.0724481239819964</v>
      </c>
      <c r="U345" s="30" t="n">
        <v>61400</v>
      </c>
      <c r="V345" s="30" t="n">
        <v>16420</v>
      </c>
      <c r="W345" s="35" t="n">
        <v>-0.3469055374592834</v>
      </c>
      <c r="X345" s="35" t="n">
        <v>1.442143727161997</v>
      </c>
      <c r="Y345" s="30" t="n">
        <v>20476584</v>
      </c>
      <c r="Z345" s="30" t="n">
        <v>821111018400</v>
      </c>
      <c r="AA345" s="30" t="n">
        <v>4799929900</v>
      </c>
      <c r="AB345" s="30" t="n">
        <v>10103761295</v>
      </c>
      <c r="AC345" s="35" t="n">
        <v>0.005845652770989536</v>
      </c>
      <c r="AD345" s="24" t="inlineStr">
        <is>
          <t>yfinance_download</t>
        </is>
      </c>
      <c r="AE345" s="24" t="inlineStr">
        <is>
          <t>317330.KQ</t>
        </is>
      </c>
    </row>
    <row r="346" ht="24" customHeight="1">
      <c r="A346" s="29" t="inlineStr">
        <is>
          <t>2024-11-06</t>
        </is>
      </c>
      <c r="B346" s="31" t="n">
        <v>40300</v>
      </c>
      <c r="C346" s="31" t="n">
        <v>41500</v>
      </c>
      <c r="D346" s="31" t="n">
        <v>36900</v>
      </c>
      <c r="E346" s="31" t="n">
        <v>39050</v>
      </c>
      <c r="F346" s="31" t="n">
        <v>39050</v>
      </c>
      <c r="G346" s="31" t="n">
        <v>404439</v>
      </c>
      <c r="H346" s="36" t="n">
        <v>-0.02618453865336656</v>
      </c>
      <c r="I346" s="36" t="n">
        <v>-0.3640065146579805</v>
      </c>
      <c r="J346" s="31" t="n">
        <v>39577.5</v>
      </c>
      <c r="K346" s="31" t="n">
        <v>40975</v>
      </c>
      <c r="L346" s="31" t="n">
        <v>43236.66666666666</v>
      </c>
      <c r="M346" s="36" t="n">
        <v>0.5096906318414139</v>
      </c>
      <c r="N346" s="36" t="n">
        <v>0.5534063157321082</v>
      </c>
      <c r="O346" s="36" t="n">
        <v>-0.1647058823529411</v>
      </c>
      <c r="P346" s="36" t="n">
        <v>0.1221264367816093</v>
      </c>
      <c r="Q346" s="36" t="n">
        <v>0.01428571428571423</v>
      </c>
      <c r="R346" s="36" t="n">
        <v>-0.01332827995704633</v>
      </c>
      <c r="S346" s="36" t="n">
        <v>-0.04697986577181212</v>
      </c>
      <c r="T346" s="36" t="n">
        <v>-0.09683139310770172</v>
      </c>
      <c r="U346" s="31" t="n">
        <v>61400</v>
      </c>
      <c r="V346" s="31" t="n">
        <v>16420</v>
      </c>
      <c r="W346" s="36" t="n">
        <v>-0.3640065146579805</v>
      </c>
      <c r="X346" s="36" t="n">
        <v>1.378197320341048</v>
      </c>
      <c r="Y346" s="31" t="n">
        <v>20476584</v>
      </c>
      <c r="Z346" s="31" t="n">
        <v>799610605200</v>
      </c>
      <c r="AA346" s="31" t="n">
        <v>15793342950</v>
      </c>
      <c r="AB346" s="31" t="n">
        <v>9459886442.5</v>
      </c>
      <c r="AC346" s="36" t="n">
        <v>0.01975129250074133</v>
      </c>
      <c r="AD346" s="29" t="inlineStr">
        <is>
          <t>yfinance_download</t>
        </is>
      </c>
      <c r="AE346" s="29" t="inlineStr">
        <is>
          <t>317330.KQ</t>
        </is>
      </c>
    </row>
    <row r="347" ht="24" customHeight="1">
      <c r="A347" s="24" t="inlineStr">
        <is>
          <t>2024-11-07</t>
        </is>
      </c>
      <c r="B347" s="30" t="n">
        <v>39050</v>
      </c>
      <c r="C347" s="30" t="n">
        <v>39050</v>
      </c>
      <c r="D347" s="30" t="n">
        <v>37100</v>
      </c>
      <c r="E347" s="30" t="n">
        <v>38200</v>
      </c>
      <c r="F347" s="30" t="n">
        <v>38200</v>
      </c>
      <c r="G347" s="30" t="n">
        <v>211066</v>
      </c>
      <c r="H347" s="35" t="n">
        <v>-0.0217669654289373</v>
      </c>
      <c r="I347" s="35" t="n">
        <v>-0.3778501628664495</v>
      </c>
      <c r="J347" s="30" t="n">
        <v>39130</v>
      </c>
      <c r="K347" s="30" t="n">
        <v>40998.33333333334</v>
      </c>
      <c r="L347" s="30" t="n">
        <v>43242.91666666666</v>
      </c>
      <c r="M347" s="35" t="n">
        <v>0.5076140163337516</v>
      </c>
      <c r="N347" s="35" t="n">
        <v>0.5435361526653634</v>
      </c>
      <c r="O347" s="35" t="n">
        <v>-0.1898197242841994</v>
      </c>
      <c r="P347" s="35" t="n">
        <v>0.03804347826086962</v>
      </c>
      <c r="Q347" s="35" t="n">
        <v>0.02002670226969294</v>
      </c>
      <c r="R347" s="35" t="n">
        <v>-0.02376693074367497</v>
      </c>
      <c r="S347" s="35" t="n">
        <v>-0.06825480710597998</v>
      </c>
      <c r="T347" s="35" t="n">
        <v>-0.1166183286280026</v>
      </c>
      <c r="U347" s="30" t="n">
        <v>61400</v>
      </c>
      <c r="V347" s="30" t="n">
        <v>16420</v>
      </c>
      <c r="W347" s="35" t="n">
        <v>-0.3778501628664495</v>
      </c>
      <c r="X347" s="35" t="n">
        <v>1.326431181485993</v>
      </c>
      <c r="Y347" s="30" t="n">
        <v>20476584</v>
      </c>
      <c r="Z347" s="30" t="n">
        <v>782205508800</v>
      </c>
      <c r="AA347" s="30" t="n">
        <v>8062721200</v>
      </c>
      <c r="AB347" s="30" t="n">
        <v>9225830330</v>
      </c>
      <c r="AC347" s="35" t="n">
        <v>0.0103076763194486</v>
      </c>
      <c r="AD347" s="24" t="inlineStr">
        <is>
          <t>yfinance_download</t>
        </is>
      </c>
      <c r="AE347" s="24" t="inlineStr">
        <is>
          <t>317330.KQ</t>
        </is>
      </c>
    </row>
    <row r="348" ht="24" customHeight="1">
      <c r="A348" s="29" t="inlineStr">
        <is>
          <t>2024-11-08</t>
        </is>
      </c>
      <c r="B348" s="31" t="n">
        <v>39000</v>
      </c>
      <c r="C348" s="31" t="n">
        <v>40600</v>
      </c>
      <c r="D348" s="31" t="n">
        <v>39000</v>
      </c>
      <c r="E348" s="31" t="n">
        <v>39600</v>
      </c>
      <c r="F348" s="31" t="n">
        <v>39600</v>
      </c>
      <c r="G348" s="31" t="n">
        <v>176366</v>
      </c>
      <c r="H348" s="36" t="n">
        <v>0.03664921465968596</v>
      </c>
      <c r="I348" s="36" t="n">
        <v>-0.3550488599348535</v>
      </c>
      <c r="J348" s="31" t="n">
        <v>38852.5</v>
      </c>
      <c r="K348" s="31" t="n">
        <v>41022.5</v>
      </c>
      <c r="L348" s="31" t="n">
        <v>43260</v>
      </c>
      <c r="M348" s="36" t="n">
        <v>0.5181014253423203</v>
      </c>
      <c r="N348" s="36" t="n">
        <v>0.5435262385367593</v>
      </c>
      <c r="O348" s="36" t="n">
        <v>-0.1229235880398671</v>
      </c>
      <c r="P348" s="36" t="n">
        <v>0.03800786369593712</v>
      </c>
      <c r="Q348" s="36" t="n">
        <v>0.05459387483355527</v>
      </c>
      <c r="R348" s="36" t="n">
        <v>0.01923943118203453</v>
      </c>
      <c r="S348" s="36" t="n">
        <v>-0.03467609238832348</v>
      </c>
      <c r="T348" s="36" t="n">
        <v>-0.0846047156726768</v>
      </c>
      <c r="U348" s="31" t="n">
        <v>61400</v>
      </c>
      <c r="V348" s="31" t="n">
        <v>16420</v>
      </c>
      <c r="W348" s="36" t="n">
        <v>-0.3550488599348535</v>
      </c>
      <c r="X348" s="36" t="n">
        <v>1.411693057247259</v>
      </c>
      <c r="Y348" s="31" t="n">
        <v>20476584</v>
      </c>
      <c r="Z348" s="31" t="n">
        <v>810872726400</v>
      </c>
      <c r="AA348" s="31" t="n">
        <v>6984093600</v>
      </c>
      <c r="AB348" s="31" t="n">
        <v>8785526307.5</v>
      </c>
      <c r="AC348" s="36" t="n">
        <v>0.008613057724862701</v>
      </c>
      <c r="AD348" s="29" t="inlineStr">
        <is>
          <t>yfinance_download</t>
        </is>
      </c>
      <c r="AE348" s="29" t="inlineStr">
        <is>
          <t>317330.KQ</t>
        </is>
      </c>
    </row>
    <row r="349" ht="24" customHeight="1">
      <c r="A349" s="24" t="inlineStr">
        <is>
          <t>2024-11-11</t>
        </is>
      </c>
      <c r="B349" s="30" t="n">
        <v>39800</v>
      </c>
      <c r="C349" s="30" t="n">
        <v>40350</v>
      </c>
      <c r="D349" s="30" t="n">
        <v>36100</v>
      </c>
      <c r="E349" s="30" t="n">
        <v>37400</v>
      </c>
      <c r="F349" s="30" t="n">
        <v>37400</v>
      </c>
      <c r="G349" s="30" t="n">
        <v>315847</v>
      </c>
      <c r="H349" s="35" t="n">
        <v>-0.05555555555555558</v>
      </c>
      <c r="I349" s="35" t="n">
        <v>-0.3908794788273615</v>
      </c>
      <c r="J349" s="30" t="n">
        <v>38570</v>
      </c>
      <c r="K349" s="30" t="n">
        <v>41035</v>
      </c>
      <c r="L349" s="30" t="n">
        <v>43250</v>
      </c>
      <c r="M349" s="35" t="n">
        <v>0.5283651576023001</v>
      </c>
      <c r="N349" s="35" t="n">
        <v>0.549679484701869</v>
      </c>
      <c r="O349" s="35" t="n">
        <v>-0.1312427409988386</v>
      </c>
      <c r="P349" s="35" t="n">
        <v>0.02046384720327432</v>
      </c>
      <c r="Q349" s="35" t="n">
        <v>-0.0310880829015544</v>
      </c>
      <c r="R349" s="35" t="n">
        <v>-0.03033445683173452</v>
      </c>
      <c r="S349" s="35" t="n">
        <v>-0.08858291702205434</v>
      </c>
      <c r="T349" s="35" t="n">
        <v>-0.1352601156069364</v>
      </c>
      <c r="U349" s="30" t="n">
        <v>61400</v>
      </c>
      <c r="V349" s="30" t="n">
        <v>16420</v>
      </c>
      <c r="W349" s="35" t="n">
        <v>-0.3908794788273615</v>
      </c>
      <c r="X349" s="35" t="n">
        <v>1.277710109622411</v>
      </c>
      <c r="Y349" s="30" t="n">
        <v>20476584</v>
      </c>
      <c r="Z349" s="30" t="n">
        <v>765824241600</v>
      </c>
      <c r="AA349" s="30" t="n">
        <v>11812677800</v>
      </c>
      <c r="AB349" s="30" t="n">
        <v>8716367287.5</v>
      </c>
      <c r="AC349" s="35" t="n">
        <v>0.01542478960357841</v>
      </c>
      <c r="AD349" s="24" t="inlineStr">
        <is>
          <t>yfinance_download</t>
        </is>
      </c>
      <c r="AE349" s="24" t="inlineStr">
        <is>
          <t>317330.KQ</t>
        </is>
      </c>
    </row>
    <row r="350" ht="24" customHeight="1">
      <c r="A350" s="29" t="inlineStr">
        <is>
          <t>2024-11-12</t>
        </is>
      </c>
      <c r="B350" s="31" t="n">
        <v>37150</v>
      </c>
      <c r="C350" s="31" t="n">
        <v>37950</v>
      </c>
      <c r="D350" s="31" t="n">
        <v>35950</v>
      </c>
      <c r="E350" s="31" t="n">
        <v>36350</v>
      </c>
      <c r="F350" s="31" t="n">
        <v>36350</v>
      </c>
      <c r="G350" s="31" t="n">
        <v>183325</v>
      </c>
      <c r="H350" s="36" t="n">
        <v>-0.02807486631016043</v>
      </c>
      <c r="I350" s="36" t="n">
        <v>-0.4079804560260586</v>
      </c>
      <c r="J350" s="31" t="n">
        <v>38285</v>
      </c>
      <c r="K350" s="31" t="n">
        <v>41011.66666666666</v>
      </c>
      <c r="L350" s="31" t="n">
        <v>43235.41666666666</v>
      </c>
      <c r="M350" s="36" t="n">
        <v>0.5306765038842871</v>
      </c>
      <c r="N350" s="36" t="n">
        <v>0.5494410072821508</v>
      </c>
      <c r="O350" s="36" t="n">
        <v>-0.1355529131985731</v>
      </c>
      <c r="P350" s="36" t="n">
        <v>-0.03708609271523178</v>
      </c>
      <c r="Q350" s="36" t="n">
        <v>-0.04593175853018372</v>
      </c>
      <c r="R350" s="36" t="n">
        <v>-0.05054198772365159</v>
      </c>
      <c r="S350" s="36" t="n">
        <v>-0.113666842768318</v>
      </c>
      <c r="T350" s="36" t="n">
        <v>-0.1592540837469281</v>
      </c>
      <c r="U350" s="31" t="n">
        <v>61400</v>
      </c>
      <c r="V350" s="31" t="n">
        <v>16420</v>
      </c>
      <c r="W350" s="36" t="n">
        <v>-0.4079804560260586</v>
      </c>
      <c r="X350" s="36" t="n">
        <v>1.213763702801462</v>
      </c>
      <c r="Y350" s="31" t="n">
        <v>20476584</v>
      </c>
      <c r="Z350" s="31" t="n">
        <v>744323828400</v>
      </c>
      <c r="AA350" s="31" t="n">
        <v>6663863750</v>
      </c>
      <c r="AB350" s="31" t="n">
        <v>8150056310</v>
      </c>
      <c r="AC350" s="36" t="n">
        <v>0.00895290933292389</v>
      </c>
      <c r="AD350" s="29" t="inlineStr">
        <is>
          <t>yfinance_download</t>
        </is>
      </c>
      <c r="AE350" s="29" t="inlineStr">
        <is>
          <t>317330.KQ</t>
        </is>
      </c>
    </row>
    <row r="351" ht="24" customHeight="1">
      <c r="A351" s="24" t="inlineStr">
        <is>
          <t>2024-11-13</t>
        </is>
      </c>
      <c r="B351" s="30" t="n">
        <v>35750</v>
      </c>
      <c r="C351" s="30" t="n">
        <v>37400</v>
      </c>
      <c r="D351" s="30" t="n">
        <v>33250</v>
      </c>
      <c r="E351" s="30" t="n">
        <v>33250</v>
      </c>
      <c r="F351" s="30" t="n">
        <v>33250</v>
      </c>
      <c r="G351" s="30" t="n">
        <v>337013</v>
      </c>
      <c r="H351" s="35" t="n">
        <v>-0.0852819807427786</v>
      </c>
      <c r="I351" s="35" t="n">
        <v>-0.4584690553745928</v>
      </c>
      <c r="J351" s="30" t="n">
        <v>37887.5</v>
      </c>
      <c r="K351" s="30" t="n">
        <v>40920</v>
      </c>
      <c r="L351" s="30" t="n">
        <v>43199.58333333334</v>
      </c>
      <c r="M351" s="35" t="n">
        <v>0.5985280168382564</v>
      </c>
      <c r="N351" s="35" t="n">
        <v>0.5736046818209414</v>
      </c>
      <c r="O351" s="35" t="n">
        <v>-0.1929611650485437</v>
      </c>
      <c r="P351" s="35" t="n">
        <v>-0.1419354838709678</v>
      </c>
      <c r="Q351" s="35" t="n">
        <v>-0.1145139813581891</v>
      </c>
      <c r="R351" s="35" t="n">
        <v>-0.1224018475750578</v>
      </c>
      <c r="S351" s="35" t="n">
        <v>-0.1874389051808406</v>
      </c>
      <c r="T351" s="35" t="n">
        <v>-0.2303166504306562</v>
      </c>
      <c r="U351" s="30" t="n">
        <v>61400</v>
      </c>
      <c r="V351" s="30" t="n">
        <v>16420</v>
      </c>
      <c r="W351" s="35" t="n">
        <v>-0.4584690553745928</v>
      </c>
      <c r="X351" s="35" t="n">
        <v>1.024969549330085</v>
      </c>
      <c r="Y351" s="30" t="n">
        <v>20476584</v>
      </c>
      <c r="Z351" s="30" t="n">
        <v>680846418000</v>
      </c>
      <c r="AA351" s="30" t="n">
        <v>11205682250</v>
      </c>
      <c r="AB351" s="30" t="n">
        <v>8439499862.5</v>
      </c>
      <c r="AC351" s="35" t="n">
        <v>0.01645845811000507</v>
      </c>
      <c r="AD351" s="24" t="inlineStr">
        <is>
          <t>yfinance_download</t>
        </is>
      </c>
      <c r="AE351" s="24" t="inlineStr">
        <is>
          <t>317330.KQ</t>
        </is>
      </c>
    </row>
    <row r="352" ht="24" customHeight="1">
      <c r="A352" s="29" t="inlineStr">
        <is>
          <t>2024-11-14</t>
        </is>
      </c>
      <c r="B352" s="31" t="n">
        <v>33650</v>
      </c>
      <c r="C352" s="31" t="n">
        <v>34350</v>
      </c>
      <c r="D352" s="31" t="n">
        <v>31350</v>
      </c>
      <c r="E352" s="31" t="n">
        <v>31400</v>
      </c>
      <c r="F352" s="31" t="n">
        <v>31400</v>
      </c>
      <c r="G352" s="31" t="n">
        <v>310304</v>
      </c>
      <c r="H352" s="36" t="n">
        <v>-0.05563909774436093</v>
      </c>
      <c r="I352" s="36" t="n">
        <v>-0.4885993485342019</v>
      </c>
      <c r="J352" s="31" t="n">
        <v>37435</v>
      </c>
      <c r="K352" s="31" t="n">
        <v>40800.83333333334</v>
      </c>
      <c r="L352" s="31" t="n">
        <v>43154.16666666666</v>
      </c>
      <c r="M352" s="36" t="n">
        <v>0.6197220836393241</v>
      </c>
      <c r="N352" s="36" t="n">
        <v>0.5840614225963702</v>
      </c>
      <c r="O352" s="36" t="n">
        <v>-0.2237330037082819</v>
      </c>
      <c r="P352" s="36" t="n">
        <v>-0.185473411154345</v>
      </c>
      <c r="Q352" s="36" t="n">
        <v>-0.1478968792401628</v>
      </c>
      <c r="R352" s="36" t="n">
        <v>-0.1612127687992521</v>
      </c>
      <c r="S352" s="36" t="n">
        <v>-0.2304078756561345</v>
      </c>
      <c r="T352" s="36" t="n">
        <v>-0.2723761707058028</v>
      </c>
      <c r="U352" s="31" t="n">
        <v>61400</v>
      </c>
      <c r="V352" s="31" t="n">
        <v>16420</v>
      </c>
      <c r="W352" s="36" t="n">
        <v>-0.4885993485342019</v>
      </c>
      <c r="X352" s="36" t="n">
        <v>0.9123020706455542</v>
      </c>
      <c r="Y352" s="31" t="n">
        <v>20476584</v>
      </c>
      <c r="Z352" s="31" t="n">
        <v>642964737600</v>
      </c>
      <c r="AA352" s="31" t="n">
        <v>9743545600</v>
      </c>
      <c r="AB352" s="31" t="n">
        <v>8701643680</v>
      </c>
      <c r="AC352" s="36" t="n">
        <v>0.0151540901548813</v>
      </c>
      <c r="AD352" s="29" t="inlineStr">
        <is>
          <t>yfinance_download</t>
        </is>
      </c>
      <c r="AE352" s="29" t="inlineStr">
        <is>
          <t>317330.KQ</t>
        </is>
      </c>
    </row>
    <row r="353" ht="24" customHeight="1">
      <c r="A353" s="24" t="inlineStr">
        <is>
          <t>2024-11-15</t>
        </is>
      </c>
      <c r="B353" s="30" t="n">
        <v>28950</v>
      </c>
      <c r="C353" s="30" t="n">
        <v>31000</v>
      </c>
      <c r="D353" s="30" t="n">
        <v>26600</v>
      </c>
      <c r="E353" s="30" t="n">
        <v>29950</v>
      </c>
      <c r="F353" s="30" t="n">
        <v>29950</v>
      </c>
      <c r="G353" s="30" t="n">
        <v>707257</v>
      </c>
      <c r="H353" s="35" t="n">
        <v>-0.04617834394904463</v>
      </c>
      <c r="I353" s="35" t="n">
        <v>-0.5122149837133551</v>
      </c>
      <c r="J353" s="30" t="n">
        <v>36972.5</v>
      </c>
      <c r="K353" s="30" t="n">
        <v>40635</v>
      </c>
      <c r="L353" s="30" t="n">
        <v>43105.83333333334</v>
      </c>
      <c r="M353" s="35" t="n">
        <v>0.6282623361950516</v>
      </c>
      <c r="N353" s="35" t="n">
        <v>0.585340070892146</v>
      </c>
      <c r="O353" s="35" t="n">
        <v>-0.235969387755102</v>
      </c>
      <c r="P353" s="35" t="n">
        <v>-0.2493734335839599</v>
      </c>
      <c r="Q353" s="35" t="n">
        <v>-0.1622377622377622</v>
      </c>
      <c r="R353" s="35" t="n">
        <v>-0.1899384677801068</v>
      </c>
      <c r="S353" s="35" t="n">
        <v>-0.2629506582994955</v>
      </c>
      <c r="T353" s="35" t="n">
        <v>-0.3051984456860054</v>
      </c>
      <c r="U353" s="30" t="n">
        <v>61400</v>
      </c>
      <c r="V353" s="30" t="n">
        <v>16420</v>
      </c>
      <c r="W353" s="35" t="n">
        <v>-0.5122149837133551</v>
      </c>
      <c r="X353" s="35" t="n">
        <v>0.8239951278928137</v>
      </c>
      <c r="Y353" s="30" t="n">
        <v>20476584</v>
      </c>
      <c r="Z353" s="30" t="n">
        <v>613273690800</v>
      </c>
      <c r="AA353" s="30" t="n">
        <v>21182347150</v>
      </c>
      <c r="AB353" s="30" t="n">
        <v>9374307837.5</v>
      </c>
      <c r="AC353" s="35" t="n">
        <v>0.03453979433288287</v>
      </c>
      <c r="AD353" s="24" t="inlineStr">
        <is>
          <t>yfinance_download</t>
        </is>
      </c>
      <c r="AE353" s="24" t="inlineStr">
        <is>
          <t>317330.KQ</t>
        </is>
      </c>
    </row>
    <row r="354" ht="24" customHeight="1">
      <c r="A354" s="29" t="inlineStr">
        <is>
          <t>2024-11-18</t>
        </is>
      </c>
      <c r="B354" s="31" t="n">
        <v>29650</v>
      </c>
      <c r="C354" s="31" t="n">
        <v>31350</v>
      </c>
      <c r="D354" s="31" t="n">
        <v>29250</v>
      </c>
      <c r="E354" s="31" t="n">
        <v>30450</v>
      </c>
      <c r="F354" s="31" t="n">
        <v>30450</v>
      </c>
      <c r="G354" s="31" t="n">
        <v>199509</v>
      </c>
      <c r="H354" s="36" t="n">
        <v>0.01669449081802998</v>
      </c>
      <c r="I354" s="36" t="n">
        <v>-0.504071661237785</v>
      </c>
      <c r="J354" s="31" t="n">
        <v>36542.5</v>
      </c>
      <c r="K354" s="31" t="n">
        <v>40455</v>
      </c>
      <c r="L354" s="31" t="n">
        <v>43066.25</v>
      </c>
      <c r="M354" s="36" t="n">
        <v>0.6362438671681834</v>
      </c>
      <c r="N354" s="36" t="n">
        <v>0.5816378255775145</v>
      </c>
      <c r="O354" s="36" t="n">
        <v>-0.2202304737516005</v>
      </c>
      <c r="P354" s="36" t="n">
        <v>-0.2618181818181818</v>
      </c>
      <c r="Q354" s="36" t="n">
        <v>-0.1349431818181818</v>
      </c>
      <c r="R354" s="36" t="n">
        <v>-0.1667236779092837</v>
      </c>
      <c r="S354" s="36" t="n">
        <v>-0.2473118279569892</v>
      </c>
      <c r="T354" s="36" t="n">
        <v>-0.2929498156909413</v>
      </c>
      <c r="U354" s="31" t="n">
        <v>61400</v>
      </c>
      <c r="V354" s="31" t="n">
        <v>16420</v>
      </c>
      <c r="W354" s="36" t="n">
        <v>-0.504071661237785</v>
      </c>
      <c r="X354" s="36" t="n">
        <v>0.8544457978075517</v>
      </c>
      <c r="Y354" s="31" t="n">
        <v>20476584</v>
      </c>
      <c r="Z354" s="31" t="n">
        <v>623511982800</v>
      </c>
      <c r="AA354" s="31" t="n">
        <v>6075049050</v>
      </c>
      <c r="AB354" s="31" t="n">
        <v>9323154365</v>
      </c>
      <c r="AC354" s="36" t="n">
        <v>0.009743275538537093</v>
      </c>
      <c r="AD354" s="29" t="inlineStr">
        <is>
          <t>yfinance_download</t>
        </is>
      </c>
      <c r="AE354" s="29" t="inlineStr">
        <is>
          <t>317330.KQ</t>
        </is>
      </c>
    </row>
    <row r="355" ht="24" customHeight="1">
      <c r="A355" s="24" t="inlineStr">
        <is>
          <t>2024-11-19</t>
        </is>
      </c>
      <c r="B355" s="30" t="n">
        <v>30350</v>
      </c>
      <c r="C355" s="30" t="n">
        <v>30600</v>
      </c>
      <c r="D355" s="30" t="n">
        <v>29400</v>
      </c>
      <c r="E355" s="30" t="n">
        <v>29850</v>
      </c>
      <c r="F355" s="30" t="n">
        <v>29850</v>
      </c>
      <c r="G355" s="30" t="n">
        <v>143300</v>
      </c>
      <c r="H355" s="35" t="n">
        <v>-0.01970443349753692</v>
      </c>
      <c r="I355" s="35" t="n">
        <v>-0.5138436482084691</v>
      </c>
      <c r="J355" s="30" t="n">
        <v>36150</v>
      </c>
      <c r="K355" s="30" t="n">
        <v>40300.83333333334</v>
      </c>
      <c r="L355" s="30" t="n">
        <v>43011.25</v>
      </c>
      <c r="M355" s="35" t="n">
        <v>0.6312922231964357</v>
      </c>
      <c r="N355" s="35" t="n">
        <v>0.5740187084124406</v>
      </c>
      <c r="O355" s="35" t="n">
        <v>-0.2082228116710876</v>
      </c>
      <c r="P355" s="35" t="n">
        <v>-0.2365728900255755</v>
      </c>
      <c r="Q355" s="35" t="n">
        <v>-0.1810699588477366</v>
      </c>
      <c r="R355" s="35" t="n">
        <v>-0.1742738589211619</v>
      </c>
      <c r="S355" s="35" t="n">
        <v>-0.2593205268708257</v>
      </c>
      <c r="T355" s="35" t="n">
        <v>-0.3059955244267488</v>
      </c>
      <c r="U355" s="30" t="n">
        <v>61400</v>
      </c>
      <c r="V355" s="30" t="n">
        <v>16420</v>
      </c>
      <c r="W355" s="35" t="n">
        <v>-0.5138436482084691</v>
      </c>
      <c r="X355" s="35" t="n">
        <v>0.8179049939098659</v>
      </c>
      <c r="Y355" s="30" t="n">
        <v>20476584</v>
      </c>
      <c r="Z355" s="30" t="n">
        <v>611226032400</v>
      </c>
      <c r="AA355" s="30" t="n">
        <v>4277505000</v>
      </c>
      <c r="AB355" s="30" t="n">
        <v>9166476315</v>
      </c>
      <c r="AC355" s="35" t="n">
        <v>0.006998237596661631</v>
      </c>
      <c r="AD355" s="24" t="inlineStr">
        <is>
          <t>yfinance_download</t>
        </is>
      </c>
      <c r="AE355" s="24" t="inlineStr">
        <is>
          <t>317330.KQ</t>
        </is>
      </c>
    </row>
    <row r="356" ht="24" customHeight="1">
      <c r="A356" s="29" t="inlineStr">
        <is>
          <t>2024-11-20</t>
        </is>
      </c>
      <c r="B356" s="31" t="n">
        <v>29900</v>
      </c>
      <c r="C356" s="31" t="n">
        <v>31550</v>
      </c>
      <c r="D356" s="31" t="n">
        <v>29800</v>
      </c>
      <c r="E356" s="31" t="n">
        <v>30800</v>
      </c>
      <c r="F356" s="31" t="n">
        <v>30800</v>
      </c>
      <c r="G356" s="31" t="n">
        <v>117665</v>
      </c>
      <c r="H356" s="36" t="n">
        <v>0.03182579564489108</v>
      </c>
      <c r="I356" s="36" t="n">
        <v>-0.498371335504886</v>
      </c>
      <c r="J356" s="31" t="n">
        <v>35785</v>
      </c>
      <c r="K356" s="31" t="n">
        <v>40140.83333333334</v>
      </c>
      <c r="L356" s="31" t="n">
        <v>42978.75</v>
      </c>
      <c r="M356" s="36" t="n">
        <v>0.6451966626536543</v>
      </c>
      <c r="N356" s="36" t="n">
        <v>0.5736334149313608</v>
      </c>
      <c r="O356" s="36" t="n">
        <v>-0.1916010498687664</v>
      </c>
      <c r="P356" s="36" t="n">
        <v>-0.2376237623762376</v>
      </c>
      <c r="Q356" s="36" t="n">
        <v>-0.1123919308357348</v>
      </c>
      <c r="R356" s="36" t="n">
        <v>-0.1393041777280983</v>
      </c>
      <c r="S356" s="36" t="n">
        <v>-0.2327015300296872</v>
      </c>
      <c r="T356" s="36" t="n">
        <v>-0.2833667800948143</v>
      </c>
      <c r="U356" s="31" t="n">
        <v>61400</v>
      </c>
      <c r="V356" s="31" t="n">
        <v>16420</v>
      </c>
      <c r="W356" s="36" t="n">
        <v>-0.498371335504886</v>
      </c>
      <c r="X356" s="36" t="n">
        <v>0.8757612667478685</v>
      </c>
      <c r="Y356" s="31" t="n">
        <v>20476584</v>
      </c>
      <c r="Z356" s="31" t="n">
        <v>630678787200</v>
      </c>
      <c r="AA356" s="31" t="n">
        <v>3624082000</v>
      </c>
      <c r="AB356" s="31" t="n">
        <v>8963386670</v>
      </c>
      <c r="AC356" s="36" t="n">
        <v>0.005746319796309775</v>
      </c>
      <c r="AD356" s="29" t="inlineStr">
        <is>
          <t>yfinance_download</t>
        </is>
      </c>
      <c r="AE356" s="29" t="inlineStr">
        <is>
          <t>317330.KQ</t>
        </is>
      </c>
    </row>
    <row r="357" ht="24" customHeight="1">
      <c r="A357" s="24" t="inlineStr">
        <is>
          <t>2024-11-21</t>
        </is>
      </c>
      <c r="B357" s="30" t="n">
        <v>30800</v>
      </c>
      <c r="C357" s="30" t="n">
        <v>31450</v>
      </c>
      <c r="D357" s="30" t="n">
        <v>30450</v>
      </c>
      <c r="E357" s="30" t="n">
        <v>30750</v>
      </c>
      <c r="F357" s="30" t="n">
        <v>30750</v>
      </c>
      <c r="G357" s="30" t="n">
        <v>106047</v>
      </c>
      <c r="H357" s="35" t="n">
        <v>-0.001623376623376638</v>
      </c>
      <c r="I357" s="35" t="n">
        <v>-0.499185667752443</v>
      </c>
      <c r="J357" s="30" t="n">
        <v>35507.5</v>
      </c>
      <c r="K357" s="30" t="n">
        <v>40004.16666666666</v>
      </c>
      <c r="L357" s="30" t="n">
        <v>42939.16666666666</v>
      </c>
      <c r="M357" s="35" t="n">
        <v>0.6302199451437435</v>
      </c>
      <c r="N357" s="35" t="n">
        <v>0.5697487541301306</v>
      </c>
      <c r="O357" s="35" t="n">
        <v>-0.1528925619834711</v>
      </c>
      <c r="P357" s="35" t="n">
        <v>-0.2105263157894737</v>
      </c>
      <c r="Q357" s="35" t="n">
        <v>-0.1338028169014085</v>
      </c>
      <c r="R357" s="35" t="n">
        <v>-0.1339857776526086</v>
      </c>
      <c r="S357" s="35" t="n">
        <v>-0.2313300697843974</v>
      </c>
      <c r="T357" s="35" t="n">
        <v>-0.2838705921167543</v>
      </c>
      <c r="U357" s="30" t="n">
        <v>61400</v>
      </c>
      <c r="V357" s="30" t="n">
        <v>16420</v>
      </c>
      <c r="W357" s="35" t="n">
        <v>-0.499185667752443</v>
      </c>
      <c r="X357" s="35" t="n">
        <v>0.8727161997563946</v>
      </c>
      <c r="Y357" s="30" t="n">
        <v>20476584</v>
      </c>
      <c r="Z357" s="30" t="n">
        <v>629654958000</v>
      </c>
      <c r="AA357" s="30" t="n">
        <v>3260945250</v>
      </c>
      <c r="AB357" s="30" t="n">
        <v>8668469502.5</v>
      </c>
      <c r="AC357" s="35" t="n">
        <v>0.005178940002883293</v>
      </c>
      <c r="AD357" s="24" t="inlineStr">
        <is>
          <t>yfinance_download</t>
        </is>
      </c>
      <c r="AE357" s="24" t="inlineStr">
        <is>
          <t>317330.KQ</t>
        </is>
      </c>
    </row>
    <row r="358" ht="24" customHeight="1">
      <c r="A358" s="29" t="inlineStr">
        <is>
          <t>2024-11-22</t>
        </is>
      </c>
      <c r="B358" s="31" t="n">
        <v>31500</v>
      </c>
      <c r="C358" s="31" t="n">
        <v>32250</v>
      </c>
      <c r="D358" s="31" t="n">
        <v>31200</v>
      </c>
      <c r="E358" s="31" t="n">
        <v>32250</v>
      </c>
      <c r="F358" s="31" t="n">
        <v>32250</v>
      </c>
      <c r="G358" s="31" t="n">
        <v>180620</v>
      </c>
      <c r="H358" s="36" t="n">
        <v>0.04878048780487809</v>
      </c>
      <c r="I358" s="36" t="n">
        <v>-0.4747557003257329</v>
      </c>
      <c r="J358" s="31" t="n">
        <v>35342.5</v>
      </c>
      <c r="K358" s="31" t="n">
        <v>39841.66666666666</v>
      </c>
      <c r="L358" s="31" t="n">
        <v>42903.33333333334</v>
      </c>
      <c r="M358" s="36" t="n">
        <v>0.6585659013131735</v>
      </c>
      <c r="N358" s="36" t="n">
        <v>0.5547010692518741</v>
      </c>
      <c r="O358" s="36" t="n">
        <v>-0.09282700421940926</v>
      </c>
      <c r="P358" s="36" t="n">
        <v>-0.2321428571428571</v>
      </c>
      <c r="Q358" s="36" t="n">
        <v>-0.1176470588235294</v>
      </c>
      <c r="R358" s="36" t="n">
        <v>-0.08750088420456958</v>
      </c>
      <c r="S358" s="36" t="n">
        <v>-0.1905459108973018</v>
      </c>
      <c r="T358" s="36" t="n">
        <v>-0.2483101546111414</v>
      </c>
      <c r="U358" s="31" t="n">
        <v>61400</v>
      </c>
      <c r="V358" s="31" t="n">
        <v>16420</v>
      </c>
      <c r="W358" s="36" t="n">
        <v>-0.4747557003257329</v>
      </c>
      <c r="X358" s="36" t="n">
        <v>0.964068209500609</v>
      </c>
      <c r="Y358" s="31" t="n">
        <v>20476584</v>
      </c>
      <c r="Z358" s="31" t="n">
        <v>660369834000</v>
      </c>
      <c r="AA358" s="31" t="n">
        <v>5824995000</v>
      </c>
      <c r="AB358" s="31" t="n">
        <v>8676727032.5</v>
      </c>
      <c r="AC358" s="36" t="n">
        <v>0.008820807220579371</v>
      </c>
      <c r="AD358" s="29" t="inlineStr">
        <is>
          <t>yfinance_download</t>
        </is>
      </c>
      <c r="AE358" s="29" t="inlineStr">
        <is>
          <t>317330.KQ</t>
        </is>
      </c>
    </row>
    <row r="359" ht="24" customHeight="1">
      <c r="A359" s="24" t="inlineStr">
        <is>
          <t>2024-11-25</t>
        </is>
      </c>
      <c r="B359" s="30" t="n">
        <v>34000</v>
      </c>
      <c r="C359" s="30" t="n">
        <v>34300</v>
      </c>
      <c r="D359" s="30" t="n">
        <v>33200</v>
      </c>
      <c r="E359" s="30" t="n">
        <v>33600</v>
      </c>
      <c r="F359" s="30" t="n">
        <v>33600</v>
      </c>
      <c r="G359" s="30" t="n">
        <v>165435</v>
      </c>
      <c r="H359" s="35" t="n">
        <v>0.04186046511627906</v>
      </c>
      <c r="I359" s="35" t="n">
        <v>-0.4527687296416938</v>
      </c>
      <c r="J359" s="30" t="n">
        <v>35175</v>
      </c>
      <c r="K359" s="30" t="n">
        <v>39711.66666666666</v>
      </c>
      <c r="L359" s="30" t="n">
        <v>42882.08333333334</v>
      </c>
      <c r="M359" s="35" t="n">
        <v>0.660788891607346</v>
      </c>
      <c r="N359" s="35" t="n">
        <v>0.5620494288853574</v>
      </c>
      <c r="O359" s="35" t="n">
        <v>-0.09066305818673881</v>
      </c>
      <c r="P359" s="35" t="n">
        <v>-0.1884057971014492</v>
      </c>
      <c r="Q359" s="35" t="n">
        <v>-0.0705394190871369</v>
      </c>
      <c r="R359" s="35" t="n">
        <v>-0.04477611940298509</v>
      </c>
      <c r="S359" s="35" t="n">
        <v>-0.1539010366391068</v>
      </c>
      <c r="T359" s="35" t="n">
        <v>-0.2164559790899463</v>
      </c>
      <c r="U359" s="30" t="n">
        <v>61400</v>
      </c>
      <c r="V359" s="30" t="n">
        <v>16420</v>
      </c>
      <c r="W359" s="35" t="n">
        <v>-0.4527687296416938</v>
      </c>
      <c r="X359" s="35" t="n">
        <v>1.046285018270402</v>
      </c>
      <c r="Y359" s="30" t="n">
        <v>20476584</v>
      </c>
      <c r="Z359" s="30" t="n">
        <v>688013222400</v>
      </c>
      <c r="AA359" s="30" t="n">
        <v>5558616000</v>
      </c>
      <c r="AB359" s="30" t="n">
        <v>8649598632.5</v>
      </c>
      <c r="AC359" s="35" t="n">
        <v>0.008079228449432777</v>
      </c>
      <c r="AD359" s="24" t="inlineStr">
        <is>
          <t>yfinance_download</t>
        </is>
      </c>
      <c r="AE359" s="24" t="inlineStr">
        <is>
          <t>317330.KQ</t>
        </is>
      </c>
    </row>
    <row r="360" ht="24" customHeight="1">
      <c r="A360" s="29" t="inlineStr">
        <is>
          <t>2024-11-26</t>
        </is>
      </c>
      <c r="B360" s="31" t="n">
        <v>34000</v>
      </c>
      <c r="C360" s="31" t="n">
        <v>34050</v>
      </c>
      <c r="D360" s="31" t="n">
        <v>31800</v>
      </c>
      <c r="E360" s="31" t="n">
        <v>32600</v>
      </c>
      <c r="F360" s="31" t="n">
        <v>32600</v>
      </c>
      <c r="G360" s="31" t="n">
        <v>170568</v>
      </c>
      <c r="H360" s="36" t="n">
        <v>-0.02976190476190477</v>
      </c>
      <c r="I360" s="36" t="n">
        <v>-0.4690553745928339</v>
      </c>
      <c r="J360" s="31" t="n">
        <v>35012.5</v>
      </c>
      <c r="K360" s="31" t="n">
        <v>39563.33333333334</v>
      </c>
      <c r="L360" s="31" t="n">
        <v>42857.5</v>
      </c>
      <c r="M360" s="36" t="n">
        <v>0.6607847118614667</v>
      </c>
      <c r="N360" s="36" t="n">
        <v>0.5646233848097201</v>
      </c>
      <c r="O360" s="36" t="n">
        <v>-0.09065550906555087</v>
      </c>
      <c r="P360" s="36" t="n">
        <v>-0.2144578313253012</v>
      </c>
      <c r="Q360" s="36" t="n">
        <v>-0.08298171589310832</v>
      </c>
      <c r="R360" s="36" t="n">
        <v>-0.06890396287040346</v>
      </c>
      <c r="S360" s="36" t="n">
        <v>-0.1760047181733929</v>
      </c>
      <c r="T360" s="36" t="n">
        <v>-0.2393396721693986</v>
      </c>
      <c r="U360" s="31" t="n">
        <v>61400</v>
      </c>
      <c r="V360" s="31" t="n">
        <v>16420</v>
      </c>
      <c r="W360" s="36" t="n">
        <v>-0.4690553745928339</v>
      </c>
      <c r="X360" s="36" t="n">
        <v>0.9853836784409258</v>
      </c>
      <c r="Y360" s="31" t="n">
        <v>20476584</v>
      </c>
      <c r="Z360" s="31" t="n">
        <v>667536638400</v>
      </c>
      <c r="AA360" s="31" t="n">
        <v>5560516800</v>
      </c>
      <c r="AB360" s="31" t="n">
        <v>8554114077.5</v>
      </c>
      <c r="AC360" s="36" t="n">
        <v>0.008329905027127571</v>
      </c>
      <c r="AD360" s="29" t="inlineStr">
        <is>
          <t>yfinance_download</t>
        </is>
      </c>
      <c r="AE360" s="29" t="inlineStr">
        <is>
          <t>317330.KQ</t>
        </is>
      </c>
    </row>
    <row r="361" ht="24" customHeight="1">
      <c r="A361" s="24" t="inlineStr">
        <is>
          <t>2024-11-27</t>
        </is>
      </c>
      <c r="B361" s="30" t="n">
        <v>33100</v>
      </c>
      <c r="C361" s="30" t="n">
        <v>34150</v>
      </c>
      <c r="D361" s="30" t="n">
        <v>32550</v>
      </c>
      <c r="E361" s="30" t="n">
        <v>32650</v>
      </c>
      <c r="F361" s="30" t="n">
        <v>32650</v>
      </c>
      <c r="G361" s="30" t="n">
        <v>182358</v>
      </c>
      <c r="H361" s="35" t="n">
        <v>0.001533742331288446</v>
      </c>
      <c r="I361" s="35" t="n">
        <v>-0.4682410423452769</v>
      </c>
      <c r="J361" s="30" t="n">
        <v>34852.5</v>
      </c>
      <c r="K361" s="30" t="n">
        <v>39395.83333333334</v>
      </c>
      <c r="L361" s="30" t="n">
        <v>42831.25</v>
      </c>
      <c r="M361" s="35" t="n">
        <v>0.6609275646623624</v>
      </c>
      <c r="N361" s="35" t="n">
        <v>0.5607065822569787</v>
      </c>
      <c r="O361" s="35" t="n">
        <v>-0.0892608089260809</v>
      </c>
      <c r="P361" s="35" t="n">
        <v>-0.2353629976580797</v>
      </c>
      <c r="Q361" s="35" t="n">
        <v>-0.08798882681564246</v>
      </c>
      <c r="R361" s="35" t="n">
        <v>-0.06319489276235568</v>
      </c>
      <c r="S361" s="35" t="n">
        <v>-0.1712321523003703</v>
      </c>
      <c r="T361" s="35" t="n">
        <v>-0.2377061141106085</v>
      </c>
      <c r="U361" s="30" t="n">
        <v>61400</v>
      </c>
      <c r="V361" s="30" t="n">
        <v>16420</v>
      </c>
      <c r="W361" s="35" t="n">
        <v>-0.4682410423452769</v>
      </c>
      <c r="X361" s="35" t="n">
        <v>0.9884287454323994</v>
      </c>
      <c r="Y361" s="30" t="n">
        <v>20476584</v>
      </c>
      <c r="Z361" s="30" t="n">
        <v>668560467600</v>
      </c>
      <c r="AA361" s="30" t="n">
        <v>5953988700</v>
      </c>
      <c r="AB361" s="30" t="n">
        <v>8558526455</v>
      </c>
      <c r="AC361" s="35" t="n">
        <v>0.008905684659120876</v>
      </c>
      <c r="AD361" s="24" t="inlineStr">
        <is>
          <t>yfinance_download</t>
        </is>
      </c>
      <c r="AE361" s="24" t="inlineStr">
        <is>
          <t>317330.KQ</t>
        </is>
      </c>
    </row>
    <row r="362" ht="24" customHeight="1">
      <c r="A362" s="29" t="inlineStr">
        <is>
          <t>2024-11-28</t>
        </is>
      </c>
      <c r="B362" s="31" t="n">
        <v>32400</v>
      </c>
      <c r="C362" s="31" t="n">
        <v>33450</v>
      </c>
      <c r="D362" s="31" t="n">
        <v>32400</v>
      </c>
      <c r="E362" s="31" t="n">
        <v>33200</v>
      </c>
      <c r="F362" s="31" t="n">
        <v>33200</v>
      </c>
      <c r="G362" s="31" t="n">
        <v>85906</v>
      </c>
      <c r="H362" s="36" t="n">
        <v>0.01684532924961712</v>
      </c>
      <c r="I362" s="36" t="n">
        <v>-0.4592833876221498</v>
      </c>
      <c r="J362" s="31" t="n">
        <v>34622.5</v>
      </c>
      <c r="K362" s="31" t="n">
        <v>39240.83333333334</v>
      </c>
      <c r="L362" s="31" t="n">
        <v>42812.91666666666</v>
      </c>
      <c r="M362" s="36" t="n">
        <v>0.6297561419118217</v>
      </c>
      <c r="N362" s="36" t="n">
        <v>0.5623030732871785</v>
      </c>
      <c r="O362" s="36" t="n">
        <v>-0.1216931216931217</v>
      </c>
      <c r="P362" s="36" t="n">
        <v>-0.2188235294117648</v>
      </c>
      <c r="Q362" s="36" t="n">
        <v>-0.06214689265536721</v>
      </c>
      <c r="R362" s="36" t="n">
        <v>-0.04108599898909671</v>
      </c>
      <c r="S362" s="36" t="n">
        <v>-0.1539425343498482</v>
      </c>
      <c r="T362" s="36" t="n">
        <v>-0.2245330945684226</v>
      </c>
      <c r="U362" s="31" t="n">
        <v>61400</v>
      </c>
      <c r="V362" s="31" t="n">
        <v>16420</v>
      </c>
      <c r="W362" s="36" t="n">
        <v>-0.4592833876221498</v>
      </c>
      <c r="X362" s="36" t="n">
        <v>1.021924482338612</v>
      </c>
      <c r="Y362" s="31" t="n">
        <v>20476584</v>
      </c>
      <c r="Z362" s="31" t="n">
        <v>679822588800</v>
      </c>
      <c r="AA362" s="31" t="n">
        <v>2852079200</v>
      </c>
      <c r="AB362" s="31" t="n">
        <v>8158668285</v>
      </c>
      <c r="AC362" s="36" t="n">
        <v>0.004195328673962414</v>
      </c>
      <c r="AD362" s="29" t="inlineStr">
        <is>
          <t>yfinance_download</t>
        </is>
      </c>
      <c r="AE362" s="29" t="inlineStr">
        <is>
          <t>317330.KQ</t>
        </is>
      </c>
    </row>
    <row r="363" ht="24" customHeight="1">
      <c r="A363" s="24" t="inlineStr">
        <is>
          <t>2024-11-29</t>
        </is>
      </c>
      <c r="B363" s="30" t="n">
        <v>32650</v>
      </c>
      <c r="C363" s="30" t="n">
        <v>32800</v>
      </c>
      <c r="D363" s="30" t="n">
        <v>30750</v>
      </c>
      <c r="E363" s="30" t="n">
        <v>31350</v>
      </c>
      <c r="F363" s="30" t="n">
        <v>31350</v>
      </c>
      <c r="G363" s="30" t="n">
        <v>221370</v>
      </c>
      <c r="H363" s="35" t="n">
        <v>-0.05572289156626509</v>
      </c>
      <c r="I363" s="35" t="n">
        <v>-0.489413680781759</v>
      </c>
      <c r="J363" s="30" t="n">
        <v>34175</v>
      </c>
      <c r="K363" s="30" t="n">
        <v>39005.83333333334</v>
      </c>
      <c r="L363" s="30" t="n">
        <v>42754.58333333334</v>
      </c>
      <c r="M363" s="35" t="n">
        <v>0.5928277702066116</v>
      </c>
      <c r="N363" s="35" t="n">
        <v>0.5513843594158783</v>
      </c>
      <c r="O363" s="35" t="n">
        <v>-0.2220843672456576</v>
      </c>
      <c r="P363" s="35" t="n">
        <v>-0.3102310231023102</v>
      </c>
      <c r="Q363" s="35" t="n">
        <v>-0.182529335071708</v>
      </c>
      <c r="R363" s="35" t="n">
        <v>-0.08266276517922455</v>
      </c>
      <c r="S363" s="35" t="n">
        <v>-0.1962740615719871</v>
      </c>
      <c r="T363" s="35" t="n">
        <v>-0.2667452807203906</v>
      </c>
      <c r="U363" s="30" t="n">
        <v>61400</v>
      </c>
      <c r="V363" s="30" t="n">
        <v>16420</v>
      </c>
      <c r="W363" s="35" t="n">
        <v>-0.489413680781759</v>
      </c>
      <c r="X363" s="35" t="n">
        <v>0.9092570036540804</v>
      </c>
      <c r="Y363" s="30" t="n">
        <v>20476584</v>
      </c>
      <c r="Z363" s="30" t="n">
        <v>641940908400</v>
      </c>
      <c r="AA363" s="30" t="n">
        <v>6939949500</v>
      </c>
      <c r="AB363" s="30" t="n">
        <v>7631254495</v>
      </c>
      <c r="AC363" s="35" t="n">
        <v>0.01081088525312621</v>
      </c>
      <c r="AD363" s="24" t="inlineStr">
        <is>
          <t>yfinance_download</t>
        </is>
      </c>
      <c r="AE363" s="24" t="inlineStr">
        <is>
          <t>317330.KQ</t>
        </is>
      </c>
    </row>
    <row r="364" ht="24" customHeight="1">
      <c r="A364" s="29" t="inlineStr">
        <is>
          <t>2024-12-02</t>
        </is>
      </c>
      <c r="B364" s="31" t="n">
        <v>31500</v>
      </c>
      <c r="C364" s="31" t="n">
        <v>33150</v>
      </c>
      <c r="D364" s="31" t="n">
        <v>30400</v>
      </c>
      <c r="E364" s="31" t="n">
        <v>30600</v>
      </c>
      <c r="F364" s="31" t="n">
        <v>30600</v>
      </c>
      <c r="G364" s="31" t="n">
        <v>187095</v>
      </c>
      <c r="H364" s="36" t="n">
        <v>-0.02392344497607657</v>
      </c>
      <c r="I364" s="36" t="n">
        <v>-0.501628664495114</v>
      </c>
      <c r="J364" s="31" t="n">
        <v>33670</v>
      </c>
      <c r="K364" s="31" t="n">
        <v>38743.33333333334</v>
      </c>
      <c r="L364" s="31" t="n">
        <v>42683.75</v>
      </c>
      <c r="M364" s="36" t="n">
        <v>0.5885309710536309</v>
      </c>
      <c r="N364" s="36" t="n">
        <v>0.5500693709910918</v>
      </c>
      <c r="O364" s="36" t="n">
        <v>-0.2481572481572482</v>
      </c>
      <c r="P364" s="36" t="n">
        <v>-0.3398058252427184</v>
      </c>
      <c r="Q364" s="36" t="n">
        <v>-0.2173913043478261</v>
      </c>
      <c r="R364" s="36" t="n">
        <v>-0.09117909117909118</v>
      </c>
      <c r="S364" s="36" t="n">
        <v>-0.2101866987868881</v>
      </c>
      <c r="T364" s="36" t="n">
        <v>-0.2830995402231529</v>
      </c>
      <c r="U364" s="31" t="n">
        <v>61400</v>
      </c>
      <c r="V364" s="31" t="n">
        <v>16420</v>
      </c>
      <c r="W364" s="36" t="n">
        <v>-0.501628664495114</v>
      </c>
      <c r="X364" s="36" t="n">
        <v>0.8635809987819731</v>
      </c>
      <c r="Y364" s="31" t="n">
        <v>20476584</v>
      </c>
      <c r="Z364" s="31" t="n">
        <v>626583470400</v>
      </c>
      <c r="AA364" s="31" t="n">
        <v>5725107000</v>
      </c>
      <c r="AB364" s="31" t="n">
        <v>7595051885</v>
      </c>
      <c r="AC364" s="36" t="n">
        <v>0.009137022073603684</v>
      </c>
      <c r="AD364" s="29" t="inlineStr">
        <is>
          <t>yfinance_download</t>
        </is>
      </c>
      <c r="AE364" s="29" t="inlineStr">
        <is>
          <t>317330.KQ</t>
        </is>
      </c>
    </row>
    <row r="365" ht="24" customHeight="1">
      <c r="A365" s="24" t="inlineStr">
        <is>
          <t>2024-12-03</t>
        </is>
      </c>
      <c r="B365" s="30" t="n">
        <v>30350</v>
      </c>
      <c r="C365" s="30" t="n">
        <v>33700</v>
      </c>
      <c r="D365" s="30" t="n">
        <v>30350</v>
      </c>
      <c r="E365" s="30" t="n">
        <v>33500</v>
      </c>
      <c r="F365" s="30" t="n">
        <v>33500</v>
      </c>
      <c r="G365" s="30" t="n">
        <v>237346</v>
      </c>
      <c r="H365" s="35" t="n">
        <v>0.09477124183006547</v>
      </c>
      <c r="I365" s="35" t="n">
        <v>-0.4543973941368078</v>
      </c>
      <c r="J365" s="30" t="n">
        <v>33340</v>
      </c>
      <c r="K365" s="30" t="n">
        <v>38537.5</v>
      </c>
      <c r="L365" s="30" t="n">
        <v>42618.75</v>
      </c>
      <c r="M365" s="35" t="n">
        <v>0.7027588709417135</v>
      </c>
      <c r="N365" s="35" t="n">
        <v>0.5876491326683534</v>
      </c>
      <c r="O365" s="35" t="n">
        <v>-0.1645885286783042</v>
      </c>
      <c r="P365" s="35" t="n">
        <v>-0.2693565976008724</v>
      </c>
      <c r="Q365" s="35" t="n">
        <v>-0.1888619854721549</v>
      </c>
      <c r="R365" s="35" t="n">
        <v>0.004799040191961534</v>
      </c>
      <c r="S365" s="35" t="n">
        <v>-0.1307168342523516</v>
      </c>
      <c r="T365" s="35" t="n">
        <v>-0.213960991347705</v>
      </c>
      <c r="U365" s="30" t="n">
        <v>61400</v>
      </c>
      <c r="V365" s="30" t="n">
        <v>16420</v>
      </c>
      <c r="W365" s="35" t="n">
        <v>-0.4543973941368078</v>
      </c>
      <c r="X365" s="35" t="n">
        <v>1.040194884287454</v>
      </c>
      <c r="Y365" s="30" t="n">
        <v>20476584</v>
      </c>
      <c r="Z365" s="30" t="n">
        <v>685965564000</v>
      </c>
      <c r="AA365" s="30" t="n">
        <v>7951091000</v>
      </c>
      <c r="AB365" s="30" t="n">
        <v>7752609940</v>
      </c>
      <c r="AC365" s="35" t="n">
        <v>0.01159109351442604</v>
      </c>
      <c r="AD365" s="24" t="inlineStr">
        <is>
          <t>yfinance_download</t>
        </is>
      </c>
      <c r="AE365" s="24" t="inlineStr">
        <is>
          <t>317330.KQ</t>
        </is>
      </c>
    </row>
    <row r="366" ht="24" customHeight="1">
      <c r="A366" s="29" t="inlineStr">
        <is>
          <t>2024-12-04</t>
        </is>
      </c>
      <c r="B366" s="31" t="n">
        <v>32700</v>
      </c>
      <c r="C366" s="31" t="n">
        <v>34550</v>
      </c>
      <c r="D366" s="31" t="n">
        <v>32050</v>
      </c>
      <c r="E366" s="31" t="n">
        <v>32350</v>
      </c>
      <c r="F366" s="31" t="n">
        <v>32350</v>
      </c>
      <c r="G366" s="31" t="n">
        <v>301551</v>
      </c>
      <c r="H366" s="36" t="n">
        <v>-0.03432835820895519</v>
      </c>
      <c r="I366" s="36" t="n">
        <v>-0.4731270358306189</v>
      </c>
      <c r="J366" s="31" t="n">
        <v>33005</v>
      </c>
      <c r="K366" s="31" t="n">
        <v>38327.5</v>
      </c>
      <c r="L366" s="31" t="n">
        <v>42463.33333333334</v>
      </c>
      <c r="M366" s="36" t="n">
        <v>0.7061367273436524</v>
      </c>
      <c r="N366" s="36" t="n">
        <v>0.5900281508733127</v>
      </c>
      <c r="O366" s="36" t="n">
        <v>-0.1715749039692702</v>
      </c>
      <c r="P366" s="36" t="n">
        <v>-0.2803114571746385</v>
      </c>
      <c r="Q366" s="36" t="n">
        <v>-0.365686274509804</v>
      </c>
      <c r="R366" s="36" t="n">
        <v>-0.01984547795788516</v>
      </c>
      <c r="S366" s="36" t="n">
        <v>-0.1559585154262605</v>
      </c>
      <c r="T366" s="36" t="n">
        <v>-0.2381662610879975</v>
      </c>
      <c r="U366" s="31" t="n">
        <v>61400</v>
      </c>
      <c r="V366" s="31" t="n">
        <v>16420</v>
      </c>
      <c r="W366" s="36" t="n">
        <v>-0.4731270358306189</v>
      </c>
      <c r="X366" s="36" t="n">
        <v>0.9701583434835566</v>
      </c>
      <c r="Y366" s="31" t="n">
        <v>20476584</v>
      </c>
      <c r="Z366" s="31" t="n">
        <v>662417492400</v>
      </c>
      <c r="AA366" s="31" t="n">
        <v>9755174850</v>
      </c>
      <c r="AB366" s="31" t="n">
        <v>7450701535</v>
      </c>
      <c r="AC366" s="36" t="n">
        <v>0.01472662627711732</v>
      </c>
      <c r="AD366" s="29" t="inlineStr">
        <is>
          <t>yfinance_download</t>
        </is>
      </c>
      <c r="AE366" s="29" t="inlineStr">
        <is>
          <t>317330.KQ</t>
        </is>
      </c>
    </row>
    <row r="367" ht="24" customHeight="1">
      <c r="A367" s="24" t="inlineStr">
        <is>
          <t>2024-12-05</t>
        </is>
      </c>
      <c r="B367" s="30" t="n">
        <v>33500</v>
      </c>
      <c r="C367" s="30" t="n">
        <v>33500</v>
      </c>
      <c r="D367" s="30" t="n">
        <v>30900</v>
      </c>
      <c r="E367" s="30" t="n">
        <v>31100</v>
      </c>
      <c r="F367" s="30" t="n">
        <v>31100</v>
      </c>
      <c r="G367" s="30" t="n">
        <v>148326</v>
      </c>
      <c r="H367" s="35" t="n">
        <v>-0.03863987635239563</v>
      </c>
      <c r="I367" s="35" t="n">
        <v>-0.493485342019544</v>
      </c>
      <c r="J367" s="30" t="n">
        <v>32650</v>
      </c>
      <c r="K367" s="30" t="n">
        <v>38150</v>
      </c>
      <c r="L367" s="30" t="n">
        <v>42286.66666666666</v>
      </c>
      <c r="M367" s="35" t="n">
        <v>0.7128713305774342</v>
      </c>
      <c r="N367" s="35" t="n">
        <v>0.5780309272478303</v>
      </c>
      <c r="O367" s="35" t="n">
        <v>-0.1858638743455497</v>
      </c>
      <c r="P367" s="35" t="n">
        <v>-0.2550898203592814</v>
      </c>
      <c r="Q367" s="35" t="n">
        <v>-0.4053537284894837</v>
      </c>
      <c r="R367" s="35" t="n">
        <v>-0.04747320061255744</v>
      </c>
      <c r="S367" s="35" t="n">
        <v>-0.1847968545216252</v>
      </c>
      <c r="T367" s="35" t="n">
        <v>-0.2645435913605549</v>
      </c>
      <c r="U367" s="30" t="n">
        <v>61400</v>
      </c>
      <c r="V367" s="30" t="n">
        <v>16420</v>
      </c>
      <c r="W367" s="35" t="n">
        <v>-0.493485342019544</v>
      </c>
      <c r="X367" s="35" t="n">
        <v>0.8940316686967114</v>
      </c>
      <c r="Y367" s="30" t="n">
        <v>20476584</v>
      </c>
      <c r="Z367" s="30" t="n">
        <v>636821762400</v>
      </c>
      <c r="AA367" s="30" t="n">
        <v>4612938600</v>
      </c>
      <c r="AB367" s="30" t="n">
        <v>7278212405</v>
      </c>
      <c r="AC367" s="35" t="n">
        <v>0.00724368869338753</v>
      </c>
      <c r="AD367" s="24" t="inlineStr">
        <is>
          <t>yfinance_download</t>
        </is>
      </c>
      <c r="AE367" s="24" t="inlineStr">
        <is>
          <t>317330.KQ</t>
        </is>
      </c>
    </row>
    <row r="368" ht="24" customHeight="1">
      <c r="A368" s="29" t="inlineStr">
        <is>
          <t>2024-12-06</t>
        </is>
      </c>
      <c r="B368" s="31" t="n">
        <v>30900</v>
      </c>
      <c r="C368" s="31" t="n">
        <v>31850</v>
      </c>
      <c r="D368" s="31" t="n">
        <v>29500</v>
      </c>
      <c r="E368" s="31" t="n">
        <v>31800</v>
      </c>
      <c r="F368" s="31" t="n">
        <v>31800</v>
      </c>
      <c r="G368" s="31" t="n">
        <v>218258</v>
      </c>
      <c r="H368" s="36" t="n">
        <v>0.022508038585209</v>
      </c>
      <c r="I368" s="36" t="n">
        <v>-0.4820846905537459</v>
      </c>
      <c r="J368" s="31" t="n">
        <v>32260</v>
      </c>
      <c r="K368" s="31" t="n">
        <v>37982.5</v>
      </c>
      <c r="L368" s="31" t="n">
        <v>42132.5</v>
      </c>
      <c r="M368" s="36" t="n">
        <v>0.702480539083758</v>
      </c>
      <c r="N368" s="36" t="n">
        <v>0.5804823811868763</v>
      </c>
      <c r="O368" s="36" t="n">
        <v>-0.196969696969697</v>
      </c>
      <c r="P368" s="36" t="n">
        <v>-0.2401433691756273</v>
      </c>
      <c r="Q368" s="36" t="n">
        <v>-0.3677932405566601</v>
      </c>
      <c r="R368" s="36" t="n">
        <v>-0.01425914445133292</v>
      </c>
      <c r="S368" s="36" t="n">
        <v>-0.1627723293622063</v>
      </c>
      <c r="T368" s="36" t="n">
        <v>-0.2452382365157538</v>
      </c>
      <c r="U368" s="31" t="n">
        <v>61400</v>
      </c>
      <c r="V368" s="31" t="n">
        <v>16420</v>
      </c>
      <c r="W368" s="36" t="n">
        <v>-0.4820846905537459</v>
      </c>
      <c r="X368" s="36" t="n">
        <v>0.9366626065773447</v>
      </c>
      <c r="Y368" s="31" t="n">
        <v>20476584</v>
      </c>
      <c r="Z368" s="31" t="n">
        <v>651155371200</v>
      </c>
      <c r="AA368" s="31" t="n">
        <v>6940604400</v>
      </c>
      <c r="AB368" s="31" t="n">
        <v>7276037945</v>
      </c>
      <c r="AC368" s="36" t="n">
        <v>0.01065890677859158</v>
      </c>
      <c r="AD368" s="29" t="inlineStr">
        <is>
          <t>yfinance_download</t>
        </is>
      </c>
      <c r="AE368" s="29" t="inlineStr">
        <is>
          <t>317330.KQ</t>
        </is>
      </c>
    </row>
    <row r="369" ht="24" customHeight="1">
      <c r="A369" s="24" t="inlineStr">
        <is>
          <t>2024-12-09</t>
        </is>
      </c>
      <c r="B369" s="30" t="n">
        <v>30700</v>
      </c>
      <c r="C369" s="30" t="n">
        <v>30750</v>
      </c>
      <c r="D369" s="30" t="n">
        <v>27500</v>
      </c>
      <c r="E369" s="30" t="n">
        <v>27800</v>
      </c>
      <c r="F369" s="30" t="n">
        <v>27800</v>
      </c>
      <c r="G369" s="30" t="n">
        <v>355424</v>
      </c>
      <c r="H369" s="35" t="n">
        <v>-0.1257861635220126</v>
      </c>
      <c r="I369" s="35" t="n">
        <v>-0.5472312703583062</v>
      </c>
      <c r="J369" s="30" t="n">
        <v>31780</v>
      </c>
      <c r="K369" s="30" t="n">
        <v>37791.66666666666</v>
      </c>
      <c r="L369" s="30" t="n">
        <v>41883.33333333334</v>
      </c>
      <c r="M369" s="35" t="n">
        <v>0.8003314441120336</v>
      </c>
      <c r="N369" s="35" t="n">
        <v>0.6209979254627556</v>
      </c>
      <c r="O369" s="35" t="n">
        <v>-0.2566844919786097</v>
      </c>
      <c r="P369" s="35" t="n">
        <v>-0.29171974522293</v>
      </c>
      <c r="Q369" s="35" t="n">
        <v>-0.5181975736568458</v>
      </c>
      <c r="R369" s="35" t="n">
        <v>-0.1252359974826935</v>
      </c>
      <c r="S369" s="35" t="n">
        <v>-0.2643880926130099</v>
      </c>
      <c r="T369" s="35" t="n">
        <v>-0.3362514922403502</v>
      </c>
      <c r="U369" s="30" t="n">
        <v>61400</v>
      </c>
      <c r="V369" s="30" t="n">
        <v>16420</v>
      </c>
      <c r="W369" s="35" t="n">
        <v>-0.5472312703583062</v>
      </c>
      <c r="X369" s="35" t="n">
        <v>0.6930572472594396</v>
      </c>
      <c r="Y369" s="30" t="n">
        <v>20476584</v>
      </c>
      <c r="Z369" s="30" t="n">
        <v>569249035200</v>
      </c>
      <c r="AA369" s="30" t="n">
        <v>9880787200</v>
      </c>
      <c r="AB369" s="30" t="n">
        <v>7179443415</v>
      </c>
      <c r="AC369" s="35" t="n">
        <v>0.01735758269055034</v>
      </c>
      <c r="AD369" s="24" t="inlineStr">
        <is>
          <t>yfinance_download</t>
        </is>
      </c>
      <c r="AE369" s="24" t="inlineStr">
        <is>
          <t>317330.KQ</t>
        </is>
      </c>
    </row>
    <row r="370" ht="24" customHeight="1">
      <c r="A370" s="29" t="inlineStr">
        <is>
          <t>2024-12-10</t>
        </is>
      </c>
      <c r="B370" s="31" t="n">
        <v>28100</v>
      </c>
      <c r="C370" s="31" t="n">
        <v>30300</v>
      </c>
      <c r="D370" s="31" t="n">
        <v>28100</v>
      </c>
      <c r="E370" s="31" t="n">
        <v>29900</v>
      </c>
      <c r="F370" s="31" t="n">
        <v>29900</v>
      </c>
      <c r="G370" s="31" t="n">
        <v>170031</v>
      </c>
      <c r="H370" s="36" t="n">
        <v>0.07553956834532372</v>
      </c>
      <c r="I370" s="36" t="n">
        <v>-0.5130293159609121</v>
      </c>
      <c r="J370" s="31" t="n">
        <v>31457.5</v>
      </c>
      <c r="K370" s="31" t="n">
        <v>37650.83333333334</v>
      </c>
      <c r="L370" s="31" t="n">
        <v>41656.66666666666</v>
      </c>
      <c r="M370" s="36" t="n">
        <v>0.8577429503032213</v>
      </c>
      <c r="N370" s="36" t="n">
        <v>0.6412931436002068</v>
      </c>
      <c r="O370" s="36" t="n">
        <v>-0.1774415405777167</v>
      </c>
      <c r="P370" s="36" t="n">
        <v>-0.2203389830508474</v>
      </c>
      <c r="Q370" s="36" t="n">
        <v>-0.4763572679509632</v>
      </c>
      <c r="R370" s="36" t="n">
        <v>-0.04951124533100215</v>
      </c>
      <c r="S370" s="36" t="n">
        <v>-0.2058608707199929</v>
      </c>
      <c r="T370" s="36" t="n">
        <v>-0.2822277346563175</v>
      </c>
      <c r="U370" s="31" t="n">
        <v>61400</v>
      </c>
      <c r="V370" s="31" t="n">
        <v>16420</v>
      </c>
      <c r="W370" s="36" t="n">
        <v>-0.5130293159609121</v>
      </c>
      <c r="X370" s="36" t="n">
        <v>0.8209500609013398</v>
      </c>
      <c r="Y370" s="31" t="n">
        <v>20476584</v>
      </c>
      <c r="Z370" s="31" t="n">
        <v>612249861600</v>
      </c>
      <c r="AA370" s="31" t="n">
        <v>5083926900</v>
      </c>
      <c r="AB370" s="31" t="n">
        <v>7100446572.5</v>
      </c>
      <c r="AC370" s="36" t="n">
        <v>0.008303679949741617</v>
      </c>
      <c r="AD370" s="29" t="inlineStr">
        <is>
          <t>yfinance_download</t>
        </is>
      </c>
      <c r="AE370" s="29" t="inlineStr">
        <is>
          <t>317330.KQ</t>
        </is>
      </c>
    </row>
    <row r="371" ht="24" customHeight="1">
      <c r="A371" s="24" t="inlineStr">
        <is>
          <t>2024-12-11</t>
        </is>
      </c>
      <c r="B371" s="30" t="n">
        <v>29950</v>
      </c>
      <c r="C371" s="30" t="n">
        <v>31200</v>
      </c>
      <c r="D371" s="30" t="n">
        <v>29950</v>
      </c>
      <c r="E371" s="30" t="n">
        <v>30600</v>
      </c>
      <c r="F371" s="30" t="n">
        <v>30600</v>
      </c>
      <c r="G371" s="30" t="n">
        <v>105203</v>
      </c>
      <c r="H371" s="35" t="n">
        <v>0.02341137123745818</v>
      </c>
      <c r="I371" s="35" t="n">
        <v>-0.501628664495114</v>
      </c>
      <c r="J371" s="30" t="n">
        <v>31325</v>
      </c>
      <c r="K371" s="30" t="n">
        <v>37524.16666666666</v>
      </c>
      <c r="L371" s="30" t="n">
        <v>41459.16666666666</v>
      </c>
      <c r="M371" s="35" t="n">
        <v>0.8140384724723824</v>
      </c>
      <c r="N371" s="35" t="n">
        <v>0.64362782859753</v>
      </c>
      <c r="O371" s="35" t="n">
        <v>-0.07969924812030071</v>
      </c>
      <c r="P371" s="35" t="n">
        <v>-0.1989528795811518</v>
      </c>
      <c r="Q371" s="35" t="n">
        <v>-0.4364640883977901</v>
      </c>
      <c r="R371" s="35" t="n">
        <v>-0.02314445331205106</v>
      </c>
      <c r="S371" s="35" t="n">
        <v>-0.1845255279930711</v>
      </c>
      <c r="T371" s="35" t="n">
        <v>-0.2619243834294788</v>
      </c>
      <c r="U371" s="30" t="n">
        <v>61400</v>
      </c>
      <c r="V371" s="30" t="n">
        <v>16770</v>
      </c>
      <c r="W371" s="35" t="n">
        <v>-0.501628664495114</v>
      </c>
      <c r="X371" s="35" t="n">
        <v>0.8246869409660107</v>
      </c>
      <c r="Y371" s="30" t="n">
        <v>20476584</v>
      </c>
      <c r="Z371" s="30" t="n">
        <v>626583470400</v>
      </c>
      <c r="AA371" s="30" t="n">
        <v>3219211800</v>
      </c>
      <c r="AB371" s="30" t="n">
        <v>6701123050</v>
      </c>
      <c r="AC371" s="35" t="n">
        <v>0.005137722190380974</v>
      </c>
      <c r="AD371" s="24" t="inlineStr">
        <is>
          <t>yfinance_download</t>
        </is>
      </c>
      <c r="AE371" s="24" t="inlineStr">
        <is>
          <t>317330.KQ</t>
        </is>
      </c>
    </row>
    <row r="372" ht="24" customHeight="1">
      <c r="A372" s="29" t="inlineStr">
        <is>
          <t>2024-12-12</t>
        </is>
      </c>
      <c r="B372" s="31" t="n">
        <v>32200</v>
      </c>
      <c r="C372" s="31" t="n">
        <v>37400</v>
      </c>
      <c r="D372" s="31" t="n">
        <v>32100</v>
      </c>
      <c r="E372" s="31" t="n">
        <v>35400</v>
      </c>
      <c r="F372" s="31" t="n">
        <v>35400</v>
      </c>
      <c r="G372" s="31" t="n">
        <v>1303457</v>
      </c>
      <c r="H372" s="36" t="n">
        <v>0.1568627450980393</v>
      </c>
      <c r="I372" s="36" t="n">
        <v>-0.4234527687296417</v>
      </c>
      <c r="J372" s="31" t="n">
        <v>31525</v>
      </c>
      <c r="K372" s="31" t="n">
        <v>37460.83333333334</v>
      </c>
      <c r="L372" s="31" t="n">
        <v>41303.33333333334</v>
      </c>
      <c r="M372" s="36" t="n">
        <v>0.96655176570448</v>
      </c>
      <c r="N372" s="36" t="n">
        <v>0.7200140927482751</v>
      </c>
      <c r="O372" s="36" t="n">
        <v>0.1273885350318471</v>
      </c>
      <c r="P372" s="36" t="n">
        <v>-0.09693877551020413</v>
      </c>
      <c r="Q372" s="36" t="n">
        <v>-0.3456561922365989</v>
      </c>
      <c r="R372" s="36" t="n">
        <v>0.1229183187946075</v>
      </c>
      <c r="S372" s="36" t="n">
        <v>-0.05501301359197386</v>
      </c>
      <c r="T372" s="36" t="n">
        <v>-0.1429263174884998</v>
      </c>
      <c r="U372" s="31" t="n">
        <v>61400</v>
      </c>
      <c r="V372" s="31" t="n">
        <v>17170</v>
      </c>
      <c r="W372" s="36" t="n">
        <v>-0.4234527687296417</v>
      </c>
      <c r="X372" s="36" t="n">
        <v>1.061735585323238</v>
      </c>
      <c r="Y372" s="31" t="n">
        <v>20476584</v>
      </c>
      <c r="Z372" s="31" t="n">
        <v>724871073600</v>
      </c>
      <c r="AA372" s="31" t="n">
        <v>46142377800</v>
      </c>
      <c r="AB372" s="31" t="n">
        <v>8521064660</v>
      </c>
      <c r="AC372" s="36" t="n">
        <v>0.06365597894648833</v>
      </c>
      <c r="AD372" s="29" t="inlineStr">
        <is>
          <t>yfinance_download</t>
        </is>
      </c>
      <c r="AE372" s="29" t="inlineStr">
        <is>
          <t>317330.KQ</t>
        </is>
      </c>
    </row>
    <row r="373" ht="24" customHeight="1">
      <c r="A373" s="24" t="inlineStr">
        <is>
          <t>2024-12-13</t>
        </is>
      </c>
      <c r="B373" s="30" t="n">
        <v>35000</v>
      </c>
      <c r="C373" s="30" t="n">
        <v>35250</v>
      </c>
      <c r="D373" s="30" t="n">
        <v>32850</v>
      </c>
      <c r="E373" s="30" t="n">
        <v>33050</v>
      </c>
      <c r="F373" s="30" t="n">
        <v>33050</v>
      </c>
      <c r="G373" s="30" t="n">
        <v>319415</v>
      </c>
      <c r="H373" s="35" t="n">
        <v>-0.06638418079096042</v>
      </c>
      <c r="I373" s="35" t="n">
        <v>-0.4617263843648208</v>
      </c>
      <c r="J373" s="30" t="n">
        <v>31680</v>
      </c>
      <c r="K373" s="30" t="n">
        <v>37334.16666666666</v>
      </c>
      <c r="L373" s="30" t="n">
        <v>41068.75</v>
      </c>
      <c r="M373" s="35" t="n">
        <v>0.9840073673345171</v>
      </c>
      <c r="N373" s="35" t="n">
        <v>0.7280264031536543</v>
      </c>
      <c r="O373" s="35" t="n">
        <v>0.1035058430717863</v>
      </c>
      <c r="P373" s="35" t="n">
        <v>-0.1869618696186962</v>
      </c>
      <c r="Q373" s="35" t="n">
        <v>-0.4599673202614379</v>
      </c>
      <c r="R373" s="35" t="n">
        <v>0.04324494949494939</v>
      </c>
      <c r="S373" s="35" t="n">
        <v>-0.1147519028593111</v>
      </c>
      <c r="T373" s="35" t="n">
        <v>-0.1952518642520165</v>
      </c>
      <c r="U373" s="30" t="n">
        <v>61400</v>
      </c>
      <c r="V373" s="30" t="n">
        <v>18260</v>
      </c>
      <c r="W373" s="35" t="n">
        <v>-0.4617263843648208</v>
      </c>
      <c r="X373" s="35" t="n">
        <v>0.8099671412924425</v>
      </c>
      <c r="Y373" s="30" t="n">
        <v>20476584</v>
      </c>
      <c r="Z373" s="30" t="n">
        <v>676751101200</v>
      </c>
      <c r="AA373" s="30" t="n">
        <v>10556665750</v>
      </c>
      <c r="AB373" s="30" t="n">
        <v>7989780590</v>
      </c>
      <c r="AC373" s="35" t="n">
        <v>0.01559903741756926</v>
      </c>
      <c r="AD373" s="24" t="inlineStr">
        <is>
          <t>yfinance_download</t>
        </is>
      </c>
      <c r="AE373" s="24" t="inlineStr">
        <is>
          <t>317330.KQ</t>
        </is>
      </c>
    </row>
    <row r="374" ht="24" customHeight="1">
      <c r="A374" s="29" t="inlineStr">
        <is>
          <t>2024-12-16</t>
        </is>
      </c>
      <c r="B374" s="31" t="n">
        <v>33050</v>
      </c>
      <c r="C374" s="31" t="n">
        <v>33550</v>
      </c>
      <c r="D374" s="31" t="n">
        <v>32500</v>
      </c>
      <c r="E374" s="31" t="n">
        <v>33300</v>
      </c>
      <c r="F374" s="31" t="n">
        <v>33300</v>
      </c>
      <c r="G374" s="31" t="n">
        <v>176945</v>
      </c>
      <c r="H374" s="36" t="n">
        <v>0.007564296520423675</v>
      </c>
      <c r="I374" s="36" t="n">
        <v>-0.4576547231270358</v>
      </c>
      <c r="J374" s="31" t="n">
        <v>31822.5</v>
      </c>
      <c r="K374" s="31" t="n">
        <v>37210.83333333334</v>
      </c>
      <c r="L374" s="31" t="n">
        <v>40856.25</v>
      </c>
      <c r="M374" s="36" t="n">
        <v>0.983315543225305</v>
      </c>
      <c r="N374" s="36" t="n">
        <v>0.7282777391430195</v>
      </c>
      <c r="O374" s="36" t="n">
        <v>0.09359605911330049</v>
      </c>
      <c r="P374" s="36" t="n">
        <v>-0.1818181818181818</v>
      </c>
      <c r="Q374" s="36" t="n">
        <v>-0.4336734693877551</v>
      </c>
      <c r="R374" s="36" t="n">
        <v>0.0464294131510723</v>
      </c>
      <c r="S374" s="36" t="n">
        <v>-0.1050993214341702</v>
      </c>
      <c r="T374" s="36" t="n">
        <v>-0.184947223497017</v>
      </c>
      <c r="U374" s="31" t="n">
        <v>61400</v>
      </c>
      <c r="V374" s="31" t="n">
        <v>18260</v>
      </c>
      <c r="W374" s="36" t="n">
        <v>-0.4576547231270358</v>
      </c>
      <c r="X374" s="36" t="n">
        <v>0.8236582694414021</v>
      </c>
      <c r="Y374" s="31" t="n">
        <v>20476584</v>
      </c>
      <c r="Z374" s="31" t="n">
        <v>681870247200</v>
      </c>
      <c r="AA374" s="31" t="n">
        <v>5892268500</v>
      </c>
      <c r="AB374" s="31" t="n">
        <v>7980641562.5</v>
      </c>
      <c r="AC374" s="36" t="n">
        <v>0.008641333925619625</v>
      </c>
      <c r="AD374" s="29" t="inlineStr">
        <is>
          <t>yfinance_download</t>
        </is>
      </c>
      <c r="AE374" s="29" t="inlineStr">
        <is>
          <t>317330.KQ</t>
        </is>
      </c>
    </row>
    <row r="375" ht="24" customHeight="1">
      <c r="A375" s="24" t="inlineStr">
        <is>
          <t>2024-12-17</t>
        </is>
      </c>
      <c r="B375" s="30" t="n">
        <v>33100</v>
      </c>
      <c r="C375" s="30" t="n">
        <v>33300</v>
      </c>
      <c r="D375" s="30" t="n">
        <v>31150</v>
      </c>
      <c r="E375" s="30" t="n">
        <v>31950</v>
      </c>
      <c r="F375" s="30" t="n">
        <v>31950</v>
      </c>
      <c r="G375" s="30" t="n">
        <v>184169</v>
      </c>
      <c r="H375" s="35" t="n">
        <v>-0.04054054054054057</v>
      </c>
      <c r="I375" s="35" t="n">
        <v>-0.4796416938110749</v>
      </c>
      <c r="J375" s="30" t="n">
        <v>31927.5</v>
      </c>
      <c r="K375" s="30" t="n">
        <v>37068.33333333334</v>
      </c>
      <c r="L375" s="30" t="n">
        <v>40610.83333333334</v>
      </c>
      <c r="M375" s="35" t="n">
        <v>0.993348972142604</v>
      </c>
      <c r="N375" s="35" t="n">
        <v>0.7324687308905542</v>
      </c>
      <c r="O375" s="35" t="n">
        <v>0.07035175879396993</v>
      </c>
      <c r="P375" s="35" t="n">
        <v>-0.2111111111111111</v>
      </c>
      <c r="Q375" s="35" t="n">
        <v>-0.4796416938110749</v>
      </c>
      <c r="R375" s="35" t="n">
        <v>0.0007047216349542751</v>
      </c>
      <c r="S375" s="35" t="n">
        <v>-0.1380783238163752</v>
      </c>
      <c r="T375" s="35" t="n">
        <v>-0.2132641126136294</v>
      </c>
      <c r="U375" s="30" t="n">
        <v>61400</v>
      </c>
      <c r="V375" s="30" t="n">
        <v>18260</v>
      </c>
      <c r="W375" s="35" t="n">
        <v>-0.4796416938110749</v>
      </c>
      <c r="X375" s="35" t="n">
        <v>0.7497261774370207</v>
      </c>
      <c r="Y375" s="30" t="n">
        <v>20476584</v>
      </c>
      <c r="Z375" s="30" t="n">
        <v>654226858800</v>
      </c>
      <c r="AA375" s="30" t="n">
        <v>5884199550</v>
      </c>
      <c r="AB375" s="30" t="n">
        <v>8060976290</v>
      </c>
      <c r="AC375" s="35" t="n">
        <v>0.00899412714542621</v>
      </c>
      <c r="AD375" s="24" t="inlineStr">
        <is>
          <t>yfinance_download</t>
        </is>
      </c>
      <c r="AE375" s="24" t="inlineStr">
        <is>
          <t>317330.KQ</t>
        </is>
      </c>
    </row>
    <row r="376" ht="24" customHeight="1">
      <c r="A376" s="29" t="inlineStr">
        <is>
          <t>2024-12-18</t>
        </is>
      </c>
      <c r="B376" s="31" t="n">
        <v>32250</v>
      </c>
      <c r="C376" s="31" t="n">
        <v>32550</v>
      </c>
      <c r="D376" s="31" t="n">
        <v>31700</v>
      </c>
      <c r="E376" s="31" t="n">
        <v>32450</v>
      </c>
      <c r="F376" s="31" t="n">
        <v>32450</v>
      </c>
      <c r="G376" s="31" t="n">
        <v>119941</v>
      </c>
      <c r="H376" s="36" t="n">
        <v>0.01564945226917058</v>
      </c>
      <c r="I376" s="36" t="n">
        <v>-0.4714983713355049</v>
      </c>
      <c r="J376" s="31" t="n">
        <v>32010</v>
      </c>
      <c r="K376" s="31" t="n">
        <v>36900.83333333334</v>
      </c>
      <c r="L376" s="31" t="n">
        <v>40400.41666666666</v>
      </c>
      <c r="M376" s="36" t="n">
        <v>0.989257891989555</v>
      </c>
      <c r="N376" s="36" t="n">
        <v>0.7254112509576393</v>
      </c>
      <c r="O376" s="36" t="n">
        <v>0.0535714285714286</v>
      </c>
      <c r="P376" s="36" t="n">
        <v>-0.2364705882352941</v>
      </c>
      <c r="Q376" s="36" t="n">
        <v>-0.4376083188908145</v>
      </c>
      <c r="R376" s="36" t="n">
        <v>0.0137457044673539</v>
      </c>
      <c r="S376" s="36" t="n">
        <v>-0.1206160655811749</v>
      </c>
      <c r="T376" s="36" t="n">
        <v>-0.1967904621445735</v>
      </c>
      <c r="U376" s="31" t="n">
        <v>61400</v>
      </c>
      <c r="V376" s="31" t="n">
        <v>18260</v>
      </c>
      <c r="W376" s="36" t="n">
        <v>-0.4714983713355049</v>
      </c>
      <c r="X376" s="36" t="n">
        <v>0.7771084337349397</v>
      </c>
      <c r="Y376" s="31" t="n">
        <v>20476584</v>
      </c>
      <c r="Z376" s="31" t="n">
        <v>664465150800</v>
      </c>
      <c r="AA376" s="31" t="n">
        <v>3892085450</v>
      </c>
      <c r="AB376" s="31" t="n">
        <v>8074376462.5</v>
      </c>
      <c r="AC376" s="36" t="n">
        <v>0.005857471148507974</v>
      </c>
      <c r="AD376" s="29" t="inlineStr">
        <is>
          <t>yfinance_download</t>
        </is>
      </c>
      <c r="AE376" s="29" t="inlineStr">
        <is>
          <t>317330.KQ</t>
        </is>
      </c>
    </row>
    <row r="377" ht="24" customHeight="1">
      <c r="A377" s="24" t="inlineStr">
        <is>
          <t>2024-12-19</t>
        </is>
      </c>
      <c r="B377" s="30" t="n">
        <v>31350</v>
      </c>
      <c r="C377" s="30" t="n">
        <v>32600</v>
      </c>
      <c r="D377" s="30" t="n">
        <v>31300</v>
      </c>
      <c r="E377" s="30" t="n">
        <v>31450</v>
      </c>
      <c r="F377" s="30" t="n">
        <v>31450</v>
      </c>
      <c r="G377" s="30" t="n">
        <v>103996</v>
      </c>
      <c r="H377" s="35" t="n">
        <v>-0.03081664098613246</v>
      </c>
      <c r="I377" s="35" t="n">
        <v>-0.4877850162866449</v>
      </c>
      <c r="J377" s="30" t="n">
        <v>32045</v>
      </c>
      <c r="K377" s="30" t="n">
        <v>36701.66666666666</v>
      </c>
      <c r="L377" s="30" t="n">
        <v>40212.5</v>
      </c>
      <c r="M377" s="35" t="n">
        <v>0.997024461807583</v>
      </c>
      <c r="N377" s="35" t="n">
        <v>0.7256917157463869</v>
      </c>
      <c r="O377" s="35" t="n">
        <v>0.02276422764227637</v>
      </c>
      <c r="P377" s="35" t="n">
        <v>-0.2753456221198156</v>
      </c>
      <c r="Q377" s="35" t="n">
        <v>-0.4175925925925926</v>
      </c>
      <c r="R377" s="35" t="n">
        <v>-0.01856763925729443</v>
      </c>
      <c r="S377" s="35" t="n">
        <v>-0.1430906861632077</v>
      </c>
      <c r="T377" s="35" t="n">
        <v>-0.2179048803232826</v>
      </c>
      <c r="U377" s="30" t="n">
        <v>61400</v>
      </c>
      <c r="V377" s="30" t="n">
        <v>18260</v>
      </c>
      <c r="W377" s="35" t="n">
        <v>-0.4877850162866449</v>
      </c>
      <c r="X377" s="35" t="n">
        <v>0.7223439211391018</v>
      </c>
      <c r="Y377" s="30" t="n">
        <v>20476584</v>
      </c>
      <c r="Z377" s="30" t="n">
        <v>643988566800</v>
      </c>
      <c r="AA377" s="30" t="n">
        <v>3270674200</v>
      </c>
      <c r="AB377" s="30" t="n">
        <v>8074862910</v>
      </c>
      <c r="AC377" s="35" t="n">
        <v>0.005078776811600997</v>
      </c>
      <c r="AD377" s="24" t="inlineStr">
        <is>
          <t>yfinance_download</t>
        </is>
      </c>
      <c r="AE377" s="24" t="inlineStr">
        <is>
          <t>317330.KQ</t>
        </is>
      </c>
    </row>
    <row r="378" ht="24" customHeight="1">
      <c r="A378" s="29" t="inlineStr">
        <is>
          <t>2024-12-20</t>
        </is>
      </c>
      <c r="B378" s="31" t="n">
        <v>31400</v>
      </c>
      <c r="C378" s="31" t="n">
        <v>31600</v>
      </c>
      <c r="D378" s="31" t="n">
        <v>29850</v>
      </c>
      <c r="E378" s="31" t="n">
        <v>30200</v>
      </c>
      <c r="F378" s="31" t="n">
        <v>30200</v>
      </c>
      <c r="G378" s="31" t="n">
        <v>170382</v>
      </c>
      <c r="H378" s="36" t="n">
        <v>-0.03974562798092207</v>
      </c>
      <c r="I378" s="36" t="n">
        <v>-0.50814332247557</v>
      </c>
      <c r="J378" s="31" t="n">
        <v>31942.5</v>
      </c>
      <c r="K378" s="31" t="n">
        <v>36464.16666666666</v>
      </c>
      <c r="L378" s="31" t="n">
        <v>40037.5</v>
      </c>
      <c r="M378" s="36" t="n">
        <v>0.9925873144699748</v>
      </c>
      <c r="N378" s="36" t="n">
        <v>0.7267845629823271</v>
      </c>
      <c r="O378" s="36" t="n">
        <v>-0.06356589147286817</v>
      </c>
      <c r="P378" s="36" t="n">
        <v>-0.3205849268841395</v>
      </c>
      <c r="Q378" s="36" t="n">
        <v>-0.41015625</v>
      </c>
      <c r="R378" s="36" t="n">
        <v>-0.05455114659153171</v>
      </c>
      <c r="S378" s="36" t="n">
        <v>-0.1717896565121009</v>
      </c>
      <c r="T378" s="36" t="n">
        <v>-0.2457071495472994</v>
      </c>
      <c r="U378" s="31" t="n">
        <v>61400</v>
      </c>
      <c r="V378" s="31" t="n">
        <v>18260</v>
      </c>
      <c r="W378" s="36" t="n">
        <v>-0.50814332247557</v>
      </c>
      <c r="X378" s="36" t="n">
        <v>0.6538882803943045</v>
      </c>
      <c r="Y378" s="31" t="n">
        <v>20476584</v>
      </c>
      <c r="Z378" s="31" t="n">
        <v>618392836800</v>
      </c>
      <c r="AA378" s="31" t="n">
        <v>5145536400</v>
      </c>
      <c r="AB378" s="31" t="n">
        <v>8040889980</v>
      </c>
      <c r="AC378" s="36" t="n">
        <v>0.008320821480770426</v>
      </c>
      <c r="AD378" s="29" t="inlineStr">
        <is>
          <t>yfinance_download</t>
        </is>
      </c>
      <c r="AE378" s="29" t="inlineStr">
        <is>
          <t>317330.KQ</t>
        </is>
      </c>
    </row>
    <row r="379" ht="24" customHeight="1">
      <c r="A379" s="24" t="inlineStr">
        <is>
          <t>2024-12-23</t>
        </is>
      </c>
      <c r="B379" s="30" t="n">
        <v>29700</v>
      </c>
      <c r="C379" s="30" t="n">
        <v>31750</v>
      </c>
      <c r="D379" s="30" t="n">
        <v>29100</v>
      </c>
      <c r="E379" s="30" t="n">
        <v>31100</v>
      </c>
      <c r="F379" s="30" t="n">
        <v>31100</v>
      </c>
      <c r="G379" s="30" t="n">
        <v>205903</v>
      </c>
      <c r="H379" s="35" t="n">
        <v>0.0298013245033113</v>
      </c>
      <c r="I379" s="35" t="n">
        <v>-0.493485342019544</v>
      </c>
      <c r="J379" s="30" t="n">
        <v>31817.5</v>
      </c>
      <c r="K379" s="30" t="n">
        <v>36264.16666666666</v>
      </c>
      <c r="L379" s="30" t="n">
        <v>39859.16666666666</v>
      </c>
      <c r="M379" s="35" t="n">
        <v>0.9865119877477437</v>
      </c>
      <c r="N379" s="35" t="n">
        <v>0.7284151679976949</v>
      </c>
      <c r="O379" s="35" t="n">
        <v>-0.07440476190476186</v>
      </c>
      <c r="P379" s="35" t="n">
        <v>-0.2784222737819025</v>
      </c>
      <c r="Q379" s="35" t="n">
        <v>-0.4076190476190477</v>
      </c>
      <c r="R379" s="35" t="n">
        <v>-0.02255048322464048</v>
      </c>
      <c r="S379" s="35" t="n">
        <v>-0.1424041179309234</v>
      </c>
      <c r="T379" s="35" t="n">
        <v>-0.2197528799314252</v>
      </c>
      <c r="U379" s="30" t="n">
        <v>61400</v>
      </c>
      <c r="V379" s="30" t="n">
        <v>18260</v>
      </c>
      <c r="W379" s="35" t="n">
        <v>-0.493485342019544</v>
      </c>
      <c r="X379" s="35" t="n">
        <v>0.7031763417305585</v>
      </c>
      <c r="Y379" s="30" t="n">
        <v>20476584</v>
      </c>
      <c r="Z379" s="30" t="n">
        <v>636821762400</v>
      </c>
      <c r="AA379" s="30" t="n">
        <v>6403583300</v>
      </c>
      <c r="AB379" s="30" t="n">
        <v>8083138345</v>
      </c>
      <c r="AC379" s="35" t="n">
        <v>0.01005553465363168</v>
      </c>
      <c r="AD379" s="24" t="inlineStr">
        <is>
          <t>yfinance_download</t>
        </is>
      </c>
      <c r="AE379" s="24" t="inlineStr">
        <is>
          <t>317330.KQ</t>
        </is>
      </c>
    </row>
    <row r="380" ht="24" customHeight="1">
      <c r="A380" s="29" t="inlineStr">
        <is>
          <t>2024-12-24</t>
        </is>
      </c>
      <c r="B380" s="31" t="n">
        <v>31600</v>
      </c>
      <c r="C380" s="31" t="n">
        <v>31800</v>
      </c>
      <c r="D380" s="31" t="n">
        <v>30450</v>
      </c>
      <c r="E380" s="31" t="n">
        <v>30650</v>
      </c>
      <c r="F380" s="31" t="n">
        <v>30650</v>
      </c>
      <c r="G380" s="31" t="n">
        <v>128317</v>
      </c>
      <c r="H380" s="36" t="n">
        <v>-0.01446945337620575</v>
      </c>
      <c r="I380" s="36" t="n">
        <v>-0.500814332247557</v>
      </c>
      <c r="J380" s="31" t="n">
        <v>31720</v>
      </c>
      <c r="K380" s="31" t="n">
        <v>36023.33333333334</v>
      </c>
      <c r="L380" s="31" t="n">
        <v>39663.75</v>
      </c>
      <c r="M380" s="36" t="n">
        <v>0.9823005762203367</v>
      </c>
      <c r="N380" s="36" t="n">
        <v>0.7209258208143635</v>
      </c>
      <c r="O380" s="36" t="n">
        <v>-0.05981595092024539</v>
      </c>
      <c r="P380" s="36" t="n">
        <v>-0.3203991130820399</v>
      </c>
      <c r="Q380" s="36" t="n">
        <v>-0.433456561922366</v>
      </c>
      <c r="R380" s="36" t="n">
        <v>-0.03373266078184112</v>
      </c>
      <c r="S380" s="36" t="n">
        <v>-0.1491625798093829</v>
      </c>
      <c r="T380" s="36" t="n">
        <v>-0.2272541048186316</v>
      </c>
      <c r="U380" s="31" t="n">
        <v>61400</v>
      </c>
      <c r="V380" s="31" t="n">
        <v>18260</v>
      </c>
      <c r="W380" s="36" t="n">
        <v>-0.500814332247557</v>
      </c>
      <c r="X380" s="36" t="n">
        <v>0.6785323110624315</v>
      </c>
      <c r="Y380" s="31" t="n">
        <v>20476584</v>
      </c>
      <c r="Z380" s="31" t="n">
        <v>627607299600</v>
      </c>
      <c r="AA380" s="31" t="n">
        <v>3932916050</v>
      </c>
      <c r="AB380" s="31" t="n">
        <v>8001758307.5</v>
      </c>
      <c r="AC380" s="36" t="n">
        <v>0.006266523752203981</v>
      </c>
      <c r="AD380" s="29" t="inlineStr">
        <is>
          <t>yfinance_download</t>
        </is>
      </c>
      <c r="AE380" s="29" t="inlineStr">
        <is>
          <t>317330.KQ</t>
        </is>
      </c>
    </row>
    <row r="381" ht="24" customHeight="1">
      <c r="A381" s="24" t="inlineStr">
        <is>
          <t>2024-12-26</t>
        </is>
      </c>
      <c r="B381" s="30" t="n">
        <v>31100</v>
      </c>
      <c r="C381" s="30" t="n">
        <v>31100</v>
      </c>
      <c r="D381" s="30" t="n">
        <v>29700</v>
      </c>
      <c r="E381" s="30" t="n">
        <v>29750</v>
      </c>
      <c r="F381" s="30" t="n">
        <v>29750</v>
      </c>
      <c r="G381" s="30" t="n">
        <v>124862</v>
      </c>
      <c r="H381" s="35" t="n">
        <v>-0.0293637846655791</v>
      </c>
      <c r="I381" s="35" t="n">
        <v>-0.5154723127035831</v>
      </c>
      <c r="J381" s="30" t="n">
        <v>31575</v>
      </c>
      <c r="K381" s="30" t="n">
        <v>35777.5</v>
      </c>
      <c r="L381" s="30" t="n">
        <v>39455.83333333334</v>
      </c>
      <c r="M381" s="35" t="n">
        <v>0.9872314311904533</v>
      </c>
      <c r="N381" s="35" t="n">
        <v>0.722426240748954</v>
      </c>
      <c r="O381" s="35" t="n">
        <v>-0.0888208269525268</v>
      </c>
      <c r="P381" s="35" t="n">
        <v>-0.3314606741573034</v>
      </c>
      <c r="Q381" s="35" t="n">
        <v>-0.4561243144424132</v>
      </c>
      <c r="R381" s="35" t="n">
        <v>-0.05779889152810769</v>
      </c>
      <c r="S381" s="35" t="n">
        <v>-0.1684718049053175</v>
      </c>
      <c r="T381" s="35" t="n">
        <v>-0.2459923543202315</v>
      </c>
      <c r="U381" s="30" t="n">
        <v>61400</v>
      </c>
      <c r="V381" s="30" t="n">
        <v>18260</v>
      </c>
      <c r="W381" s="35" t="n">
        <v>-0.5154723127035831</v>
      </c>
      <c r="X381" s="35" t="n">
        <v>0.6292442497261774</v>
      </c>
      <c r="Y381" s="30" t="n">
        <v>20476584</v>
      </c>
      <c r="Z381" s="30" t="n">
        <v>609178374000</v>
      </c>
      <c r="AA381" s="30" t="n">
        <v>3714644500</v>
      </c>
      <c r="AB381" s="30" t="n">
        <v>7889791097.5</v>
      </c>
      <c r="AC381" s="35" t="n">
        <v>0.006097794436806451</v>
      </c>
      <c r="AD381" s="24" t="inlineStr">
        <is>
          <t>yfinance_download</t>
        </is>
      </c>
      <c r="AE381" s="24" t="inlineStr">
        <is>
          <t>317330.KQ</t>
        </is>
      </c>
    </row>
    <row r="382" ht="24" customHeight="1">
      <c r="A382" s="29" t="inlineStr">
        <is>
          <t>2024-12-27</t>
        </is>
      </c>
      <c r="B382" s="31" t="n">
        <v>29500</v>
      </c>
      <c r="C382" s="31" t="n">
        <v>30100</v>
      </c>
      <c r="D382" s="31" t="n">
        <v>28200</v>
      </c>
      <c r="E382" s="31" t="n">
        <v>28800</v>
      </c>
      <c r="F382" s="31" t="n">
        <v>28800</v>
      </c>
      <c r="G382" s="31" t="n">
        <v>158233</v>
      </c>
      <c r="H382" s="36" t="n">
        <v>-0.0319327731092437</v>
      </c>
      <c r="I382" s="36" t="n">
        <v>-0.5309446254071661</v>
      </c>
      <c r="J382" s="31" t="n">
        <v>31355</v>
      </c>
      <c r="K382" s="31" t="n">
        <v>35507.5</v>
      </c>
      <c r="L382" s="31" t="n">
        <v>39264.16666666666</v>
      </c>
      <c r="M382" s="36" t="n">
        <v>0.9895131646198998</v>
      </c>
      <c r="N382" s="36" t="n">
        <v>0.7235245712283771</v>
      </c>
      <c r="O382" s="36" t="n">
        <v>-0.1325301204819277</v>
      </c>
      <c r="P382" s="36" t="n">
        <v>-0.36</v>
      </c>
      <c r="Q382" s="36" t="n">
        <v>-0.444015444015444</v>
      </c>
      <c r="R382" s="36" t="n">
        <v>-0.08148620634667514</v>
      </c>
      <c r="S382" s="36" t="n">
        <v>-0.1889037527282968</v>
      </c>
      <c r="T382" s="36" t="n">
        <v>-0.2665067809919986</v>
      </c>
      <c r="U382" s="31" t="n">
        <v>61400</v>
      </c>
      <c r="V382" s="31" t="n">
        <v>18260</v>
      </c>
      <c r="W382" s="36" t="n">
        <v>-0.5309446254071661</v>
      </c>
      <c r="X382" s="36" t="n">
        <v>0.5772179627601315</v>
      </c>
      <c r="Y382" s="31" t="n">
        <v>20476584</v>
      </c>
      <c r="Z382" s="31" t="n">
        <v>589725619200</v>
      </c>
      <c r="AA382" s="31" t="n">
        <v>4557110400</v>
      </c>
      <c r="AB382" s="31" t="n">
        <v>7975042657.5</v>
      </c>
      <c r="AC382" s="36" t="n">
        <v>0.007727509627582414</v>
      </c>
      <c r="AD382" s="29" t="inlineStr">
        <is>
          <t>yfinance_download</t>
        </is>
      </c>
      <c r="AE382" s="29" t="inlineStr">
        <is>
          <t>317330.KQ</t>
        </is>
      </c>
    </row>
    <row r="383" ht="24" customHeight="1">
      <c r="A383" s="24" t="inlineStr">
        <is>
          <t>2024-12-30</t>
        </is>
      </c>
      <c r="B383" s="30" t="n">
        <v>28800</v>
      </c>
      <c r="C383" s="30" t="n">
        <v>30000</v>
      </c>
      <c r="D383" s="30" t="n">
        <v>28400</v>
      </c>
      <c r="E383" s="30" t="n">
        <v>29650</v>
      </c>
      <c r="F383" s="30" t="n">
        <v>29650</v>
      </c>
      <c r="G383" s="30" t="n">
        <v>80844</v>
      </c>
      <c r="H383" s="35" t="n">
        <v>0.02951388888888884</v>
      </c>
      <c r="I383" s="35" t="n">
        <v>-0.5171009771986971</v>
      </c>
      <c r="J383" s="30" t="n">
        <v>31270</v>
      </c>
      <c r="K383" s="30" t="n">
        <v>35252.5</v>
      </c>
      <c r="L383" s="30" t="n">
        <v>39057.91666666666</v>
      </c>
      <c r="M383" s="35" t="n">
        <v>0.9780699262979684</v>
      </c>
      <c r="N383" s="35" t="n">
        <v>0.7271938991755327</v>
      </c>
      <c r="O383" s="35" t="n">
        <v>-0.05422647527910684</v>
      </c>
      <c r="P383" s="35" t="n">
        <v>-0.3403781979977754</v>
      </c>
      <c r="Q383" s="35" t="n">
        <v>-0.4549632352941176</v>
      </c>
      <c r="R383" s="35" t="n">
        <v>-0.05180684362008314</v>
      </c>
      <c r="S383" s="35" t="n">
        <v>-0.1589248989433374</v>
      </c>
      <c r="T383" s="35" t="n">
        <v>-0.2408709288556523</v>
      </c>
      <c r="U383" s="30" t="n">
        <v>61400</v>
      </c>
      <c r="V383" s="30" t="n">
        <v>18260</v>
      </c>
      <c r="W383" s="35" t="n">
        <v>-0.5171009771986971</v>
      </c>
      <c r="X383" s="35" t="n">
        <v>0.6237677984665937</v>
      </c>
      <c r="Y383" s="30" t="n">
        <v>20476584</v>
      </c>
      <c r="Z383" s="30" t="n">
        <v>607130715600</v>
      </c>
      <c r="AA383" s="30" t="n">
        <v>2397024600</v>
      </c>
      <c r="AB383" s="30" t="n">
        <v>7747896412.5</v>
      </c>
      <c r="AC383" s="35" t="n">
        <v>0.003948119471489971</v>
      </c>
      <c r="AD383" s="24" t="inlineStr">
        <is>
          <t>yfinance_download</t>
        </is>
      </c>
      <c r="AE383" s="24" t="inlineStr">
        <is>
          <t>317330.KQ</t>
        </is>
      </c>
    </row>
    <row r="384" ht="24" customHeight="1">
      <c r="A384" s="29" t="inlineStr">
        <is>
          <t>2025-01-02</t>
        </is>
      </c>
      <c r="B384" s="31" t="n">
        <v>30000</v>
      </c>
      <c r="C384" s="31" t="n">
        <v>30700</v>
      </c>
      <c r="D384" s="31" t="n">
        <v>29350</v>
      </c>
      <c r="E384" s="31" t="n">
        <v>30250</v>
      </c>
      <c r="F384" s="31" t="n">
        <v>30250</v>
      </c>
      <c r="G384" s="31" t="n">
        <v>93044</v>
      </c>
      <c r="H384" s="36" t="n">
        <v>0.02023608768971341</v>
      </c>
      <c r="I384" s="36" t="n">
        <v>-0.507328990228013</v>
      </c>
      <c r="J384" s="31" t="n">
        <v>31252.5</v>
      </c>
      <c r="K384" s="31" t="n">
        <v>35031.66666666666</v>
      </c>
      <c r="L384" s="31" t="n">
        <v>38857.5</v>
      </c>
      <c r="M384" s="36" t="n">
        <v>0.9769121745680338</v>
      </c>
      <c r="N384" s="36" t="n">
        <v>0.7270220337426679</v>
      </c>
      <c r="O384" s="36" t="n">
        <v>-0.01143790849673199</v>
      </c>
      <c r="P384" s="36" t="n">
        <v>-0.3045977011494253</v>
      </c>
      <c r="Q384" s="36" t="n">
        <v>-0.4429097605893186</v>
      </c>
      <c r="R384" s="36" t="n">
        <v>-0.0320774338052956</v>
      </c>
      <c r="S384" s="36" t="n">
        <v>-0.1364955516437508</v>
      </c>
      <c r="T384" s="36" t="n">
        <v>-0.221514508138712</v>
      </c>
      <c r="U384" s="31" t="n">
        <v>61400</v>
      </c>
      <c r="V384" s="31" t="n">
        <v>18260</v>
      </c>
      <c r="W384" s="36" t="n">
        <v>-0.507328990228013</v>
      </c>
      <c r="X384" s="36" t="n">
        <v>0.6566265060240963</v>
      </c>
      <c r="Y384" s="31" t="n">
        <v>20476584</v>
      </c>
      <c r="Z384" s="31" t="n">
        <v>619416666000</v>
      </c>
      <c r="AA384" s="31" t="n">
        <v>2814581000</v>
      </c>
      <c r="AB384" s="31" t="n">
        <v>7602370112.5</v>
      </c>
      <c r="AC384" s="36" t="n">
        <v>0.004543921974485588</v>
      </c>
      <c r="AD384" s="29" t="inlineStr">
        <is>
          <t>yfinance_download</t>
        </is>
      </c>
      <c r="AE384" s="29" t="inlineStr">
        <is>
          <t>317330.KQ</t>
        </is>
      </c>
    </row>
    <row r="385" ht="24" customHeight="1">
      <c r="A385" s="24" t="inlineStr">
        <is>
          <t>2025-01-03</t>
        </is>
      </c>
      <c r="B385" s="30" t="n">
        <v>30050</v>
      </c>
      <c r="C385" s="30" t="n">
        <v>32000</v>
      </c>
      <c r="D385" s="30" t="n">
        <v>30050</v>
      </c>
      <c r="E385" s="30" t="n">
        <v>31250</v>
      </c>
      <c r="F385" s="30" t="n">
        <v>31250</v>
      </c>
      <c r="G385" s="30" t="n">
        <v>122767</v>
      </c>
      <c r="H385" s="35" t="n">
        <v>0.03305785123966931</v>
      </c>
      <c r="I385" s="35" t="n">
        <v>-0.491042345276873</v>
      </c>
      <c r="J385" s="30" t="n">
        <v>31140</v>
      </c>
      <c r="K385" s="30" t="n">
        <v>34814.16666666666</v>
      </c>
      <c r="L385" s="30" t="n">
        <v>38667.08333333334</v>
      </c>
      <c r="M385" s="35" t="n">
        <v>0.9214955127785059</v>
      </c>
      <c r="N385" s="35" t="n">
        <v>0.7296555662522058</v>
      </c>
      <c r="O385" s="35" t="n">
        <v>-0.06716417910447758</v>
      </c>
      <c r="P385" s="35" t="n">
        <v>-0.2945823927765236</v>
      </c>
      <c r="Q385" s="35" t="n">
        <v>-0.422365988909427</v>
      </c>
      <c r="R385" s="35" t="n">
        <v>0.003532434168272314</v>
      </c>
      <c r="S385" s="35" t="n">
        <v>-0.1023769059530363</v>
      </c>
      <c r="T385" s="35" t="n">
        <v>-0.1918190536739907</v>
      </c>
      <c r="U385" s="30" t="n">
        <v>61400</v>
      </c>
      <c r="V385" s="30" t="n">
        <v>18260</v>
      </c>
      <c r="W385" s="35" t="n">
        <v>-0.491042345276873</v>
      </c>
      <c r="X385" s="35" t="n">
        <v>0.7113910186199344</v>
      </c>
      <c r="Y385" s="30" t="n">
        <v>20476584</v>
      </c>
      <c r="Z385" s="30" t="n">
        <v>639893250000</v>
      </c>
      <c r="AA385" s="30" t="n">
        <v>3836468750</v>
      </c>
      <c r="AB385" s="30" t="n">
        <v>7396639000</v>
      </c>
      <c r="AC385" s="35" t="n">
        <v>0.005995482449611712</v>
      </c>
      <c r="AD385" s="24" t="inlineStr">
        <is>
          <t>yfinance_download</t>
        </is>
      </c>
      <c r="AE385" s="24" t="inlineStr">
        <is>
          <t>317330.KQ</t>
        </is>
      </c>
    </row>
    <row r="386" ht="24" customHeight="1">
      <c r="A386" s="29" t="inlineStr">
        <is>
          <t>2025-01-06</t>
        </is>
      </c>
      <c r="B386" s="31" t="n">
        <v>31450</v>
      </c>
      <c r="C386" s="31" t="n">
        <v>32000</v>
      </c>
      <c r="D386" s="31" t="n">
        <v>31050</v>
      </c>
      <c r="E386" s="31" t="n">
        <v>31350</v>
      </c>
      <c r="F386" s="31" t="n">
        <v>31350</v>
      </c>
      <c r="G386" s="31" t="n">
        <v>111151</v>
      </c>
      <c r="H386" s="36" t="n">
        <v>0.003200000000000092</v>
      </c>
      <c r="I386" s="36" t="n">
        <v>-0.489413680781759</v>
      </c>
      <c r="J386" s="31" t="n">
        <v>31090</v>
      </c>
      <c r="K386" s="31" t="n">
        <v>34557.5</v>
      </c>
      <c r="L386" s="31" t="n">
        <v>38485.83333333334</v>
      </c>
      <c r="M386" s="36" t="n">
        <v>0.9135702665425116</v>
      </c>
      <c r="N386" s="36" t="n">
        <v>0.7190687832758033</v>
      </c>
      <c r="O386" s="36" t="n">
        <v>-0.03091190108191655</v>
      </c>
      <c r="P386" s="36" t="n">
        <v>-0.3294117647058824</v>
      </c>
      <c r="Q386" s="36" t="n">
        <v>-0.4096045197740112</v>
      </c>
      <c r="R386" s="36" t="n">
        <v>0.008362817626246466</v>
      </c>
      <c r="S386" s="36" t="n">
        <v>-0.09281632062504519</v>
      </c>
      <c r="T386" s="36" t="n">
        <v>-0.1854145464781414</v>
      </c>
      <c r="U386" s="31" t="n">
        <v>61400</v>
      </c>
      <c r="V386" s="31" t="n">
        <v>18260</v>
      </c>
      <c r="W386" s="36" t="n">
        <v>-0.489413680781759</v>
      </c>
      <c r="X386" s="36" t="n">
        <v>0.7168674698795181</v>
      </c>
      <c r="Y386" s="31" t="n">
        <v>20476584</v>
      </c>
      <c r="Z386" s="31" t="n">
        <v>641940908400</v>
      </c>
      <c r="AA386" s="31" t="n">
        <v>3484583850</v>
      </c>
      <c r="AB386" s="31" t="n">
        <v>7083109450</v>
      </c>
      <c r="AC386" s="36" t="n">
        <v>0.005428200328726706</v>
      </c>
      <c r="AD386" s="29" t="inlineStr">
        <is>
          <t>yfinance_download</t>
        </is>
      </c>
      <c r="AE386" s="29" t="inlineStr">
        <is>
          <t>317330.KQ</t>
        </is>
      </c>
    </row>
    <row r="387" ht="24" customHeight="1">
      <c r="A387" s="24" t="inlineStr">
        <is>
          <t>2025-01-07</t>
        </is>
      </c>
      <c r="B387" s="30" t="n">
        <v>31650</v>
      </c>
      <c r="C387" s="30" t="n">
        <v>32000</v>
      </c>
      <c r="D387" s="30" t="n">
        <v>30850</v>
      </c>
      <c r="E387" s="30" t="n">
        <v>30900</v>
      </c>
      <c r="F387" s="30" t="n">
        <v>30900</v>
      </c>
      <c r="G387" s="30" t="n">
        <v>105903</v>
      </c>
      <c r="H387" s="35" t="n">
        <v>-0.0143540669856459</v>
      </c>
      <c r="I387" s="35" t="n">
        <v>-0.496742671009772</v>
      </c>
      <c r="J387" s="30" t="n">
        <v>31080</v>
      </c>
      <c r="K387" s="30" t="n">
        <v>34286.66666666666</v>
      </c>
      <c r="L387" s="30" t="n">
        <v>38280.83333333334</v>
      </c>
      <c r="M387" s="35" t="n">
        <v>0.9039693456762945</v>
      </c>
      <c r="N387" s="35" t="n">
        <v>0.718669659236629</v>
      </c>
      <c r="O387" s="35" t="n">
        <v>-0.006430868167202619</v>
      </c>
      <c r="P387" s="35" t="n">
        <v>-0.3446447507953341</v>
      </c>
      <c r="Q387" s="35" t="n">
        <v>-0.4432432432432433</v>
      </c>
      <c r="R387" s="35" t="n">
        <v>-0.00579150579150578</v>
      </c>
      <c r="S387" s="35" t="n">
        <v>-0.09877503402683252</v>
      </c>
      <c r="T387" s="35" t="n">
        <v>-0.1928075407623485</v>
      </c>
      <c r="U387" s="30" t="n">
        <v>61400</v>
      </c>
      <c r="V387" s="30" t="n">
        <v>18260</v>
      </c>
      <c r="W387" s="35" t="n">
        <v>-0.496742671009772</v>
      </c>
      <c r="X387" s="35" t="n">
        <v>0.6922234392113911</v>
      </c>
      <c r="Y387" s="30" t="n">
        <v>20476584</v>
      </c>
      <c r="Z387" s="30" t="n">
        <v>632726445600</v>
      </c>
      <c r="AA387" s="30" t="n">
        <v>3272402700</v>
      </c>
      <c r="AB387" s="30" t="n">
        <v>7016082655</v>
      </c>
      <c r="AC387" s="35" t="n">
        <v>0.005171907579897115</v>
      </c>
      <c r="AD387" s="24" t="inlineStr">
        <is>
          <t>yfinance_download</t>
        </is>
      </c>
      <c r="AE387" s="24" t="inlineStr">
        <is>
          <t>317330.KQ</t>
        </is>
      </c>
    </row>
    <row r="388" ht="24" customHeight="1">
      <c r="A388" s="29" t="inlineStr">
        <is>
          <t>2025-01-08</t>
        </is>
      </c>
      <c r="B388" s="31" t="n">
        <v>31000</v>
      </c>
      <c r="C388" s="31" t="n">
        <v>32500</v>
      </c>
      <c r="D388" s="31" t="n">
        <v>30600</v>
      </c>
      <c r="E388" s="31" t="n">
        <v>32100</v>
      </c>
      <c r="F388" s="31" t="n">
        <v>32100</v>
      </c>
      <c r="G388" s="31" t="n">
        <v>144925</v>
      </c>
      <c r="H388" s="36" t="n">
        <v>0.03883495145631066</v>
      </c>
      <c r="I388" s="36" t="n">
        <v>-0.4771986970684039</v>
      </c>
      <c r="J388" s="31" t="n">
        <v>31095</v>
      </c>
      <c r="K388" s="31" t="n">
        <v>34069.16666666666</v>
      </c>
      <c r="L388" s="31" t="n">
        <v>38102.5</v>
      </c>
      <c r="M388" s="36" t="n">
        <v>0.9109054547248577</v>
      </c>
      <c r="N388" s="36" t="n">
        <v>0.7203835758946712</v>
      </c>
      <c r="O388" s="36" t="n">
        <v>0.009433962264151052</v>
      </c>
      <c r="P388" s="36" t="n">
        <v>-0.2890365448504983</v>
      </c>
      <c r="Q388" s="36" t="n">
        <v>-0.4</v>
      </c>
      <c r="R388" s="36" t="n">
        <v>0.03232030873130731</v>
      </c>
      <c r="S388" s="36" t="n">
        <v>-0.05779908519433496</v>
      </c>
      <c r="T388" s="36" t="n">
        <v>-0.1575355947772455</v>
      </c>
      <c r="U388" s="31" t="n">
        <v>61400</v>
      </c>
      <c r="V388" s="31" t="n">
        <v>18260</v>
      </c>
      <c r="W388" s="36" t="n">
        <v>-0.4771986970684039</v>
      </c>
      <c r="X388" s="36" t="n">
        <v>0.7579408543263966</v>
      </c>
      <c r="Y388" s="31" t="n">
        <v>20476584</v>
      </c>
      <c r="Z388" s="31" t="n">
        <v>657298346400</v>
      </c>
      <c r="AA388" s="31" t="n">
        <v>4652092500</v>
      </c>
      <c r="AB388" s="31" t="n">
        <v>6901657060</v>
      </c>
      <c r="AC388" s="36" t="n">
        <v>0.007077596536609818</v>
      </c>
      <c r="AD388" s="29" t="inlineStr">
        <is>
          <t>yfinance_download</t>
        </is>
      </c>
      <c r="AE388" s="29" t="inlineStr">
        <is>
          <t>317330.KQ</t>
        </is>
      </c>
    </row>
    <row r="389" ht="24" customHeight="1">
      <c r="A389" s="24" t="inlineStr">
        <is>
          <t>2025-01-09</t>
        </is>
      </c>
      <c r="B389" s="30" t="n">
        <v>32800</v>
      </c>
      <c r="C389" s="30" t="n">
        <v>33250</v>
      </c>
      <c r="D389" s="30" t="n">
        <v>32050</v>
      </c>
      <c r="E389" s="30" t="n">
        <v>32850</v>
      </c>
      <c r="F389" s="30" t="n">
        <v>32850</v>
      </c>
      <c r="G389" s="30" t="n">
        <v>168039</v>
      </c>
      <c r="H389" s="35" t="n">
        <v>0.02336448598130847</v>
      </c>
      <c r="I389" s="35" t="n">
        <v>-0.4649837133550488</v>
      </c>
      <c r="J389" s="30" t="n">
        <v>31347.5</v>
      </c>
      <c r="K389" s="30" t="n">
        <v>33899.16666666666</v>
      </c>
      <c r="L389" s="30" t="n">
        <v>37947.08333333334</v>
      </c>
      <c r="M389" s="35" t="n">
        <v>0.7774425114393997</v>
      </c>
      <c r="N389" s="35" t="n">
        <v>0.7172745580027922</v>
      </c>
      <c r="O389" s="35" t="n">
        <v>0.1816546762589928</v>
      </c>
      <c r="P389" s="35" t="n">
        <v>-0.2369337979094077</v>
      </c>
      <c r="Q389" s="35" t="n">
        <v>-0.3621359223300971</v>
      </c>
      <c r="R389" s="35" t="n">
        <v>0.04793045697424048</v>
      </c>
      <c r="S389" s="35" t="n">
        <v>-0.03094963003023665</v>
      </c>
      <c r="T389" s="35" t="n">
        <v>-0.1343208195623292</v>
      </c>
      <c r="U389" s="30" t="n">
        <v>61400</v>
      </c>
      <c r="V389" s="30" t="n">
        <v>18260</v>
      </c>
      <c r="W389" s="35" t="n">
        <v>-0.4649837133550488</v>
      </c>
      <c r="X389" s="35" t="n">
        <v>0.7990142387732748</v>
      </c>
      <c r="Y389" s="30" t="n">
        <v>20476584</v>
      </c>
      <c r="Z389" s="30" t="n">
        <v>672655784400</v>
      </c>
      <c r="AA389" s="30" t="n">
        <v>5520081150</v>
      </c>
      <c r="AB389" s="30" t="n">
        <v>6683621757.5</v>
      </c>
      <c r="AC389" s="35" t="n">
        <v>0.008206398098432825</v>
      </c>
      <c r="AD389" s="24" t="inlineStr">
        <is>
          <t>yfinance_download</t>
        </is>
      </c>
      <c r="AE389" s="24" t="inlineStr">
        <is>
          <t>317330.KQ</t>
        </is>
      </c>
    </row>
    <row r="390" ht="24" customHeight="1">
      <c r="A390" s="29" t="inlineStr">
        <is>
          <t>2025-01-10</t>
        </is>
      </c>
      <c r="B390" s="31" t="n">
        <v>33000</v>
      </c>
      <c r="C390" s="31" t="n">
        <v>36450</v>
      </c>
      <c r="D390" s="31" t="n">
        <v>32600</v>
      </c>
      <c r="E390" s="31" t="n">
        <v>34950</v>
      </c>
      <c r="F390" s="31" t="n">
        <v>34950</v>
      </c>
      <c r="G390" s="31" t="n">
        <v>793976</v>
      </c>
      <c r="H390" s="36" t="n">
        <v>0.06392694063926951</v>
      </c>
      <c r="I390" s="36" t="n">
        <v>-0.4307817589576547</v>
      </c>
      <c r="J390" s="31" t="n">
        <v>31600</v>
      </c>
      <c r="K390" s="31" t="n">
        <v>33780.83333333334</v>
      </c>
      <c r="L390" s="31" t="n">
        <v>37821.66666666666</v>
      </c>
      <c r="M390" s="36" t="n">
        <v>0.7653524474957798</v>
      </c>
      <c r="N390" s="36" t="n">
        <v>0.7291779241991454</v>
      </c>
      <c r="O390" s="36" t="n">
        <v>0.1688963210702341</v>
      </c>
      <c r="P390" s="36" t="n">
        <v>-0.16884661117717</v>
      </c>
      <c r="Q390" s="36" t="n">
        <v>-0.301</v>
      </c>
      <c r="R390" s="36" t="n">
        <v>0.106012658227848</v>
      </c>
      <c r="S390" s="36" t="n">
        <v>0.03461035597108797</v>
      </c>
      <c r="T390" s="36" t="n">
        <v>-0.07592649715771382</v>
      </c>
      <c r="U390" s="31" t="n">
        <v>61400</v>
      </c>
      <c r="V390" s="31" t="n">
        <v>18260</v>
      </c>
      <c r="W390" s="36" t="n">
        <v>-0.4307817589576547</v>
      </c>
      <c r="X390" s="36" t="n">
        <v>0.9140197152245344</v>
      </c>
      <c r="Y390" s="31" t="n">
        <v>20476584</v>
      </c>
      <c r="Z390" s="31" t="n">
        <v>715656610800</v>
      </c>
      <c r="AA390" s="31" t="n">
        <v>27749461200</v>
      </c>
      <c r="AB390" s="31" t="n">
        <v>7816898472.5</v>
      </c>
      <c r="AC390" s="36" t="n">
        <v>0.03877482689495475</v>
      </c>
      <c r="AD390" s="29" t="inlineStr">
        <is>
          <t>yfinance_download</t>
        </is>
      </c>
      <c r="AE390" s="29" t="inlineStr">
        <is>
          <t>317330.KQ</t>
        </is>
      </c>
    </row>
    <row r="391" ht="24" customHeight="1">
      <c r="A391" s="24" t="inlineStr">
        <is>
          <t>2025-01-13</t>
        </is>
      </c>
      <c r="B391" s="30" t="n">
        <v>34750</v>
      </c>
      <c r="C391" s="30" t="n">
        <v>34850</v>
      </c>
      <c r="D391" s="30" t="n">
        <v>33050</v>
      </c>
      <c r="E391" s="30" t="n">
        <v>33050</v>
      </c>
      <c r="F391" s="30" t="n">
        <v>33050</v>
      </c>
      <c r="G391" s="30" t="n">
        <v>218862</v>
      </c>
      <c r="H391" s="35" t="n">
        <v>-0.05436337625178822</v>
      </c>
      <c r="I391" s="35" t="n">
        <v>-0.4617263843648208</v>
      </c>
      <c r="J391" s="30" t="n">
        <v>31722.5</v>
      </c>
      <c r="K391" s="30" t="n">
        <v>33645</v>
      </c>
      <c r="L391" s="30" t="n">
        <v>37695.41666666666</v>
      </c>
      <c r="M391" s="35" t="n">
        <v>0.7949991330902122</v>
      </c>
      <c r="N391" s="35" t="n">
        <v>0.7361365162071219</v>
      </c>
      <c r="O391" s="35" t="n">
        <v>0.08006535947712412</v>
      </c>
      <c r="P391" s="35" t="n">
        <v>-0.1978155339805825</v>
      </c>
      <c r="Q391" s="35" t="n">
        <v>-0.3143153526970954</v>
      </c>
      <c r="R391" s="35" t="n">
        <v>0.04184726928836002</v>
      </c>
      <c r="S391" s="35" t="n">
        <v>-0.01768464853618668</v>
      </c>
      <c r="T391" s="35" t="n">
        <v>-0.1232355834595276</v>
      </c>
      <c r="U391" s="30" t="n">
        <v>61400</v>
      </c>
      <c r="V391" s="30" t="n">
        <v>18260</v>
      </c>
      <c r="W391" s="35" t="n">
        <v>-0.4617263843648208</v>
      </c>
      <c r="X391" s="35" t="n">
        <v>0.8099671412924425</v>
      </c>
      <c r="Y391" s="30" t="n">
        <v>20476584</v>
      </c>
      <c r="Z391" s="30" t="n">
        <v>676751101200</v>
      </c>
      <c r="AA391" s="30" t="n">
        <v>7233389100</v>
      </c>
      <c r="AB391" s="30" t="n">
        <v>8017607337.5</v>
      </c>
      <c r="AC391" s="35" t="n">
        <v>0.01068840388611694</v>
      </c>
      <c r="AD391" s="24" t="inlineStr">
        <is>
          <t>yfinance_download</t>
        </is>
      </c>
      <c r="AE391" s="24" t="inlineStr">
        <is>
          <t>317330.KQ</t>
        </is>
      </c>
    </row>
    <row r="392" ht="24" customHeight="1">
      <c r="A392" s="29" t="inlineStr">
        <is>
          <t>2025-01-14</t>
        </is>
      </c>
      <c r="B392" s="31" t="n">
        <v>32750</v>
      </c>
      <c r="C392" s="31" t="n">
        <v>34700</v>
      </c>
      <c r="D392" s="31" t="n">
        <v>32500</v>
      </c>
      <c r="E392" s="31" t="n">
        <v>34250</v>
      </c>
      <c r="F392" s="31" t="n">
        <v>34250</v>
      </c>
      <c r="G392" s="31" t="n">
        <v>167114</v>
      </c>
      <c r="H392" s="36" t="n">
        <v>0.03630862329803319</v>
      </c>
      <c r="I392" s="36" t="n">
        <v>-0.4421824104234527</v>
      </c>
      <c r="J392" s="31" t="n">
        <v>31665</v>
      </c>
      <c r="K392" s="31" t="n">
        <v>33541.66666666666</v>
      </c>
      <c r="L392" s="31" t="n">
        <v>37604.58333333334</v>
      </c>
      <c r="M392" s="36" t="n">
        <v>0.5740335403706421</v>
      </c>
      <c r="N392" s="36" t="n">
        <v>0.7396761009544059</v>
      </c>
      <c r="O392" s="36" t="n">
        <v>-0.03248587570621464</v>
      </c>
      <c r="P392" s="36" t="n">
        <v>-0.1532756489493201</v>
      </c>
      <c r="Q392" s="36" t="n">
        <v>-0.2414174972314507</v>
      </c>
      <c r="R392" s="36" t="n">
        <v>0.08163587557239849</v>
      </c>
      <c r="S392" s="36" t="n">
        <v>0.02111801242236022</v>
      </c>
      <c r="T392" s="36" t="n">
        <v>-0.08920676779204673</v>
      </c>
      <c r="U392" s="31" t="n">
        <v>61400</v>
      </c>
      <c r="V392" s="31" t="n">
        <v>18260</v>
      </c>
      <c r="W392" s="36" t="n">
        <v>-0.4421824104234527</v>
      </c>
      <c r="X392" s="36" t="n">
        <v>0.875684556407448</v>
      </c>
      <c r="Y392" s="31" t="n">
        <v>20476584</v>
      </c>
      <c r="Z392" s="31" t="n">
        <v>701323002000</v>
      </c>
      <c r="AA392" s="31" t="n">
        <v>5723654500</v>
      </c>
      <c r="AB392" s="31" t="n">
        <v>5996671172.5</v>
      </c>
      <c r="AC392" s="36" t="n">
        <v>0.00816122454800078</v>
      </c>
      <c r="AD392" s="29" t="inlineStr">
        <is>
          <t>yfinance_download</t>
        </is>
      </c>
      <c r="AE392" s="29" t="inlineStr">
        <is>
          <t>317330.KQ</t>
        </is>
      </c>
    </row>
    <row r="393" ht="24" customHeight="1">
      <c r="A393" s="24" t="inlineStr">
        <is>
          <t>2025-01-15</t>
        </is>
      </c>
      <c r="B393" s="30" t="n">
        <v>34900</v>
      </c>
      <c r="C393" s="30" t="n">
        <v>35800</v>
      </c>
      <c r="D393" s="30" t="n">
        <v>34300</v>
      </c>
      <c r="E393" s="30" t="n">
        <v>34750</v>
      </c>
      <c r="F393" s="30" t="n">
        <v>34750</v>
      </c>
      <c r="G393" s="30" t="n">
        <v>240249</v>
      </c>
      <c r="H393" s="35" t="n">
        <v>0.01459854014598538</v>
      </c>
      <c r="I393" s="35" t="n">
        <v>-0.4340390879478827</v>
      </c>
      <c r="J393" s="30" t="n">
        <v>31750</v>
      </c>
      <c r="K393" s="30" t="n">
        <v>33467.5</v>
      </c>
      <c r="L393" s="30" t="n">
        <v>37509.16666666666</v>
      </c>
      <c r="M393" s="35" t="n">
        <v>0.5212929540106794</v>
      </c>
      <c r="N393" s="35" t="n">
        <v>0.7378820650631381</v>
      </c>
      <c r="O393" s="35" t="n">
        <v>0.05143721633888054</v>
      </c>
      <c r="P393" s="35" t="n">
        <v>-0.1135204081632653</v>
      </c>
      <c r="Q393" s="35" t="n">
        <v>-0.2478354978354979</v>
      </c>
      <c r="R393" s="35" t="n">
        <v>0.09448818897637801</v>
      </c>
      <c r="S393" s="35" t="n">
        <v>0.03832075894524545</v>
      </c>
      <c r="T393" s="35" t="n">
        <v>-0.0735597964941902</v>
      </c>
      <c r="U393" s="30" t="n">
        <v>61400</v>
      </c>
      <c r="V393" s="30" t="n">
        <v>18260</v>
      </c>
      <c r="W393" s="35" t="n">
        <v>-0.4340390879478827</v>
      </c>
      <c r="X393" s="35" t="n">
        <v>0.9030668127053669</v>
      </c>
      <c r="Y393" s="30" t="n">
        <v>20476584</v>
      </c>
      <c r="Z393" s="30" t="n">
        <v>711561294000</v>
      </c>
      <c r="AA393" s="30" t="n">
        <v>8348652750</v>
      </c>
      <c r="AB393" s="30" t="n">
        <v>5886270522.5</v>
      </c>
      <c r="AC393" s="35" t="n">
        <v>0.01173286520837655</v>
      </c>
      <c r="AD393" s="24" t="inlineStr">
        <is>
          <t>yfinance_download</t>
        </is>
      </c>
      <c r="AE393" s="24" t="inlineStr">
        <is>
          <t>317330.KQ</t>
        </is>
      </c>
    </row>
    <row r="394" ht="24" customHeight="1">
      <c r="A394" s="29" t="inlineStr">
        <is>
          <t>2025-01-16</t>
        </is>
      </c>
      <c r="B394" s="31" t="n">
        <v>35450</v>
      </c>
      <c r="C394" s="31" t="n">
        <v>36800</v>
      </c>
      <c r="D394" s="31" t="n">
        <v>34900</v>
      </c>
      <c r="E394" s="31" t="n">
        <v>36100</v>
      </c>
      <c r="F394" s="31" t="n">
        <v>36100</v>
      </c>
      <c r="G394" s="31" t="n">
        <v>235942</v>
      </c>
      <c r="H394" s="36" t="n">
        <v>0.03884892086330938</v>
      </c>
      <c r="I394" s="36" t="n">
        <v>-0.4120521172638436</v>
      </c>
      <c r="J394" s="31" t="n">
        <v>31890</v>
      </c>
      <c r="K394" s="31" t="n">
        <v>33418.33333333334</v>
      </c>
      <c r="L394" s="31" t="n">
        <v>37441.66666666666</v>
      </c>
      <c r="M394" s="36" t="n">
        <v>0.5365133340462337</v>
      </c>
      <c r="N394" s="36" t="n">
        <v>0.7423418046877004</v>
      </c>
      <c r="O394" s="36" t="n">
        <v>0.08408408408408419</v>
      </c>
      <c r="P394" s="36" t="n">
        <v>-0.07554417413572345</v>
      </c>
      <c r="Q394" s="36" t="n">
        <v>-0.1832579185520362</v>
      </c>
      <c r="R394" s="36" t="n">
        <v>0.1320163060520538</v>
      </c>
      <c r="S394" s="36" t="n">
        <v>0.08024537429554623</v>
      </c>
      <c r="T394" s="36" t="n">
        <v>-0.03583351880703312</v>
      </c>
      <c r="U394" s="31" t="n">
        <v>61400</v>
      </c>
      <c r="V394" s="31" t="n">
        <v>18260</v>
      </c>
      <c r="W394" s="36" t="n">
        <v>-0.4120521172638436</v>
      </c>
      <c r="X394" s="36" t="n">
        <v>0.976998904709748</v>
      </c>
      <c r="Y394" s="31" t="n">
        <v>20476584</v>
      </c>
      <c r="Z394" s="31" t="n">
        <v>739204682400</v>
      </c>
      <c r="AA394" s="31" t="n">
        <v>8517506200</v>
      </c>
      <c r="AB394" s="31" t="n">
        <v>6017532407.5</v>
      </c>
      <c r="AC394" s="36" t="n">
        <v>0.01152252739031081</v>
      </c>
      <c r="AD394" s="29" t="inlineStr">
        <is>
          <t>yfinance_download</t>
        </is>
      </c>
      <c r="AE394" s="29" t="inlineStr">
        <is>
          <t>317330.KQ</t>
        </is>
      </c>
    </row>
    <row r="395" ht="24" customHeight="1">
      <c r="A395" s="24" t="inlineStr">
        <is>
          <t>2025-01-17</t>
        </is>
      </c>
      <c r="B395" s="30" t="n">
        <v>35550</v>
      </c>
      <c r="C395" s="30" t="n">
        <v>36200</v>
      </c>
      <c r="D395" s="30" t="n">
        <v>35250</v>
      </c>
      <c r="E395" s="30" t="n">
        <v>36100</v>
      </c>
      <c r="F395" s="30" t="n">
        <v>36100</v>
      </c>
      <c r="G395" s="30" t="n">
        <v>119904</v>
      </c>
      <c r="H395" s="35" t="n">
        <v>0</v>
      </c>
      <c r="I395" s="35" t="n">
        <v>-0.4120521172638436</v>
      </c>
      <c r="J395" s="30" t="n">
        <v>32097.5</v>
      </c>
      <c r="K395" s="30" t="n">
        <v>33391.66666666666</v>
      </c>
      <c r="L395" s="30" t="n">
        <v>37371.66666666666</v>
      </c>
      <c r="M395" s="35" t="n">
        <v>0.5099260230040077</v>
      </c>
      <c r="N395" s="35" t="n">
        <v>0.7388862401266217</v>
      </c>
      <c r="O395" s="35" t="n">
        <v>0.1298904538341159</v>
      </c>
      <c r="P395" s="35" t="n">
        <v>-0.04244031830238726</v>
      </c>
      <c r="Q395" s="35" t="n">
        <v>-0.1887640449438203</v>
      </c>
      <c r="R395" s="35" t="n">
        <v>0.1246981852169171</v>
      </c>
      <c r="S395" s="35" t="n">
        <v>0.08110806089343647</v>
      </c>
      <c r="T395" s="35" t="n">
        <v>-0.03402756098648707</v>
      </c>
      <c r="U395" s="30" t="n">
        <v>61400</v>
      </c>
      <c r="V395" s="30" t="n">
        <v>18260</v>
      </c>
      <c r="W395" s="35" t="n">
        <v>-0.4120521172638436</v>
      </c>
      <c r="X395" s="35" t="n">
        <v>0.976998904709748</v>
      </c>
      <c r="Y395" s="30" t="n">
        <v>20476584</v>
      </c>
      <c r="Z395" s="30" t="n">
        <v>739204682400</v>
      </c>
      <c r="AA395" s="30" t="n">
        <v>4328534400</v>
      </c>
      <c r="AB395" s="30" t="n">
        <v>5939749150</v>
      </c>
      <c r="AC395" s="35" t="n">
        <v>0.005855664206490692</v>
      </c>
      <c r="AD395" s="24" t="inlineStr">
        <is>
          <t>yfinance_download</t>
        </is>
      </c>
      <c r="AE395" s="24" t="inlineStr">
        <is>
          <t>317330.KQ</t>
        </is>
      </c>
    </row>
    <row r="396" ht="24" customHeight="1">
      <c r="A396" s="29" t="inlineStr">
        <is>
          <t>2025-01-20</t>
        </is>
      </c>
      <c r="B396" s="31" t="n">
        <v>36650</v>
      </c>
      <c r="C396" s="31" t="n">
        <v>37250</v>
      </c>
      <c r="D396" s="31" t="n">
        <v>35900</v>
      </c>
      <c r="E396" s="31" t="n">
        <v>36800</v>
      </c>
      <c r="F396" s="31" t="n">
        <v>36800</v>
      </c>
      <c r="G396" s="31" t="n">
        <v>206780</v>
      </c>
      <c r="H396" s="36" t="n">
        <v>0.01939058171745156</v>
      </c>
      <c r="I396" s="36" t="n">
        <v>-0.4006514657980456</v>
      </c>
      <c r="J396" s="31" t="n">
        <v>32315</v>
      </c>
      <c r="K396" s="31" t="n">
        <v>33370</v>
      </c>
      <c r="L396" s="31" t="n">
        <v>37328.75</v>
      </c>
      <c r="M396" s="36" t="n">
        <v>0.5109769923229334</v>
      </c>
      <c r="N396" s="36" t="n">
        <v>0.7396265341687562</v>
      </c>
      <c r="O396" s="36" t="n">
        <v>0.1340523882896765</v>
      </c>
      <c r="P396" s="36" t="n">
        <v>-0.0341207349081365</v>
      </c>
      <c r="Q396" s="36" t="n">
        <v>-0.1227651966626937</v>
      </c>
      <c r="R396" s="36" t="n">
        <v>0.1387900355871887</v>
      </c>
      <c r="S396" s="36" t="n">
        <v>0.1027869343721906</v>
      </c>
      <c r="T396" s="36" t="n">
        <v>-0.01416468539664473</v>
      </c>
      <c r="U396" s="31" t="n">
        <v>61400</v>
      </c>
      <c r="V396" s="31" t="n">
        <v>18260</v>
      </c>
      <c r="W396" s="36" t="n">
        <v>-0.4006514657980456</v>
      </c>
      <c r="X396" s="36" t="n">
        <v>1.015334063526835</v>
      </c>
      <c r="Y396" s="31" t="n">
        <v>20476584</v>
      </c>
      <c r="Z396" s="31" t="n">
        <v>753538291200</v>
      </c>
      <c r="AA396" s="31" t="n">
        <v>7609504000</v>
      </c>
      <c r="AB396" s="31" t="n">
        <v>6125620077.5</v>
      </c>
      <c r="AC396" s="36" t="n">
        <v>0.01009836406306833</v>
      </c>
      <c r="AD396" s="29" t="inlineStr">
        <is>
          <t>yfinance_download</t>
        </is>
      </c>
      <c r="AE396" s="29" t="inlineStr">
        <is>
          <t>317330.KQ</t>
        </is>
      </c>
    </row>
    <row r="397" ht="24" customHeight="1">
      <c r="A397" s="24" t="inlineStr">
        <is>
          <t>2025-01-21</t>
        </is>
      </c>
      <c r="B397" s="30" t="n">
        <v>36900</v>
      </c>
      <c r="C397" s="30" t="n">
        <v>37300</v>
      </c>
      <c r="D397" s="30" t="n">
        <v>34500</v>
      </c>
      <c r="E397" s="30" t="n">
        <v>35400</v>
      </c>
      <c r="F397" s="30" t="n">
        <v>35400</v>
      </c>
      <c r="G397" s="30" t="n">
        <v>288758</v>
      </c>
      <c r="H397" s="35" t="n">
        <v>-0.03804347826086951</v>
      </c>
      <c r="I397" s="35" t="n">
        <v>-0.4234527687296417</v>
      </c>
      <c r="J397" s="30" t="n">
        <v>32512.5</v>
      </c>
      <c r="K397" s="30" t="n">
        <v>33355</v>
      </c>
      <c r="L397" s="30" t="n">
        <v>37285.41666666666</v>
      </c>
      <c r="M397" s="35" t="n">
        <v>0.5186203430603512</v>
      </c>
      <c r="N397" s="35" t="n">
        <v>0.7373276014597439</v>
      </c>
      <c r="O397" s="35" t="n">
        <v>0.1255961844197138</v>
      </c>
      <c r="P397" s="35" t="n">
        <v>-0.02479338842975209</v>
      </c>
      <c r="Q397" s="35" t="n">
        <v>-0.1280788177339901</v>
      </c>
      <c r="R397" s="35" t="n">
        <v>0.08881199538638995</v>
      </c>
      <c r="S397" s="35" t="n">
        <v>0.06131014840353766</v>
      </c>
      <c r="T397" s="35" t="n">
        <v>-0.05056713415656244</v>
      </c>
      <c r="U397" s="30" t="n">
        <v>61400</v>
      </c>
      <c r="V397" s="30" t="n">
        <v>18260</v>
      </c>
      <c r="W397" s="35" t="n">
        <v>-0.4234527687296417</v>
      </c>
      <c r="X397" s="35" t="n">
        <v>0.9386637458926617</v>
      </c>
      <c r="Y397" s="30" t="n">
        <v>20476584</v>
      </c>
      <c r="Z397" s="30" t="n">
        <v>724871073600</v>
      </c>
      <c r="AA397" s="30" t="n">
        <v>10222033200</v>
      </c>
      <c r="AB397" s="30" t="n">
        <v>6473188027.5</v>
      </c>
      <c r="AC397" s="35" t="n">
        <v>0.01410186386557445</v>
      </c>
      <c r="AD397" s="24" t="inlineStr">
        <is>
          <t>yfinance_download</t>
        </is>
      </c>
      <c r="AE397" s="24" t="inlineStr">
        <is>
          <t>317330.KQ</t>
        </is>
      </c>
    </row>
    <row r="398" ht="24" customHeight="1">
      <c r="A398" s="29" t="inlineStr">
        <is>
          <t>2025-01-22</t>
        </is>
      </c>
      <c r="B398" s="31" t="n">
        <v>35200</v>
      </c>
      <c r="C398" s="31" t="n">
        <v>35750</v>
      </c>
      <c r="D398" s="31" t="n">
        <v>34100</v>
      </c>
      <c r="E398" s="31" t="n">
        <v>35600</v>
      </c>
      <c r="F398" s="31" t="n">
        <v>35600</v>
      </c>
      <c r="G398" s="31" t="n">
        <v>222390</v>
      </c>
      <c r="H398" s="36" t="n">
        <v>0.005649717514124353</v>
      </c>
      <c r="I398" s="36" t="n">
        <v>-0.4201954397394136</v>
      </c>
      <c r="J398" s="31" t="n">
        <v>32782.5</v>
      </c>
      <c r="K398" s="31" t="n">
        <v>33355.83333333334</v>
      </c>
      <c r="L398" s="31" t="n">
        <v>37242.91666666666</v>
      </c>
      <c r="M398" s="36" t="n">
        <v>0.4891997188525345</v>
      </c>
      <c r="N398" s="36" t="n">
        <v>0.7360524345768931</v>
      </c>
      <c r="O398" s="36" t="n">
        <v>0.1788079470198676</v>
      </c>
      <c r="P398" s="36" t="n">
        <v>0.001406469760900197</v>
      </c>
      <c r="Q398" s="36" t="n">
        <v>-0.1253071253071253</v>
      </c>
      <c r="R398" s="36" t="n">
        <v>0.08594524517654234</v>
      </c>
      <c r="S398" s="36" t="n">
        <v>0.06727958627926145</v>
      </c>
      <c r="T398" s="36" t="n">
        <v>-0.04411353389346961</v>
      </c>
      <c r="U398" s="31" t="n">
        <v>61400</v>
      </c>
      <c r="V398" s="31" t="n">
        <v>18260</v>
      </c>
      <c r="W398" s="36" t="n">
        <v>-0.4201954397394136</v>
      </c>
      <c r="X398" s="36" t="n">
        <v>0.9496166484118291</v>
      </c>
      <c r="Y398" s="31" t="n">
        <v>20476584</v>
      </c>
      <c r="Z398" s="31" t="n">
        <v>728966390400</v>
      </c>
      <c r="AA398" s="31" t="n">
        <v>7917084000</v>
      </c>
      <c r="AB398" s="31" t="n">
        <v>6611765407.5</v>
      </c>
      <c r="AC398" s="36" t="n">
        <v>0.0108606982492783</v>
      </c>
      <c r="AD398" s="29" t="inlineStr">
        <is>
          <t>yfinance_download</t>
        </is>
      </c>
      <c r="AE398" s="29" t="inlineStr">
        <is>
          <t>317330.KQ</t>
        </is>
      </c>
    </row>
    <row r="399" ht="24" customHeight="1">
      <c r="A399" s="24" t="inlineStr">
        <is>
          <t>2025-01-23</t>
        </is>
      </c>
      <c r="B399" s="30" t="n">
        <v>35950</v>
      </c>
      <c r="C399" s="30" t="n">
        <v>35950</v>
      </c>
      <c r="D399" s="30" t="n">
        <v>34400</v>
      </c>
      <c r="E399" s="30" t="n">
        <v>34450</v>
      </c>
      <c r="F399" s="30" t="n">
        <v>34450</v>
      </c>
      <c r="G399" s="30" t="n">
        <v>99221</v>
      </c>
      <c r="H399" s="35" t="n">
        <v>-0.03230337078651691</v>
      </c>
      <c r="I399" s="35" t="n">
        <v>-0.4389250814332247</v>
      </c>
      <c r="J399" s="30" t="n">
        <v>32950</v>
      </c>
      <c r="K399" s="30" t="n">
        <v>33314.16666666666</v>
      </c>
      <c r="L399" s="30" t="n">
        <v>37195.83333333334</v>
      </c>
      <c r="M399" s="35" t="n">
        <v>0.5031588780253338</v>
      </c>
      <c r="N399" s="35" t="n">
        <v>0.7347770121307873</v>
      </c>
      <c r="O399" s="35" t="n">
        <v>0.107717041800643</v>
      </c>
      <c r="P399" s="35" t="n">
        <v>-0.06765899864682001</v>
      </c>
      <c r="Q399" s="35" t="n">
        <v>-0.1408977556109726</v>
      </c>
      <c r="R399" s="35" t="n">
        <v>0.04552352048558417</v>
      </c>
      <c r="S399" s="35" t="n">
        <v>0.03409460439752876</v>
      </c>
      <c r="T399" s="35" t="n">
        <v>-0.07382099249467911</v>
      </c>
      <c r="U399" s="30" t="n">
        <v>61400</v>
      </c>
      <c r="V399" s="30" t="n">
        <v>18260</v>
      </c>
      <c r="W399" s="35" t="n">
        <v>-0.4389250814332247</v>
      </c>
      <c r="X399" s="35" t="n">
        <v>0.8866374589266155</v>
      </c>
      <c r="Y399" s="30" t="n">
        <v>20476584</v>
      </c>
      <c r="Z399" s="30" t="n">
        <v>705418318800</v>
      </c>
      <c r="AA399" s="30" t="n">
        <v>3418163450</v>
      </c>
      <c r="AB399" s="30" t="n">
        <v>6462494415</v>
      </c>
      <c r="AC399" s="35" t="n">
        <v>0.004845583618830172</v>
      </c>
      <c r="AD399" s="24" t="inlineStr">
        <is>
          <t>yfinance_download</t>
        </is>
      </c>
      <c r="AE399" s="24" t="inlineStr">
        <is>
          <t>317330.KQ</t>
        </is>
      </c>
    </row>
    <row r="400" ht="24" customHeight="1">
      <c r="A400" s="29" t="inlineStr">
        <is>
          <t>2025-01-24</t>
        </is>
      </c>
      <c r="B400" s="31" t="n">
        <v>34450</v>
      </c>
      <c r="C400" s="31" t="n">
        <v>34950</v>
      </c>
      <c r="D400" s="31" t="n">
        <v>34000</v>
      </c>
      <c r="E400" s="31" t="n">
        <v>34000</v>
      </c>
      <c r="F400" s="31" t="n">
        <v>34000</v>
      </c>
      <c r="G400" s="31" t="n">
        <v>104245</v>
      </c>
      <c r="H400" s="36" t="n">
        <v>-0.01306240928882441</v>
      </c>
      <c r="I400" s="36" t="n">
        <v>-0.4462540716612378</v>
      </c>
      <c r="J400" s="31" t="n">
        <v>33117.5</v>
      </c>
      <c r="K400" s="31" t="n">
        <v>33283.33333333334</v>
      </c>
      <c r="L400" s="31" t="n">
        <v>37152.5</v>
      </c>
      <c r="M400" s="36" t="n">
        <v>0.502438601573959</v>
      </c>
      <c r="N400" s="36" t="n">
        <v>0.732692450383344</v>
      </c>
      <c r="O400" s="36" t="n">
        <v>0.1092985318107667</v>
      </c>
      <c r="P400" s="36" t="n">
        <v>-0.05160390516039048</v>
      </c>
      <c r="Q400" s="36" t="n">
        <v>-0.1326530612244898</v>
      </c>
      <c r="R400" s="36" t="n">
        <v>0.02664754283988824</v>
      </c>
      <c r="S400" s="36" t="n">
        <v>0.02153229844767135</v>
      </c>
      <c r="T400" s="36" t="n">
        <v>-0.08485297086333354</v>
      </c>
      <c r="U400" s="31" t="n">
        <v>61400</v>
      </c>
      <c r="V400" s="31" t="n">
        <v>18260</v>
      </c>
      <c r="W400" s="36" t="n">
        <v>-0.4462540716612378</v>
      </c>
      <c r="X400" s="36" t="n">
        <v>0.8619934282584885</v>
      </c>
      <c r="Y400" s="31" t="n">
        <v>20476584</v>
      </c>
      <c r="Z400" s="31" t="n">
        <v>696203856000</v>
      </c>
      <c r="AA400" s="31" t="n">
        <v>3544330000</v>
      </c>
      <c r="AB400" s="31" t="n">
        <v>6443065112.5</v>
      </c>
      <c r="AC400" s="36" t="n">
        <v>0.005090937043014596</v>
      </c>
      <c r="AD400" s="29" t="inlineStr">
        <is>
          <t>yfinance_download</t>
        </is>
      </c>
      <c r="AE400" s="29" t="inlineStr">
        <is>
          <t>317330.KQ</t>
        </is>
      </c>
    </row>
    <row r="401" ht="24" customHeight="1">
      <c r="A401" s="24" t="inlineStr">
        <is>
          <t>2025-01-31</t>
        </is>
      </c>
      <c r="B401" s="30" t="n">
        <v>33800</v>
      </c>
      <c r="C401" s="30" t="n">
        <v>34850</v>
      </c>
      <c r="D401" s="30" t="n">
        <v>33000</v>
      </c>
      <c r="E401" s="30" t="n">
        <v>34300</v>
      </c>
      <c r="F401" s="30" t="n">
        <v>34300</v>
      </c>
      <c r="G401" s="30" t="n">
        <v>135384</v>
      </c>
      <c r="H401" s="35" t="n">
        <v>0.008823529411764675</v>
      </c>
      <c r="I401" s="35" t="n">
        <v>-0.4413680781758957</v>
      </c>
      <c r="J401" s="30" t="n">
        <v>33345</v>
      </c>
      <c r="K401" s="30" t="n">
        <v>33257.5</v>
      </c>
      <c r="L401" s="30" t="n">
        <v>37104.58333333334</v>
      </c>
      <c r="M401" s="35" t="n">
        <v>0.4851032850416652</v>
      </c>
      <c r="N401" s="35" t="n">
        <v>0.7329075106143406</v>
      </c>
      <c r="O401" s="35" t="n">
        <v>0.1529411764705881</v>
      </c>
      <c r="P401" s="35" t="n">
        <v>-0.04323570432357038</v>
      </c>
      <c r="Q401" s="35" t="n">
        <v>-0.1435705368289638</v>
      </c>
      <c r="R401" s="35" t="n">
        <v>0.02863997600839707</v>
      </c>
      <c r="S401" s="35" t="n">
        <v>0.03134631286176059</v>
      </c>
      <c r="T401" s="35" t="n">
        <v>-0.07558590021448386</v>
      </c>
      <c r="U401" s="30" t="n">
        <v>61400</v>
      </c>
      <c r="V401" s="30" t="n">
        <v>18260</v>
      </c>
      <c r="W401" s="35" t="n">
        <v>-0.4413680781758957</v>
      </c>
      <c r="X401" s="35" t="n">
        <v>0.8784227820372399</v>
      </c>
      <c r="Y401" s="30" t="n">
        <v>20476584</v>
      </c>
      <c r="Z401" s="30" t="n">
        <v>702346831200</v>
      </c>
      <c r="AA401" s="30" t="n">
        <v>4643671200</v>
      </c>
      <c r="AB401" s="30" t="n">
        <v>6489516447.5</v>
      </c>
      <c r="AC401" s="35" t="n">
        <v>0.006611649677504803</v>
      </c>
      <c r="AD401" s="24" t="inlineStr">
        <is>
          <t>yfinance_download</t>
        </is>
      </c>
      <c r="AE401" s="24" t="inlineStr">
        <is>
          <t>317330.KQ</t>
        </is>
      </c>
    </row>
    <row r="402" ht="24" customHeight="1">
      <c r="A402" s="29" t="inlineStr">
        <is>
          <t>2025-02-03</t>
        </is>
      </c>
      <c r="B402" s="31" t="n">
        <v>33500</v>
      </c>
      <c r="C402" s="31" t="n">
        <v>33850</v>
      </c>
      <c r="D402" s="31" t="n">
        <v>31350</v>
      </c>
      <c r="E402" s="31" t="n">
        <v>31800</v>
      </c>
      <c r="F402" s="31" t="n">
        <v>31800</v>
      </c>
      <c r="G402" s="31" t="n">
        <v>205011</v>
      </c>
      <c r="H402" s="36" t="n">
        <v>-0.07288629737609331</v>
      </c>
      <c r="I402" s="36" t="n">
        <v>-0.4820846905537459</v>
      </c>
      <c r="J402" s="31" t="n">
        <v>33495</v>
      </c>
      <c r="K402" s="31" t="n">
        <v>33157.5</v>
      </c>
      <c r="L402" s="31" t="n">
        <v>37039.16666666666</v>
      </c>
      <c r="M402" s="36" t="n">
        <v>0.5471631330026747</v>
      </c>
      <c r="N402" s="36" t="n">
        <v>0.7391777172123306</v>
      </c>
      <c r="O402" s="36" t="n">
        <v>0.1041666666666667</v>
      </c>
      <c r="P402" s="36" t="n">
        <v>-0.1587301587301587</v>
      </c>
      <c r="Q402" s="36" t="n">
        <v>-0.1979823455233292</v>
      </c>
      <c r="R402" s="36" t="n">
        <v>-0.05060456784594713</v>
      </c>
      <c r="S402" s="36" t="n">
        <v>-0.04094096358289978</v>
      </c>
      <c r="T402" s="36" t="n">
        <v>-0.1414493666614169</v>
      </c>
      <c r="U402" s="31" t="n">
        <v>61400</v>
      </c>
      <c r="V402" s="31" t="n">
        <v>18260</v>
      </c>
      <c r="W402" s="36" t="n">
        <v>-0.4820846905537459</v>
      </c>
      <c r="X402" s="36" t="n">
        <v>0.7415115005476451</v>
      </c>
      <c r="Y402" s="31" t="n">
        <v>20476584</v>
      </c>
      <c r="Z402" s="31" t="n">
        <v>651155371200</v>
      </c>
      <c r="AA402" s="31" t="n">
        <v>6519349800</v>
      </c>
      <c r="AB402" s="31" t="n">
        <v>6587628417.5</v>
      </c>
      <c r="AC402" s="36" t="n">
        <v>0.01001197270013397</v>
      </c>
      <c r="AD402" s="29" t="inlineStr">
        <is>
          <t>yfinance_download</t>
        </is>
      </c>
      <c r="AE402" s="29" t="inlineStr">
        <is>
          <t>317330.KQ</t>
        </is>
      </c>
    </row>
    <row r="403" ht="24" customHeight="1">
      <c r="A403" s="24" t="inlineStr">
        <is>
          <t>2025-02-04</t>
        </is>
      </c>
      <c r="B403" s="30" t="n">
        <v>32700</v>
      </c>
      <c r="C403" s="30" t="n">
        <v>32950</v>
      </c>
      <c r="D403" s="30" t="n">
        <v>31400</v>
      </c>
      <c r="E403" s="30" t="n">
        <v>31400</v>
      </c>
      <c r="F403" s="30" t="n">
        <v>31400</v>
      </c>
      <c r="G403" s="30" t="n">
        <v>107322</v>
      </c>
      <c r="H403" s="35" t="n">
        <v>-0.01257861635220126</v>
      </c>
      <c r="I403" s="35" t="n">
        <v>-0.4885993485342019</v>
      </c>
      <c r="J403" s="30" t="n">
        <v>33582.5</v>
      </c>
      <c r="K403" s="30" t="n">
        <v>33009.16666666666</v>
      </c>
      <c r="L403" s="30" t="n">
        <v>36962.91666666666</v>
      </c>
      <c r="M403" s="35" t="n">
        <v>0.5430841176600267</v>
      </c>
      <c r="N403" s="35" t="n">
        <v>0.7257500797222631</v>
      </c>
      <c r="O403" s="35" t="n">
        <v>0.0590219224283306</v>
      </c>
      <c r="P403" s="35" t="n">
        <v>-0.2208436724565757</v>
      </c>
      <c r="Q403" s="35" t="n">
        <v>-0.2256473489519112</v>
      </c>
      <c r="R403" s="35" t="n">
        <v>-0.06498920568748601</v>
      </c>
      <c r="S403" s="35" t="n">
        <v>-0.04874908485016782</v>
      </c>
      <c r="T403" s="35" t="n">
        <v>-0.1504999380009243</v>
      </c>
      <c r="U403" s="30" t="n">
        <v>61400</v>
      </c>
      <c r="V403" s="30" t="n">
        <v>18260</v>
      </c>
      <c r="W403" s="35" t="n">
        <v>-0.4885993485342019</v>
      </c>
      <c r="X403" s="35" t="n">
        <v>0.71960569550931</v>
      </c>
      <c r="Y403" s="30" t="n">
        <v>20476584</v>
      </c>
      <c r="Z403" s="30" t="n">
        <v>642964737600</v>
      </c>
      <c r="AA403" s="30" t="n">
        <v>3369910800</v>
      </c>
      <c r="AB403" s="30" t="n">
        <v>6636272727.5</v>
      </c>
      <c r="AC403" s="35" t="n">
        <v>0.005241206248073409</v>
      </c>
      <c r="AD403" s="24" t="inlineStr">
        <is>
          <t>yfinance_download</t>
        </is>
      </c>
      <c r="AE403" s="24" t="inlineStr">
        <is>
          <t>317330.KQ</t>
        </is>
      </c>
    </row>
    <row r="404" ht="24" customHeight="1">
      <c r="A404" s="29" t="inlineStr">
        <is>
          <t>2025-02-05</t>
        </is>
      </c>
      <c r="B404" s="31" t="n">
        <v>31150</v>
      </c>
      <c r="C404" s="31" t="n">
        <v>33600</v>
      </c>
      <c r="D404" s="31" t="n">
        <v>30800</v>
      </c>
      <c r="E404" s="31" t="n">
        <v>33150</v>
      </c>
      <c r="F404" s="31" t="n">
        <v>33150</v>
      </c>
      <c r="G404" s="31" t="n">
        <v>273830</v>
      </c>
      <c r="H404" s="36" t="n">
        <v>0.05573248407643305</v>
      </c>
      <c r="I404" s="36" t="n">
        <v>-0.4600977198697068</v>
      </c>
      <c r="J404" s="31" t="n">
        <v>33727.5</v>
      </c>
      <c r="K404" s="31" t="n">
        <v>32883.33333333334</v>
      </c>
      <c r="L404" s="31" t="n">
        <v>36890.41666666666</v>
      </c>
      <c r="M404" s="36" t="n">
        <v>0.5715228931458886</v>
      </c>
      <c r="N404" s="36" t="n">
        <v>0.7352784820041963</v>
      </c>
      <c r="O404" s="36" t="n">
        <v>0.09586776859504131</v>
      </c>
      <c r="P404" s="36" t="n">
        <v>-0.1855036855036855</v>
      </c>
      <c r="Q404" s="36" t="n">
        <v>-0.2078853046594982</v>
      </c>
      <c r="R404" s="36" t="n">
        <v>-0.01712252612853016</v>
      </c>
      <c r="S404" s="36" t="n">
        <v>0.008109477952356725</v>
      </c>
      <c r="T404" s="36" t="n">
        <v>-0.1013926381061024</v>
      </c>
      <c r="U404" s="31" t="n">
        <v>61400</v>
      </c>
      <c r="V404" s="31" t="n">
        <v>18260</v>
      </c>
      <c r="W404" s="36" t="n">
        <v>-0.4600977198697068</v>
      </c>
      <c r="X404" s="36" t="n">
        <v>0.8154435925520263</v>
      </c>
      <c r="Y404" s="31" t="n">
        <v>20476584</v>
      </c>
      <c r="Z404" s="31" t="n">
        <v>678798759600</v>
      </c>
      <c r="AA404" s="31" t="n">
        <v>9077464500</v>
      </c>
      <c r="AB404" s="31" t="n">
        <v>6949416902.5</v>
      </c>
      <c r="AC404" s="36" t="n">
        <v>0.01337283601600736</v>
      </c>
      <c r="AD404" s="29" t="inlineStr">
        <is>
          <t>yfinance_download</t>
        </is>
      </c>
      <c r="AE404" s="29" t="inlineStr">
        <is>
          <t>317330.KQ</t>
        </is>
      </c>
    </row>
    <row r="405" ht="24" customHeight="1">
      <c r="A405" s="24" t="inlineStr">
        <is>
          <t>2025-02-06</t>
        </is>
      </c>
      <c r="B405" s="30" t="n">
        <v>33150</v>
      </c>
      <c r="C405" s="30" t="n">
        <v>35500</v>
      </c>
      <c r="D405" s="30" t="n">
        <v>31600</v>
      </c>
      <c r="E405" s="30" t="n">
        <v>35000</v>
      </c>
      <c r="F405" s="30" t="n">
        <v>35000</v>
      </c>
      <c r="G405" s="30" t="n">
        <v>408413</v>
      </c>
      <c r="H405" s="35" t="n">
        <v>0.05580693815987936</v>
      </c>
      <c r="I405" s="35" t="n">
        <v>-0.4299674267100977</v>
      </c>
      <c r="J405" s="30" t="n">
        <v>33915</v>
      </c>
      <c r="K405" s="30" t="n">
        <v>32798.33333333334</v>
      </c>
      <c r="L405" s="30" t="n">
        <v>36851.25</v>
      </c>
      <c r="M405" s="35" t="n">
        <v>0.5915789139892224</v>
      </c>
      <c r="N405" s="35" t="n">
        <v>0.7443656134215392</v>
      </c>
      <c r="O405" s="35" t="n">
        <v>0.1200000000000001</v>
      </c>
      <c r="P405" s="35" t="n">
        <v>-0.1271820448877805</v>
      </c>
      <c r="Q405" s="35" t="n">
        <v>-0.1183879093198993</v>
      </c>
      <c r="R405" s="35" t="n">
        <v>0.03199174406604754</v>
      </c>
      <c r="S405" s="35" t="n">
        <v>0.06712739468468909</v>
      </c>
      <c r="T405" s="35" t="n">
        <v>-0.05023574505613781</v>
      </c>
      <c r="U405" s="30" t="n">
        <v>61400</v>
      </c>
      <c r="V405" s="30" t="n">
        <v>18260</v>
      </c>
      <c r="W405" s="35" t="n">
        <v>-0.4299674267100977</v>
      </c>
      <c r="X405" s="35" t="n">
        <v>0.9167579408543265</v>
      </c>
      <c r="Y405" s="30" t="n">
        <v>20476584</v>
      </c>
      <c r="Z405" s="30" t="n">
        <v>716680440000</v>
      </c>
      <c r="AA405" s="30" t="n">
        <v>14294455000</v>
      </c>
      <c r="AB405" s="30" t="n">
        <v>7472316215</v>
      </c>
      <c r="AC405" s="35" t="n">
        <v>0.01994536784065155</v>
      </c>
      <c r="AD405" s="24" t="inlineStr">
        <is>
          <t>yfinance_download</t>
        </is>
      </c>
      <c r="AE405" s="24" t="inlineStr">
        <is>
          <t>317330.KQ</t>
        </is>
      </c>
    </row>
    <row r="406" ht="24" customHeight="1">
      <c r="A406" s="29" t="inlineStr">
        <is>
          <t>2025-02-07</t>
        </is>
      </c>
      <c r="B406" s="31" t="n">
        <v>34850</v>
      </c>
      <c r="C406" s="31" t="n">
        <v>36700</v>
      </c>
      <c r="D406" s="31" t="n">
        <v>33850</v>
      </c>
      <c r="E406" s="31" t="n">
        <v>36100</v>
      </c>
      <c r="F406" s="31" t="n">
        <v>36100</v>
      </c>
      <c r="G406" s="31" t="n">
        <v>304963</v>
      </c>
      <c r="H406" s="36" t="n">
        <v>0.03142857142857136</v>
      </c>
      <c r="I406" s="36" t="n">
        <v>-0.4120521172638436</v>
      </c>
      <c r="J406" s="31" t="n">
        <v>34152.5</v>
      </c>
      <c r="K406" s="31" t="n">
        <v>32749.16666666667</v>
      </c>
      <c r="L406" s="31" t="n">
        <v>36862.08333333334</v>
      </c>
      <c r="M406" s="36" t="n">
        <v>0.598039459178646</v>
      </c>
      <c r="N406" s="36" t="n">
        <v>0.7454664184508903</v>
      </c>
      <c r="O406" s="36" t="n">
        <v>0.1515151515151516</v>
      </c>
      <c r="P406" s="36" t="n">
        <v>-0.07554417413572345</v>
      </c>
      <c r="Q406" s="36" t="n">
        <v>0.03735632183908044</v>
      </c>
      <c r="R406" s="36" t="n">
        <v>0.05702364394993054</v>
      </c>
      <c r="S406" s="36" t="n">
        <v>0.1023181251431333</v>
      </c>
      <c r="T406" s="36" t="n">
        <v>-0.02067390837468497</v>
      </c>
      <c r="U406" s="31" t="n">
        <v>61400</v>
      </c>
      <c r="V406" s="31" t="n">
        <v>18260</v>
      </c>
      <c r="W406" s="36" t="n">
        <v>-0.4120521172638436</v>
      </c>
      <c r="X406" s="36" t="n">
        <v>0.976998904709748</v>
      </c>
      <c r="Y406" s="31" t="n">
        <v>20476584</v>
      </c>
      <c r="Z406" s="31" t="n">
        <v>739204682400</v>
      </c>
      <c r="AA406" s="31" t="n">
        <v>11009164300</v>
      </c>
      <c r="AB406" s="31" t="n">
        <v>7848545237.5</v>
      </c>
      <c r="AC406" s="36" t="n">
        <v>0.01489325563287314</v>
      </c>
      <c r="AD406" s="29" t="inlineStr">
        <is>
          <t>yfinance_download</t>
        </is>
      </c>
      <c r="AE406" s="29" t="inlineStr">
        <is>
          <t>317330.KQ</t>
        </is>
      </c>
    </row>
    <row r="407" ht="24" customHeight="1">
      <c r="A407" s="24" t="inlineStr">
        <is>
          <t>2025-02-10</t>
        </is>
      </c>
      <c r="B407" s="30" t="n">
        <v>34600</v>
      </c>
      <c r="C407" s="30" t="n">
        <v>36000</v>
      </c>
      <c r="D407" s="30" t="n">
        <v>34000</v>
      </c>
      <c r="E407" s="30" t="n">
        <v>35500</v>
      </c>
      <c r="F407" s="30" t="n">
        <v>35500</v>
      </c>
      <c r="G407" s="30" t="n">
        <v>256121</v>
      </c>
      <c r="H407" s="35" t="n">
        <v>-0.0166204986149584</v>
      </c>
      <c r="I407" s="35" t="n">
        <v>-0.4218241042345277</v>
      </c>
      <c r="J407" s="30" t="n">
        <v>34382.5</v>
      </c>
      <c r="K407" s="30" t="n">
        <v>32704.16666666667</v>
      </c>
      <c r="L407" s="30" t="n">
        <v>36851.25</v>
      </c>
      <c r="M407" s="35" t="n">
        <v>0.5992037920064176</v>
      </c>
      <c r="N407" s="35" t="n">
        <v>0.7449057666861182</v>
      </c>
      <c r="O407" s="35" t="n">
        <v>0.1488673139158576</v>
      </c>
      <c r="P407" s="35" t="n">
        <v>-0.0706806282722513</v>
      </c>
      <c r="Q407" s="35" t="n">
        <v>-0.03532608695652173</v>
      </c>
      <c r="R407" s="35" t="n">
        <v>0.03250199956373145</v>
      </c>
      <c r="S407" s="35" t="n">
        <v>0.08548859727353797</v>
      </c>
      <c r="T407" s="35" t="n">
        <v>-0.03666768427122558</v>
      </c>
      <c r="U407" s="30" t="n">
        <v>61400</v>
      </c>
      <c r="V407" s="30" t="n">
        <v>18260</v>
      </c>
      <c r="W407" s="35" t="n">
        <v>-0.4218241042345277</v>
      </c>
      <c r="X407" s="35" t="n">
        <v>0.9441401971522454</v>
      </c>
      <c r="Y407" s="30" t="n">
        <v>20476584</v>
      </c>
      <c r="Z407" s="30" t="n">
        <v>726918732000</v>
      </c>
      <c r="AA407" s="30" t="n">
        <v>9092295500</v>
      </c>
      <c r="AB407" s="30" t="n">
        <v>8139539877.5</v>
      </c>
      <c r="AC407" s="35" t="n">
        <v>0.0125079944975197</v>
      </c>
      <c r="AD407" s="24" t="inlineStr">
        <is>
          <t>yfinance_download</t>
        </is>
      </c>
      <c r="AE407" s="24" t="inlineStr">
        <is>
          <t>317330.KQ</t>
        </is>
      </c>
    </row>
    <row r="408" ht="24" customHeight="1">
      <c r="A408" s="29" t="inlineStr">
        <is>
          <t>2025-02-11</t>
        </is>
      </c>
      <c r="B408" s="31" t="n">
        <v>35500</v>
      </c>
      <c r="C408" s="31" t="n">
        <v>36100</v>
      </c>
      <c r="D408" s="31" t="n">
        <v>34600</v>
      </c>
      <c r="E408" s="31" t="n">
        <v>34600</v>
      </c>
      <c r="F408" s="31" t="n">
        <v>34600</v>
      </c>
      <c r="G408" s="31" t="n">
        <v>137248</v>
      </c>
      <c r="H408" s="36" t="n">
        <v>-0.0253521126760563</v>
      </c>
      <c r="I408" s="36" t="n">
        <v>-0.4364820846905537</v>
      </c>
      <c r="J408" s="31" t="n">
        <v>34507.5</v>
      </c>
      <c r="K408" s="31" t="n">
        <v>32620.83333333333</v>
      </c>
      <c r="L408" s="31" t="n">
        <v>36821.66666666666</v>
      </c>
      <c r="M408" s="36" t="n">
        <v>0.5982037614826169</v>
      </c>
      <c r="N408" s="36" t="n">
        <v>0.7426592515593932</v>
      </c>
      <c r="O408" s="36" t="n">
        <v>0.0778816199376946</v>
      </c>
      <c r="P408" s="36" t="n">
        <v>-0.1262626262626263</v>
      </c>
      <c r="Q408" s="36" t="n">
        <v>-0.09305373525557015</v>
      </c>
      <c r="R408" s="36" t="n">
        <v>0.002680576686227676</v>
      </c>
      <c r="S408" s="36" t="n">
        <v>0.06067186102950561</v>
      </c>
      <c r="T408" s="36" t="n">
        <v>-0.06033585298510835</v>
      </c>
      <c r="U408" s="31" t="n">
        <v>61400</v>
      </c>
      <c r="V408" s="31" t="n">
        <v>18260</v>
      </c>
      <c r="W408" s="36" t="n">
        <v>-0.4364820846905537</v>
      </c>
      <c r="X408" s="36" t="n">
        <v>0.8948521358159913</v>
      </c>
      <c r="Y408" s="31" t="n">
        <v>20476584</v>
      </c>
      <c r="Z408" s="31" t="n">
        <v>708489806400</v>
      </c>
      <c r="AA408" s="31" t="n">
        <v>4748780800</v>
      </c>
      <c r="AB408" s="31" t="n">
        <v>8144374292.5</v>
      </c>
      <c r="AC408" s="36" t="n">
        <v>0.006702680486159215</v>
      </c>
      <c r="AD408" s="29" t="inlineStr">
        <is>
          <t>yfinance_download</t>
        </is>
      </c>
      <c r="AE408" s="29" t="inlineStr">
        <is>
          <t>317330.KQ</t>
        </is>
      </c>
    </row>
    <row r="409" ht="24" customHeight="1">
      <c r="A409" s="24" t="inlineStr">
        <is>
          <t>2025-02-12</t>
        </is>
      </c>
      <c r="B409" s="30" t="n">
        <v>34750</v>
      </c>
      <c r="C409" s="30" t="n">
        <v>35600</v>
      </c>
      <c r="D409" s="30" t="n">
        <v>33800</v>
      </c>
      <c r="E409" s="30" t="n">
        <v>34600</v>
      </c>
      <c r="F409" s="30" t="n">
        <v>34600</v>
      </c>
      <c r="G409" s="30" t="n">
        <v>135143</v>
      </c>
      <c r="H409" s="35" t="n">
        <v>0</v>
      </c>
      <c r="I409" s="35" t="n">
        <v>-0.4364820846905537</v>
      </c>
      <c r="J409" s="30" t="n">
        <v>34595</v>
      </c>
      <c r="K409" s="30" t="n">
        <v>32574.16666666667</v>
      </c>
      <c r="L409" s="30" t="n">
        <v>36804.58333333334</v>
      </c>
      <c r="M409" s="35" t="n">
        <v>0.5941322384540226</v>
      </c>
      <c r="N409" s="35" t="n">
        <v>0.7339613933903857</v>
      </c>
      <c r="O409" s="35" t="n">
        <v>0.05327245053272445</v>
      </c>
      <c r="P409" s="35" t="n">
        <v>-0.07486631016042777</v>
      </c>
      <c r="Q409" s="35" t="n">
        <v>-0.05593451568894947</v>
      </c>
      <c r="R409" s="35" t="n">
        <v>0.0001445295562942928</v>
      </c>
      <c r="S409" s="35" t="n">
        <v>0.06219140934789835</v>
      </c>
      <c r="T409" s="35" t="n">
        <v>-0.05989969546365381</v>
      </c>
      <c r="U409" s="30" t="n">
        <v>61400</v>
      </c>
      <c r="V409" s="30" t="n">
        <v>18370</v>
      </c>
      <c r="W409" s="35" t="n">
        <v>-0.4364820846905537</v>
      </c>
      <c r="X409" s="35" t="n">
        <v>0.8835057158410451</v>
      </c>
      <c r="Y409" s="30" t="n">
        <v>20476584</v>
      </c>
      <c r="Z409" s="30" t="n">
        <v>708489806400</v>
      </c>
      <c r="AA409" s="30" t="n">
        <v>4675947800</v>
      </c>
      <c r="AB409" s="30" t="n">
        <v>8102167625</v>
      </c>
      <c r="AC409" s="35" t="n">
        <v>0.006599880136257103</v>
      </c>
      <c r="AD409" s="24" t="inlineStr">
        <is>
          <t>yfinance_download</t>
        </is>
      </c>
      <c r="AE409" s="24" t="inlineStr">
        <is>
          <t>317330.KQ</t>
        </is>
      </c>
    </row>
    <row r="410" ht="24" customHeight="1">
      <c r="A410" s="29" t="inlineStr">
        <is>
          <t>2025-02-13</t>
        </is>
      </c>
      <c r="B410" s="31" t="n">
        <v>35000</v>
      </c>
      <c r="C410" s="31" t="n">
        <v>36600</v>
      </c>
      <c r="D410" s="31" t="n">
        <v>35000</v>
      </c>
      <c r="E410" s="31" t="n">
        <v>36100</v>
      </c>
      <c r="F410" s="31" t="n">
        <v>36100</v>
      </c>
      <c r="G410" s="31" t="n">
        <v>209820</v>
      </c>
      <c r="H410" s="36" t="n">
        <v>0.04335260115606943</v>
      </c>
      <c r="I410" s="36" t="n">
        <v>-0.4120521172638436</v>
      </c>
      <c r="J410" s="31" t="n">
        <v>34652.5</v>
      </c>
      <c r="K410" s="31" t="n">
        <v>32570</v>
      </c>
      <c r="L410" s="31" t="n">
        <v>36790.83333333334</v>
      </c>
      <c r="M410" s="36" t="n">
        <v>0.5702805632769793</v>
      </c>
      <c r="N410" s="36" t="n">
        <v>0.736987617156963</v>
      </c>
      <c r="O410" s="36" t="n">
        <v>0.03290414878397718</v>
      </c>
      <c r="P410" s="36" t="n">
        <v>-0.00687757909215958</v>
      </c>
      <c r="Q410" s="36" t="n">
        <v>-0.0437086092715232</v>
      </c>
      <c r="R410" s="36" t="n">
        <v>0.04177187793088533</v>
      </c>
      <c r="S410" s="36" t="n">
        <v>0.1083819465766043</v>
      </c>
      <c r="T410" s="36" t="n">
        <v>-0.01877732224965467</v>
      </c>
      <c r="U410" s="31" t="n">
        <v>61400</v>
      </c>
      <c r="V410" s="31" t="n">
        <v>18370</v>
      </c>
      <c r="W410" s="36" t="n">
        <v>-0.4120521172638436</v>
      </c>
      <c r="X410" s="36" t="n">
        <v>0.9651605879150789</v>
      </c>
      <c r="Y410" s="31" t="n">
        <v>20476584</v>
      </c>
      <c r="Z410" s="31" t="n">
        <v>739204682400</v>
      </c>
      <c r="AA410" s="31" t="n">
        <v>7574502000</v>
      </c>
      <c r="AB410" s="31" t="n">
        <v>7093419665</v>
      </c>
      <c r="AC410" s="36" t="n">
        <v>0.01024682632610986</v>
      </c>
      <c r="AD410" s="29" t="inlineStr">
        <is>
          <t>yfinance_download</t>
        </is>
      </c>
      <c r="AE410" s="29" t="inlineStr">
        <is>
          <t>317330.KQ</t>
        </is>
      </c>
    </row>
    <row r="411" ht="24" customHeight="1">
      <c r="A411" s="24" t="inlineStr">
        <is>
          <t>2025-02-14</t>
        </is>
      </c>
      <c r="B411" s="30" t="n">
        <v>36300</v>
      </c>
      <c r="C411" s="30" t="n">
        <v>36300</v>
      </c>
      <c r="D411" s="30" t="n">
        <v>34500</v>
      </c>
      <c r="E411" s="30" t="n">
        <v>34600</v>
      </c>
      <c r="F411" s="30" t="n">
        <v>34600</v>
      </c>
      <c r="G411" s="30" t="n">
        <v>126366</v>
      </c>
      <c r="H411" s="35" t="n">
        <v>-0.04155124653739617</v>
      </c>
      <c r="I411" s="35" t="n">
        <v>-0.4364820846905537</v>
      </c>
      <c r="J411" s="30" t="n">
        <v>34730</v>
      </c>
      <c r="K411" s="30" t="n">
        <v>32592.5</v>
      </c>
      <c r="L411" s="30" t="n">
        <v>36756.25</v>
      </c>
      <c r="M411" s="35" t="n">
        <v>0.5550245568602509</v>
      </c>
      <c r="N411" s="35" t="n">
        <v>0.7203983664687137</v>
      </c>
      <c r="O411" s="35" t="n">
        <v>0.04689863842662634</v>
      </c>
      <c r="P411" s="35" t="n">
        <v>0.04060150375939853</v>
      </c>
      <c r="Q411" s="35" t="n">
        <v>-0.1070967741935483</v>
      </c>
      <c r="R411" s="35" t="n">
        <v>-0.003743161531816863</v>
      </c>
      <c r="S411" s="35" t="n">
        <v>0.06159392498274152</v>
      </c>
      <c r="T411" s="35" t="n">
        <v>-0.05866349260329873</v>
      </c>
      <c r="U411" s="30" t="n">
        <v>61400</v>
      </c>
      <c r="V411" s="30" t="n">
        <v>18370</v>
      </c>
      <c r="W411" s="35" t="n">
        <v>-0.4364820846905537</v>
      </c>
      <c r="X411" s="35" t="n">
        <v>0.8835057158410451</v>
      </c>
      <c r="Y411" s="30" t="n">
        <v>20476584</v>
      </c>
      <c r="Z411" s="30" t="n">
        <v>708489806400</v>
      </c>
      <c r="AA411" s="30" t="n">
        <v>4372263600</v>
      </c>
      <c r="AB411" s="30" t="n">
        <v>6950363390</v>
      </c>
      <c r="AC411" s="35" t="n">
        <v>0.00617124418799542</v>
      </c>
      <c r="AD411" s="24" t="inlineStr">
        <is>
          <t>yfinance_download</t>
        </is>
      </c>
      <c r="AE411" s="24" t="inlineStr">
        <is>
          <t>317330.KQ</t>
        </is>
      </c>
    </row>
    <row r="412" ht="24" customHeight="1">
      <c r="A412" s="29" t="inlineStr">
        <is>
          <t>2025-02-17</t>
        </is>
      </c>
      <c r="B412" s="31" t="n">
        <v>34750</v>
      </c>
      <c r="C412" s="31" t="n">
        <v>35600</v>
      </c>
      <c r="D412" s="31" t="n">
        <v>34100</v>
      </c>
      <c r="E412" s="31" t="n">
        <v>35100</v>
      </c>
      <c r="F412" s="31" t="n">
        <v>35100</v>
      </c>
      <c r="G412" s="31" t="n">
        <v>208384</v>
      </c>
      <c r="H412" s="36" t="n">
        <v>0.01445086705202314</v>
      </c>
      <c r="I412" s="36" t="n">
        <v>-0.4283387622149837</v>
      </c>
      <c r="J412" s="31" t="n">
        <v>34772.5</v>
      </c>
      <c r="K412" s="31" t="n">
        <v>32654.16666666667</v>
      </c>
      <c r="L412" s="31" t="n">
        <v>36727.5</v>
      </c>
      <c r="M412" s="36" t="n">
        <v>0.5428519856406346</v>
      </c>
      <c r="N412" s="36" t="n">
        <v>0.7108412825320519</v>
      </c>
      <c r="O412" s="36" t="n">
        <v>0.02481751824817513</v>
      </c>
      <c r="P412" s="36" t="n">
        <v>0.1178343949044587</v>
      </c>
      <c r="Q412" s="36" t="n">
        <v>-0.08949416342412453</v>
      </c>
      <c r="R412" s="36" t="n">
        <v>0.009418362211517817</v>
      </c>
      <c r="S412" s="36" t="n">
        <v>0.07490111011866785</v>
      </c>
      <c r="T412" s="36" t="n">
        <v>-0.04431284459873397</v>
      </c>
      <c r="U412" s="31" t="n">
        <v>61400</v>
      </c>
      <c r="V412" s="31" t="n">
        <v>18370</v>
      </c>
      <c r="W412" s="36" t="n">
        <v>-0.4283387622149837</v>
      </c>
      <c r="X412" s="36" t="n">
        <v>0.9107240065323898</v>
      </c>
      <c r="Y412" s="31" t="n">
        <v>20476584</v>
      </c>
      <c r="Z412" s="31" t="n">
        <v>718728098400</v>
      </c>
      <c r="AA412" s="31" t="n">
        <v>7314278400</v>
      </c>
      <c r="AB412" s="31" t="n">
        <v>7029894585</v>
      </c>
      <c r="AC412" s="36" t="n">
        <v>0.01017669744133103</v>
      </c>
      <c r="AD412" s="29" t="inlineStr">
        <is>
          <t>yfinance_download</t>
        </is>
      </c>
      <c r="AE412" s="29" t="inlineStr">
        <is>
          <t>317330.KQ</t>
        </is>
      </c>
    </row>
    <row r="413" ht="24" customHeight="1">
      <c r="A413" s="24" t="inlineStr">
        <is>
          <t>2025-02-18</t>
        </is>
      </c>
      <c r="B413" s="30" t="n">
        <v>35150</v>
      </c>
      <c r="C413" s="30" t="n">
        <v>35450</v>
      </c>
      <c r="D413" s="30" t="n">
        <v>33900</v>
      </c>
      <c r="E413" s="30" t="n">
        <v>34050</v>
      </c>
      <c r="F413" s="30" t="n">
        <v>34050</v>
      </c>
      <c r="G413" s="30" t="n">
        <v>145442</v>
      </c>
      <c r="H413" s="35" t="n">
        <v>-0.02991452991452992</v>
      </c>
      <c r="I413" s="35" t="n">
        <v>-0.4454397394136808</v>
      </c>
      <c r="J413" s="30" t="n">
        <v>34737.5</v>
      </c>
      <c r="K413" s="30" t="n">
        <v>32722.5</v>
      </c>
      <c r="L413" s="30" t="n">
        <v>36678.75</v>
      </c>
      <c r="M413" s="35" t="n">
        <v>0.5518363618080754</v>
      </c>
      <c r="N413" s="35" t="n">
        <v>0.7068215421501768</v>
      </c>
      <c r="O413" s="35" t="n">
        <v>-0.02014388489208629</v>
      </c>
      <c r="P413" s="35" t="n">
        <v>0.1368948247078463</v>
      </c>
      <c r="Q413" s="35" t="n">
        <v>-0.1466165413533834</v>
      </c>
      <c r="R413" s="35" t="n">
        <v>-0.01979129183159412</v>
      </c>
      <c r="S413" s="35" t="n">
        <v>0.04056841622736651</v>
      </c>
      <c r="T413" s="35" t="n">
        <v>-0.07166956343932118</v>
      </c>
      <c r="U413" s="30" t="n">
        <v>61400</v>
      </c>
      <c r="V413" s="30" t="n">
        <v>18370</v>
      </c>
      <c r="W413" s="35" t="n">
        <v>-0.4454397394136808</v>
      </c>
      <c r="X413" s="35" t="n">
        <v>0.8535655960805661</v>
      </c>
      <c r="Y413" s="30" t="n">
        <v>20476584</v>
      </c>
      <c r="Z413" s="30" t="n">
        <v>697227685200</v>
      </c>
      <c r="AA413" s="30" t="n">
        <v>4952300100</v>
      </c>
      <c r="AB413" s="30" t="n">
        <v>6860076952.5</v>
      </c>
      <c r="AC413" s="35" t="n">
        <v>0.007102844888581025</v>
      </c>
      <c r="AD413" s="24" t="inlineStr">
        <is>
          <t>yfinance_download</t>
        </is>
      </c>
      <c r="AE413" s="24" t="inlineStr">
        <is>
          <t>317330.KQ</t>
        </is>
      </c>
    </row>
    <row r="414" ht="24" customHeight="1">
      <c r="A414" s="29" t="inlineStr">
        <is>
          <t>2025-02-19</t>
        </is>
      </c>
      <c r="B414" s="31" t="n">
        <v>33850</v>
      </c>
      <c r="C414" s="31" t="n">
        <v>38500</v>
      </c>
      <c r="D414" s="31" t="n">
        <v>33150</v>
      </c>
      <c r="E414" s="31" t="n">
        <v>37100</v>
      </c>
      <c r="F414" s="31" t="n">
        <v>37100</v>
      </c>
      <c r="G414" s="31" t="n">
        <v>630779</v>
      </c>
      <c r="H414" s="36" t="n">
        <v>0.08957415565345084</v>
      </c>
      <c r="I414" s="36" t="n">
        <v>-0.3957654723127035</v>
      </c>
      <c r="J414" s="31" t="n">
        <v>34787.5</v>
      </c>
      <c r="K414" s="31" t="n">
        <v>32833.33333333334</v>
      </c>
      <c r="L414" s="31" t="n">
        <v>36644.16666666666</v>
      </c>
      <c r="M414" s="36" t="n">
        <v>0.624348499800115</v>
      </c>
      <c r="N414" s="36" t="n">
        <v>0.7282609877293869</v>
      </c>
      <c r="O414" s="36" t="n">
        <v>0.02770083102493071</v>
      </c>
      <c r="P414" s="36" t="n">
        <v>0.2183908045977012</v>
      </c>
      <c r="Q414" s="36" t="n">
        <v>-0.1006060606060606</v>
      </c>
      <c r="R414" s="36" t="n">
        <v>0.06647502694933527</v>
      </c>
      <c r="S414" s="36" t="n">
        <v>0.12994923857868</v>
      </c>
      <c r="T414" s="36" t="n">
        <v>0.01243945148159109</v>
      </c>
      <c r="U414" s="31" t="n">
        <v>61400</v>
      </c>
      <c r="V414" s="31" t="n">
        <v>19060</v>
      </c>
      <c r="W414" s="36" t="n">
        <v>-0.3957654723127035</v>
      </c>
      <c r="X414" s="36" t="n">
        <v>0.9464847848898217</v>
      </c>
      <c r="Y414" s="31" t="n">
        <v>20476584</v>
      </c>
      <c r="Z414" s="31" t="n">
        <v>759681266400</v>
      </c>
      <c r="AA414" s="31" t="n">
        <v>23401900900</v>
      </c>
      <c r="AB414" s="31" t="n">
        <v>7604296687.5</v>
      </c>
      <c r="AC414" s="36" t="n">
        <v>0.03080489401943215</v>
      </c>
      <c r="AD414" s="29" t="inlineStr">
        <is>
          <t>yfinance_download</t>
        </is>
      </c>
      <c r="AE414" s="29" t="inlineStr">
        <is>
          <t>317330.KQ</t>
        </is>
      </c>
    </row>
    <row r="415" ht="24" customHeight="1">
      <c r="A415" s="24" t="inlineStr">
        <is>
          <t>2025-02-20</t>
        </is>
      </c>
      <c r="B415" s="30" t="n">
        <v>37100</v>
      </c>
      <c r="C415" s="30" t="n">
        <v>39700</v>
      </c>
      <c r="D415" s="30" t="n">
        <v>36350</v>
      </c>
      <c r="E415" s="30" t="n">
        <v>37150</v>
      </c>
      <c r="F415" s="30" t="n">
        <v>37150</v>
      </c>
      <c r="G415" s="30" t="n">
        <v>443970</v>
      </c>
      <c r="H415" s="35" t="n">
        <v>0.001347708894878785</v>
      </c>
      <c r="I415" s="35" t="n">
        <v>-0.3949511400651465</v>
      </c>
      <c r="J415" s="30" t="n">
        <v>34840</v>
      </c>
      <c r="K415" s="30" t="n">
        <v>32955</v>
      </c>
      <c r="L415" s="30" t="n">
        <v>36627.91666666666</v>
      </c>
      <c r="M415" s="35" t="n">
        <v>0.624306851364852</v>
      </c>
      <c r="N415" s="35" t="n">
        <v>0.7265705715018065</v>
      </c>
      <c r="O415" s="35" t="n">
        <v>0.02908587257617734</v>
      </c>
      <c r="P415" s="35" t="n">
        <v>0.2445561139028476</v>
      </c>
      <c r="Q415" s="35" t="n">
        <v>-0.04987212276214836</v>
      </c>
      <c r="R415" s="35" t="n">
        <v>0.06630309988518945</v>
      </c>
      <c r="S415" s="35" t="n">
        <v>0.1272947959338493</v>
      </c>
      <c r="T415" s="35" t="n">
        <v>0.01425369993288372</v>
      </c>
      <c r="U415" s="30" t="n">
        <v>61400</v>
      </c>
      <c r="V415" s="30" t="n">
        <v>19200</v>
      </c>
      <c r="W415" s="35" t="n">
        <v>-0.3949511400651465</v>
      </c>
      <c r="X415" s="35" t="n">
        <v>0.9348958333333333</v>
      </c>
      <c r="Y415" s="30" t="n">
        <v>20476584</v>
      </c>
      <c r="Z415" s="30" t="n">
        <v>760705095600</v>
      </c>
      <c r="AA415" s="30" t="n">
        <v>16493485500</v>
      </c>
      <c r="AB415" s="30" t="n">
        <v>8212544242.5</v>
      </c>
      <c r="AC415" s="35" t="n">
        <v>0.02168183911925935</v>
      </c>
      <c r="AD415" s="24" t="inlineStr">
        <is>
          <t>yfinance_download</t>
        </is>
      </c>
      <c r="AE415" s="24" t="inlineStr">
        <is>
          <t>317330.KQ</t>
        </is>
      </c>
    </row>
    <row r="416" ht="24" customHeight="1">
      <c r="A416" s="29" t="inlineStr">
        <is>
          <t>2025-02-21</t>
        </is>
      </c>
      <c r="B416" s="31" t="n">
        <v>37250</v>
      </c>
      <c r="C416" s="31" t="n">
        <v>38700</v>
      </c>
      <c r="D416" s="31" t="n">
        <v>36550</v>
      </c>
      <c r="E416" s="31" t="n">
        <v>37600</v>
      </c>
      <c r="F416" s="31" t="n">
        <v>37600</v>
      </c>
      <c r="G416" s="31" t="n">
        <v>264251</v>
      </c>
      <c r="H416" s="36" t="n">
        <v>0.01211305518169592</v>
      </c>
      <c r="I416" s="36" t="n">
        <v>-0.3876221498371335</v>
      </c>
      <c r="J416" s="31" t="n">
        <v>34880</v>
      </c>
      <c r="K416" s="31" t="n">
        <v>33068.33333333334</v>
      </c>
      <c r="L416" s="31" t="n">
        <v>36604.58333333334</v>
      </c>
      <c r="M416" s="36" t="n">
        <v>0.6221740166083038</v>
      </c>
      <c r="N416" s="36" t="n">
        <v>0.7245442650196382</v>
      </c>
      <c r="O416" s="36" t="n">
        <v>0.02173913043478271</v>
      </c>
      <c r="P416" s="36" t="n">
        <v>0.2207792207792207</v>
      </c>
      <c r="Q416" s="36" t="n">
        <v>-0.06930693069306926</v>
      </c>
      <c r="R416" s="36" t="n">
        <v>0.07798165137614688</v>
      </c>
      <c r="S416" s="36" t="n">
        <v>0.1370394637367067</v>
      </c>
      <c r="T416" s="36" t="n">
        <v>0.02719377127181244</v>
      </c>
      <c r="U416" s="31" t="n">
        <v>61400</v>
      </c>
      <c r="V416" s="31" t="n">
        <v>19990</v>
      </c>
      <c r="W416" s="36" t="n">
        <v>-0.3876221498371335</v>
      </c>
      <c r="X416" s="36" t="n">
        <v>0.8809404702351176</v>
      </c>
      <c r="Y416" s="31" t="n">
        <v>20476584</v>
      </c>
      <c r="Z416" s="31" t="n">
        <v>769919558400</v>
      </c>
      <c r="AA416" s="31" t="n">
        <v>9935837600</v>
      </c>
      <c r="AB416" s="31" t="n">
        <v>8328860922.5</v>
      </c>
      <c r="AC416" s="36" t="n">
        <v>0.01290503337861432</v>
      </c>
      <c r="AD416" s="29" t="inlineStr">
        <is>
          <t>yfinance_download</t>
        </is>
      </c>
      <c r="AE416" s="29" t="inlineStr">
        <is>
          <t>317330.KQ</t>
        </is>
      </c>
    </row>
    <row r="417" ht="24" customHeight="1">
      <c r="A417" s="24" t="inlineStr">
        <is>
          <t>2025-02-24</t>
        </is>
      </c>
      <c r="B417" s="30" t="n">
        <v>36800</v>
      </c>
      <c r="C417" s="30" t="n">
        <v>37200</v>
      </c>
      <c r="D417" s="30" t="n">
        <v>35900</v>
      </c>
      <c r="E417" s="30" t="n">
        <v>36850</v>
      </c>
      <c r="F417" s="30" t="n">
        <v>36850</v>
      </c>
      <c r="G417" s="30" t="n">
        <v>186475</v>
      </c>
      <c r="H417" s="35" t="n">
        <v>-0.01994680851063835</v>
      </c>
      <c r="I417" s="35" t="n">
        <v>-0.3998371335504886</v>
      </c>
      <c r="J417" s="30" t="n">
        <v>34952.5</v>
      </c>
      <c r="K417" s="30" t="n">
        <v>33170</v>
      </c>
      <c r="L417" s="30" t="n">
        <v>36587.08333333334</v>
      </c>
      <c r="M417" s="35" t="n">
        <v>0.6100010506708823</v>
      </c>
      <c r="N417" s="35" t="n">
        <v>0.7261601255876258</v>
      </c>
      <c r="O417" s="35" t="n">
        <v>0.04096045197740117</v>
      </c>
      <c r="P417" s="35" t="n">
        <v>0.1983739837398375</v>
      </c>
      <c r="Q417" s="35" t="n">
        <v>-0.05391527599486523</v>
      </c>
      <c r="R417" s="35" t="n">
        <v>0.05428796223446097</v>
      </c>
      <c r="S417" s="35" t="n">
        <v>0.1109436237564063</v>
      </c>
      <c r="T417" s="35" t="n">
        <v>0.007186051543691452</v>
      </c>
      <c r="U417" s="30" t="n">
        <v>61400</v>
      </c>
      <c r="V417" s="30" t="n">
        <v>19990</v>
      </c>
      <c r="W417" s="35" t="n">
        <v>-0.3998371335504886</v>
      </c>
      <c r="X417" s="35" t="n">
        <v>0.8434217108554276</v>
      </c>
      <c r="Y417" s="30" t="n">
        <v>20476584</v>
      </c>
      <c r="Z417" s="30" t="n">
        <v>754562120400</v>
      </c>
      <c r="AA417" s="30" t="n">
        <v>6871603750</v>
      </c>
      <c r="AB417" s="30" t="n">
        <v>8161339450</v>
      </c>
      <c r="AC417" s="35" t="n">
        <v>0.009106743585746528</v>
      </c>
      <c r="AD417" s="24" t="inlineStr">
        <is>
          <t>yfinance_download</t>
        </is>
      </c>
      <c r="AE417" s="24" t="inlineStr">
        <is>
          <t>317330.KQ</t>
        </is>
      </c>
    </row>
    <row r="418" ht="24" customHeight="1">
      <c r="A418" s="29" t="inlineStr">
        <is>
          <t>2025-02-25</t>
        </is>
      </c>
      <c r="B418" s="31" t="n">
        <v>36250</v>
      </c>
      <c r="C418" s="31" t="n">
        <v>37200</v>
      </c>
      <c r="D418" s="31" t="n">
        <v>34650</v>
      </c>
      <c r="E418" s="31" t="n">
        <v>34750</v>
      </c>
      <c r="F418" s="31" t="n">
        <v>34750</v>
      </c>
      <c r="G418" s="31" t="n">
        <v>216915</v>
      </c>
      <c r="H418" s="36" t="n">
        <v>-0.05698778833107188</v>
      </c>
      <c r="I418" s="36" t="n">
        <v>-0.4340390879478827</v>
      </c>
      <c r="J418" s="31" t="n">
        <v>34910</v>
      </c>
      <c r="K418" s="31" t="n">
        <v>33211.66666666666</v>
      </c>
      <c r="L418" s="31" t="n">
        <v>36526.66666666666</v>
      </c>
      <c r="M418" s="36" t="n">
        <v>0.6454773866428438</v>
      </c>
      <c r="N418" s="36" t="n">
        <v>0.7306630496663222</v>
      </c>
      <c r="O418" s="36" t="n">
        <v>-0.023876404494382</v>
      </c>
      <c r="P418" s="36" t="n">
        <v>0.07751937984496116</v>
      </c>
      <c r="Q418" s="36" t="n">
        <v>-0.1726190476190477</v>
      </c>
      <c r="R418" s="36" t="n">
        <v>-0.00458321397880268</v>
      </c>
      <c r="S418" s="36" t="n">
        <v>0.04631906458573809</v>
      </c>
      <c r="T418" s="36" t="n">
        <v>-0.04864026282168277</v>
      </c>
      <c r="U418" s="31" t="n">
        <v>61400</v>
      </c>
      <c r="V418" s="31" t="n">
        <v>20650</v>
      </c>
      <c r="W418" s="36" t="n">
        <v>-0.4340390879478827</v>
      </c>
      <c r="X418" s="36" t="n">
        <v>0.6828087167070218</v>
      </c>
      <c r="Y418" s="31" t="n">
        <v>20476584</v>
      </c>
      <c r="Z418" s="31" t="n">
        <v>711561294000</v>
      </c>
      <c r="AA418" s="31" t="n">
        <v>7537796250</v>
      </c>
      <c r="AB418" s="31" t="n">
        <v>8142375062.5</v>
      </c>
      <c r="AC418" s="36" t="n">
        <v>0.01059331966699133</v>
      </c>
      <c r="AD418" s="29" t="inlineStr">
        <is>
          <t>yfinance_download</t>
        </is>
      </c>
      <c r="AE418" s="29" t="inlineStr">
        <is>
          <t>317330.KQ</t>
        </is>
      </c>
    </row>
    <row r="419" ht="24" customHeight="1">
      <c r="A419" s="24" t="inlineStr">
        <is>
          <t>2025-02-26</t>
        </is>
      </c>
      <c r="B419" s="30" t="n">
        <v>34250</v>
      </c>
      <c r="C419" s="30" t="n">
        <v>35750</v>
      </c>
      <c r="D419" s="30" t="n">
        <v>33900</v>
      </c>
      <c r="E419" s="30" t="n">
        <v>33950</v>
      </c>
      <c r="F419" s="30" t="n">
        <v>33950</v>
      </c>
      <c r="G419" s="30" t="n">
        <v>236941</v>
      </c>
      <c r="H419" s="35" t="n">
        <v>-0.02302158273381294</v>
      </c>
      <c r="I419" s="35" t="n">
        <v>-0.4470684039087948</v>
      </c>
      <c r="J419" s="30" t="n">
        <v>34885</v>
      </c>
      <c r="K419" s="30" t="n">
        <v>33217.5</v>
      </c>
      <c r="L419" s="30" t="n">
        <v>36464.58333333334</v>
      </c>
      <c r="M419" s="35" t="n">
        <v>0.6402176573874664</v>
      </c>
      <c r="N419" s="35" t="n">
        <v>0.7277426018566214</v>
      </c>
      <c r="O419" s="35" t="n">
        <v>-0.01451378809869375</v>
      </c>
      <c r="P419" s="35" t="n">
        <v>0.01041666666666674</v>
      </c>
      <c r="Q419" s="35" t="n">
        <v>-0.1799516908212561</v>
      </c>
      <c r="R419" s="35" t="n">
        <v>-0.02680235058047875</v>
      </c>
      <c r="S419" s="35" t="n">
        <v>0.02205162941220751</v>
      </c>
      <c r="T419" s="35" t="n">
        <v>-0.06895960692452729</v>
      </c>
      <c r="U419" s="30" t="n">
        <v>61400</v>
      </c>
      <c r="V419" s="30" t="n">
        <v>20900</v>
      </c>
      <c r="W419" s="35" t="n">
        <v>-0.4470684039087948</v>
      </c>
      <c r="X419" s="35" t="n">
        <v>0.6244019138755981</v>
      </c>
      <c r="Y419" s="30" t="n">
        <v>20476584</v>
      </c>
      <c r="Z419" s="30" t="n">
        <v>695180026800</v>
      </c>
      <c r="AA419" s="30" t="n">
        <v>8044146950</v>
      </c>
      <c r="AB419" s="30" t="n">
        <v>8373674237.5</v>
      </c>
      <c r="AC419" s="35" t="n">
        <v>0.01157131482477741</v>
      </c>
      <c r="AD419" s="24" t="inlineStr">
        <is>
          <t>yfinance_download</t>
        </is>
      </c>
      <c r="AE419" s="24" t="inlineStr">
        <is>
          <t>317330.KQ</t>
        </is>
      </c>
    </row>
    <row r="420" ht="24" customHeight="1">
      <c r="A420" s="29" t="inlineStr">
        <is>
          <t>2025-02-27</t>
        </is>
      </c>
      <c r="B420" s="31" t="n">
        <v>33950</v>
      </c>
      <c r="C420" s="31" t="n">
        <v>34500</v>
      </c>
      <c r="D420" s="31" t="n">
        <v>33300</v>
      </c>
      <c r="E420" s="31" t="n">
        <v>33550</v>
      </c>
      <c r="F420" s="31" t="n">
        <v>33550</v>
      </c>
      <c r="G420" s="31" t="n">
        <v>142617</v>
      </c>
      <c r="H420" s="36" t="n">
        <v>-0.01178203240058906</v>
      </c>
      <c r="I420" s="36" t="n">
        <v>-0.4535830618892508</v>
      </c>
      <c r="J420" s="31" t="n">
        <v>34862.5</v>
      </c>
      <c r="K420" s="31" t="n">
        <v>33233.33333333334</v>
      </c>
      <c r="L420" s="31" t="n">
        <v>36398.33333333334</v>
      </c>
      <c r="M420" s="36" t="n">
        <v>0.6398862828417685</v>
      </c>
      <c r="N420" s="36" t="n">
        <v>0.7254050570346563</v>
      </c>
      <c r="O420" s="36" t="n">
        <v>-0.01323529411764701</v>
      </c>
      <c r="P420" s="36" t="n">
        <v>0.02914110429447847</v>
      </c>
      <c r="Q420" s="36" t="n">
        <v>-0.191566265060241</v>
      </c>
      <c r="R420" s="36" t="n">
        <v>-0.03764790247400507</v>
      </c>
      <c r="S420" s="36" t="n">
        <v>0.009528585757271779</v>
      </c>
      <c r="T420" s="36" t="n">
        <v>-0.07825449883236413</v>
      </c>
      <c r="U420" s="31" t="n">
        <v>61400</v>
      </c>
      <c r="V420" s="31" t="n">
        <v>23850</v>
      </c>
      <c r="W420" s="36" t="n">
        <v>-0.4535830618892508</v>
      </c>
      <c r="X420" s="36" t="n">
        <v>0.4067085953878407</v>
      </c>
      <c r="Y420" s="31" t="n">
        <v>20476584</v>
      </c>
      <c r="Z420" s="31" t="n">
        <v>686989393200</v>
      </c>
      <c r="AA420" s="31" t="n">
        <v>4784800350</v>
      </c>
      <c r="AB420" s="31" t="n">
        <v>8435697755</v>
      </c>
      <c r="AC420" s="36" t="n">
        <v>0.006964882423748024</v>
      </c>
      <c r="AD420" s="29" t="inlineStr">
        <is>
          <t>yfinance_download</t>
        </is>
      </c>
      <c r="AE420" s="29" t="inlineStr">
        <is>
          <t>317330.KQ</t>
        </is>
      </c>
    </row>
    <row r="421" ht="24" customHeight="1">
      <c r="A421" s="24" t="inlineStr">
        <is>
          <t>2025-02-28</t>
        </is>
      </c>
      <c r="B421" s="30" t="n">
        <v>32700</v>
      </c>
      <c r="C421" s="30" t="n">
        <v>33150</v>
      </c>
      <c r="D421" s="30" t="n">
        <v>31500</v>
      </c>
      <c r="E421" s="30" t="n">
        <v>32500</v>
      </c>
      <c r="F421" s="30" t="n">
        <v>32500</v>
      </c>
      <c r="G421" s="30" t="n">
        <v>213867</v>
      </c>
      <c r="H421" s="35" t="n">
        <v>-0.03129657228017879</v>
      </c>
      <c r="I421" s="35" t="n">
        <v>-0.4706840390879479</v>
      </c>
      <c r="J421" s="30" t="n">
        <v>34772.5</v>
      </c>
      <c r="K421" s="30" t="n">
        <v>33230.83333333334</v>
      </c>
      <c r="L421" s="30" t="n">
        <v>36313.33333333334</v>
      </c>
      <c r="M421" s="35" t="n">
        <v>0.6484220586100229</v>
      </c>
      <c r="N421" s="35" t="n">
        <v>0.7285109252398236</v>
      </c>
      <c r="O421" s="35" t="n">
        <v>-0.05247813411078717</v>
      </c>
      <c r="P421" s="35" t="n">
        <v>-0.004594180704441064</v>
      </c>
      <c r="Q421" s="35" t="n">
        <v>-0.2388758782201406</v>
      </c>
      <c r="R421" s="35" t="n">
        <v>-0.0653533683226688</v>
      </c>
      <c r="S421" s="35" t="n">
        <v>-0.02199262732903684</v>
      </c>
      <c r="T421" s="35" t="n">
        <v>-0.1050119331742244</v>
      </c>
      <c r="U421" s="30" t="n">
        <v>61400</v>
      </c>
      <c r="V421" s="30" t="n">
        <v>24950</v>
      </c>
      <c r="W421" s="35" t="n">
        <v>-0.4706840390879479</v>
      </c>
      <c r="X421" s="35" t="n">
        <v>0.3026052104208417</v>
      </c>
      <c r="Y421" s="30" t="n">
        <v>20476584</v>
      </c>
      <c r="Z421" s="30" t="n">
        <v>665488980000</v>
      </c>
      <c r="AA421" s="30" t="n">
        <v>6950677500</v>
      </c>
      <c r="AB421" s="30" t="n">
        <v>8551048070</v>
      </c>
      <c r="AC421" s="35" t="n">
        <v>0.0104444667137839</v>
      </c>
      <c r="AD421" s="24" t="inlineStr">
        <is>
          <t>yfinance_download</t>
        </is>
      </c>
      <c r="AE421" s="24" t="inlineStr">
        <is>
          <t>317330.KQ</t>
        </is>
      </c>
    </row>
    <row r="422" ht="24" customHeight="1">
      <c r="A422" s="29" t="inlineStr">
        <is>
          <t>2025-03-04</t>
        </is>
      </c>
      <c r="B422" s="31" t="n">
        <v>32350</v>
      </c>
      <c r="C422" s="31" t="n">
        <v>32350</v>
      </c>
      <c r="D422" s="31" t="n">
        <v>30550</v>
      </c>
      <c r="E422" s="31" t="n">
        <v>30550</v>
      </c>
      <c r="F422" s="31" t="n">
        <v>30550</v>
      </c>
      <c r="G422" s="31" t="n">
        <v>166088</v>
      </c>
      <c r="H422" s="36" t="n">
        <v>-0.06000000000000005</v>
      </c>
      <c r="I422" s="36" t="n">
        <v>-0.502442996742671</v>
      </c>
      <c r="J422" s="31" t="n">
        <v>34710</v>
      </c>
      <c r="K422" s="31" t="n">
        <v>33186.66666666666</v>
      </c>
      <c r="L422" s="31" t="n">
        <v>36213.75</v>
      </c>
      <c r="M422" s="36" t="n">
        <v>0.6310948972810232</v>
      </c>
      <c r="N422" s="36" t="n">
        <v>0.7383044327867319</v>
      </c>
      <c r="O422" s="36" t="n">
        <v>-0.03930817610062898</v>
      </c>
      <c r="P422" s="36" t="n">
        <v>-0.07981927710843373</v>
      </c>
      <c r="Q422" s="36" t="n">
        <v>-0.2811764705882352</v>
      </c>
      <c r="R422" s="36" t="n">
        <v>-0.1198501872659176</v>
      </c>
      <c r="S422" s="36" t="n">
        <v>-0.0794495781438328</v>
      </c>
      <c r="T422" s="36" t="n">
        <v>-0.1563977770874323</v>
      </c>
      <c r="U422" s="31" t="n">
        <v>61400</v>
      </c>
      <c r="V422" s="31" t="n">
        <v>25300</v>
      </c>
      <c r="W422" s="36" t="n">
        <v>-0.502442996742671</v>
      </c>
      <c r="X422" s="36" t="n">
        <v>0.2075098814229248</v>
      </c>
      <c r="Y422" s="31" t="n">
        <v>20476584</v>
      </c>
      <c r="Z422" s="31" t="n">
        <v>625559641200</v>
      </c>
      <c r="AA422" s="31" t="n">
        <v>5073988400</v>
      </c>
      <c r="AB422" s="31" t="n">
        <v>8478780000</v>
      </c>
      <c r="AC422" s="36" t="n">
        <v>0.008111118534224263</v>
      </c>
      <c r="AD422" s="29" t="inlineStr">
        <is>
          <t>yfinance_download</t>
        </is>
      </c>
      <c r="AE422" s="29" t="inlineStr">
        <is>
          <t>317330.KQ</t>
        </is>
      </c>
    </row>
    <row r="423" ht="24" customHeight="1">
      <c r="A423" s="24" t="inlineStr">
        <is>
          <t>2025-03-05</t>
        </is>
      </c>
      <c r="B423" s="30" t="n">
        <v>30550</v>
      </c>
      <c r="C423" s="30" t="n">
        <v>31200</v>
      </c>
      <c r="D423" s="30" t="n">
        <v>29925</v>
      </c>
      <c r="E423" s="30" t="n">
        <v>30050</v>
      </c>
      <c r="F423" s="30" t="n">
        <v>30050</v>
      </c>
      <c r="G423" s="30" t="n">
        <v>146965</v>
      </c>
      <c r="H423" s="35" t="n">
        <v>-0.01636661211129298</v>
      </c>
      <c r="I423" s="35" t="n">
        <v>-0.510586319218241</v>
      </c>
      <c r="J423" s="30" t="n">
        <v>34642.5</v>
      </c>
      <c r="K423" s="30" t="n">
        <v>33165</v>
      </c>
      <c r="L423" s="30" t="n">
        <v>36085.41666666666</v>
      </c>
      <c r="M423" s="35" t="n">
        <v>0.6321381572863266</v>
      </c>
      <c r="N423" s="35" t="n">
        <v>0.7300530234939451</v>
      </c>
      <c r="O423" s="35" t="n">
        <v>-0.04299363057324845</v>
      </c>
      <c r="P423" s="35" t="n">
        <v>-0.04146730462519932</v>
      </c>
      <c r="Q423" s="35" t="n">
        <v>-0.3388338833883389</v>
      </c>
      <c r="R423" s="35" t="n">
        <v>-0.1325683769935773</v>
      </c>
      <c r="S423" s="35" t="n">
        <v>-0.09392431780491484</v>
      </c>
      <c r="T423" s="35" t="n">
        <v>-0.1672536227700478</v>
      </c>
      <c r="U423" s="30" t="n">
        <v>61400</v>
      </c>
      <c r="V423" s="30" t="n">
        <v>25300</v>
      </c>
      <c r="W423" s="35" t="n">
        <v>-0.510586319218241</v>
      </c>
      <c r="X423" s="35" t="n">
        <v>0.1877470355731226</v>
      </c>
      <c r="Y423" s="30" t="n">
        <v>20476584</v>
      </c>
      <c r="Z423" s="30" t="n">
        <v>615321349200</v>
      </c>
      <c r="AA423" s="30" t="n">
        <v>4416298250</v>
      </c>
      <c r="AB423" s="30" t="n">
        <v>8531099372.5</v>
      </c>
      <c r="AC423" s="35" t="n">
        <v>0.007177222528914002</v>
      </c>
      <c r="AD423" s="24" t="inlineStr">
        <is>
          <t>yfinance_download</t>
        </is>
      </c>
      <c r="AE423" s="24" t="inlineStr">
        <is>
          <t>317330.KQ</t>
        </is>
      </c>
    </row>
    <row r="424" ht="24" customHeight="1">
      <c r="A424" s="29" t="inlineStr">
        <is>
          <t>2025-03-06</t>
        </is>
      </c>
      <c r="B424" s="31" t="n">
        <v>29900</v>
      </c>
      <c r="C424" s="31" t="n">
        <v>30950</v>
      </c>
      <c r="D424" s="31" t="n">
        <v>28000</v>
      </c>
      <c r="E424" s="31" t="n">
        <v>28650</v>
      </c>
      <c r="F424" s="31" t="n">
        <v>28650</v>
      </c>
      <c r="G424" s="31" t="n">
        <v>440894</v>
      </c>
      <c r="H424" s="36" t="n">
        <v>-0.04658901830282858</v>
      </c>
      <c r="I424" s="36" t="n">
        <v>-0.5333876221498371</v>
      </c>
      <c r="J424" s="31" t="n">
        <v>34417.5</v>
      </c>
      <c r="K424" s="31" t="n">
        <v>33132.5</v>
      </c>
      <c r="L424" s="31" t="n">
        <v>35937.91666666666</v>
      </c>
      <c r="M424" s="36" t="n">
        <v>0.6134385028392231</v>
      </c>
      <c r="N424" s="36" t="n">
        <v>0.7347308218606194</v>
      </c>
      <c r="O424" s="36" t="n">
        <v>-0.1357466063348416</v>
      </c>
      <c r="P424" s="36" t="n">
        <v>-0.06372549019607843</v>
      </c>
      <c r="Q424" s="36" t="n">
        <v>-0.3818770226537217</v>
      </c>
      <c r="R424" s="36" t="n">
        <v>-0.1675746349967313</v>
      </c>
      <c r="S424" s="36" t="n">
        <v>-0.1352901229910209</v>
      </c>
      <c r="T424" s="36" t="n">
        <v>-0.202791851688676</v>
      </c>
      <c r="U424" s="31" t="n">
        <v>61400</v>
      </c>
      <c r="V424" s="31" t="n">
        <v>26050</v>
      </c>
      <c r="W424" s="36" t="n">
        <v>-0.5333876221498371</v>
      </c>
      <c r="X424" s="36" t="n">
        <v>0.0998080614203456</v>
      </c>
      <c r="Y424" s="31" t="n">
        <v>20476584</v>
      </c>
      <c r="Z424" s="31" t="n">
        <v>586654131600</v>
      </c>
      <c r="AA424" s="31" t="n">
        <v>12631613100</v>
      </c>
      <c r="AB424" s="31" t="n">
        <v>8708806802.5</v>
      </c>
      <c r="AC424" s="36" t="n">
        <v>0.02153161875047127</v>
      </c>
      <c r="AD424" s="29" t="inlineStr">
        <is>
          <t>yfinance_download</t>
        </is>
      </c>
      <c r="AE424" s="29" t="inlineStr">
        <is>
          <t>317330.KQ</t>
        </is>
      </c>
    </row>
    <row r="425" ht="24" customHeight="1">
      <c r="A425" s="24" t="inlineStr">
        <is>
          <t>2025-03-07</t>
        </is>
      </c>
      <c r="B425" s="30" t="n">
        <v>28600</v>
      </c>
      <c r="C425" s="30" t="n">
        <v>29900</v>
      </c>
      <c r="D425" s="30" t="n">
        <v>28000</v>
      </c>
      <c r="E425" s="30" t="n">
        <v>28700</v>
      </c>
      <c r="F425" s="30" t="n">
        <v>28700</v>
      </c>
      <c r="G425" s="30" t="n">
        <v>181807</v>
      </c>
      <c r="H425" s="35" t="n">
        <v>0.001745200698080263</v>
      </c>
      <c r="I425" s="35" t="n">
        <v>-0.5325732899022801</v>
      </c>
      <c r="J425" s="30" t="n">
        <v>34102.5</v>
      </c>
      <c r="K425" s="30" t="n">
        <v>33052.5</v>
      </c>
      <c r="L425" s="30" t="n">
        <v>35795</v>
      </c>
      <c r="M425" s="35" t="n">
        <v>0.5689318926578224</v>
      </c>
      <c r="N425" s="35" t="n">
        <v>0.7076862464611497</v>
      </c>
      <c r="O425" s="35" t="n">
        <v>-0.18</v>
      </c>
      <c r="P425" s="35" t="n">
        <v>-0.1432835820895523</v>
      </c>
      <c r="Q425" s="35" t="n">
        <v>-0.3740458015267175</v>
      </c>
      <c r="R425" s="35" t="n">
        <v>-0.1584194707132908</v>
      </c>
      <c r="S425" s="35" t="n">
        <v>-0.1316844414189547</v>
      </c>
      <c r="T425" s="35" t="n">
        <v>-0.1982120407878195</v>
      </c>
      <c r="U425" s="30" t="n">
        <v>61400</v>
      </c>
      <c r="V425" s="30" t="n">
        <v>26050</v>
      </c>
      <c r="W425" s="35" t="n">
        <v>-0.5325732899022801</v>
      </c>
      <c r="X425" s="35" t="n">
        <v>0.1017274472168905</v>
      </c>
      <c r="Y425" s="30" t="n">
        <v>20476584</v>
      </c>
      <c r="Z425" s="30" t="n">
        <v>587677960800</v>
      </c>
      <c r="AA425" s="30" t="n">
        <v>5217860900</v>
      </c>
      <c r="AB425" s="30" t="n">
        <v>8254977097.5</v>
      </c>
      <c r="AC425" s="35" t="n">
        <v>0.008878775873944599</v>
      </c>
      <c r="AD425" s="24" t="inlineStr">
        <is>
          <t>yfinance_download</t>
        </is>
      </c>
      <c r="AE425" s="24" t="inlineStr">
        <is>
          <t>317330.KQ</t>
        </is>
      </c>
    </row>
    <row r="426" ht="24" customHeight="1">
      <c r="A426" s="29" t="inlineStr">
        <is>
          <t>2025-03-10</t>
        </is>
      </c>
      <c r="B426" s="31" t="n">
        <v>28400</v>
      </c>
      <c r="C426" s="31" t="n">
        <v>28600</v>
      </c>
      <c r="D426" s="31" t="n">
        <v>26900</v>
      </c>
      <c r="E426" s="31" t="n">
        <v>27650</v>
      </c>
      <c r="F426" s="31" t="n">
        <v>27650</v>
      </c>
      <c r="G426" s="31" t="n">
        <v>298683</v>
      </c>
      <c r="H426" s="36" t="n">
        <v>-0.03658536585365857</v>
      </c>
      <c r="I426" s="36" t="n">
        <v>-0.5496742671009772</v>
      </c>
      <c r="J426" s="31" t="n">
        <v>33680</v>
      </c>
      <c r="K426" s="31" t="n">
        <v>32974.16666666666</v>
      </c>
      <c r="L426" s="31" t="n">
        <v>35650.83333333334</v>
      </c>
      <c r="M426" s="36" t="n">
        <v>0.5554651936829726</v>
      </c>
      <c r="N426" s="36" t="n">
        <v>0.7081469509113237</v>
      </c>
      <c r="O426" s="36" t="n">
        <v>-0.2340720221606648</v>
      </c>
      <c r="P426" s="36" t="n">
        <v>-0.1452859350850078</v>
      </c>
      <c r="Q426" s="36" t="n">
        <v>-0.3848720800889878</v>
      </c>
      <c r="R426" s="36" t="n">
        <v>-0.1790380047505938</v>
      </c>
      <c r="S426" s="36" t="n">
        <v>-0.161464783037226</v>
      </c>
      <c r="T426" s="36" t="n">
        <v>-0.224422056520418</v>
      </c>
      <c r="U426" s="31" t="n">
        <v>61400</v>
      </c>
      <c r="V426" s="31" t="n">
        <v>26050</v>
      </c>
      <c r="W426" s="36" t="n">
        <v>-0.5496742671009772</v>
      </c>
      <c r="X426" s="36" t="n">
        <v>0.06142034548944331</v>
      </c>
      <c r="Y426" s="31" t="n">
        <v>20476584</v>
      </c>
      <c r="Z426" s="31" t="n">
        <v>566177547600</v>
      </c>
      <c r="AA426" s="31" t="n">
        <v>8258584950</v>
      </c>
      <c r="AB426" s="31" t="n">
        <v>8117448130</v>
      </c>
      <c r="AC426" s="36" t="n">
        <v>0.01458656385264261</v>
      </c>
      <c r="AD426" s="29" t="inlineStr">
        <is>
          <t>yfinance_download</t>
        </is>
      </c>
      <c r="AE426" s="29" t="inlineStr">
        <is>
          <t>317330.KQ</t>
        </is>
      </c>
    </row>
    <row r="427" ht="24" customHeight="1">
      <c r="A427" s="24" t="inlineStr">
        <is>
          <t>2025-03-11</t>
        </is>
      </c>
      <c r="B427" s="30" t="n">
        <v>26550</v>
      </c>
      <c r="C427" s="30" t="n">
        <v>26950</v>
      </c>
      <c r="D427" s="30" t="n">
        <v>26050</v>
      </c>
      <c r="E427" s="30" t="n">
        <v>26900</v>
      </c>
      <c r="F427" s="30" t="n">
        <v>26900</v>
      </c>
      <c r="G427" s="30" t="n">
        <v>200278</v>
      </c>
      <c r="H427" s="35" t="n">
        <v>-0.02712477396021695</v>
      </c>
      <c r="I427" s="35" t="n">
        <v>-0.5618892508143323</v>
      </c>
      <c r="J427" s="30" t="n">
        <v>33250</v>
      </c>
      <c r="K427" s="30" t="n">
        <v>32904.16666666666</v>
      </c>
      <c r="L427" s="30" t="n">
        <v>35527.08333333334</v>
      </c>
      <c r="M427" s="35" t="n">
        <v>0.5577026113372708</v>
      </c>
      <c r="N427" s="35" t="n">
        <v>0.7059673295106711</v>
      </c>
      <c r="O427" s="35" t="n">
        <v>-0.2422535211267606</v>
      </c>
      <c r="P427" s="35" t="n">
        <v>-0.135048231511254</v>
      </c>
      <c r="Q427" s="35" t="n">
        <v>-0.355688622754491</v>
      </c>
      <c r="R427" s="35" t="n">
        <v>-0.1909774436090226</v>
      </c>
      <c r="S427" s="35" t="n">
        <v>-0.1824743573508927</v>
      </c>
      <c r="T427" s="35" t="n">
        <v>-0.2428311734005747</v>
      </c>
      <c r="U427" s="30" t="n">
        <v>61400</v>
      </c>
      <c r="V427" s="30" t="n">
        <v>26850</v>
      </c>
      <c r="W427" s="35" t="n">
        <v>-0.5618892508143323</v>
      </c>
      <c r="X427" s="35" t="n">
        <v>0.001862197392923592</v>
      </c>
      <c r="Y427" s="30" t="n">
        <v>20476584</v>
      </c>
      <c r="Z427" s="30" t="n">
        <v>550820109600</v>
      </c>
      <c r="AA427" s="30" t="n">
        <v>5387478200</v>
      </c>
      <c r="AB427" s="30" t="n">
        <v>7932207265</v>
      </c>
      <c r="AC427" s="35" t="n">
        <v>0.009780830630734112</v>
      </c>
      <c r="AD427" s="24" t="inlineStr">
        <is>
          <t>yfinance_download</t>
        </is>
      </c>
      <c r="AE427" s="24" t="inlineStr">
        <is>
          <t>317330.KQ</t>
        </is>
      </c>
    </row>
    <row r="428" ht="24" customHeight="1">
      <c r="A428" s="29" t="inlineStr">
        <is>
          <t>2025-03-12</t>
        </is>
      </c>
      <c r="B428" s="31" t="n">
        <v>27100</v>
      </c>
      <c r="C428" s="31" t="n">
        <v>27300</v>
      </c>
      <c r="D428" s="31" t="n">
        <v>26500</v>
      </c>
      <c r="E428" s="31" t="n">
        <v>26800</v>
      </c>
      <c r="F428" s="31" t="n">
        <v>26800</v>
      </c>
      <c r="G428" s="31" t="n">
        <v>127858</v>
      </c>
      <c r="H428" s="36" t="n">
        <v>-0.00371747211895912</v>
      </c>
      <c r="I428" s="36" t="n">
        <v>-0.5635179153094463</v>
      </c>
      <c r="J428" s="31" t="n">
        <v>32860</v>
      </c>
      <c r="K428" s="31" t="n">
        <v>32820.83333333334</v>
      </c>
      <c r="L428" s="31" t="n">
        <v>35401.66666666666</v>
      </c>
      <c r="M428" s="36" t="n">
        <v>0.5567350508472896</v>
      </c>
      <c r="N428" s="36" t="n">
        <v>0.7042093344841048</v>
      </c>
      <c r="O428" s="36" t="n">
        <v>-0.2254335260115607</v>
      </c>
      <c r="P428" s="36" t="n">
        <v>-0.1572327044025157</v>
      </c>
      <c r="Q428" s="36" t="n">
        <v>-0.3596176821983273</v>
      </c>
      <c r="R428" s="36" t="n">
        <v>-0.184418746195983</v>
      </c>
      <c r="S428" s="36" t="n">
        <v>-0.1834454741652914</v>
      </c>
      <c r="T428" s="36" t="n">
        <v>-0.2429734946565604</v>
      </c>
      <c r="U428" s="31" t="n">
        <v>61400</v>
      </c>
      <c r="V428" s="31" t="n">
        <v>26800</v>
      </c>
      <c r="W428" s="36" t="n">
        <v>-0.5635179153094463</v>
      </c>
      <c r="X428" s="36" t="n">
        <v>0</v>
      </c>
      <c r="Y428" s="31" t="n">
        <v>20476584</v>
      </c>
      <c r="Z428" s="31" t="n">
        <v>548772451200</v>
      </c>
      <c r="AA428" s="31" t="n">
        <v>3426594400</v>
      </c>
      <c r="AB428" s="31" t="n">
        <v>7866097945</v>
      </c>
      <c r="AC428" s="36" t="n">
        <v>0.006244107903935539</v>
      </c>
      <c r="AD428" s="29" t="inlineStr">
        <is>
          <t>yfinance_download</t>
        </is>
      </c>
      <c r="AE428" s="29" t="inlineStr">
        <is>
          <t>317330.KQ</t>
        </is>
      </c>
    </row>
    <row r="429" ht="24" customHeight="1">
      <c r="A429" s="24" t="inlineStr">
        <is>
          <t>2025-03-13</t>
        </is>
      </c>
      <c r="B429" s="30" t="n">
        <v>27100</v>
      </c>
      <c r="C429" s="30" t="n">
        <v>27750</v>
      </c>
      <c r="D429" s="30" t="n">
        <v>26100</v>
      </c>
      <c r="E429" s="30" t="n">
        <v>26100</v>
      </c>
      <c r="F429" s="30" t="n">
        <v>26100</v>
      </c>
      <c r="G429" s="30" t="n">
        <v>178600</v>
      </c>
      <c r="H429" s="35" t="n">
        <v>-0.02611940298507465</v>
      </c>
      <c r="I429" s="35" t="n">
        <v>-0.5749185667752443</v>
      </c>
      <c r="J429" s="30" t="n">
        <v>32435</v>
      </c>
      <c r="K429" s="30" t="n">
        <v>32792.5</v>
      </c>
      <c r="L429" s="30" t="n">
        <v>35292.08333333334</v>
      </c>
      <c r="M429" s="35" t="n">
        <v>0.5569165337650814</v>
      </c>
      <c r="N429" s="35" t="n">
        <v>0.6573786035023323</v>
      </c>
      <c r="O429" s="35" t="n">
        <v>-0.2456647398843931</v>
      </c>
      <c r="P429" s="35" t="n">
        <v>-0.0611510791366906</v>
      </c>
      <c r="Q429" s="35" t="n">
        <v>-0.335031847133758</v>
      </c>
      <c r="R429" s="35" t="n">
        <v>-0.1953137043317404</v>
      </c>
      <c r="S429" s="35" t="n">
        <v>-0.2040863002210871</v>
      </c>
      <c r="T429" s="35" t="n">
        <v>-0.2604573735847275</v>
      </c>
      <c r="U429" s="30" t="n">
        <v>61400</v>
      </c>
      <c r="V429" s="30" t="n">
        <v>26100</v>
      </c>
      <c r="W429" s="35" t="n">
        <v>-0.5749185667752443</v>
      </c>
      <c r="X429" s="35" t="n">
        <v>0</v>
      </c>
      <c r="Y429" s="30" t="n">
        <v>20476584</v>
      </c>
      <c r="Z429" s="30" t="n">
        <v>534438842400</v>
      </c>
      <c r="AA429" s="30" t="n">
        <v>4661460000</v>
      </c>
      <c r="AB429" s="30" t="n">
        <v>7865373555</v>
      </c>
      <c r="AC429" s="35" t="n">
        <v>0.008722157953689932</v>
      </c>
      <c r="AD429" s="24" t="inlineStr">
        <is>
          <t>yfinance_download</t>
        </is>
      </c>
      <c r="AE429" s="24" t="inlineStr">
        <is>
          <t>317330.KQ</t>
        </is>
      </c>
    </row>
    <row r="430" ht="24" customHeight="1">
      <c r="A430" s="29" t="inlineStr">
        <is>
          <t>2025-03-14</t>
        </is>
      </c>
      <c r="B430" s="31" t="n">
        <v>26050</v>
      </c>
      <c r="C430" s="31" t="n">
        <v>26650</v>
      </c>
      <c r="D430" s="31" t="n">
        <v>25150</v>
      </c>
      <c r="E430" s="31" t="n">
        <v>25250</v>
      </c>
      <c r="F430" s="31" t="n">
        <v>25250</v>
      </c>
      <c r="G430" s="31" t="n">
        <v>226009</v>
      </c>
      <c r="H430" s="36" t="n">
        <v>-0.03256704980842917</v>
      </c>
      <c r="I430" s="36" t="n">
        <v>-0.5887622149837133</v>
      </c>
      <c r="J430" s="31" t="n">
        <v>31892.5</v>
      </c>
      <c r="K430" s="31" t="n">
        <v>32715</v>
      </c>
      <c r="L430" s="31" t="n">
        <v>35182.91666666666</v>
      </c>
      <c r="M430" s="36" t="n">
        <v>0.5181170584442596</v>
      </c>
      <c r="N430" s="36" t="n">
        <v>0.6412969206608355</v>
      </c>
      <c r="O430" s="36" t="n">
        <v>-0.3005540166204986</v>
      </c>
      <c r="P430" s="36" t="n">
        <v>-0.1555183946488294</v>
      </c>
      <c r="Q430" s="36" t="n">
        <v>-0.3415906127770535</v>
      </c>
      <c r="R430" s="36" t="n">
        <v>-0.2082778082621306</v>
      </c>
      <c r="S430" s="36" t="n">
        <v>-0.2281827907687605</v>
      </c>
      <c r="T430" s="36" t="n">
        <v>-0.2823221497175475</v>
      </c>
      <c r="U430" s="31" t="n">
        <v>61400</v>
      </c>
      <c r="V430" s="31" t="n">
        <v>25250</v>
      </c>
      <c r="W430" s="36" t="n">
        <v>-0.5887622149837133</v>
      </c>
      <c r="X430" s="36" t="n">
        <v>0</v>
      </c>
      <c r="Y430" s="31" t="n">
        <v>20476584</v>
      </c>
      <c r="Z430" s="31" t="n">
        <v>517033746000</v>
      </c>
      <c r="AA430" s="31" t="n">
        <v>5706727250</v>
      </c>
      <c r="AB430" s="31" t="n">
        <v>7771984817.5</v>
      </c>
      <c r="AC430" s="36" t="n">
        <v>0.01103743671307675</v>
      </c>
      <c r="AD430" s="29" t="inlineStr">
        <is>
          <t>yfinance_download</t>
        </is>
      </c>
      <c r="AE430" s="29" t="inlineStr">
        <is>
          <t>317330.KQ</t>
        </is>
      </c>
    </row>
    <row r="431" ht="24" customHeight="1">
      <c r="A431" s="24" t="inlineStr">
        <is>
          <t>2025-03-17</t>
        </is>
      </c>
      <c r="B431" s="30" t="n">
        <v>25900</v>
      </c>
      <c r="C431" s="30" t="n">
        <v>27300</v>
      </c>
      <c r="D431" s="30" t="n">
        <v>25450</v>
      </c>
      <c r="E431" s="30" t="n">
        <v>26250</v>
      </c>
      <c r="F431" s="30" t="n">
        <v>26250</v>
      </c>
      <c r="G431" s="30" t="n">
        <v>323352</v>
      </c>
      <c r="H431" s="35" t="n">
        <v>0.03960396039603964</v>
      </c>
      <c r="I431" s="35" t="n">
        <v>-0.5724755700325732</v>
      </c>
      <c r="J431" s="30" t="n">
        <v>31475</v>
      </c>
      <c r="K431" s="30" t="n">
        <v>32642.5</v>
      </c>
      <c r="L431" s="30" t="n">
        <v>35083.33333333334</v>
      </c>
      <c r="M431" s="35" t="n">
        <v>0.5468504394305164</v>
      </c>
      <c r="N431" s="35" t="n">
        <v>0.6448892101380197</v>
      </c>
      <c r="O431" s="35" t="n">
        <v>-0.2413294797687862</v>
      </c>
      <c r="P431" s="35" t="n">
        <v>-0.1421568627450981</v>
      </c>
      <c r="Q431" s="35" t="n">
        <v>-0.31282722513089</v>
      </c>
      <c r="R431" s="35" t="n">
        <v>-0.1660047656870532</v>
      </c>
      <c r="S431" s="35" t="n">
        <v>-0.1958336524469633</v>
      </c>
      <c r="T431" s="35" t="n">
        <v>-0.2517814726840856</v>
      </c>
      <c r="U431" s="30" t="n">
        <v>61400</v>
      </c>
      <c r="V431" s="30" t="n">
        <v>25250</v>
      </c>
      <c r="W431" s="35" t="n">
        <v>-0.5724755700325732</v>
      </c>
      <c r="X431" s="35" t="n">
        <v>0.03960396039603964</v>
      </c>
      <c r="Y431" s="30" t="n">
        <v>20476584</v>
      </c>
      <c r="Z431" s="30" t="n">
        <v>537510330000</v>
      </c>
      <c r="AA431" s="30" t="n">
        <v>8487990000</v>
      </c>
      <c r="AB431" s="30" t="n">
        <v>7977771137.5</v>
      </c>
      <c r="AC431" s="35" t="n">
        <v>0.01579130581546219</v>
      </c>
      <c r="AD431" s="24" t="inlineStr">
        <is>
          <t>yfinance_download</t>
        </is>
      </c>
      <c r="AE431" s="24" t="inlineStr">
        <is>
          <t>317330.KQ</t>
        </is>
      </c>
    </row>
    <row r="432" ht="24" customHeight="1">
      <c r="A432" s="29" t="inlineStr">
        <is>
          <t>2025-03-18</t>
        </is>
      </c>
      <c r="B432" s="31" t="n">
        <v>26300</v>
      </c>
      <c r="C432" s="31" t="n">
        <v>26750</v>
      </c>
      <c r="D432" s="31" t="n">
        <v>25600</v>
      </c>
      <c r="E432" s="31" t="n">
        <v>25600</v>
      </c>
      <c r="F432" s="31" t="n">
        <v>25600</v>
      </c>
      <c r="G432" s="31" t="n">
        <v>141553</v>
      </c>
      <c r="H432" s="36" t="n">
        <v>-0.02476190476190476</v>
      </c>
      <c r="I432" s="36" t="n">
        <v>-0.5830618892508144</v>
      </c>
      <c r="J432" s="31" t="n">
        <v>31000</v>
      </c>
      <c r="K432" s="31" t="n">
        <v>32479.16666666667</v>
      </c>
      <c r="L432" s="31" t="n">
        <v>34970</v>
      </c>
      <c r="M432" s="36" t="n">
        <v>0.5382383383455135</v>
      </c>
      <c r="N432" s="36" t="n">
        <v>0.5552707365323589</v>
      </c>
      <c r="O432" s="36" t="n">
        <v>-0.2706552706552706</v>
      </c>
      <c r="P432" s="36" t="n">
        <v>-0.2768361581920904</v>
      </c>
      <c r="Q432" s="36" t="n">
        <v>-0.3469387755102041</v>
      </c>
      <c r="R432" s="36" t="n">
        <v>-0.1741935483870968</v>
      </c>
      <c r="S432" s="36" t="n">
        <v>-0.2118024374599102</v>
      </c>
      <c r="T432" s="36" t="n">
        <v>-0.2679439519588218</v>
      </c>
      <c r="U432" s="31" t="n">
        <v>61400</v>
      </c>
      <c r="V432" s="31" t="n">
        <v>25250</v>
      </c>
      <c r="W432" s="36" t="n">
        <v>-0.5830618892508144</v>
      </c>
      <c r="X432" s="36" t="n">
        <v>0.01386138613861387</v>
      </c>
      <c r="Y432" s="31" t="n">
        <v>20476584</v>
      </c>
      <c r="Z432" s="31" t="n">
        <v>524200550400</v>
      </c>
      <c r="AA432" s="31" t="n">
        <v>3623756800</v>
      </c>
      <c r="AB432" s="31" t="n">
        <v>7793245057.5</v>
      </c>
      <c r="AC432" s="36" t="n">
        <v>0.006912920631683488</v>
      </c>
      <c r="AD432" s="29" t="inlineStr">
        <is>
          <t>yfinance_download</t>
        </is>
      </c>
      <c r="AE432" s="29" t="inlineStr">
        <is>
          <t>317330.KQ</t>
        </is>
      </c>
    </row>
    <row r="433" ht="24" customHeight="1">
      <c r="A433" s="24" t="inlineStr">
        <is>
          <t>2025-03-19</t>
        </is>
      </c>
      <c r="B433" s="30" t="n">
        <v>25400</v>
      </c>
      <c r="C433" s="30" t="n">
        <v>25750</v>
      </c>
      <c r="D433" s="30" t="n">
        <v>24600</v>
      </c>
      <c r="E433" s="30" t="n">
        <v>24850</v>
      </c>
      <c r="F433" s="30" t="n">
        <v>24850</v>
      </c>
      <c r="G433" s="30" t="n">
        <v>265289</v>
      </c>
      <c r="H433" s="35" t="n">
        <v>-0.029296875</v>
      </c>
      <c r="I433" s="35" t="n">
        <v>-0.5952768729641693</v>
      </c>
      <c r="J433" s="30" t="n">
        <v>30540</v>
      </c>
      <c r="K433" s="30" t="n">
        <v>32342.5</v>
      </c>
      <c r="L433" s="30" t="n">
        <v>34838.33333333334</v>
      </c>
      <c r="M433" s="35" t="n">
        <v>0.5380175814460542</v>
      </c>
      <c r="N433" s="35" t="n">
        <v>0.5427593921558607</v>
      </c>
      <c r="O433" s="35" t="n">
        <v>-0.2701908957415565</v>
      </c>
      <c r="P433" s="35" t="n">
        <v>-0.2481089258698941</v>
      </c>
      <c r="Q433" s="35" t="n">
        <v>-0.3886838868388683</v>
      </c>
      <c r="R433" s="35" t="n">
        <v>-0.1863130320890635</v>
      </c>
      <c r="S433" s="35" t="n">
        <v>-0.2316611270000773</v>
      </c>
      <c r="T433" s="35" t="n">
        <v>-0.2867052576185237</v>
      </c>
      <c r="U433" s="30" t="n">
        <v>61400</v>
      </c>
      <c r="V433" s="30" t="n">
        <v>24850</v>
      </c>
      <c r="W433" s="35" t="n">
        <v>-0.5952768729641693</v>
      </c>
      <c r="X433" s="35" t="n">
        <v>0</v>
      </c>
      <c r="Y433" s="30" t="n">
        <v>20476584</v>
      </c>
      <c r="Z433" s="30" t="n">
        <v>508843112400</v>
      </c>
      <c r="AA433" s="30" t="n">
        <v>6592431650</v>
      </c>
      <c r="AB433" s="30" t="n">
        <v>7875251635</v>
      </c>
      <c r="AC433" s="35" t="n">
        <v>0.01295572542763969</v>
      </c>
      <c r="AD433" s="24" t="inlineStr">
        <is>
          <t>yfinance_download</t>
        </is>
      </c>
      <c r="AE433" s="24" t="inlineStr">
        <is>
          <t>317330.KQ</t>
        </is>
      </c>
    </row>
    <row r="434" ht="24" customHeight="1">
      <c r="A434" s="29" t="inlineStr">
        <is>
          <t>2025-03-20</t>
        </is>
      </c>
      <c r="B434" s="31" t="n">
        <v>25150</v>
      </c>
      <c r="C434" s="31" t="n">
        <v>25450</v>
      </c>
      <c r="D434" s="31" t="n">
        <v>23800</v>
      </c>
      <c r="E434" s="31" t="n">
        <v>24150</v>
      </c>
      <c r="F434" s="31" t="n">
        <v>24150</v>
      </c>
      <c r="G434" s="31" t="n">
        <v>234411</v>
      </c>
      <c r="H434" s="36" t="n">
        <v>-0.028169014084507</v>
      </c>
      <c r="I434" s="36" t="n">
        <v>-0.6066775244299674</v>
      </c>
      <c r="J434" s="31" t="n">
        <v>29892.5</v>
      </c>
      <c r="K434" s="31" t="n">
        <v>32190</v>
      </c>
      <c r="L434" s="31" t="n">
        <v>34700.41666666666</v>
      </c>
      <c r="M434" s="36" t="n">
        <v>0.3704712101751255</v>
      </c>
      <c r="N434" s="36" t="n">
        <v>0.5443978935074363</v>
      </c>
      <c r="O434" s="36" t="n">
        <v>-0.3490566037735849</v>
      </c>
      <c r="P434" s="36" t="n">
        <v>-0.2747747747747747</v>
      </c>
      <c r="Q434" s="36" t="n">
        <v>-0.4066339066339066</v>
      </c>
      <c r="R434" s="36" t="n">
        <v>-0.1921050430710044</v>
      </c>
      <c r="S434" s="36" t="n">
        <v>-0.2497670083876981</v>
      </c>
      <c r="T434" s="36" t="n">
        <v>-0.3040429389656704</v>
      </c>
      <c r="U434" s="31" t="n">
        <v>61400</v>
      </c>
      <c r="V434" s="31" t="n">
        <v>24150</v>
      </c>
      <c r="W434" s="36" t="n">
        <v>-0.6066775244299674</v>
      </c>
      <c r="X434" s="36" t="n">
        <v>0</v>
      </c>
      <c r="Y434" s="31" t="n">
        <v>20476584</v>
      </c>
      <c r="Z434" s="31" t="n">
        <v>494509503600</v>
      </c>
      <c r="AA434" s="31" t="n">
        <v>5661025650</v>
      </c>
      <c r="AB434" s="31" t="n">
        <v>6988207872.5</v>
      </c>
      <c r="AC434" s="36" t="n">
        <v>0.01144775905981193</v>
      </c>
      <c r="AD434" s="29" t="inlineStr">
        <is>
          <t>yfinance_download</t>
        </is>
      </c>
      <c r="AE434" s="29" t="inlineStr">
        <is>
          <t>317330.KQ</t>
        </is>
      </c>
    </row>
    <row r="435" ht="24" customHeight="1">
      <c r="A435" s="24" t="inlineStr">
        <is>
          <t>2025-03-21</t>
        </is>
      </c>
      <c r="B435" s="30" t="n">
        <v>23800</v>
      </c>
      <c r="C435" s="30" t="n">
        <v>25650</v>
      </c>
      <c r="D435" s="30" t="n">
        <v>23500</v>
      </c>
      <c r="E435" s="30" t="n">
        <v>24800</v>
      </c>
      <c r="F435" s="30" t="n">
        <v>24800</v>
      </c>
      <c r="G435" s="30" t="n">
        <v>259427</v>
      </c>
      <c r="H435" s="35" t="n">
        <v>0.0269151138716357</v>
      </c>
      <c r="I435" s="35" t="n">
        <v>-0.5960912052117264</v>
      </c>
      <c r="J435" s="30" t="n">
        <v>29275</v>
      </c>
      <c r="K435" s="30" t="n">
        <v>32070.83333333333</v>
      </c>
      <c r="L435" s="30" t="n">
        <v>34569.58333333334</v>
      </c>
      <c r="M435" s="35" t="n">
        <v>0.4007813125211343</v>
      </c>
      <c r="N435" s="35" t="n">
        <v>0.5430146506754568</v>
      </c>
      <c r="O435" s="35" t="n">
        <v>-0.3324360699865411</v>
      </c>
      <c r="P435" s="35" t="n">
        <v>-0.2237871674491393</v>
      </c>
      <c r="Q435" s="35" t="n">
        <v>-0.3876543209876543</v>
      </c>
      <c r="R435" s="35" t="n">
        <v>-0.1528608027327071</v>
      </c>
      <c r="S435" s="35" t="n">
        <v>-0.2267117058594257</v>
      </c>
      <c r="T435" s="35" t="n">
        <v>-0.2826063374594718</v>
      </c>
      <c r="U435" s="30" t="n">
        <v>61400</v>
      </c>
      <c r="V435" s="30" t="n">
        <v>24150</v>
      </c>
      <c r="W435" s="35" t="n">
        <v>-0.5960912052117264</v>
      </c>
      <c r="X435" s="35" t="n">
        <v>0.0269151138716357</v>
      </c>
      <c r="Y435" s="30" t="n">
        <v>20476584</v>
      </c>
      <c r="Z435" s="30" t="n">
        <v>507819283200</v>
      </c>
      <c r="AA435" s="30" t="n">
        <v>6433789600</v>
      </c>
      <c r="AB435" s="30" t="n">
        <v>6485223077.5</v>
      </c>
      <c r="AC435" s="35" t="n">
        <v>0.01266944720857737</v>
      </c>
      <c r="AD435" s="24" t="inlineStr">
        <is>
          <t>yfinance_download</t>
        </is>
      </c>
      <c r="AE435" s="24" t="inlineStr">
        <is>
          <t>317330.KQ</t>
        </is>
      </c>
    </row>
    <row r="436" ht="24" customHeight="1">
      <c r="A436" s="29" t="inlineStr">
        <is>
          <t>2025-03-24</t>
        </is>
      </c>
      <c r="B436" s="31" t="n">
        <v>24800</v>
      </c>
      <c r="C436" s="31" t="n">
        <v>24850</v>
      </c>
      <c r="D436" s="31" t="n">
        <v>23350</v>
      </c>
      <c r="E436" s="31" t="n">
        <v>23400</v>
      </c>
      <c r="F436" s="31" t="n">
        <v>23400</v>
      </c>
      <c r="G436" s="31" t="n">
        <v>171428</v>
      </c>
      <c r="H436" s="36" t="n">
        <v>-0.05645161290322576</v>
      </c>
      <c r="I436" s="36" t="n">
        <v>-0.6188925081433225</v>
      </c>
      <c r="J436" s="31" t="n">
        <v>28565</v>
      </c>
      <c r="K436" s="31" t="n">
        <v>31920</v>
      </c>
      <c r="L436" s="31" t="n">
        <v>34410.41666666666</v>
      </c>
      <c r="M436" s="36" t="n">
        <v>0.4024962393195639</v>
      </c>
      <c r="N436" s="36" t="n">
        <v>0.552103320666444</v>
      </c>
      <c r="O436" s="36" t="n">
        <v>-0.3776595744680851</v>
      </c>
      <c r="P436" s="36" t="n">
        <v>-0.2788906009244992</v>
      </c>
      <c r="Q436" s="36" t="n">
        <v>-0.4494117647058824</v>
      </c>
      <c r="R436" s="36" t="n">
        <v>-0.180815683528794</v>
      </c>
      <c r="S436" s="36" t="n">
        <v>-0.2669172932330827</v>
      </c>
      <c r="T436" s="36" t="n">
        <v>-0.3199733607798025</v>
      </c>
      <c r="U436" s="31" t="n">
        <v>61400</v>
      </c>
      <c r="V436" s="31" t="n">
        <v>23400</v>
      </c>
      <c r="W436" s="36" t="n">
        <v>-0.6188925081433225</v>
      </c>
      <c r="X436" s="36" t="n">
        <v>0</v>
      </c>
      <c r="Y436" s="31" t="n">
        <v>20476584</v>
      </c>
      <c r="Z436" s="31" t="n">
        <v>479152065600</v>
      </c>
      <c r="AA436" s="31" t="n">
        <v>4011415200</v>
      </c>
      <c r="AB436" s="31" t="n">
        <v>6189001957.5</v>
      </c>
      <c r="AC436" s="36" t="n">
        <v>0.008371904219961689</v>
      </c>
      <c r="AD436" s="29" t="inlineStr">
        <is>
          <t>yfinance_download</t>
        </is>
      </c>
      <c r="AE436" s="29" t="inlineStr">
        <is>
          <t>317330.KQ</t>
        </is>
      </c>
    </row>
    <row r="437" ht="24" customHeight="1">
      <c r="A437" s="24" t="inlineStr">
        <is>
          <t>2025-03-25</t>
        </is>
      </c>
      <c r="B437" s="30" t="n">
        <v>23450</v>
      </c>
      <c r="C437" s="30" t="n">
        <v>23800</v>
      </c>
      <c r="D437" s="30" t="n">
        <v>22000</v>
      </c>
      <c r="E437" s="30" t="n">
        <v>22100</v>
      </c>
      <c r="F437" s="30" t="n">
        <v>22100</v>
      </c>
      <c r="G437" s="30" t="n">
        <v>165134</v>
      </c>
      <c r="H437" s="35" t="n">
        <v>-0.05555555555555558</v>
      </c>
      <c r="I437" s="35" t="n">
        <v>-0.6400651465798046</v>
      </c>
      <c r="J437" s="30" t="n">
        <v>27827.5</v>
      </c>
      <c r="K437" s="30" t="n">
        <v>31764.16666666667</v>
      </c>
      <c r="L437" s="30" t="n">
        <v>34232.91666666666</v>
      </c>
      <c r="M437" s="35" t="n">
        <v>0.418302354563439</v>
      </c>
      <c r="N437" s="35" t="n">
        <v>0.5593547574219536</v>
      </c>
      <c r="O437" s="35" t="n">
        <v>-0.4002713704206241</v>
      </c>
      <c r="P437" s="35" t="n">
        <v>-0.2972972972972973</v>
      </c>
      <c r="Q437" s="35" t="n">
        <v>-0.4907834101382489</v>
      </c>
      <c r="R437" s="35" t="n">
        <v>-0.2058215793729224</v>
      </c>
      <c r="S437" s="35" t="n">
        <v>-0.3042474486449616</v>
      </c>
      <c r="T437" s="35" t="n">
        <v>-0.3544225221825971</v>
      </c>
      <c r="U437" s="30" t="n">
        <v>61400</v>
      </c>
      <c r="V437" s="30" t="n">
        <v>22100</v>
      </c>
      <c r="W437" s="35" t="n">
        <v>-0.6400651465798046</v>
      </c>
      <c r="X437" s="35" t="n">
        <v>0</v>
      </c>
      <c r="Y437" s="30" t="n">
        <v>20476584</v>
      </c>
      <c r="Z437" s="30" t="n">
        <v>452532506400</v>
      </c>
      <c r="AA437" s="30" t="n">
        <v>3649461400</v>
      </c>
      <c r="AB437" s="30" t="n">
        <v>6027894840</v>
      </c>
      <c r="AC437" s="35" t="n">
        <v>0.008064528731940836</v>
      </c>
      <c r="AD437" s="24" t="inlineStr">
        <is>
          <t>yfinance_download</t>
        </is>
      </c>
      <c r="AE437" s="24" t="inlineStr">
        <is>
          <t>317330.KQ</t>
        </is>
      </c>
    </row>
    <row r="438" ht="24" customHeight="1">
      <c r="A438" s="29" t="inlineStr">
        <is>
          <t>2025-03-26</t>
        </is>
      </c>
      <c r="B438" s="31" t="n">
        <v>22050</v>
      </c>
      <c r="C438" s="31" t="n">
        <v>22650</v>
      </c>
      <c r="D438" s="31" t="n">
        <v>21300</v>
      </c>
      <c r="E438" s="31" t="n">
        <v>22600</v>
      </c>
      <c r="F438" s="31" t="n">
        <v>22600</v>
      </c>
      <c r="G438" s="31" t="n">
        <v>163168</v>
      </c>
      <c r="H438" s="36" t="n">
        <v>0.02262443438914019</v>
      </c>
      <c r="I438" s="36" t="n">
        <v>-0.6319218241042346</v>
      </c>
      <c r="J438" s="31" t="n">
        <v>27220</v>
      </c>
      <c r="K438" s="31" t="n">
        <v>31637.5</v>
      </c>
      <c r="L438" s="31" t="n">
        <v>34050.83333333334</v>
      </c>
      <c r="M438" s="36" t="n">
        <v>0.4325354889263588</v>
      </c>
      <c r="N438" s="36" t="n">
        <v>0.5575295907045935</v>
      </c>
      <c r="O438" s="36" t="n">
        <v>-0.3496402877697842</v>
      </c>
      <c r="P438" s="36" t="n">
        <v>-0.2516556291390728</v>
      </c>
      <c r="Q438" s="36" t="n">
        <v>-0.4915635545556806</v>
      </c>
      <c r="R438" s="36" t="n">
        <v>-0.1697281410727406</v>
      </c>
      <c r="S438" s="36" t="n">
        <v>-0.2856578427499012</v>
      </c>
      <c r="T438" s="36" t="n">
        <v>-0.3362864344974426</v>
      </c>
      <c r="U438" s="31" t="n">
        <v>61400</v>
      </c>
      <c r="V438" s="31" t="n">
        <v>22100</v>
      </c>
      <c r="W438" s="36" t="n">
        <v>-0.6319218241042346</v>
      </c>
      <c r="X438" s="36" t="n">
        <v>0.02262443438914019</v>
      </c>
      <c r="Y438" s="31" t="n">
        <v>20476584</v>
      </c>
      <c r="Z438" s="31" t="n">
        <v>462770798400</v>
      </c>
      <c r="AA438" s="31" t="n">
        <v>3687596800</v>
      </c>
      <c r="AB438" s="31" t="n">
        <v>5835384867.5</v>
      </c>
      <c r="AC438" s="36" t="n">
        <v>0.007968516623671214</v>
      </c>
      <c r="AD438" s="29" t="inlineStr">
        <is>
          <t>yfinance_download</t>
        </is>
      </c>
      <c r="AE438" s="29" t="inlineStr">
        <is>
          <t>317330.KQ</t>
        </is>
      </c>
    </row>
    <row r="439" ht="24" customHeight="1">
      <c r="A439" s="24" t="inlineStr">
        <is>
          <t>2025-03-27</t>
        </is>
      </c>
      <c r="B439" s="30" t="n">
        <v>22150</v>
      </c>
      <c r="C439" s="30" t="n">
        <v>22500</v>
      </c>
      <c r="D439" s="30" t="n">
        <v>21550</v>
      </c>
      <c r="E439" s="30" t="n">
        <v>21550</v>
      </c>
      <c r="F439" s="30" t="n">
        <v>21550</v>
      </c>
      <c r="G439" s="30" t="n">
        <v>67844</v>
      </c>
      <c r="H439" s="35" t="n">
        <v>-0.04646017699115046</v>
      </c>
      <c r="I439" s="35" t="n">
        <v>-0.6490228013029316</v>
      </c>
      <c r="J439" s="30" t="n">
        <v>26600</v>
      </c>
      <c r="K439" s="30" t="n">
        <v>31478.33333333333</v>
      </c>
      <c r="L439" s="30" t="n">
        <v>33871.25</v>
      </c>
      <c r="M439" s="35" t="n">
        <v>0.4419411827583535</v>
      </c>
      <c r="N439" s="35" t="n">
        <v>0.5595585412860639</v>
      </c>
      <c r="O439" s="35" t="n">
        <v>-0.3652430044182622</v>
      </c>
      <c r="P439" s="35" t="n">
        <v>-0.3070739549839229</v>
      </c>
      <c r="Q439" s="35" t="n">
        <v>-0.5</v>
      </c>
      <c r="R439" s="35" t="n">
        <v>-0.1898496240601504</v>
      </c>
      <c r="S439" s="35" t="n">
        <v>-0.3154021284481389</v>
      </c>
      <c r="T439" s="35" t="n">
        <v>-0.3637672067018489</v>
      </c>
      <c r="U439" s="30" t="n">
        <v>61400</v>
      </c>
      <c r="V439" s="30" t="n">
        <v>21550</v>
      </c>
      <c r="W439" s="35" t="n">
        <v>-0.6490228013029316</v>
      </c>
      <c r="X439" s="35" t="n">
        <v>0</v>
      </c>
      <c r="Y439" s="30" t="n">
        <v>20476584</v>
      </c>
      <c r="Z439" s="30" t="n">
        <v>441270385200</v>
      </c>
      <c r="AA439" s="30" t="n">
        <v>1462038200</v>
      </c>
      <c r="AB439" s="30" t="n">
        <v>5506279430</v>
      </c>
      <c r="AC439" s="35" t="n">
        <v>0.003313247951904478</v>
      </c>
      <c r="AD439" s="24" t="inlineStr">
        <is>
          <t>yfinance_download</t>
        </is>
      </c>
      <c r="AE439" s="24" t="inlineStr">
        <is>
          <t>317330.KQ</t>
        </is>
      </c>
    </row>
    <row r="440" ht="24" customHeight="1">
      <c r="A440" s="29" t="inlineStr">
        <is>
          <t>2025-03-28</t>
        </is>
      </c>
      <c r="B440" s="31" t="n">
        <v>21350</v>
      </c>
      <c r="C440" s="31" t="n">
        <v>21600</v>
      </c>
      <c r="D440" s="31" t="n">
        <v>20350</v>
      </c>
      <c r="E440" s="31" t="n">
        <v>21550</v>
      </c>
      <c r="F440" s="31" t="n">
        <v>21550</v>
      </c>
      <c r="G440" s="31" t="n">
        <v>156738</v>
      </c>
      <c r="H440" s="36" t="n">
        <v>0</v>
      </c>
      <c r="I440" s="36" t="n">
        <v>-0.6490228013029316</v>
      </c>
      <c r="J440" s="31" t="n">
        <v>26000</v>
      </c>
      <c r="K440" s="31" t="n">
        <v>31326.66666666667</v>
      </c>
      <c r="L440" s="31" t="n">
        <v>33675</v>
      </c>
      <c r="M440" s="36" t="n">
        <v>0.4475322352576991</v>
      </c>
      <c r="N440" s="36" t="n">
        <v>0.5593520184303246</v>
      </c>
      <c r="O440" s="36" t="n">
        <v>-0.3576751117734724</v>
      </c>
      <c r="P440" s="36" t="n">
        <v>-0.2969004893964111</v>
      </c>
      <c r="Q440" s="36" t="n">
        <v>-0.5221729490022173</v>
      </c>
      <c r="R440" s="36" t="n">
        <v>-0.1711538461538461</v>
      </c>
      <c r="S440" s="36" t="n">
        <v>-0.3120876782294105</v>
      </c>
      <c r="T440" s="36" t="n">
        <v>-0.3600593912397921</v>
      </c>
      <c r="U440" s="31" t="n">
        <v>61400</v>
      </c>
      <c r="V440" s="31" t="n">
        <v>21550</v>
      </c>
      <c r="W440" s="36" t="n">
        <v>-0.6490228013029316</v>
      </c>
      <c r="X440" s="36" t="n">
        <v>0</v>
      </c>
      <c r="Y440" s="31" t="n">
        <v>20476584</v>
      </c>
      <c r="Z440" s="31" t="n">
        <v>441270385200</v>
      </c>
      <c r="AA440" s="31" t="n">
        <v>3377703900</v>
      </c>
      <c r="AB440" s="31" t="n">
        <v>5435924607.5</v>
      </c>
      <c r="AC440" s="36" t="n">
        <v>0.007654499402830081</v>
      </c>
      <c r="AD440" s="29" t="inlineStr">
        <is>
          <t>yfinance_download</t>
        </is>
      </c>
      <c r="AE440" s="29" t="inlineStr">
        <is>
          <t>317330.KQ</t>
        </is>
      </c>
    </row>
    <row r="441" ht="24" customHeight="1">
      <c r="A441" s="24" t="inlineStr">
        <is>
          <t>2025-03-31</t>
        </is>
      </c>
      <c r="B441" s="30" t="n">
        <v>20750</v>
      </c>
      <c r="C441" s="30" t="n">
        <v>21450</v>
      </c>
      <c r="D441" s="30" t="n">
        <v>19610</v>
      </c>
      <c r="E441" s="30" t="n">
        <v>19670</v>
      </c>
      <c r="F441" s="30" t="n">
        <v>19670</v>
      </c>
      <c r="G441" s="30" t="n">
        <v>187597</v>
      </c>
      <c r="H441" s="35" t="n">
        <v>-0.08723897911832945</v>
      </c>
      <c r="I441" s="35" t="n">
        <v>-0.679641693811075</v>
      </c>
      <c r="J441" s="30" t="n">
        <v>25358.5</v>
      </c>
      <c r="K441" s="30" t="n">
        <v>31158.66666666667</v>
      </c>
      <c r="L441" s="30" t="n">
        <v>33468.08333333334</v>
      </c>
      <c r="M441" s="35" t="n">
        <v>0.5042243925062162</v>
      </c>
      <c r="N441" s="35" t="n">
        <v>0.5821228842547599</v>
      </c>
      <c r="O441" s="35" t="n">
        <v>-0.3947692307692308</v>
      </c>
      <c r="P441" s="35" t="n">
        <v>-0.3388235294117647</v>
      </c>
      <c r="Q441" s="35" t="n">
        <v>-0.5579775280898877</v>
      </c>
      <c r="R441" s="35" t="n">
        <v>-0.2243232052369029</v>
      </c>
      <c r="S441" s="35" t="n">
        <v>-0.3687149642689033</v>
      </c>
      <c r="T441" s="35" t="n">
        <v>-0.4122758747762172</v>
      </c>
      <c r="U441" s="30" t="n">
        <v>61400</v>
      </c>
      <c r="V441" s="30" t="n">
        <v>19670</v>
      </c>
      <c r="W441" s="35" t="n">
        <v>-0.679641693811075</v>
      </c>
      <c r="X441" s="35" t="n">
        <v>0</v>
      </c>
      <c r="Y441" s="30" t="n">
        <v>20476584</v>
      </c>
      <c r="Z441" s="30" t="n">
        <v>402774407280</v>
      </c>
      <c r="AA441" s="30" t="n">
        <v>3690032990</v>
      </c>
      <c r="AB441" s="30" t="n">
        <v>5272892382</v>
      </c>
      <c r="AC441" s="35" t="n">
        <v>0.00916153788151383</v>
      </c>
      <c r="AD441" s="24" t="inlineStr">
        <is>
          <t>yfinance_download</t>
        </is>
      </c>
      <c r="AE441" s="24" t="inlineStr">
        <is>
          <t>317330.KQ</t>
        </is>
      </c>
    </row>
    <row r="442" ht="24" customHeight="1">
      <c r="A442" s="29" t="inlineStr">
        <is>
          <t>2025-04-01</t>
        </is>
      </c>
      <c r="B442" s="31" t="n">
        <v>19850</v>
      </c>
      <c r="C442" s="31" t="n">
        <v>20900</v>
      </c>
      <c r="D442" s="31" t="n">
        <v>19710</v>
      </c>
      <c r="E442" s="31" t="n">
        <v>20500</v>
      </c>
      <c r="F442" s="31" t="n">
        <v>20500</v>
      </c>
      <c r="G442" s="31" t="n">
        <v>145889</v>
      </c>
      <c r="H442" s="36" t="n">
        <v>0.0421962379257752</v>
      </c>
      <c r="I442" s="36" t="n">
        <v>-0.6661237785016287</v>
      </c>
      <c r="J442" s="31" t="n">
        <v>24856</v>
      </c>
      <c r="K442" s="31" t="n">
        <v>31020.33333333333</v>
      </c>
      <c r="L442" s="31" t="n">
        <v>33263.91666666666</v>
      </c>
      <c r="M442" s="36" t="n">
        <v>0.5376563710714689</v>
      </c>
      <c r="N442" s="36" t="n">
        <v>0.5879263407873349</v>
      </c>
      <c r="O442" s="36" t="n">
        <v>-0.3289689034369886</v>
      </c>
      <c r="P442" s="36" t="n">
        <v>-0.2881944444444444</v>
      </c>
      <c r="Q442" s="36" t="n">
        <v>-0.5444444444444445</v>
      </c>
      <c r="R442" s="36" t="n">
        <v>-0.1752494367557129</v>
      </c>
      <c r="S442" s="36" t="n">
        <v>-0.3391431426698617</v>
      </c>
      <c r="T442" s="36" t="n">
        <v>-0.3837165897982548</v>
      </c>
      <c r="U442" s="31" t="n">
        <v>61400</v>
      </c>
      <c r="V442" s="31" t="n">
        <v>19670</v>
      </c>
      <c r="W442" s="36" t="n">
        <v>-0.6661237785016287</v>
      </c>
      <c r="X442" s="36" t="n">
        <v>0.0421962379257752</v>
      </c>
      <c r="Y442" s="31" t="n">
        <v>20476584</v>
      </c>
      <c r="Z442" s="31" t="n">
        <v>419769972000</v>
      </c>
      <c r="AA442" s="31" t="n">
        <v>2990724500</v>
      </c>
      <c r="AB442" s="31" t="n">
        <v>5168729187</v>
      </c>
      <c r="AC442" s="36" t="n">
        <v>0.007124674701600619</v>
      </c>
      <c r="AD442" s="29" t="inlineStr">
        <is>
          <t>yfinance_download</t>
        </is>
      </c>
      <c r="AE442" s="29" t="inlineStr">
        <is>
          <t>317330.KQ</t>
        </is>
      </c>
    </row>
    <row r="443" ht="24" customHeight="1">
      <c r="A443" s="24" t="inlineStr">
        <is>
          <t>2025-04-02</t>
        </is>
      </c>
      <c r="B443" s="30" t="n">
        <v>20750</v>
      </c>
      <c r="C443" s="30" t="n">
        <v>21250</v>
      </c>
      <c r="D443" s="30" t="n">
        <v>20000</v>
      </c>
      <c r="E443" s="30" t="n">
        <v>20200</v>
      </c>
      <c r="F443" s="30" t="n">
        <v>20200</v>
      </c>
      <c r="G443" s="30" t="n">
        <v>102015</v>
      </c>
      <c r="H443" s="35" t="n">
        <v>-0.01463414634146343</v>
      </c>
      <c r="I443" s="35" t="n">
        <v>-0.6710097719869708</v>
      </c>
      <c r="J443" s="30" t="n">
        <v>24363.5</v>
      </c>
      <c r="K443" s="30" t="n">
        <v>30862.83333333333</v>
      </c>
      <c r="L443" s="30" t="n">
        <v>33057.66666666666</v>
      </c>
      <c r="M443" s="35" t="n">
        <v>0.5378124357304792</v>
      </c>
      <c r="N443" s="35" t="n">
        <v>0.5838125654886126</v>
      </c>
      <c r="O443" s="35" t="n">
        <v>-0.3277870216306157</v>
      </c>
      <c r="P443" s="35" t="n">
        <v>-0.3187183811129848</v>
      </c>
      <c r="Q443" s="35" t="n">
        <v>-0.5506117908787542</v>
      </c>
      <c r="R443" s="35" t="n">
        <v>-0.1708908818519507</v>
      </c>
      <c r="S443" s="35" t="n">
        <v>-0.3454910707053251</v>
      </c>
      <c r="T443" s="35" t="n">
        <v>-0.3889465882851179</v>
      </c>
      <c r="U443" s="30" t="n">
        <v>61400</v>
      </c>
      <c r="V443" s="30" t="n">
        <v>19670</v>
      </c>
      <c r="W443" s="35" t="n">
        <v>-0.6710097719869708</v>
      </c>
      <c r="X443" s="35" t="n">
        <v>0.02694458566344693</v>
      </c>
      <c r="Y443" s="30" t="n">
        <v>20476584</v>
      </c>
      <c r="Z443" s="30" t="n">
        <v>413626996800</v>
      </c>
      <c r="AA443" s="30" t="n">
        <v>2060703000</v>
      </c>
      <c r="AB443" s="30" t="n">
        <v>5050949424.5</v>
      </c>
      <c r="AC443" s="35" t="n">
        <v>0.004982032159270316</v>
      </c>
      <c r="AD443" s="24" t="inlineStr">
        <is>
          <t>yfinance_download</t>
        </is>
      </c>
      <c r="AE443" s="24" t="inlineStr">
        <is>
          <t>317330.KQ</t>
        </is>
      </c>
    </row>
    <row r="444" ht="24" customHeight="1">
      <c r="A444" s="29" t="inlineStr">
        <is>
          <t>2025-04-03</t>
        </is>
      </c>
      <c r="B444" s="31" t="n">
        <v>19550</v>
      </c>
      <c r="C444" s="31" t="n">
        <v>21450</v>
      </c>
      <c r="D444" s="31" t="n">
        <v>19550</v>
      </c>
      <c r="E444" s="31" t="n">
        <v>21150</v>
      </c>
      <c r="F444" s="31" t="n">
        <v>21150</v>
      </c>
      <c r="G444" s="31" t="n">
        <v>156990</v>
      </c>
      <c r="H444" s="36" t="n">
        <v>0.04702970297029707</v>
      </c>
      <c r="I444" s="36" t="n">
        <v>-0.6555374592833876</v>
      </c>
      <c r="J444" s="31" t="n">
        <v>23988.5</v>
      </c>
      <c r="K444" s="31" t="n">
        <v>30711.16666666667</v>
      </c>
      <c r="L444" s="31" t="n">
        <v>32871.41666666666</v>
      </c>
      <c r="M444" s="36" t="n">
        <v>0.5757017436539502</v>
      </c>
      <c r="N444" s="36" t="n">
        <v>0.5914310952415786</v>
      </c>
      <c r="O444" s="36" t="n">
        <v>-0.2617801047120419</v>
      </c>
      <c r="P444" s="36" t="n">
        <v>-0.3008264462809918</v>
      </c>
      <c r="Q444" s="36" t="n">
        <v>-0.5137931034482759</v>
      </c>
      <c r="R444" s="36" t="n">
        <v>-0.1183275319423891</v>
      </c>
      <c r="S444" s="36" t="n">
        <v>-0.3113254136660389</v>
      </c>
      <c r="T444" s="36" t="n">
        <v>-0.3565838608517531</v>
      </c>
      <c r="U444" s="31" t="n">
        <v>61400</v>
      </c>
      <c r="V444" s="31" t="n">
        <v>19670</v>
      </c>
      <c r="W444" s="36" t="n">
        <v>-0.6555374592833876</v>
      </c>
      <c r="X444" s="36" t="n">
        <v>0.07524148449415358</v>
      </c>
      <c r="Y444" s="31" t="n">
        <v>20476584</v>
      </c>
      <c r="Z444" s="31" t="n">
        <v>433079751600</v>
      </c>
      <c r="AA444" s="31" t="n">
        <v>3320338500</v>
      </c>
      <c r="AB444" s="31" t="n">
        <v>4585385694.5</v>
      </c>
      <c r="AC444" s="36" t="n">
        <v>0.007666806143055893</v>
      </c>
      <c r="AD444" s="29" t="inlineStr">
        <is>
          <t>yfinance_download</t>
        </is>
      </c>
      <c r="AE444" s="29" t="inlineStr">
        <is>
          <t>317330.KQ</t>
        </is>
      </c>
    </row>
    <row r="445" ht="24" customHeight="1">
      <c r="A445" s="24" t="inlineStr">
        <is>
          <t>2025-04-04</t>
        </is>
      </c>
      <c r="B445" s="30" t="n">
        <v>20650</v>
      </c>
      <c r="C445" s="30" t="n">
        <v>22150</v>
      </c>
      <c r="D445" s="30" t="n">
        <v>20500</v>
      </c>
      <c r="E445" s="30" t="n">
        <v>21150</v>
      </c>
      <c r="F445" s="30" t="n">
        <v>21150</v>
      </c>
      <c r="G445" s="30" t="n">
        <v>204239</v>
      </c>
      <c r="H445" s="35" t="n">
        <v>0</v>
      </c>
      <c r="I445" s="35" t="n">
        <v>-0.6555374592833876</v>
      </c>
      <c r="J445" s="30" t="n">
        <v>23611</v>
      </c>
      <c r="K445" s="30" t="n">
        <v>30542.83333333333</v>
      </c>
      <c r="L445" s="30" t="n">
        <v>32678.5</v>
      </c>
      <c r="M445" s="35" t="n">
        <v>0.5750844616105792</v>
      </c>
      <c r="N445" s="35" t="n">
        <v>0.5861391315942603</v>
      </c>
      <c r="O445" s="35" t="n">
        <v>-0.2630662020905923</v>
      </c>
      <c r="P445" s="35" t="n">
        <v>-0.3232</v>
      </c>
      <c r="Q445" s="35" t="n">
        <v>-0.5225733634311512</v>
      </c>
      <c r="R445" s="35" t="n">
        <v>-0.1042310787344881</v>
      </c>
      <c r="S445" s="35" t="n">
        <v>-0.3075298624336315</v>
      </c>
      <c r="T445" s="35" t="n">
        <v>-0.3527854705693346</v>
      </c>
      <c r="U445" s="30" t="n">
        <v>61400</v>
      </c>
      <c r="V445" s="30" t="n">
        <v>19670</v>
      </c>
      <c r="W445" s="35" t="n">
        <v>-0.6555374592833876</v>
      </c>
      <c r="X445" s="35" t="n">
        <v>0.07524148449415358</v>
      </c>
      <c r="Y445" s="30" t="n">
        <v>20476584</v>
      </c>
      <c r="Z445" s="30" t="n">
        <v>433079751600</v>
      </c>
      <c r="AA445" s="30" t="n">
        <v>4319654850</v>
      </c>
      <c r="AB445" s="30" t="n">
        <v>4540475392</v>
      </c>
      <c r="AC445" s="35" t="n">
        <v>0.009974271099124736</v>
      </c>
      <c r="AD445" s="24" t="inlineStr">
        <is>
          <t>yfinance_download</t>
        </is>
      </c>
      <c r="AE445" s="24" t="inlineStr">
        <is>
          <t>317330.KQ</t>
        </is>
      </c>
    </row>
    <row r="446" ht="24" customHeight="1">
      <c r="A446" s="29" t="inlineStr">
        <is>
          <t>2025-04-07</t>
        </is>
      </c>
      <c r="B446" s="31" t="n">
        <v>20100</v>
      </c>
      <c r="C446" s="31" t="n">
        <v>20550</v>
      </c>
      <c r="D446" s="31" t="n">
        <v>19660</v>
      </c>
      <c r="E446" s="31" t="n">
        <v>19660</v>
      </c>
      <c r="F446" s="31" t="n">
        <v>19660</v>
      </c>
      <c r="G446" s="31" t="n">
        <v>135661</v>
      </c>
      <c r="H446" s="36" t="n">
        <v>-0.07044917257683214</v>
      </c>
      <c r="I446" s="36" t="n">
        <v>-0.6798045602605863</v>
      </c>
      <c r="J446" s="31" t="n">
        <v>23211.5</v>
      </c>
      <c r="K446" s="31" t="n">
        <v>30348</v>
      </c>
      <c r="L446" s="31" t="n">
        <v>32452.75</v>
      </c>
      <c r="M446" s="36" t="n">
        <v>0.6041490841437082</v>
      </c>
      <c r="N446" s="36" t="n">
        <v>0.6005578373326017</v>
      </c>
      <c r="O446" s="36" t="n">
        <v>-0.2889692585895117</v>
      </c>
      <c r="P446" s="36" t="n">
        <v>-0.3728867623604466</v>
      </c>
      <c r="Q446" s="36" t="n">
        <v>-0.5794652406417112</v>
      </c>
      <c r="R446" s="36" t="n">
        <v>-0.1530060530340563</v>
      </c>
      <c r="S446" s="36" t="n">
        <v>-0.3521813628575194</v>
      </c>
      <c r="T446" s="36" t="n">
        <v>-0.3941961775196247</v>
      </c>
      <c r="U446" s="31" t="n">
        <v>61400</v>
      </c>
      <c r="V446" s="31" t="n">
        <v>19660</v>
      </c>
      <c r="W446" s="36" t="n">
        <v>-0.6798045602605863</v>
      </c>
      <c r="X446" s="36" t="n">
        <v>0</v>
      </c>
      <c r="Y446" s="31" t="n">
        <v>20476584</v>
      </c>
      <c r="Z446" s="31" t="n">
        <v>402569641440</v>
      </c>
      <c r="AA446" s="31" t="n">
        <v>2667095260</v>
      </c>
      <c r="AB446" s="31" t="n">
        <v>4260900907.5</v>
      </c>
      <c r="AC446" s="36" t="n">
        <v>0.006625177324499047</v>
      </c>
      <c r="AD446" s="29" t="inlineStr">
        <is>
          <t>yfinance_download</t>
        </is>
      </c>
      <c r="AE446" s="29" t="inlineStr">
        <is>
          <t>317330.KQ</t>
        </is>
      </c>
    </row>
    <row r="447" ht="24" customHeight="1">
      <c r="A447" s="24" t="inlineStr">
        <is>
          <t>2025-04-08</t>
        </is>
      </c>
      <c r="B447" s="30" t="n">
        <v>20000</v>
      </c>
      <c r="C447" s="30" t="n">
        <v>20400</v>
      </c>
      <c r="D447" s="30" t="n">
        <v>18500</v>
      </c>
      <c r="E447" s="30" t="n">
        <v>18900</v>
      </c>
      <c r="F447" s="30" t="n">
        <v>18900</v>
      </c>
      <c r="G447" s="30" t="n">
        <v>148290</v>
      </c>
      <c r="H447" s="35" t="n">
        <v>-0.0386571719226857</v>
      </c>
      <c r="I447" s="35" t="n">
        <v>-0.6921824104234527</v>
      </c>
      <c r="J447" s="30" t="n">
        <v>22811.5</v>
      </c>
      <c r="K447" s="30" t="n">
        <v>30148</v>
      </c>
      <c r="L447" s="30" t="n">
        <v>32217.33333333333</v>
      </c>
      <c r="M447" s="35" t="n">
        <v>0.6082854472031363</v>
      </c>
      <c r="N447" s="35" t="n">
        <v>0.6038779352056933</v>
      </c>
      <c r="O447" s="35" t="n">
        <v>-0.2973977695167286</v>
      </c>
      <c r="P447" s="35" t="n">
        <v>-0.3883495145631068</v>
      </c>
      <c r="Q447" s="35" t="n">
        <v>-0.5991516436903499</v>
      </c>
      <c r="R447" s="35" t="n">
        <v>-0.1714705302150231</v>
      </c>
      <c r="S447" s="35" t="n">
        <v>-0.373092742470479</v>
      </c>
      <c r="T447" s="35" t="n">
        <v>-0.4133592683027769</v>
      </c>
      <c r="U447" s="30" t="n">
        <v>61400</v>
      </c>
      <c r="V447" s="30" t="n">
        <v>18900</v>
      </c>
      <c r="W447" s="35" t="n">
        <v>-0.6921824104234527</v>
      </c>
      <c r="X447" s="35" t="n">
        <v>0</v>
      </c>
      <c r="Y447" s="30" t="n">
        <v>20476584</v>
      </c>
      <c r="Z447" s="30" t="n">
        <v>387007437600</v>
      </c>
      <c r="AA447" s="30" t="n">
        <v>2802681000</v>
      </c>
      <c r="AB447" s="30" t="n">
        <v>4131661047.5</v>
      </c>
      <c r="AC447" s="35" t="n">
        <v>0.007241930587640985</v>
      </c>
      <c r="AD447" s="24" t="inlineStr">
        <is>
          <t>yfinance_download</t>
        </is>
      </c>
      <c r="AE447" s="24" t="inlineStr">
        <is>
          <t>317330.KQ</t>
        </is>
      </c>
    </row>
    <row r="448" ht="24" customHeight="1">
      <c r="A448" s="29" t="inlineStr">
        <is>
          <t>2025-04-09</t>
        </is>
      </c>
      <c r="B448" s="31" t="n">
        <v>18320</v>
      </c>
      <c r="C448" s="31" t="n">
        <v>19070</v>
      </c>
      <c r="D448" s="31" t="n">
        <v>17120</v>
      </c>
      <c r="E448" s="31" t="n">
        <v>17490</v>
      </c>
      <c r="F448" s="31" t="n">
        <v>17490</v>
      </c>
      <c r="G448" s="31" t="n">
        <v>167410</v>
      </c>
      <c r="H448" s="36" t="n">
        <v>-0.07460317460317456</v>
      </c>
      <c r="I448" s="36" t="n">
        <v>-0.7151465798045602</v>
      </c>
      <c r="J448" s="31" t="n">
        <v>22346</v>
      </c>
      <c r="K448" s="31" t="n">
        <v>29904.5</v>
      </c>
      <c r="L448" s="31" t="n">
        <v>31986.83333333333</v>
      </c>
      <c r="M448" s="36" t="n">
        <v>0.6393365660146753</v>
      </c>
      <c r="N448" s="36" t="n">
        <v>0.6114465819564698</v>
      </c>
      <c r="O448" s="36" t="n">
        <v>-0.3473880597014926</v>
      </c>
      <c r="P448" s="36" t="n">
        <v>-0.4551401869158879</v>
      </c>
      <c r="Q448" s="36" t="n">
        <v>-0.6126245847176079</v>
      </c>
      <c r="R448" s="36" t="n">
        <v>-0.2173095856081625</v>
      </c>
      <c r="S448" s="36" t="n">
        <v>-0.4151381899045294</v>
      </c>
      <c r="T448" s="36" t="n">
        <v>-0.4532125197346825</v>
      </c>
      <c r="U448" s="31" t="n">
        <v>61400</v>
      </c>
      <c r="V448" s="31" t="n">
        <v>17490</v>
      </c>
      <c r="W448" s="36" t="n">
        <v>-0.7151465798045602</v>
      </c>
      <c r="X448" s="36" t="n">
        <v>0</v>
      </c>
      <c r="Y448" s="31" t="n">
        <v>20476584</v>
      </c>
      <c r="Z448" s="31" t="n">
        <v>358135454160</v>
      </c>
      <c r="AA448" s="31" t="n">
        <v>2928000900</v>
      </c>
      <c r="AB448" s="31" t="n">
        <v>4106731372.5</v>
      </c>
      <c r="AC448" s="36" t="n">
        <v>0.008175680084139034</v>
      </c>
      <c r="AD448" s="29" t="inlineStr">
        <is>
          <t>yfinance_download</t>
        </is>
      </c>
      <c r="AE448" s="29" t="inlineStr">
        <is>
          <t>317330.KQ</t>
        </is>
      </c>
    </row>
    <row r="449" ht="24" customHeight="1">
      <c r="A449" s="24" t="inlineStr">
        <is>
          <t>2025-04-10</t>
        </is>
      </c>
      <c r="B449" s="30" t="n">
        <v>18840</v>
      </c>
      <c r="C449" s="30" t="n">
        <v>21550</v>
      </c>
      <c r="D449" s="30" t="n">
        <v>18820</v>
      </c>
      <c r="E449" s="30" t="n">
        <v>20700</v>
      </c>
      <c r="F449" s="30" t="n">
        <v>20700</v>
      </c>
      <c r="G449" s="30" t="n">
        <v>358227</v>
      </c>
      <c r="H449" s="35" t="n">
        <v>0.1835334476843911</v>
      </c>
      <c r="I449" s="35" t="n">
        <v>-0.6628664495114007</v>
      </c>
      <c r="J449" s="30" t="n">
        <v>22076</v>
      </c>
      <c r="K449" s="30" t="n">
        <v>29702</v>
      </c>
      <c r="L449" s="30" t="n">
        <v>31800.58333333333</v>
      </c>
      <c r="M449" s="35" t="n">
        <v>0.9645607756327822</v>
      </c>
      <c r="N449" s="35" t="n">
        <v>0.7255047794475155</v>
      </c>
      <c r="O449" s="35" t="n">
        <v>-0.2068965517241379</v>
      </c>
      <c r="P449" s="35" t="n">
        <v>-0.3698630136986302</v>
      </c>
      <c r="Q449" s="35" t="n">
        <v>-0.519163763066202</v>
      </c>
      <c r="R449" s="35" t="n">
        <v>-0.06233013227033879</v>
      </c>
      <c r="S449" s="35" t="n">
        <v>-0.303077233856306</v>
      </c>
      <c r="T449" s="35" t="n">
        <v>-0.3490685443401195</v>
      </c>
      <c r="U449" s="30" t="n">
        <v>61400</v>
      </c>
      <c r="V449" s="30" t="n">
        <v>17490</v>
      </c>
      <c r="W449" s="35" t="n">
        <v>-0.6628664495114007</v>
      </c>
      <c r="X449" s="35" t="n">
        <v>0.1835334476843911</v>
      </c>
      <c r="Y449" s="30" t="n">
        <v>20476584</v>
      </c>
      <c r="Z449" s="30" t="n">
        <v>423865288800</v>
      </c>
      <c r="AA449" s="30" t="n">
        <v>7415298900</v>
      </c>
      <c r="AB449" s="30" t="n">
        <v>4244423317.5</v>
      </c>
      <c r="AC449" s="35" t="n">
        <v>0.01749447075742712</v>
      </c>
      <c r="AD449" s="24" t="inlineStr">
        <is>
          <t>yfinance_download</t>
        </is>
      </c>
      <c r="AE449" s="24" t="inlineStr">
        <is>
          <t>317330.KQ</t>
        </is>
      </c>
    </row>
    <row r="450" ht="24" customHeight="1">
      <c r="A450" s="29" t="inlineStr">
        <is>
          <t>2025-04-11</t>
        </is>
      </c>
      <c r="B450" s="31" t="n">
        <v>20250</v>
      </c>
      <c r="C450" s="31" t="n">
        <v>22350</v>
      </c>
      <c r="D450" s="31" t="n">
        <v>19970</v>
      </c>
      <c r="E450" s="31" t="n">
        <v>21700</v>
      </c>
      <c r="F450" s="31" t="n">
        <v>21700</v>
      </c>
      <c r="G450" s="31" t="n">
        <v>344276</v>
      </c>
      <c r="H450" s="36" t="n">
        <v>0.04830917874396135</v>
      </c>
      <c r="I450" s="36" t="n">
        <v>-0.6465798045602607</v>
      </c>
      <c r="J450" s="31" t="n">
        <v>21898.5</v>
      </c>
      <c r="K450" s="31" t="n">
        <v>29481.16666666667</v>
      </c>
      <c r="L450" s="31" t="n">
        <v>31631</v>
      </c>
      <c r="M450" s="36" t="n">
        <v>0.9818612052300134</v>
      </c>
      <c r="N450" s="36" t="n">
        <v>0.7196967503206746</v>
      </c>
      <c r="O450" s="36" t="n">
        <v>-0.1405940594059406</v>
      </c>
      <c r="P450" s="36" t="n">
        <v>-0.3791130185979972</v>
      </c>
      <c r="Q450" s="36" t="n">
        <v>-0.4839476813317479</v>
      </c>
      <c r="R450" s="36" t="n">
        <v>-0.009064547800077594</v>
      </c>
      <c r="S450" s="36" t="n">
        <v>-0.2639368636474133</v>
      </c>
      <c r="T450" s="36" t="n">
        <v>-0.313964149094243</v>
      </c>
      <c r="U450" s="31" t="n">
        <v>61400</v>
      </c>
      <c r="V450" s="31" t="n">
        <v>17490</v>
      </c>
      <c r="W450" s="36" t="n">
        <v>-0.6465798045602607</v>
      </c>
      <c r="X450" s="36" t="n">
        <v>0.2407089765580332</v>
      </c>
      <c r="Y450" s="31" t="n">
        <v>20476584</v>
      </c>
      <c r="Z450" s="31" t="n">
        <v>444341872800</v>
      </c>
      <c r="AA450" s="31" t="n">
        <v>7470789200</v>
      </c>
      <c r="AB450" s="31" t="n">
        <v>4332626415</v>
      </c>
      <c r="AC450" s="36" t="n">
        <v>0.01681315594437041</v>
      </c>
      <c r="AD450" s="29" t="inlineStr">
        <is>
          <t>yfinance_download</t>
        </is>
      </c>
      <c r="AE450" s="29" t="inlineStr">
        <is>
          <t>317330.KQ</t>
        </is>
      </c>
    </row>
    <row r="451" ht="24" customHeight="1">
      <c r="A451" s="24" t="inlineStr">
        <is>
          <t>2025-04-14</t>
        </is>
      </c>
      <c r="B451" s="30" t="n">
        <v>22300</v>
      </c>
      <c r="C451" s="30" t="n">
        <v>22650</v>
      </c>
      <c r="D451" s="30" t="n">
        <v>20750</v>
      </c>
      <c r="E451" s="30" t="n">
        <v>22000</v>
      </c>
      <c r="F451" s="30" t="n">
        <v>22000</v>
      </c>
      <c r="G451" s="30" t="n">
        <v>220663</v>
      </c>
      <c r="H451" s="35" t="n">
        <v>0.01382488479262678</v>
      </c>
      <c r="I451" s="35" t="n">
        <v>-0.6416938110749186</v>
      </c>
      <c r="J451" s="30" t="n">
        <v>21686</v>
      </c>
      <c r="K451" s="30" t="n">
        <v>29297</v>
      </c>
      <c r="L451" s="30" t="n">
        <v>31471</v>
      </c>
      <c r="M451" s="35" t="n">
        <v>0.9702444700860421</v>
      </c>
      <c r="N451" s="35" t="n">
        <v>0.7140456797544836</v>
      </c>
      <c r="O451" s="35" t="n">
        <v>-0.1619047619047619</v>
      </c>
      <c r="P451" s="35" t="n">
        <v>-0.3343419062027232</v>
      </c>
      <c r="Q451" s="35" t="n">
        <v>-0.4660194174757282</v>
      </c>
      <c r="R451" s="35" t="n">
        <v>0.01447938762335155</v>
      </c>
      <c r="S451" s="35" t="n">
        <v>-0.2490698706352186</v>
      </c>
      <c r="T451" s="35" t="n">
        <v>-0.3009437259699406</v>
      </c>
      <c r="U451" s="30" t="n">
        <v>61400</v>
      </c>
      <c r="V451" s="30" t="n">
        <v>17490</v>
      </c>
      <c r="W451" s="35" t="n">
        <v>-0.6416938110749186</v>
      </c>
      <c r="X451" s="35" t="n">
        <v>0.2578616352201257</v>
      </c>
      <c r="Y451" s="30" t="n">
        <v>20476584</v>
      </c>
      <c r="Z451" s="30" t="n">
        <v>450484848000</v>
      </c>
      <c r="AA451" s="30" t="n">
        <v>4854586000</v>
      </c>
      <c r="AB451" s="30" t="n">
        <v>4150956215</v>
      </c>
      <c r="AC451" s="35" t="n">
        <v>0.0107763580097149</v>
      </c>
      <c r="AD451" s="24" t="inlineStr">
        <is>
          <t>yfinance_download</t>
        </is>
      </c>
      <c r="AE451" s="24" t="inlineStr">
        <is>
          <t>317330.KQ</t>
        </is>
      </c>
    </row>
    <row r="452" ht="24" customHeight="1">
      <c r="A452" s="29" t="inlineStr">
        <is>
          <t>2025-04-15</t>
        </is>
      </c>
      <c r="B452" s="31" t="n">
        <v>22150</v>
      </c>
      <c r="C452" s="31" t="n">
        <v>23300</v>
      </c>
      <c r="D452" s="31" t="n">
        <v>21650</v>
      </c>
      <c r="E452" s="31" t="n">
        <v>23050</v>
      </c>
      <c r="F452" s="31" t="n">
        <v>23050</v>
      </c>
      <c r="G452" s="31" t="n">
        <v>218565</v>
      </c>
      <c r="H452" s="36" t="n">
        <v>0.04772727272727262</v>
      </c>
      <c r="I452" s="36" t="n">
        <v>-0.6245928338762214</v>
      </c>
      <c r="J452" s="31" t="n">
        <v>21558.5</v>
      </c>
      <c r="K452" s="31" t="n">
        <v>29110.33333333333</v>
      </c>
      <c r="L452" s="31" t="n">
        <v>31326</v>
      </c>
      <c r="M452" s="36" t="n">
        <v>0.9867151697626297</v>
      </c>
      <c r="N452" s="36" t="n">
        <v>0.7172972826063266</v>
      </c>
      <c r="O452" s="36" t="n">
        <v>-0.099609375</v>
      </c>
      <c r="P452" s="36" t="n">
        <v>-0.327007299270073</v>
      </c>
      <c r="Q452" s="36" t="n">
        <v>-0.4301606922126081</v>
      </c>
      <c r="R452" s="36" t="n">
        <v>0.06918384859800075</v>
      </c>
      <c r="S452" s="36" t="n">
        <v>-0.2081849515063379</v>
      </c>
      <c r="T452" s="36" t="n">
        <v>-0.2641894911575049</v>
      </c>
      <c r="U452" s="31" t="n">
        <v>61400</v>
      </c>
      <c r="V452" s="31" t="n">
        <v>17490</v>
      </c>
      <c r="W452" s="36" t="n">
        <v>-0.6245928338762214</v>
      </c>
      <c r="X452" s="36" t="n">
        <v>0.31789594053745</v>
      </c>
      <c r="Y452" s="31" t="n">
        <v>20476584</v>
      </c>
      <c r="Z452" s="31" t="n">
        <v>471985261200</v>
      </c>
      <c r="AA452" s="31" t="n">
        <v>5037923250</v>
      </c>
      <c r="AB452" s="31" t="n">
        <v>4221664537.5</v>
      </c>
      <c r="AC452" s="36" t="n">
        <v>0.01067389951370795</v>
      </c>
      <c r="AD452" s="29" t="inlineStr">
        <is>
          <t>yfinance_download</t>
        </is>
      </c>
      <c r="AE452" s="29" t="inlineStr">
        <is>
          <t>317330.KQ</t>
        </is>
      </c>
    </row>
    <row r="453" ht="24" customHeight="1">
      <c r="A453" s="24" t="inlineStr">
        <is>
          <t>2025-04-16</t>
        </is>
      </c>
      <c r="B453" s="30" t="n">
        <v>23400</v>
      </c>
      <c r="C453" s="30" t="n">
        <v>23850</v>
      </c>
      <c r="D453" s="30" t="n">
        <v>22600</v>
      </c>
      <c r="E453" s="30" t="n">
        <v>22700</v>
      </c>
      <c r="F453" s="30" t="n">
        <v>22700</v>
      </c>
      <c r="G453" s="30" t="n">
        <v>173888</v>
      </c>
      <c r="H453" s="35" t="n">
        <v>-0.01518438177874182</v>
      </c>
      <c r="I453" s="35" t="n">
        <v>-0.6302931596091206</v>
      </c>
      <c r="J453" s="30" t="n">
        <v>21451</v>
      </c>
      <c r="K453" s="30" t="n">
        <v>28909.5</v>
      </c>
      <c r="L453" s="30" t="n">
        <v>31188.5</v>
      </c>
      <c r="M453" s="35" t="n">
        <v>0.9830804078862256</v>
      </c>
      <c r="N453" s="35" t="n">
        <v>0.7163112105006497</v>
      </c>
      <c r="O453" s="35" t="n">
        <v>-0.08651911468812878</v>
      </c>
      <c r="P453" s="35" t="n">
        <v>-0.3467625899280575</v>
      </c>
      <c r="Q453" s="35" t="n">
        <v>-0.4209183673469388</v>
      </c>
      <c r="R453" s="35" t="n">
        <v>0.0582257237424828</v>
      </c>
      <c r="S453" s="35" t="n">
        <v>-0.2147909856621526</v>
      </c>
      <c r="T453" s="35" t="n">
        <v>-0.2721676258877471</v>
      </c>
      <c r="U453" s="30" t="n">
        <v>61400</v>
      </c>
      <c r="V453" s="30" t="n">
        <v>17490</v>
      </c>
      <c r="W453" s="35" t="n">
        <v>-0.6302931596091206</v>
      </c>
      <c r="X453" s="35" t="n">
        <v>0.2978845054316752</v>
      </c>
      <c r="Y453" s="30" t="n">
        <v>20476584</v>
      </c>
      <c r="Z453" s="30" t="n">
        <v>464818456800</v>
      </c>
      <c r="AA453" s="30" t="n">
        <v>3947257600</v>
      </c>
      <c r="AB453" s="30" t="n">
        <v>4089405835</v>
      </c>
      <c r="AC453" s="35" t="n">
        <v>0.008492041445975559</v>
      </c>
      <c r="AD453" s="24" t="inlineStr">
        <is>
          <t>yfinance_download</t>
        </is>
      </c>
      <c r="AE453" s="24" t="inlineStr">
        <is>
          <t>317330.KQ</t>
        </is>
      </c>
    </row>
    <row r="454" ht="24" customHeight="1">
      <c r="A454" s="29" t="inlineStr">
        <is>
          <t>2025-04-17</t>
        </is>
      </c>
      <c r="B454" s="31" t="n">
        <v>22350</v>
      </c>
      <c r="C454" s="31" t="n">
        <v>23300</v>
      </c>
      <c r="D454" s="31" t="n">
        <v>22350</v>
      </c>
      <c r="E454" s="31" t="n">
        <v>23050</v>
      </c>
      <c r="F454" s="31" t="n">
        <v>23050</v>
      </c>
      <c r="G454" s="31" t="n">
        <v>65342</v>
      </c>
      <c r="H454" s="36" t="n">
        <v>0.01541850220264318</v>
      </c>
      <c r="I454" s="36" t="n">
        <v>-0.6245928338762214</v>
      </c>
      <c r="J454" s="31" t="n">
        <v>21396</v>
      </c>
      <c r="K454" s="31" t="n">
        <v>28692</v>
      </c>
      <c r="L454" s="31" t="n">
        <v>31055.16666666667</v>
      </c>
      <c r="M454" s="36" t="n">
        <v>0.980310995733239</v>
      </c>
      <c r="N454" s="36" t="n">
        <v>0.7116258815473271</v>
      </c>
      <c r="O454" s="36" t="n">
        <v>-0.04554865424430643</v>
      </c>
      <c r="P454" s="36" t="n">
        <v>-0.3614958448753463</v>
      </c>
      <c r="Q454" s="36" t="n">
        <v>-0.4097311139564661</v>
      </c>
      <c r="R454" s="36" t="n">
        <v>0.07730416900355208</v>
      </c>
      <c r="S454" s="36" t="n">
        <v>-0.1966401784469538</v>
      </c>
      <c r="T454" s="36" t="n">
        <v>-0.257772458689107</v>
      </c>
      <c r="U454" s="31" t="n">
        <v>61400</v>
      </c>
      <c r="V454" s="31" t="n">
        <v>17490</v>
      </c>
      <c r="W454" s="36" t="n">
        <v>-0.6245928338762214</v>
      </c>
      <c r="X454" s="36" t="n">
        <v>0.31789594053745</v>
      </c>
      <c r="Y454" s="31" t="n">
        <v>20476584</v>
      </c>
      <c r="Z454" s="31" t="n">
        <v>471985261200</v>
      </c>
      <c r="AA454" s="31" t="n">
        <v>1506133100</v>
      </c>
      <c r="AB454" s="31" t="n">
        <v>3881661207.5</v>
      </c>
      <c r="AC454" s="36" t="n">
        <v>0.003191059602519639</v>
      </c>
      <c r="AD454" s="29" t="inlineStr">
        <is>
          <t>yfinance_download</t>
        </is>
      </c>
      <c r="AE454" s="29" t="inlineStr">
        <is>
          <t>317330.KQ</t>
        </is>
      </c>
    </row>
    <row r="455" ht="24" customHeight="1">
      <c r="A455" s="24" t="inlineStr">
        <is>
          <t>2025-04-18</t>
        </is>
      </c>
      <c r="B455" s="30" t="n">
        <v>23200</v>
      </c>
      <c r="C455" s="30" t="n">
        <v>24650</v>
      </c>
      <c r="D455" s="30" t="n">
        <v>23000</v>
      </c>
      <c r="E455" s="30" t="n">
        <v>23950</v>
      </c>
      <c r="F455" s="30" t="n">
        <v>23950</v>
      </c>
      <c r="G455" s="30" t="n">
        <v>190799</v>
      </c>
      <c r="H455" s="35" t="n">
        <v>0.0390455531453362</v>
      </c>
      <c r="I455" s="35" t="n">
        <v>-0.6099348534201954</v>
      </c>
      <c r="J455" s="30" t="n">
        <v>21353.5</v>
      </c>
      <c r="K455" s="30" t="n">
        <v>28489.5</v>
      </c>
      <c r="L455" s="30" t="n">
        <v>30940.58333333333</v>
      </c>
      <c r="M455" s="35" t="n">
        <v>0.9857544653936814</v>
      </c>
      <c r="N455" s="35" t="n">
        <v>0.717620060672326</v>
      </c>
      <c r="O455" s="35" t="n">
        <v>-0.03427419354838712</v>
      </c>
      <c r="P455" s="35" t="n">
        <v>-0.3365650969529086</v>
      </c>
      <c r="Q455" s="35" t="n">
        <v>-0.3647214854111406</v>
      </c>
      <c r="R455" s="35" t="n">
        <v>0.1215959912894842</v>
      </c>
      <c r="S455" s="35" t="n">
        <v>-0.1593394057459766</v>
      </c>
      <c r="T455" s="35" t="n">
        <v>-0.2259357316577203</v>
      </c>
      <c r="U455" s="30" t="n">
        <v>61400</v>
      </c>
      <c r="V455" s="30" t="n">
        <v>17490</v>
      </c>
      <c r="W455" s="35" t="n">
        <v>-0.6099348534201954</v>
      </c>
      <c r="X455" s="35" t="n">
        <v>0.3693539165237278</v>
      </c>
      <c r="Y455" s="30" t="n">
        <v>20476584</v>
      </c>
      <c r="Z455" s="30" t="n">
        <v>490414186800</v>
      </c>
      <c r="AA455" s="30" t="n">
        <v>4569636050</v>
      </c>
      <c r="AB455" s="30" t="n">
        <v>3788453530</v>
      </c>
      <c r="AC455" s="35" t="n">
        <v>0.009317911620414811</v>
      </c>
      <c r="AD455" s="24" t="inlineStr">
        <is>
          <t>yfinance_download</t>
        </is>
      </c>
      <c r="AE455" s="24" t="inlineStr">
        <is>
          <t>317330.KQ</t>
        </is>
      </c>
    </row>
    <row r="456" ht="24" customHeight="1">
      <c r="A456" s="29" t="inlineStr">
        <is>
          <t>2025-04-21</t>
        </is>
      </c>
      <c r="B456" s="31" t="n">
        <v>23850</v>
      </c>
      <c r="C456" s="31" t="n">
        <v>24050</v>
      </c>
      <c r="D456" s="31" t="n">
        <v>22850</v>
      </c>
      <c r="E456" s="31" t="n">
        <v>23150</v>
      </c>
      <c r="F456" s="31" t="n">
        <v>23150</v>
      </c>
      <c r="G456" s="31" t="n">
        <v>108811</v>
      </c>
      <c r="H456" s="36" t="n">
        <v>-0.03340292275574108</v>
      </c>
      <c r="I456" s="36" t="n">
        <v>-0.6229641693811074</v>
      </c>
      <c r="J456" s="31" t="n">
        <v>21341</v>
      </c>
      <c r="K456" s="31" t="n">
        <v>28262</v>
      </c>
      <c r="L456" s="31" t="n">
        <v>30816</v>
      </c>
      <c r="M456" s="36" t="n">
        <v>0.9715331509973257</v>
      </c>
      <c r="N456" s="36" t="n">
        <v>0.7178490802272096</v>
      </c>
      <c r="O456" s="36" t="n">
        <v>-0.01068376068376065</v>
      </c>
      <c r="P456" s="36" t="n">
        <v>-0.3709239130434783</v>
      </c>
      <c r="Q456" s="36" t="n">
        <v>-0.3923884514435696</v>
      </c>
      <c r="R456" s="36" t="n">
        <v>0.08476641207066216</v>
      </c>
      <c r="S456" s="36" t="n">
        <v>-0.1808789186894063</v>
      </c>
      <c r="T456" s="36" t="n">
        <v>-0.2487668743509865</v>
      </c>
      <c r="U456" s="31" t="n">
        <v>61400</v>
      </c>
      <c r="V456" s="31" t="n">
        <v>17490</v>
      </c>
      <c r="W456" s="36" t="n">
        <v>-0.6229641693811074</v>
      </c>
      <c r="X456" s="36" t="n">
        <v>0.3236134934248143</v>
      </c>
      <c r="Y456" s="31" t="n">
        <v>20476584</v>
      </c>
      <c r="Z456" s="31" t="n">
        <v>474032919600</v>
      </c>
      <c r="AA456" s="31" t="n">
        <v>2518974650</v>
      </c>
      <c r="AB456" s="31" t="n">
        <v>3713831502.5</v>
      </c>
      <c r="AC456" s="36" t="n">
        <v>0.005313923455201317</v>
      </c>
      <c r="AD456" s="29" t="inlineStr">
        <is>
          <t>yfinance_download</t>
        </is>
      </c>
      <c r="AE456" s="29" t="inlineStr">
        <is>
          <t>317330.KQ</t>
        </is>
      </c>
    </row>
    <row r="457" ht="24" customHeight="1">
      <c r="A457" s="24" t="inlineStr">
        <is>
          <t>2025-04-22</t>
        </is>
      </c>
      <c r="B457" s="30" t="n">
        <v>22550</v>
      </c>
      <c r="C457" s="30" t="n">
        <v>23200</v>
      </c>
      <c r="D457" s="30" t="n">
        <v>22100</v>
      </c>
      <c r="E457" s="30" t="n">
        <v>22200</v>
      </c>
      <c r="F457" s="30" t="n">
        <v>22200</v>
      </c>
      <c r="G457" s="30" t="n">
        <v>135320</v>
      </c>
      <c r="H457" s="35" t="n">
        <v>-0.04103671706263501</v>
      </c>
      <c r="I457" s="35" t="n">
        <v>-0.6384364820846906</v>
      </c>
      <c r="J457" s="30" t="n">
        <v>21346</v>
      </c>
      <c r="K457" s="30" t="n">
        <v>28042</v>
      </c>
      <c r="L457" s="30" t="n">
        <v>30698.5</v>
      </c>
      <c r="M457" s="35" t="n">
        <v>0.9616046672446134</v>
      </c>
      <c r="N457" s="35" t="n">
        <v>0.7184329655682669</v>
      </c>
      <c r="O457" s="35" t="n">
        <v>0.004524886877828038</v>
      </c>
      <c r="P457" s="35" t="n">
        <v>-0.3728813559322034</v>
      </c>
      <c r="Q457" s="35" t="n">
        <v>-0.3884297520661157</v>
      </c>
      <c r="R457" s="35" t="n">
        <v>0.04000749554951755</v>
      </c>
      <c r="S457" s="35" t="n">
        <v>-0.2083303616004565</v>
      </c>
      <c r="T457" s="35" t="n">
        <v>-0.276837630503119</v>
      </c>
      <c r="U457" s="30" t="n">
        <v>61400</v>
      </c>
      <c r="V457" s="30" t="n">
        <v>17490</v>
      </c>
      <c r="W457" s="35" t="n">
        <v>-0.6384364820846906</v>
      </c>
      <c r="X457" s="35" t="n">
        <v>0.2692967409948541</v>
      </c>
      <c r="Y457" s="30" t="n">
        <v>20476584</v>
      </c>
      <c r="Z457" s="30" t="n">
        <v>454580164800</v>
      </c>
      <c r="AA457" s="30" t="n">
        <v>3004104000</v>
      </c>
      <c r="AB457" s="30" t="n">
        <v>3681563632.5</v>
      </c>
      <c r="AC457" s="35" t="n">
        <v>0.006608524156177613</v>
      </c>
      <c r="AD457" s="24" t="inlineStr">
        <is>
          <t>yfinance_download</t>
        </is>
      </c>
      <c r="AE457" s="24" t="inlineStr">
        <is>
          <t>317330.KQ</t>
        </is>
      </c>
    </row>
    <row r="458" ht="24" customHeight="1">
      <c r="A458" s="29" t="inlineStr">
        <is>
          <t>2025-04-23</t>
        </is>
      </c>
      <c r="B458" s="31" t="n">
        <v>22900</v>
      </c>
      <c r="C458" s="31" t="n">
        <v>24300</v>
      </c>
      <c r="D458" s="31" t="n">
        <v>22900</v>
      </c>
      <c r="E458" s="31" t="n">
        <v>24150</v>
      </c>
      <c r="F458" s="31" t="n">
        <v>24150</v>
      </c>
      <c r="G458" s="31" t="n">
        <v>187029</v>
      </c>
      <c r="H458" s="36" t="n">
        <v>0.08783783783783794</v>
      </c>
      <c r="I458" s="36" t="n">
        <v>-0.6066775244299674</v>
      </c>
      <c r="J458" s="31" t="n">
        <v>21423.5</v>
      </c>
      <c r="K458" s="31" t="n">
        <v>27851.16666666667</v>
      </c>
      <c r="L458" s="31" t="n">
        <v>30603.5</v>
      </c>
      <c r="M458" s="36" t="n">
        <v>1.00703307037604</v>
      </c>
      <c r="N458" s="36" t="n">
        <v>0.7437970333140842</v>
      </c>
      <c r="O458" s="36" t="n">
        <v>0.06858407079646023</v>
      </c>
      <c r="P458" s="36" t="n">
        <v>-0.3216292134831461</v>
      </c>
      <c r="Q458" s="36" t="n">
        <v>-0.320675105485232</v>
      </c>
      <c r="R458" s="36" t="n">
        <v>0.1272667864727985</v>
      </c>
      <c r="S458" s="36" t="n">
        <v>-0.1328909022362917</v>
      </c>
      <c r="T458" s="36" t="n">
        <v>-0.2108745731697355</v>
      </c>
      <c r="U458" s="31" t="n">
        <v>61400</v>
      </c>
      <c r="V458" s="31" t="n">
        <v>17490</v>
      </c>
      <c r="W458" s="36" t="n">
        <v>-0.6066775244299674</v>
      </c>
      <c r="X458" s="36" t="n">
        <v>0.3807890222984562</v>
      </c>
      <c r="Y458" s="31" t="n">
        <v>20476584</v>
      </c>
      <c r="Z458" s="31" t="n">
        <v>494509503600</v>
      </c>
      <c r="AA458" s="31" t="n">
        <v>4516750350</v>
      </c>
      <c r="AB458" s="31" t="n">
        <v>3723021310</v>
      </c>
      <c r="AC458" s="36" t="n">
        <v>0.009133798879735018</v>
      </c>
      <c r="AD458" s="29" t="inlineStr">
        <is>
          <t>yfinance_download</t>
        </is>
      </c>
      <c r="AE458" s="29" t="inlineStr">
        <is>
          <t>317330.KQ</t>
        </is>
      </c>
    </row>
    <row r="459" ht="24" customHeight="1">
      <c r="A459" s="24" t="inlineStr">
        <is>
          <t>2025-04-24</t>
        </is>
      </c>
      <c r="B459" s="30" t="n">
        <v>24750</v>
      </c>
      <c r="C459" s="30" t="n">
        <v>24800</v>
      </c>
      <c r="D459" s="30" t="n">
        <v>23650</v>
      </c>
      <c r="E459" s="30" t="n">
        <v>23650</v>
      </c>
      <c r="F459" s="30" t="n">
        <v>23650</v>
      </c>
      <c r="G459" s="30" t="n">
        <v>139705</v>
      </c>
      <c r="H459" s="35" t="n">
        <v>-0.02070393374741197</v>
      </c>
      <c r="I459" s="35" t="n">
        <v>-0.6148208469055374</v>
      </c>
      <c r="J459" s="30" t="n">
        <v>21528.5</v>
      </c>
      <c r="K459" s="30" t="n">
        <v>27671.16666666667</v>
      </c>
      <c r="L459" s="30" t="n">
        <v>30492.66666666667</v>
      </c>
      <c r="M459" s="35" t="n">
        <v>0.9935816484694051</v>
      </c>
      <c r="N459" s="35" t="n">
        <v>0.74238338027824</v>
      </c>
      <c r="O459" s="35" t="n">
        <v>0.09744779582366592</v>
      </c>
      <c r="P459" s="35" t="n">
        <v>-0.3134978229317852</v>
      </c>
      <c r="Q459" s="35" t="n">
        <v>-0.3599458728010826</v>
      </c>
      <c r="R459" s="35" t="n">
        <v>0.09854379078895414</v>
      </c>
      <c r="S459" s="35" t="n">
        <v>-0.1453197371511863</v>
      </c>
      <c r="T459" s="35" t="n">
        <v>-0.2244036817595487</v>
      </c>
      <c r="U459" s="30" t="n">
        <v>61400</v>
      </c>
      <c r="V459" s="30" t="n">
        <v>17490</v>
      </c>
      <c r="W459" s="35" t="n">
        <v>-0.6148208469055374</v>
      </c>
      <c r="X459" s="35" t="n">
        <v>0.3522012578616351</v>
      </c>
      <c r="Y459" s="30" t="n">
        <v>20476584</v>
      </c>
      <c r="Z459" s="30" t="n">
        <v>484271211600</v>
      </c>
      <c r="AA459" s="30" t="n">
        <v>3304023250</v>
      </c>
      <c r="AB459" s="30" t="n">
        <v>3815120562.5</v>
      </c>
      <c r="AC459" s="35" t="n">
        <v>0.006822671203360873</v>
      </c>
      <c r="AD459" s="24" t="inlineStr">
        <is>
          <t>yfinance_download</t>
        </is>
      </c>
      <c r="AE459" s="24" t="inlineStr">
        <is>
          <t>317330.KQ</t>
        </is>
      </c>
    </row>
    <row r="460" ht="24" customHeight="1">
      <c r="A460" s="29" t="inlineStr">
        <is>
          <t>2025-04-25</t>
        </is>
      </c>
      <c r="B460" s="31" t="n">
        <v>24350</v>
      </c>
      <c r="C460" s="31" t="n">
        <v>24350</v>
      </c>
      <c r="D460" s="31" t="n">
        <v>23500</v>
      </c>
      <c r="E460" s="31" t="n">
        <v>23750</v>
      </c>
      <c r="F460" s="31" t="n">
        <v>23750</v>
      </c>
      <c r="G460" s="31" t="n">
        <v>61623</v>
      </c>
      <c r="H460" s="36" t="n">
        <v>0.004228329809725206</v>
      </c>
      <c r="I460" s="36" t="n">
        <v>-0.6131921824104234</v>
      </c>
      <c r="J460" s="31" t="n">
        <v>21638.5</v>
      </c>
      <c r="K460" s="31" t="n">
        <v>27500.33333333333</v>
      </c>
      <c r="L460" s="31" t="n">
        <v>30391.83333333333</v>
      </c>
      <c r="M460" s="36" t="n">
        <v>0.9933308876400684</v>
      </c>
      <c r="N460" s="36" t="n">
        <v>0.7424473212220163</v>
      </c>
      <c r="O460" s="36" t="n">
        <v>0.1020881670533642</v>
      </c>
      <c r="P460" s="36" t="n">
        <v>-0.3014705882352942</v>
      </c>
      <c r="Q460" s="36" t="n">
        <v>-0.3375174337517434</v>
      </c>
      <c r="R460" s="36" t="n">
        <v>0.09758070106523098</v>
      </c>
      <c r="S460" s="36" t="n">
        <v>-0.1363741045563084</v>
      </c>
      <c r="T460" s="36" t="n">
        <v>-0.2185400683297596</v>
      </c>
      <c r="U460" s="31" t="n">
        <v>61400</v>
      </c>
      <c r="V460" s="31" t="n">
        <v>17490</v>
      </c>
      <c r="W460" s="36" t="n">
        <v>-0.6131921824104234</v>
      </c>
      <c r="X460" s="36" t="n">
        <v>0.3579188107489994</v>
      </c>
      <c r="Y460" s="31" t="n">
        <v>20476584</v>
      </c>
      <c r="Z460" s="31" t="n">
        <v>486318870000</v>
      </c>
      <c r="AA460" s="31" t="n">
        <v>1463546250</v>
      </c>
      <c r="AB460" s="31" t="n">
        <v>3719412680</v>
      </c>
      <c r="AC460" s="36" t="n">
        <v>0.003009437511647451</v>
      </c>
      <c r="AD460" s="29" t="inlineStr">
        <is>
          <t>yfinance_download</t>
        </is>
      </c>
      <c r="AE460" s="29" t="inlineStr">
        <is>
          <t>317330.KQ</t>
        </is>
      </c>
    </row>
    <row r="461" ht="24" customHeight="1">
      <c r="A461" s="24" t="inlineStr">
        <is>
          <t>2025-04-28</t>
        </is>
      </c>
      <c r="B461" s="30" t="n">
        <v>23750</v>
      </c>
      <c r="C461" s="30" t="n">
        <v>24150</v>
      </c>
      <c r="D461" s="30" t="n">
        <v>22850</v>
      </c>
      <c r="E461" s="30" t="n">
        <v>23050</v>
      </c>
      <c r="F461" s="30" t="n">
        <v>23050</v>
      </c>
      <c r="G461" s="30" t="n">
        <v>87075</v>
      </c>
      <c r="H461" s="35" t="n">
        <v>-0.02947368421052632</v>
      </c>
      <c r="I461" s="35" t="n">
        <v>-0.6245928338762214</v>
      </c>
      <c r="J461" s="30" t="n">
        <v>21807.5</v>
      </c>
      <c r="K461" s="30" t="n">
        <v>27312.83333333333</v>
      </c>
      <c r="L461" s="30" t="n">
        <v>30285.16666666667</v>
      </c>
      <c r="M461" s="35" t="n">
        <v>0.940673036627781</v>
      </c>
      <c r="N461" s="35" t="n">
        <v>0.7435679387232315</v>
      </c>
      <c r="O461" s="35" t="n">
        <v>0.1718352821555669</v>
      </c>
      <c r="P461" s="35" t="n">
        <v>-0.3279883381924198</v>
      </c>
      <c r="Q461" s="35" t="n">
        <v>-0.3570432357043236</v>
      </c>
      <c r="R461" s="35" t="n">
        <v>0.05697581107417182</v>
      </c>
      <c r="S461" s="35" t="n">
        <v>-0.1560743728528103</v>
      </c>
      <c r="T461" s="35" t="n">
        <v>-0.2389013323354118</v>
      </c>
      <c r="U461" s="30" t="n">
        <v>61400</v>
      </c>
      <c r="V461" s="30" t="n">
        <v>17490</v>
      </c>
      <c r="W461" s="35" t="n">
        <v>-0.6245928338762214</v>
      </c>
      <c r="X461" s="35" t="n">
        <v>0.31789594053745</v>
      </c>
      <c r="Y461" s="30" t="n">
        <v>20476584</v>
      </c>
      <c r="Z461" s="30" t="n">
        <v>471985261200</v>
      </c>
      <c r="AA461" s="30" t="n">
        <v>2007078750</v>
      </c>
      <c r="AB461" s="30" t="n">
        <v>3635264968</v>
      </c>
      <c r="AC461" s="35" t="n">
        <v>0.004252418274454372</v>
      </c>
      <c r="AD461" s="24" t="inlineStr">
        <is>
          <t>yfinance_download</t>
        </is>
      </c>
      <c r="AE461" s="24" t="inlineStr">
        <is>
          <t>317330.KQ</t>
        </is>
      </c>
    </row>
    <row r="462" ht="24" customHeight="1">
      <c r="A462" s="29" t="inlineStr">
        <is>
          <t>2025-04-29</t>
        </is>
      </c>
      <c r="B462" s="31" t="n">
        <v>23100</v>
      </c>
      <c r="C462" s="31" t="n">
        <v>23400</v>
      </c>
      <c r="D462" s="31" t="n">
        <v>22500</v>
      </c>
      <c r="E462" s="31" t="n">
        <v>22900</v>
      </c>
      <c r="F462" s="31" t="n">
        <v>22900</v>
      </c>
      <c r="G462" s="31" t="n">
        <v>98946</v>
      </c>
      <c r="H462" s="36" t="n">
        <v>-0.006507592190889366</v>
      </c>
      <c r="I462" s="36" t="n">
        <v>-0.6270358306188926</v>
      </c>
      <c r="J462" s="31" t="n">
        <v>21927.5</v>
      </c>
      <c r="K462" s="31" t="n">
        <v>27164.5</v>
      </c>
      <c r="L462" s="31" t="n">
        <v>30161</v>
      </c>
      <c r="M462" s="36" t="n">
        <v>0.9341184952117733</v>
      </c>
      <c r="N462" s="36" t="n">
        <v>0.7302188050635777</v>
      </c>
      <c r="O462" s="36" t="n">
        <v>0.1170731707317074</v>
      </c>
      <c r="P462" s="36" t="n">
        <v>-0.279874213836478</v>
      </c>
      <c r="Q462" s="36" t="n">
        <v>-0.3941798941798942</v>
      </c>
      <c r="R462" s="36" t="n">
        <v>0.04435070117432449</v>
      </c>
      <c r="S462" s="36" t="n">
        <v>-0.1569879806364924</v>
      </c>
      <c r="T462" s="36" t="n">
        <v>-0.2407413547296178</v>
      </c>
      <c r="U462" s="31" t="n">
        <v>61400</v>
      </c>
      <c r="V462" s="31" t="n">
        <v>17490</v>
      </c>
      <c r="W462" s="36" t="n">
        <v>-0.6270358306188926</v>
      </c>
      <c r="X462" s="36" t="n">
        <v>0.3093196112064036</v>
      </c>
      <c r="Y462" s="31" t="n">
        <v>20476584</v>
      </c>
      <c r="Z462" s="31" t="n">
        <v>468913773600</v>
      </c>
      <c r="AA462" s="31" t="n">
        <v>2265863400</v>
      </c>
      <c r="AB462" s="31" t="n">
        <v>3599021913</v>
      </c>
      <c r="AC462" s="36" t="n">
        <v>0.004832153644377402</v>
      </c>
      <c r="AD462" s="29" t="inlineStr">
        <is>
          <t>yfinance_download</t>
        </is>
      </c>
      <c r="AE462" s="29" t="inlineStr">
        <is>
          <t>317330.KQ</t>
        </is>
      </c>
    </row>
    <row r="463" ht="24" customHeight="1">
      <c r="A463" s="24" t="inlineStr">
        <is>
          <t>2025-04-30</t>
        </is>
      </c>
      <c r="B463" s="30" t="n">
        <v>22950</v>
      </c>
      <c r="C463" s="30" t="n">
        <v>23050</v>
      </c>
      <c r="D463" s="30" t="n">
        <v>22100</v>
      </c>
      <c r="E463" s="30" t="n">
        <v>22250</v>
      </c>
      <c r="F463" s="30" t="n">
        <v>22250</v>
      </c>
      <c r="G463" s="30" t="n">
        <v>69882</v>
      </c>
      <c r="H463" s="35" t="n">
        <v>-0.02838427947598254</v>
      </c>
      <c r="I463" s="35" t="n">
        <v>-0.6376221498371335</v>
      </c>
      <c r="J463" s="30" t="n">
        <v>22030</v>
      </c>
      <c r="K463" s="30" t="n">
        <v>27012</v>
      </c>
      <c r="L463" s="30" t="n">
        <v>30010.58333333333</v>
      </c>
      <c r="M463" s="35" t="n">
        <v>0.9396235531053858</v>
      </c>
      <c r="N463" s="35" t="n">
        <v>0.7316874749291841</v>
      </c>
      <c r="O463" s="35" t="n">
        <v>0.1014851485148516</v>
      </c>
      <c r="P463" s="35" t="n">
        <v>-0.2914012738853503</v>
      </c>
      <c r="Q463" s="35" t="n">
        <v>-0.4478908188585607</v>
      </c>
      <c r="R463" s="35" t="n">
        <v>0.009986382206082611</v>
      </c>
      <c r="S463" s="35" t="n">
        <v>-0.1762920183622094</v>
      </c>
      <c r="T463" s="35" t="n">
        <v>-0.2585948845823834</v>
      </c>
      <c r="U463" s="30" t="n">
        <v>61400</v>
      </c>
      <c r="V463" s="30" t="n">
        <v>17490</v>
      </c>
      <c r="W463" s="35" t="n">
        <v>-0.6376221498371335</v>
      </c>
      <c r="X463" s="35" t="n">
        <v>0.2721555174385364</v>
      </c>
      <c r="Y463" s="30" t="n">
        <v>20476584</v>
      </c>
      <c r="Z463" s="30" t="n">
        <v>455603994000</v>
      </c>
      <c r="AA463" s="30" t="n">
        <v>1554874500</v>
      </c>
      <c r="AB463" s="30" t="n">
        <v>3573730488</v>
      </c>
      <c r="AC463" s="35" t="n">
        <v>0.003412776271667188</v>
      </c>
      <c r="AD463" s="24" t="inlineStr">
        <is>
          <t>yfinance_download</t>
        </is>
      </c>
      <c r="AE463" s="24" t="inlineStr">
        <is>
          <t>317330.KQ</t>
        </is>
      </c>
    </row>
    <row r="464" ht="24" customHeight="1">
      <c r="A464" s="29" t="inlineStr">
        <is>
          <t>2025-05-02</t>
        </is>
      </c>
      <c r="B464" s="31" t="n">
        <v>22200</v>
      </c>
      <c r="C464" s="31" t="n">
        <v>22950</v>
      </c>
      <c r="D464" s="31" t="n">
        <v>21600</v>
      </c>
      <c r="E464" s="31" t="n">
        <v>22450</v>
      </c>
      <c r="F464" s="31" t="n">
        <v>22450</v>
      </c>
      <c r="G464" s="31" t="n">
        <v>121520</v>
      </c>
      <c r="H464" s="36" t="n">
        <v>0.008988764044943753</v>
      </c>
      <c r="I464" s="36" t="n">
        <v>-0.6343648208469055</v>
      </c>
      <c r="J464" s="31" t="n">
        <v>22095</v>
      </c>
      <c r="K464" s="31" t="n">
        <v>26833.66666666667</v>
      </c>
      <c r="L464" s="31" t="n">
        <v>29858.5</v>
      </c>
      <c r="M464" s="36" t="n">
        <v>0.9274454256769873</v>
      </c>
      <c r="N464" s="36" t="n">
        <v>0.7213932228962463</v>
      </c>
      <c r="O464" s="36" t="n">
        <v>0.06146572104018921</v>
      </c>
      <c r="P464" s="36" t="n">
        <v>-0.3227752639517345</v>
      </c>
      <c r="Q464" s="36" t="n">
        <v>-0.4484029484029484</v>
      </c>
      <c r="R464" s="36" t="n">
        <v>0.01606698348042546</v>
      </c>
      <c r="S464" s="36" t="n">
        <v>-0.1633644302555248</v>
      </c>
      <c r="T464" s="36" t="n">
        <v>-0.2481203007518797</v>
      </c>
      <c r="U464" s="31" t="n">
        <v>61400</v>
      </c>
      <c r="V464" s="31" t="n">
        <v>17490</v>
      </c>
      <c r="W464" s="36" t="n">
        <v>-0.6343648208469055</v>
      </c>
      <c r="X464" s="36" t="n">
        <v>0.2835906232132648</v>
      </c>
      <c r="Y464" s="31" t="n">
        <v>20476584</v>
      </c>
      <c r="Z464" s="31" t="n">
        <v>459699310800</v>
      </c>
      <c r="AA464" s="31" t="n">
        <v>2728124000</v>
      </c>
      <c r="AB464" s="31" t="n">
        <v>3544119763</v>
      </c>
      <c r="AC464" s="36" t="n">
        <v>0.005934583620002242</v>
      </c>
      <c r="AD464" s="29" t="inlineStr">
        <is>
          <t>yfinance_download</t>
        </is>
      </c>
      <c r="AE464" s="29" t="inlineStr">
        <is>
          <t>317330.KQ</t>
        </is>
      </c>
    </row>
    <row r="465" ht="24" customHeight="1">
      <c r="A465" s="24" t="inlineStr">
        <is>
          <t>2025-05-07</t>
        </is>
      </c>
      <c r="B465" s="30" t="n">
        <v>22450</v>
      </c>
      <c r="C465" s="30" t="n">
        <v>22750</v>
      </c>
      <c r="D465" s="30" t="n">
        <v>21450</v>
      </c>
      <c r="E465" s="30" t="n">
        <v>21650</v>
      </c>
      <c r="F465" s="30" t="n">
        <v>21650</v>
      </c>
      <c r="G465" s="30" t="n">
        <v>60401</v>
      </c>
      <c r="H465" s="35" t="n">
        <v>-0.03563474387527843</v>
      </c>
      <c r="I465" s="35" t="n">
        <v>-0.6473941368078175</v>
      </c>
      <c r="J465" s="30" t="n">
        <v>22120</v>
      </c>
      <c r="K465" s="30" t="n">
        <v>26611.16666666667</v>
      </c>
      <c r="L465" s="30" t="n">
        <v>29704.75</v>
      </c>
      <c r="M465" s="35" t="n">
        <v>0.9383137750520363</v>
      </c>
      <c r="N465" s="35" t="n">
        <v>0.7124927061537754</v>
      </c>
      <c r="O465" s="35" t="n">
        <v>0.02364066193853431</v>
      </c>
      <c r="P465" s="35" t="n">
        <v>-0.3814285714285715</v>
      </c>
      <c r="Q465" s="35" t="n">
        <v>-0.4600997506234414</v>
      </c>
      <c r="R465" s="35" t="n">
        <v>-0.02124773960216997</v>
      </c>
      <c r="S465" s="35" t="n">
        <v>-0.1864317611027952</v>
      </c>
      <c r="T465" s="35" t="n">
        <v>-0.2711603363098495</v>
      </c>
      <c r="U465" s="30" t="n">
        <v>61400</v>
      </c>
      <c r="V465" s="30" t="n">
        <v>17490</v>
      </c>
      <c r="W465" s="35" t="n">
        <v>-0.6473941368078175</v>
      </c>
      <c r="X465" s="35" t="n">
        <v>0.237850200114351</v>
      </c>
      <c r="Y465" s="30" t="n">
        <v>20476584</v>
      </c>
      <c r="Z465" s="30" t="n">
        <v>443318043600</v>
      </c>
      <c r="AA465" s="30" t="n">
        <v>1307681650</v>
      </c>
      <c r="AB465" s="30" t="n">
        <v>3393521103</v>
      </c>
      <c r="AC465" s="35" t="n">
        <v>0.002949759588806414</v>
      </c>
      <c r="AD465" s="24" t="inlineStr">
        <is>
          <t>yfinance_download</t>
        </is>
      </c>
      <c r="AE465" s="24" t="inlineStr">
        <is>
          <t>317330.KQ</t>
        </is>
      </c>
    </row>
    <row r="466" ht="24" customHeight="1">
      <c r="A466" s="29" t="inlineStr">
        <is>
          <t>2025-05-08</t>
        </is>
      </c>
      <c r="B466" s="31" t="n">
        <v>21800</v>
      </c>
      <c r="C466" s="31" t="n">
        <v>22000</v>
      </c>
      <c r="D466" s="31" t="n">
        <v>21450</v>
      </c>
      <c r="E466" s="31" t="n">
        <v>21800</v>
      </c>
      <c r="F466" s="31" t="n">
        <v>21800</v>
      </c>
      <c r="G466" s="31" t="n">
        <v>41785</v>
      </c>
      <c r="H466" s="36" t="n">
        <v>0.006928406466512715</v>
      </c>
      <c r="I466" s="36" t="n">
        <v>-0.6449511400651466</v>
      </c>
      <c r="J466" s="31" t="n">
        <v>22227</v>
      </c>
      <c r="K466" s="31" t="n">
        <v>26372.83333333333</v>
      </c>
      <c r="L466" s="31" t="n">
        <v>29561</v>
      </c>
      <c r="M466" s="36" t="n">
        <v>0.8975750297828983</v>
      </c>
      <c r="N466" s="36" t="n">
        <v>0.7086051543834998</v>
      </c>
      <c r="O466" s="36" t="n">
        <v>0.1088504577822991</v>
      </c>
      <c r="P466" s="36" t="n">
        <v>-0.3961218836565097</v>
      </c>
      <c r="Q466" s="36" t="n">
        <v>-0.441741357234315</v>
      </c>
      <c r="R466" s="36" t="n">
        <v>-0.01921086966302243</v>
      </c>
      <c r="S466" s="36" t="n">
        <v>-0.1733918110176507</v>
      </c>
      <c r="T466" s="36" t="n">
        <v>-0.2625418625892223</v>
      </c>
      <c r="U466" s="31" t="n">
        <v>61400</v>
      </c>
      <c r="V466" s="31" t="n">
        <v>17490</v>
      </c>
      <c r="W466" s="36" t="n">
        <v>-0.6449511400651466</v>
      </c>
      <c r="X466" s="36" t="n">
        <v>0.2464265294453973</v>
      </c>
      <c r="Y466" s="31" t="n">
        <v>20476584</v>
      </c>
      <c r="Z466" s="31" t="n">
        <v>446389531200</v>
      </c>
      <c r="AA466" s="31" t="n">
        <v>910913000</v>
      </c>
      <c r="AB466" s="31" t="n">
        <v>3305711990</v>
      </c>
      <c r="AC466" s="36" t="n">
        <v>0.002040623572759988</v>
      </c>
      <c r="AD466" s="29" t="inlineStr">
        <is>
          <t>yfinance_download</t>
        </is>
      </c>
      <c r="AE466" s="29" t="inlineStr">
        <is>
          <t>317330.KQ</t>
        </is>
      </c>
    </row>
    <row r="467" ht="24" customHeight="1">
      <c r="A467" s="24" t="inlineStr">
        <is>
          <t>2025-05-09</t>
        </is>
      </c>
      <c r="B467" s="30" t="n">
        <v>22000</v>
      </c>
      <c r="C467" s="30" t="n">
        <v>22000</v>
      </c>
      <c r="D467" s="30" t="n">
        <v>20550</v>
      </c>
      <c r="E467" s="30" t="n">
        <v>20950</v>
      </c>
      <c r="F467" s="30" t="n">
        <v>20950</v>
      </c>
      <c r="G467" s="30" t="n">
        <v>91704</v>
      </c>
      <c r="H467" s="35" t="n">
        <v>-0.03899082568807344</v>
      </c>
      <c r="I467" s="35" t="n">
        <v>-0.6587947882736156</v>
      </c>
      <c r="J467" s="30" t="n">
        <v>22329.5</v>
      </c>
      <c r="K467" s="30" t="n">
        <v>26130.33333333333</v>
      </c>
      <c r="L467" s="30" t="n">
        <v>29417.25</v>
      </c>
      <c r="M467" s="35" t="n">
        <v>0.8977989765845916</v>
      </c>
      <c r="N467" s="35" t="n">
        <v>0.7113232480822029</v>
      </c>
      <c r="O467" s="35" t="n">
        <v>0.1084656084656084</v>
      </c>
      <c r="P467" s="35" t="n">
        <v>-0.4098591549295775</v>
      </c>
      <c r="Q467" s="35" t="n">
        <v>-0.4515706806282722</v>
      </c>
      <c r="R467" s="35" t="n">
        <v>-0.06177926061936001</v>
      </c>
      <c r="S467" s="35" t="n">
        <v>-0.1982497990840785</v>
      </c>
      <c r="T467" s="35" t="n">
        <v>-0.2878328191792231</v>
      </c>
      <c r="U467" s="30" t="n">
        <v>61400</v>
      </c>
      <c r="V467" s="30" t="n">
        <v>17490</v>
      </c>
      <c r="W467" s="35" t="n">
        <v>-0.6587947882736156</v>
      </c>
      <c r="X467" s="35" t="n">
        <v>0.1978273299028015</v>
      </c>
      <c r="Y467" s="30" t="n">
        <v>20476584</v>
      </c>
      <c r="Z467" s="30" t="n">
        <v>428984434800</v>
      </c>
      <c r="AA467" s="30" t="n">
        <v>1921198800</v>
      </c>
      <c r="AB467" s="30" t="n">
        <v>3261637880</v>
      </c>
      <c r="AC467" s="35" t="n">
        <v>0.004478481371697545</v>
      </c>
      <c r="AD467" s="24" t="inlineStr">
        <is>
          <t>yfinance_download</t>
        </is>
      </c>
      <c r="AE467" s="24" t="inlineStr">
        <is>
          <t>317330.KQ</t>
        </is>
      </c>
    </row>
    <row r="468" ht="24" customHeight="1">
      <c r="A468" s="29" t="inlineStr">
        <is>
          <t>2025-05-12</t>
        </is>
      </c>
      <c r="B468" s="31" t="n">
        <v>21050</v>
      </c>
      <c r="C468" s="31" t="n">
        <v>21500</v>
      </c>
      <c r="D468" s="31" t="n">
        <v>20950</v>
      </c>
      <c r="E468" s="31" t="n">
        <v>21300</v>
      </c>
      <c r="F468" s="31" t="n">
        <v>21300</v>
      </c>
      <c r="G468" s="31" t="n">
        <v>73721</v>
      </c>
      <c r="H468" s="36" t="n">
        <v>0.01670644391408116</v>
      </c>
      <c r="I468" s="36" t="n">
        <v>-0.6530944625407167</v>
      </c>
      <c r="J468" s="31" t="n">
        <v>22520</v>
      </c>
      <c r="K468" s="31" t="n">
        <v>25908.66666666667</v>
      </c>
      <c r="L468" s="31" t="n">
        <v>29264.75</v>
      </c>
      <c r="M468" s="36" t="n">
        <v>0.8452346920809077</v>
      </c>
      <c r="N468" s="36" t="n">
        <v>0.7121112715219298</v>
      </c>
      <c r="O468" s="36" t="n">
        <v>0.2178387650085762</v>
      </c>
      <c r="P468" s="36" t="n">
        <v>-0.384393063583815</v>
      </c>
      <c r="Q468" s="36" t="n">
        <v>-0.4621212121212122</v>
      </c>
      <c r="R468" s="36" t="n">
        <v>-0.05417406749555953</v>
      </c>
      <c r="S468" s="36" t="n">
        <v>-0.1778812752489515</v>
      </c>
      <c r="T468" s="36" t="n">
        <v>-0.2721619012634654</v>
      </c>
      <c r="U468" s="31" t="n">
        <v>61400</v>
      </c>
      <c r="V468" s="31" t="n">
        <v>17490</v>
      </c>
      <c r="W468" s="36" t="n">
        <v>-0.6530944625407167</v>
      </c>
      <c r="X468" s="36" t="n">
        <v>0.2178387650085762</v>
      </c>
      <c r="Y468" s="31" t="n">
        <v>20476584</v>
      </c>
      <c r="Z468" s="31" t="n">
        <v>436151239200</v>
      </c>
      <c r="AA468" s="31" t="n">
        <v>1570257300</v>
      </c>
      <c r="AB468" s="31" t="n">
        <v>3193750700</v>
      </c>
      <c r="AC468" s="36" t="n">
        <v>0.003600258715027858</v>
      </c>
      <c r="AD468" s="29" t="inlineStr">
        <is>
          <t>yfinance_download</t>
        </is>
      </c>
      <c r="AE468" s="29" t="inlineStr">
        <is>
          <t>317330.KQ</t>
        </is>
      </c>
    </row>
    <row r="469" ht="24" customHeight="1">
      <c r="A469" s="24" t="inlineStr">
        <is>
          <t>2025-05-13</t>
        </is>
      </c>
      <c r="B469" s="30" t="n">
        <v>21900</v>
      </c>
      <c r="C469" s="30" t="n">
        <v>22000</v>
      </c>
      <c r="D469" s="30" t="n">
        <v>21100</v>
      </c>
      <c r="E469" s="30" t="n">
        <v>21150</v>
      </c>
      <c r="F469" s="30" t="n">
        <v>21150</v>
      </c>
      <c r="G469" s="30" t="n">
        <v>55668</v>
      </c>
      <c r="H469" s="35" t="n">
        <v>-0.007042253521126751</v>
      </c>
      <c r="I469" s="35" t="n">
        <v>-0.6555374592833876</v>
      </c>
      <c r="J469" s="30" t="n">
        <v>22542.5</v>
      </c>
      <c r="K469" s="30" t="n">
        <v>25684.5</v>
      </c>
      <c r="L469" s="30" t="n">
        <v>29129.33333333333</v>
      </c>
      <c r="M469" s="35" t="n">
        <v>0.5483203932540429</v>
      </c>
      <c r="N469" s="35" t="n">
        <v>0.7119578441225339</v>
      </c>
      <c r="O469" s="35" t="n">
        <v>0.02173913043478271</v>
      </c>
      <c r="P469" s="35" t="n">
        <v>-0.388728323699422</v>
      </c>
      <c r="Q469" s="35" t="n">
        <v>-0.4344919786096256</v>
      </c>
      <c r="R469" s="35" t="n">
        <v>-0.06177220805145833</v>
      </c>
      <c r="S469" s="35" t="n">
        <v>-0.1765461659755884</v>
      </c>
      <c r="T469" s="35" t="n">
        <v>-0.273927770403259</v>
      </c>
      <c r="U469" s="30" t="n">
        <v>61400</v>
      </c>
      <c r="V469" s="30" t="n">
        <v>17490</v>
      </c>
      <c r="W469" s="35" t="n">
        <v>-0.6555374592833876</v>
      </c>
      <c r="X469" s="35" t="n">
        <v>0.2092624356775301</v>
      </c>
      <c r="Y469" s="30" t="n">
        <v>20476584</v>
      </c>
      <c r="Z469" s="30" t="n">
        <v>433079751600</v>
      </c>
      <c r="AA469" s="30" t="n">
        <v>1177378200</v>
      </c>
      <c r="AB469" s="30" t="n">
        <v>2881854665</v>
      </c>
      <c r="AC469" s="35" t="n">
        <v>0.002718617519406557</v>
      </c>
      <c r="AD469" s="24" t="inlineStr">
        <is>
          <t>yfinance_download</t>
        </is>
      </c>
      <c r="AE469" s="24" t="inlineStr">
        <is>
          <t>317330.KQ</t>
        </is>
      </c>
    </row>
    <row r="470" ht="24" customHeight="1">
      <c r="A470" s="29" t="inlineStr">
        <is>
          <t>2025-05-14</t>
        </is>
      </c>
      <c r="B470" s="31" t="n">
        <v>21100</v>
      </c>
      <c r="C470" s="31" t="n">
        <v>21200</v>
      </c>
      <c r="D470" s="31" t="n">
        <v>19990</v>
      </c>
      <c r="E470" s="31" t="n">
        <v>20400</v>
      </c>
      <c r="F470" s="31" t="n">
        <v>20400</v>
      </c>
      <c r="G470" s="31" t="n">
        <v>176896</v>
      </c>
      <c r="H470" s="36" t="n">
        <v>-0.03546099290780147</v>
      </c>
      <c r="I470" s="36" t="n">
        <v>-0.6677524429967427</v>
      </c>
      <c r="J470" s="31" t="n">
        <v>22477.5</v>
      </c>
      <c r="K470" s="31" t="n">
        <v>25422.83333333333</v>
      </c>
      <c r="L470" s="31" t="n">
        <v>28996.41666666667</v>
      </c>
      <c r="M470" s="36" t="n">
        <v>0.5341858689291301</v>
      </c>
      <c r="N470" s="36" t="n">
        <v>0.706349687179295</v>
      </c>
      <c r="O470" s="36" t="n">
        <v>-0.05990783410138245</v>
      </c>
      <c r="P470" s="36" t="n">
        <v>-0.4349030470914127</v>
      </c>
      <c r="Q470" s="36" t="n">
        <v>-0.4387895460797799</v>
      </c>
      <c r="R470" s="36" t="n">
        <v>-0.09242575909242579</v>
      </c>
      <c r="S470" s="36" t="n">
        <v>-0.1975717366933923</v>
      </c>
      <c r="T470" s="36" t="n">
        <v>-0.2964647930635107</v>
      </c>
      <c r="U470" s="31" t="n">
        <v>61400</v>
      </c>
      <c r="V470" s="31" t="n">
        <v>17490</v>
      </c>
      <c r="W470" s="36" t="n">
        <v>-0.6677524429967427</v>
      </c>
      <c r="X470" s="36" t="n">
        <v>0.1663807890222984</v>
      </c>
      <c r="Y470" s="31" t="n">
        <v>20476584</v>
      </c>
      <c r="Z470" s="31" t="n">
        <v>417722313600</v>
      </c>
      <c r="AA470" s="31" t="n">
        <v>3608678400</v>
      </c>
      <c r="AB470" s="31" t="n">
        <v>2688749125</v>
      </c>
      <c r="AC470" s="36" t="n">
        <v>0.008638940948353494</v>
      </c>
      <c r="AD470" s="29" t="inlineStr">
        <is>
          <t>yfinance_download</t>
        </is>
      </c>
      <c r="AE470" s="29" t="inlineStr">
        <is>
          <t>317330.KQ</t>
        </is>
      </c>
    </row>
    <row r="471" ht="24" customHeight="1">
      <c r="A471" s="24" t="inlineStr">
        <is>
          <t>2025-05-15</t>
        </is>
      </c>
      <c r="B471" s="30" t="n">
        <v>20250</v>
      </c>
      <c r="C471" s="30" t="n">
        <v>20450</v>
      </c>
      <c r="D471" s="30" t="n">
        <v>19950</v>
      </c>
      <c r="E471" s="30" t="n">
        <v>19990</v>
      </c>
      <c r="F471" s="30" t="n">
        <v>19990</v>
      </c>
      <c r="G471" s="30" t="n">
        <v>65294</v>
      </c>
      <c r="H471" s="35" t="n">
        <v>-0.02009803921568631</v>
      </c>
      <c r="I471" s="35" t="n">
        <v>-0.67442996742671</v>
      </c>
      <c r="J471" s="30" t="n">
        <v>22377</v>
      </c>
      <c r="K471" s="30" t="n">
        <v>25179.33333333333</v>
      </c>
      <c r="L471" s="30" t="n">
        <v>28885.91666666667</v>
      </c>
      <c r="M471" s="35" t="n">
        <v>0.5339606739791624</v>
      </c>
      <c r="N471" s="35" t="n">
        <v>0.703427694467177</v>
      </c>
      <c r="O471" s="35" t="n">
        <v>-0.09136363636363631</v>
      </c>
      <c r="P471" s="35" t="n">
        <v>-0.4222543352601156</v>
      </c>
      <c r="Q471" s="35" t="n">
        <v>-0.398796992481203</v>
      </c>
      <c r="R471" s="35" t="n">
        <v>-0.1066720293158153</v>
      </c>
      <c r="S471" s="35" t="n">
        <v>-0.2060949455902988</v>
      </c>
      <c r="T471" s="35" t="n">
        <v>-0.3079672620163806</v>
      </c>
      <c r="U471" s="30" t="n">
        <v>61400</v>
      </c>
      <c r="V471" s="30" t="n">
        <v>17490</v>
      </c>
      <c r="W471" s="35" t="n">
        <v>-0.67442996742671</v>
      </c>
      <c r="X471" s="35" t="n">
        <v>0.1429388221841053</v>
      </c>
      <c r="Y471" s="30" t="n">
        <v>20476584</v>
      </c>
      <c r="Z471" s="30" t="n">
        <v>409326914160</v>
      </c>
      <c r="AA471" s="30" t="n">
        <v>1305227060</v>
      </c>
      <c r="AB471" s="30" t="n">
        <v>2511281178</v>
      </c>
      <c r="AC471" s="35" t="n">
        <v>0.003188715461524246</v>
      </c>
      <c r="AD471" s="24" t="inlineStr">
        <is>
          <t>yfinance_download</t>
        </is>
      </c>
      <c r="AE471" s="24" t="inlineStr">
        <is>
          <t>317330.KQ</t>
        </is>
      </c>
    </row>
    <row r="472" ht="24" customHeight="1">
      <c r="A472" s="29" t="inlineStr">
        <is>
          <t>2025-05-16</t>
        </is>
      </c>
      <c r="B472" s="31" t="n">
        <v>19850</v>
      </c>
      <c r="C472" s="31" t="n">
        <v>20050</v>
      </c>
      <c r="D472" s="31" t="n">
        <v>18900</v>
      </c>
      <c r="E472" s="31" t="n">
        <v>19150</v>
      </c>
      <c r="F472" s="31" t="n">
        <v>19150</v>
      </c>
      <c r="G472" s="31" t="n">
        <v>133088</v>
      </c>
      <c r="H472" s="36" t="n">
        <v>-0.04202101050525264</v>
      </c>
      <c r="I472" s="36" t="n">
        <v>-0.6881107491856677</v>
      </c>
      <c r="J472" s="31" t="n">
        <v>22182</v>
      </c>
      <c r="K472" s="31" t="n">
        <v>24913.5</v>
      </c>
      <c r="L472" s="31" t="n">
        <v>28783.83333333333</v>
      </c>
      <c r="M472" s="36" t="n">
        <v>0.5126961986516952</v>
      </c>
      <c r="N472" s="36" t="n">
        <v>0.7051902546139468</v>
      </c>
      <c r="O472" s="36" t="n">
        <v>-0.1691973969631236</v>
      </c>
      <c r="P472" s="36" t="n">
        <v>-0.4544159544159544</v>
      </c>
      <c r="Q472" s="36" t="n">
        <v>-0.3901273885350318</v>
      </c>
      <c r="R472" s="36" t="n">
        <v>-0.1366874042016049</v>
      </c>
      <c r="S472" s="36" t="n">
        <v>-0.2313404379151865</v>
      </c>
      <c r="T472" s="36" t="n">
        <v>-0.3346959809615351</v>
      </c>
      <c r="U472" s="31" t="n">
        <v>61400</v>
      </c>
      <c r="V472" s="31" t="n">
        <v>17490</v>
      </c>
      <c r="W472" s="36" t="n">
        <v>-0.6881107491856677</v>
      </c>
      <c r="X472" s="36" t="n">
        <v>0.09491137793024595</v>
      </c>
      <c r="Y472" s="31" t="n">
        <v>20476584</v>
      </c>
      <c r="Z472" s="31" t="n">
        <v>392126583600</v>
      </c>
      <c r="AA472" s="31" t="n">
        <v>2548635200</v>
      </c>
      <c r="AB472" s="31" t="n">
        <v>2386816775.5</v>
      </c>
      <c r="AC472" s="36" t="n">
        <v>0.006499521599891857</v>
      </c>
      <c r="AD472" s="29" t="inlineStr">
        <is>
          <t>yfinance_download</t>
        </is>
      </c>
      <c r="AE472" s="29" t="inlineStr">
        <is>
          <t>317330.KQ</t>
        </is>
      </c>
    </row>
    <row r="473" ht="24" customHeight="1">
      <c r="A473" s="24" t="inlineStr">
        <is>
          <t>2025-05-19</t>
        </is>
      </c>
      <c r="B473" s="30" t="n">
        <v>18880</v>
      </c>
      <c r="C473" s="30" t="n">
        <v>19850</v>
      </c>
      <c r="D473" s="30" t="n">
        <v>18800</v>
      </c>
      <c r="E473" s="30" t="n">
        <v>19460</v>
      </c>
      <c r="F473" s="30" t="n">
        <v>19460</v>
      </c>
      <c r="G473" s="30" t="n">
        <v>86197</v>
      </c>
      <c r="H473" s="35" t="n">
        <v>0.01618798955613587</v>
      </c>
      <c r="I473" s="35" t="n">
        <v>-0.6830618892508143</v>
      </c>
      <c r="J473" s="30" t="n">
        <v>22020</v>
      </c>
      <c r="K473" s="30" t="n">
        <v>24670.33333333333</v>
      </c>
      <c r="L473" s="30" t="n">
        <v>28696.41666666667</v>
      </c>
      <c r="M473" s="35" t="n">
        <v>0.5195143357717078</v>
      </c>
      <c r="N473" s="35" t="n">
        <v>0.7057098672542241</v>
      </c>
      <c r="O473" s="35" t="n">
        <v>-0.1427312775330396</v>
      </c>
      <c r="P473" s="35" t="n">
        <v>-0.4284875183553598</v>
      </c>
      <c r="Q473" s="35" t="n">
        <v>-0.3502504173622705</v>
      </c>
      <c r="R473" s="35" t="n">
        <v>-0.1162579473206177</v>
      </c>
      <c r="S473" s="35" t="n">
        <v>-0.2111983353825783</v>
      </c>
      <c r="T473" s="35" t="n">
        <v>-0.3218665512825353</v>
      </c>
      <c r="U473" s="30" t="n">
        <v>61400</v>
      </c>
      <c r="V473" s="30" t="n">
        <v>17490</v>
      </c>
      <c r="W473" s="35" t="n">
        <v>-0.6830618892508143</v>
      </c>
      <c r="X473" s="35" t="n">
        <v>0.112635791881075</v>
      </c>
      <c r="Y473" s="30" t="n">
        <v>20476584</v>
      </c>
      <c r="Z473" s="30" t="n">
        <v>398474324640</v>
      </c>
      <c r="AA473" s="30" t="n">
        <v>1677393620</v>
      </c>
      <c r="AB473" s="30" t="n">
        <v>2273323576.5</v>
      </c>
      <c r="AC473" s="35" t="n">
        <v>0.004209540028746983</v>
      </c>
      <c r="AD473" s="24" t="inlineStr">
        <is>
          <t>yfinance_download</t>
        </is>
      </c>
      <c r="AE473" s="24" t="inlineStr">
        <is>
          <t>317330.KQ</t>
        </is>
      </c>
    </row>
    <row r="474" ht="24" customHeight="1">
      <c r="A474" s="29" t="inlineStr">
        <is>
          <t>2025-05-20</t>
        </is>
      </c>
      <c r="B474" s="31" t="n">
        <v>19530</v>
      </c>
      <c r="C474" s="31" t="n">
        <v>19700</v>
      </c>
      <c r="D474" s="31" t="n">
        <v>18040</v>
      </c>
      <c r="E474" s="31" t="n">
        <v>18100</v>
      </c>
      <c r="F474" s="31" t="n">
        <v>18100</v>
      </c>
      <c r="G474" s="31" t="n">
        <v>149856</v>
      </c>
      <c r="H474" s="36" t="n">
        <v>-0.06988694758478931</v>
      </c>
      <c r="I474" s="36" t="n">
        <v>-0.7052117263843648</v>
      </c>
      <c r="J474" s="31" t="n">
        <v>21772.5</v>
      </c>
      <c r="K474" s="31" t="n">
        <v>24353.66666666667</v>
      </c>
      <c r="L474" s="31" t="n">
        <v>28593.5</v>
      </c>
      <c r="M474" s="36" t="n">
        <v>0.5571981042952495</v>
      </c>
      <c r="N474" s="36" t="n">
        <v>0.6866193821309345</v>
      </c>
      <c r="O474" s="36" t="n">
        <v>-0.2147505422993492</v>
      </c>
      <c r="P474" s="36" t="n">
        <v>-0.5121293800539084</v>
      </c>
      <c r="Q474" s="36" t="n">
        <v>-0.4055829228243021</v>
      </c>
      <c r="R474" s="36" t="n">
        <v>-0.1686760822138018</v>
      </c>
      <c r="S474" s="36" t="n">
        <v>-0.2567854258770069</v>
      </c>
      <c r="T474" s="36" t="n">
        <v>-0.36698900099673</v>
      </c>
      <c r="U474" s="31" t="n">
        <v>61400</v>
      </c>
      <c r="V474" s="31" t="n">
        <v>17490</v>
      </c>
      <c r="W474" s="36" t="n">
        <v>-0.7052117263843648</v>
      </c>
      <c r="X474" s="36" t="n">
        <v>0.03487707261292172</v>
      </c>
      <c r="Y474" s="31" t="n">
        <v>20476584</v>
      </c>
      <c r="Z474" s="31" t="n">
        <v>370626170400</v>
      </c>
      <c r="AA474" s="31" t="n">
        <v>2712393600</v>
      </c>
      <c r="AB474" s="31" t="n">
        <v>2333636601.5</v>
      </c>
      <c r="AC474" s="36" t="n">
        <v>0.007318408187615669</v>
      </c>
      <c r="AD474" s="29" t="inlineStr">
        <is>
          <t>yfinance_download</t>
        </is>
      </c>
      <c r="AE474" s="29" t="inlineStr">
        <is>
          <t>317330.KQ</t>
        </is>
      </c>
    </row>
    <row r="475" ht="24" customHeight="1">
      <c r="A475" s="24" t="inlineStr">
        <is>
          <t>2025-05-21</t>
        </is>
      </c>
      <c r="B475" s="30" t="n">
        <v>17700</v>
      </c>
      <c r="C475" s="30" t="n">
        <v>18410</v>
      </c>
      <c r="D475" s="30" t="n">
        <v>17600</v>
      </c>
      <c r="E475" s="30" t="n">
        <v>17730</v>
      </c>
      <c r="F475" s="30" t="n">
        <v>17730</v>
      </c>
      <c r="G475" s="30" t="n">
        <v>207451</v>
      </c>
      <c r="H475" s="35" t="n">
        <v>-0.02044198895027627</v>
      </c>
      <c r="I475" s="35" t="n">
        <v>-0.7112377850162866</v>
      </c>
      <c r="J475" s="30" t="n">
        <v>21461.5</v>
      </c>
      <c r="K475" s="30" t="n">
        <v>24030</v>
      </c>
      <c r="L475" s="30" t="n">
        <v>28492.5</v>
      </c>
      <c r="M475" s="35" t="n">
        <v>0.524784718804575</v>
      </c>
      <c r="N475" s="35" t="n">
        <v>0.6863980352420976</v>
      </c>
      <c r="O475" s="35" t="n">
        <v>-0.2597077244258873</v>
      </c>
      <c r="P475" s="35" t="n">
        <v>-0.5227456258411844</v>
      </c>
      <c r="Q475" s="35" t="n">
        <v>-0.4060301507537688</v>
      </c>
      <c r="R475" s="35" t="n">
        <v>-0.1738694872213032</v>
      </c>
      <c r="S475" s="35" t="n">
        <v>-0.2621722846441947</v>
      </c>
      <c r="T475" s="35" t="n">
        <v>-0.3777309818373256</v>
      </c>
      <c r="U475" s="30" t="n">
        <v>61400</v>
      </c>
      <c r="V475" s="30" t="n">
        <v>17490</v>
      </c>
      <c r="W475" s="35" t="n">
        <v>-0.7112377850162866</v>
      </c>
      <c r="X475" s="35" t="n">
        <v>0.01372212692967412</v>
      </c>
      <c r="Y475" s="30" t="n">
        <v>20476584</v>
      </c>
      <c r="Z475" s="30" t="n">
        <v>363049834320</v>
      </c>
      <c r="AA475" s="30" t="n">
        <v>3678106230</v>
      </c>
      <c r="AB475" s="30" t="n">
        <v>2289060110.5</v>
      </c>
      <c r="AC475" s="35" t="n">
        <v>0.01013113320073309</v>
      </c>
      <c r="AD475" s="24" t="inlineStr">
        <is>
          <t>yfinance_download</t>
        </is>
      </c>
      <c r="AE475" s="24" t="inlineStr">
        <is>
          <t>317330.KQ</t>
        </is>
      </c>
    </row>
    <row r="476" ht="24" customHeight="1">
      <c r="A476" s="29" t="inlineStr">
        <is>
          <t>2025-05-22</t>
        </is>
      </c>
      <c r="B476" s="31" t="n">
        <v>17720</v>
      </c>
      <c r="C476" s="31" t="n">
        <v>17730</v>
      </c>
      <c r="D476" s="31" t="n">
        <v>17010</v>
      </c>
      <c r="E476" s="31" t="n">
        <v>17490</v>
      </c>
      <c r="F476" s="31" t="n">
        <v>17490</v>
      </c>
      <c r="G476" s="31" t="n">
        <v>132536</v>
      </c>
      <c r="H476" s="36" t="n">
        <v>-0.01353637901861249</v>
      </c>
      <c r="I476" s="36" t="n">
        <v>-0.7151465798045602</v>
      </c>
      <c r="J476" s="31" t="n">
        <v>21178.5</v>
      </c>
      <c r="K476" s="31" t="n">
        <v>23694.83333333333</v>
      </c>
      <c r="L476" s="31" t="n">
        <v>28381.58333333333</v>
      </c>
      <c r="M476" s="36" t="n">
        <v>0.5199645854538502</v>
      </c>
      <c r="N476" s="36" t="n">
        <v>0.6846619469767863</v>
      </c>
      <c r="O476" s="36" t="n">
        <v>-0.2444924406047516</v>
      </c>
      <c r="P476" s="36" t="n">
        <v>-0.5348404255319149</v>
      </c>
      <c r="Q476" s="36" t="n">
        <v>-0.4321428571428572</v>
      </c>
      <c r="R476" s="36" t="n">
        <v>-0.1741624760960407</v>
      </c>
      <c r="S476" s="36" t="n">
        <v>-0.2618644008187438</v>
      </c>
      <c r="T476" s="36" t="n">
        <v>-0.3837553108089459</v>
      </c>
      <c r="U476" s="31" t="n">
        <v>61400</v>
      </c>
      <c r="V476" s="31" t="n">
        <v>17490</v>
      </c>
      <c r="W476" s="36" t="n">
        <v>-0.7151465798045602</v>
      </c>
      <c r="X476" s="36" t="n">
        <v>0</v>
      </c>
      <c r="Y476" s="31" t="n">
        <v>20476584</v>
      </c>
      <c r="Z476" s="31" t="n">
        <v>358135454160</v>
      </c>
      <c r="AA476" s="31" t="n">
        <v>2318054640</v>
      </c>
      <c r="AB476" s="31" t="n">
        <v>2279014110</v>
      </c>
      <c r="AC476" s="36" t="n">
        <v>0.006472563978444842</v>
      </c>
      <c r="AD476" s="29" t="inlineStr">
        <is>
          <t>yfinance_download</t>
        </is>
      </c>
      <c r="AE476" s="29" t="inlineStr">
        <is>
          <t>317330.KQ</t>
        </is>
      </c>
    </row>
    <row r="477" ht="24" customHeight="1">
      <c r="A477" s="24" t="inlineStr">
        <is>
          <t>2025-05-23</t>
        </is>
      </c>
      <c r="B477" s="30" t="n">
        <v>17520</v>
      </c>
      <c r="C477" s="30" t="n">
        <v>17690</v>
      </c>
      <c r="D477" s="30" t="n">
        <v>16730</v>
      </c>
      <c r="E477" s="30" t="n">
        <v>16880</v>
      </c>
      <c r="F477" s="30" t="n">
        <v>16880</v>
      </c>
      <c r="G477" s="30" t="n">
        <v>141538</v>
      </c>
      <c r="H477" s="35" t="n">
        <v>-0.03487707261292172</v>
      </c>
      <c r="I477" s="35" t="n">
        <v>-0.7250814332247557</v>
      </c>
      <c r="J477" s="30" t="n">
        <v>20912.5</v>
      </c>
      <c r="K477" s="30" t="n">
        <v>23362</v>
      </c>
      <c r="L477" s="30" t="n">
        <v>28266</v>
      </c>
      <c r="M477" s="35" t="n">
        <v>0.5160701340696471</v>
      </c>
      <c r="N477" s="35" t="n">
        <v>0.6861039762200405</v>
      </c>
      <c r="O477" s="35" t="n">
        <v>-0.2396396396396396</v>
      </c>
      <c r="P477" s="35" t="n">
        <v>-0.5419267299864314</v>
      </c>
      <c r="Q477" s="35" t="n">
        <v>-0.4510569105691057</v>
      </c>
      <c r="R477" s="35" t="n">
        <v>-0.1928272564255827</v>
      </c>
      <c r="S477" s="35" t="n">
        <v>-0.2774591216505436</v>
      </c>
      <c r="T477" s="35" t="n">
        <v>-0.4028161041533999</v>
      </c>
      <c r="U477" s="30" t="n">
        <v>61400</v>
      </c>
      <c r="V477" s="30" t="n">
        <v>16880</v>
      </c>
      <c r="W477" s="35" t="n">
        <v>-0.7250814332247557</v>
      </c>
      <c r="X477" s="35" t="n">
        <v>0</v>
      </c>
      <c r="Y477" s="30" t="n">
        <v>20476584</v>
      </c>
      <c r="Z477" s="30" t="n">
        <v>345644737920</v>
      </c>
      <c r="AA477" s="30" t="n">
        <v>2389161440</v>
      </c>
      <c r="AB477" s="30" t="n">
        <v>2248266982</v>
      </c>
      <c r="AC477" s="35" t="n">
        <v>0.006912188087622428</v>
      </c>
      <c r="AD477" s="24" t="inlineStr">
        <is>
          <t>yfinance_download</t>
        </is>
      </c>
      <c r="AE477" s="24" t="inlineStr">
        <is>
          <t>317330.KQ</t>
        </is>
      </c>
    </row>
    <row r="478" ht="24" customHeight="1">
      <c r="A478" s="29" t="inlineStr">
        <is>
          <t>2025-05-26</t>
        </is>
      </c>
      <c r="B478" s="31" t="n">
        <v>16550</v>
      </c>
      <c r="C478" s="31" t="n">
        <v>17830</v>
      </c>
      <c r="D478" s="31" t="n">
        <v>16550</v>
      </c>
      <c r="E478" s="31" t="n">
        <v>17460</v>
      </c>
      <c r="F478" s="31" t="n">
        <v>17460</v>
      </c>
      <c r="G478" s="31" t="n">
        <v>121143</v>
      </c>
      <c r="H478" s="36" t="n">
        <v>0.03436018957345977</v>
      </c>
      <c r="I478" s="36" t="n">
        <v>-0.7156351791530944</v>
      </c>
      <c r="J478" s="31" t="n">
        <v>20578</v>
      </c>
      <c r="K478" s="31" t="n">
        <v>23073.83333333333</v>
      </c>
      <c r="L478" s="31" t="n">
        <v>28142.75</v>
      </c>
      <c r="M478" s="36" t="n">
        <v>0.3989521469353433</v>
      </c>
      <c r="N478" s="36" t="n">
        <v>0.6860828026157664</v>
      </c>
      <c r="O478" s="36" t="n">
        <v>-0.2770186335403727</v>
      </c>
      <c r="P478" s="36" t="n">
        <v>-0.4975539568345324</v>
      </c>
      <c r="Q478" s="36" t="n">
        <v>-0.4586046511627907</v>
      </c>
      <c r="R478" s="36" t="n">
        <v>-0.1515210418893964</v>
      </c>
      <c r="S478" s="36" t="n">
        <v>-0.2432986861018613</v>
      </c>
      <c r="T478" s="36" t="n">
        <v>-0.3795915466683248</v>
      </c>
      <c r="U478" s="31" t="n">
        <v>61400</v>
      </c>
      <c r="V478" s="31" t="n">
        <v>16880</v>
      </c>
      <c r="W478" s="36" t="n">
        <v>-0.7156351791530944</v>
      </c>
      <c r="X478" s="36" t="n">
        <v>0.03436018957345977</v>
      </c>
      <c r="Y478" s="31" t="n">
        <v>20476584</v>
      </c>
      <c r="Z478" s="31" t="n">
        <v>357521156640</v>
      </c>
      <c r="AA478" s="31" t="n">
        <v>2115156780</v>
      </c>
      <c r="AB478" s="31" t="n">
        <v>2128187303.5</v>
      </c>
      <c r="AC478" s="36" t="n">
        <v>0.005916172345934263</v>
      </c>
      <c r="AD478" s="29" t="inlineStr">
        <is>
          <t>yfinance_download</t>
        </is>
      </c>
      <c r="AE478" s="29" t="inlineStr">
        <is>
          <t>317330.KQ</t>
        </is>
      </c>
    </row>
    <row r="479" ht="24" customHeight="1">
      <c r="A479" s="24" t="inlineStr">
        <is>
          <t>2025-05-27</t>
        </is>
      </c>
      <c r="B479" s="30" t="n">
        <v>17470</v>
      </c>
      <c r="C479" s="30" t="n">
        <v>17520</v>
      </c>
      <c r="D479" s="30" t="n">
        <v>16760</v>
      </c>
      <c r="E479" s="30" t="n">
        <v>16870</v>
      </c>
      <c r="F479" s="30" t="n">
        <v>16870</v>
      </c>
      <c r="G479" s="30" t="n">
        <v>128020</v>
      </c>
      <c r="H479" s="35" t="n">
        <v>-0.03379152348224512</v>
      </c>
      <c r="I479" s="35" t="n">
        <v>-0.7252442996742672</v>
      </c>
      <c r="J479" s="30" t="n">
        <v>20239</v>
      </c>
      <c r="K479" s="30" t="n">
        <v>22789.16666666667</v>
      </c>
      <c r="L479" s="30" t="n">
        <v>28003.33333333333</v>
      </c>
      <c r="M479" s="35" t="n">
        <v>0.4037689832254302</v>
      </c>
      <c r="N479" s="35" t="n">
        <v>0.6872753178069807</v>
      </c>
      <c r="O479" s="35" t="n">
        <v>-0.2866807610993658</v>
      </c>
      <c r="P479" s="35" t="n">
        <v>-0.5030927835051546</v>
      </c>
      <c r="Q479" s="35" t="n">
        <v>-0.4979166666666667</v>
      </c>
      <c r="R479" s="35" t="n">
        <v>-0.1664607935174662</v>
      </c>
      <c r="S479" s="35" t="n">
        <v>-0.2597359856657038</v>
      </c>
      <c r="T479" s="35" t="n">
        <v>-0.3975717176526604</v>
      </c>
      <c r="U479" s="30" t="n">
        <v>61400</v>
      </c>
      <c r="V479" s="30" t="n">
        <v>16870</v>
      </c>
      <c r="W479" s="35" t="n">
        <v>-0.7252442996742672</v>
      </c>
      <c r="X479" s="35" t="n">
        <v>0</v>
      </c>
      <c r="Y479" s="30" t="n">
        <v>20476584</v>
      </c>
      <c r="Z479" s="30" t="n">
        <v>345439972080</v>
      </c>
      <c r="AA479" s="30" t="n">
        <v>2159697400</v>
      </c>
      <c r="AB479" s="30" t="n">
        <v>2070971011</v>
      </c>
      <c r="AC479" s="35" t="n">
        <v>0.006252019379794989</v>
      </c>
      <c r="AD479" s="24" t="inlineStr">
        <is>
          <t>yfinance_download</t>
        </is>
      </c>
      <c r="AE479" s="24" t="inlineStr">
        <is>
          <t>317330.KQ</t>
        </is>
      </c>
    </row>
    <row r="480" ht="24" customHeight="1">
      <c r="A480" s="29" t="inlineStr">
        <is>
          <t>2025-05-28</t>
        </is>
      </c>
      <c r="B480" s="31" t="n">
        <v>17010</v>
      </c>
      <c r="C480" s="31" t="n">
        <v>17910</v>
      </c>
      <c r="D480" s="31" t="n">
        <v>16850</v>
      </c>
      <c r="E480" s="31" t="n">
        <v>17790</v>
      </c>
      <c r="F480" s="31" t="n">
        <v>17790</v>
      </c>
      <c r="G480" s="31" t="n">
        <v>160569</v>
      </c>
      <c r="H480" s="36" t="n">
        <v>0.05453467694131597</v>
      </c>
      <c r="I480" s="36" t="n">
        <v>-0.7102605863192182</v>
      </c>
      <c r="J480" s="31" t="n">
        <v>19941</v>
      </c>
      <c r="K480" s="31" t="n">
        <v>22526.5</v>
      </c>
      <c r="L480" s="31" t="n">
        <v>27879.91666666667</v>
      </c>
      <c r="M480" s="36" t="n">
        <v>0.4716924186697622</v>
      </c>
      <c r="N480" s="36" t="n">
        <v>0.7001447465734085</v>
      </c>
      <c r="O480" s="36" t="n">
        <v>-0.2509473684210526</v>
      </c>
      <c r="P480" s="36" t="n">
        <v>-0.4697466467958271</v>
      </c>
      <c r="Q480" s="36" t="n">
        <v>-0.4542944785276074</v>
      </c>
      <c r="R480" s="36" t="n">
        <v>-0.1078682112231082</v>
      </c>
      <c r="S480" s="36" t="n">
        <v>-0.2102634674716445</v>
      </c>
      <c r="T480" s="36" t="n">
        <v>-0.3619062706428463</v>
      </c>
      <c r="U480" s="31" t="n">
        <v>61400</v>
      </c>
      <c r="V480" s="31" t="n">
        <v>16870</v>
      </c>
      <c r="W480" s="36" t="n">
        <v>-0.7102605863192182</v>
      </c>
      <c r="X480" s="36" t="n">
        <v>0.05453467694131597</v>
      </c>
      <c r="Y480" s="31" t="n">
        <v>20476584</v>
      </c>
      <c r="Z480" s="31" t="n">
        <v>364278429360</v>
      </c>
      <c r="AA480" s="31" t="n">
        <v>2856522510</v>
      </c>
      <c r="AB480" s="31" t="n">
        <v>2140619824</v>
      </c>
      <c r="AC480" s="36" t="n">
        <v>0.007841591156024853</v>
      </c>
      <c r="AD480" s="29" t="inlineStr">
        <is>
          <t>yfinance_download</t>
        </is>
      </c>
      <c r="AE480" s="29" t="inlineStr">
        <is>
          <t>317330.KQ</t>
        </is>
      </c>
    </row>
    <row r="481" ht="24" customHeight="1">
      <c r="A481" s="24" t="inlineStr">
        <is>
          <t>2025-05-29</t>
        </is>
      </c>
      <c r="B481" s="30" t="n">
        <v>18040</v>
      </c>
      <c r="C481" s="30" t="n">
        <v>18490</v>
      </c>
      <c r="D481" s="30" t="n">
        <v>17330</v>
      </c>
      <c r="E481" s="30" t="n">
        <v>18310</v>
      </c>
      <c r="F481" s="30" t="n">
        <v>18310</v>
      </c>
      <c r="G481" s="30" t="n">
        <v>128657</v>
      </c>
      <c r="H481" s="35" t="n">
        <v>0.02922990444069695</v>
      </c>
      <c r="I481" s="35" t="n">
        <v>-0.7017915309446254</v>
      </c>
      <c r="J481" s="30" t="n">
        <v>19704</v>
      </c>
      <c r="K481" s="30" t="n">
        <v>22290</v>
      </c>
      <c r="L481" s="30" t="n">
        <v>27760.41666666667</v>
      </c>
      <c r="M481" s="35" t="n">
        <v>0.4916277876467486</v>
      </c>
      <c r="N481" s="35" t="n">
        <v>0.7031115013887019</v>
      </c>
      <c r="O481" s="35" t="n">
        <v>-0.2056399132321042</v>
      </c>
      <c r="P481" s="35" t="n">
        <v>-0.4366153846153846</v>
      </c>
      <c r="Q481" s="35" t="n">
        <v>-0.4392036753445635</v>
      </c>
      <c r="R481" s="35" t="n">
        <v>-0.0707470564352416</v>
      </c>
      <c r="S481" s="35" t="n">
        <v>-0.1785554060116644</v>
      </c>
      <c r="T481" s="35" t="n">
        <v>-0.3404277673545967</v>
      </c>
      <c r="U481" s="30" t="n">
        <v>61400</v>
      </c>
      <c r="V481" s="30" t="n">
        <v>16870</v>
      </c>
      <c r="W481" s="35" t="n">
        <v>-0.7017915309446254</v>
      </c>
      <c r="X481" s="35" t="n">
        <v>0.08535862477771183</v>
      </c>
      <c r="Y481" s="30" t="n">
        <v>20476584</v>
      </c>
      <c r="Z481" s="30" t="n">
        <v>374926253040</v>
      </c>
      <c r="AA481" s="30" t="n">
        <v>2355709670</v>
      </c>
      <c r="AB481" s="30" t="n">
        <v>2158051370</v>
      </c>
      <c r="AC481" s="35" t="n">
        <v>0.006283128084254679</v>
      </c>
      <c r="AD481" s="24" t="inlineStr">
        <is>
          <t>yfinance_download</t>
        </is>
      </c>
      <c r="AE481" s="24" t="inlineStr">
        <is>
          <t>317330.KQ</t>
        </is>
      </c>
    </row>
    <row r="482" ht="24" customHeight="1">
      <c r="A482" s="29" t="inlineStr">
        <is>
          <t>2025-05-30</t>
        </is>
      </c>
      <c r="B482" s="31" t="n">
        <v>18200</v>
      </c>
      <c r="C482" s="31" t="n">
        <v>18500</v>
      </c>
      <c r="D482" s="31" t="n">
        <v>17680</v>
      </c>
      <c r="E482" s="31" t="n">
        <v>18060</v>
      </c>
      <c r="F482" s="31" t="n">
        <v>18060</v>
      </c>
      <c r="G482" s="31" t="n">
        <v>267149</v>
      </c>
      <c r="H482" s="36" t="n">
        <v>-0.01365374112506823</v>
      </c>
      <c r="I482" s="36" t="n">
        <v>-0.7058631921824104</v>
      </c>
      <c r="J482" s="31" t="n">
        <v>19462</v>
      </c>
      <c r="K482" s="31" t="n">
        <v>22081.83333333333</v>
      </c>
      <c r="L482" s="31" t="n">
        <v>27634.25</v>
      </c>
      <c r="M482" s="36" t="n">
        <v>0.4914185956860445</v>
      </c>
      <c r="N482" s="36" t="n">
        <v>0.6950036334668009</v>
      </c>
      <c r="O482" s="36" t="n">
        <v>-0.211353711790393</v>
      </c>
      <c r="P482" s="36" t="n">
        <v>-0.4088379705400982</v>
      </c>
      <c r="Q482" s="36" t="n">
        <v>-0.4560240963855422</v>
      </c>
      <c r="R482" s="36" t="n">
        <v>-0.07203781728496561</v>
      </c>
      <c r="S482" s="36" t="n">
        <v>-0.1821331260236544</v>
      </c>
      <c r="T482" s="36" t="n">
        <v>-0.3464631752263948</v>
      </c>
      <c r="U482" s="31" t="n">
        <v>61400</v>
      </c>
      <c r="V482" s="31" t="n">
        <v>16870</v>
      </c>
      <c r="W482" s="36" t="n">
        <v>-0.7058631921824104</v>
      </c>
      <c r="X482" s="36" t="n">
        <v>0.0705394190871369</v>
      </c>
      <c r="Y482" s="31" t="n">
        <v>20476584</v>
      </c>
      <c r="Z482" s="31" t="n">
        <v>369807107040</v>
      </c>
      <c r="AA482" s="31" t="n">
        <v>4824710940</v>
      </c>
      <c r="AB482" s="31" t="n">
        <v>2285993747</v>
      </c>
      <c r="AC482" s="36" t="n">
        <v>0.01304656089121115</v>
      </c>
      <c r="AD482" s="29" t="inlineStr">
        <is>
          <t>yfinance_download</t>
        </is>
      </c>
      <c r="AE482" s="29" t="inlineStr">
        <is>
          <t>317330.KQ</t>
        </is>
      </c>
    </row>
    <row r="483" ht="24" customHeight="1">
      <c r="A483" s="24" t="inlineStr">
        <is>
          <t>2025-06-02</t>
        </is>
      </c>
      <c r="B483" s="30" t="n">
        <v>18100</v>
      </c>
      <c r="C483" s="30" t="n">
        <v>18630</v>
      </c>
      <c r="D483" s="30" t="n">
        <v>17680</v>
      </c>
      <c r="E483" s="30" t="n">
        <v>17770</v>
      </c>
      <c r="F483" s="30" t="n">
        <v>17770</v>
      </c>
      <c r="G483" s="30" t="n">
        <v>76978</v>
      </c>
      <c r="H483" s="35" t="n">
        <v>-0.0160575858250277</v>
      </c>
      <c r="I483" s="35" t="n">
        <v>-0.7105863192182411</v>
      </c>
      <c r="J483" s="30" t="n">
        <v>19238</v>
      </c>
      <c r="K483" s="30" t="n">
        <v>21877.16666666667</v>
      </c>
      <c r="L483" s="30" t="n">
        <v>27521.08333333333</v>
      </c>
      <c r="M483" s="35" t="n">
        <v>0.4876832664486985</v>
      </c>
      <c r="N483" s="35" t="n">
        <v>0.6949876684841813</v>
      </c>
      <c r="O483" s="35" t="n">
        <v>-0.2013483146067415</v>
      </c>
      <c r="P483" s="35" t="n">
        <v>-0.4086522462562396</v>
      </c>
      <c r="Q483" s="35" t="n">
        <v>-0.4331738437001595</v>
      </c>
      <c r="R483" s="35" t="n">
        <v>-0.07630730845202205</v>
      </c>
      <c r="S483" s="35" t="n">
        <v>-0.1877375955143491</v>
      </c>
      <c r="T483" s="35" t="n">
        <v>-0.3543132083584403</v>
      </c>
      <c r="U483" s="30" t="n">
        <v>61400</v>
      </c>
      <c r="V483" s="30" t="n">
        <v>16870</v>
      </c>
      <c r="W483" s="35" t="n">
        <v>-0.7105863192182411</v>
      </c>
      <c r="X483" s="35" t="n">
        <v>0.05334914048606998</v>
      </c>
      <c r="Y483" s="30" t="n">
        <v>20476584</v>
      </c>
      <c r="Z483" s="30" t="n">
        <v>363868897680</v>
      </c>
      <c r="AA483" s="30" t="n">
        <v>1367899060</v>
      </c>
      <c r="AB483" s="30" t="n">
        <v>2276644975</v>
      </c>
      <c r="AC483" s="35" t="n">
        <v>0.003759318448819393</v>
      </c>
      <c r="AD483" s="24" t="inlineStr">
        <is>
          <t>yfinance_download</t>
        </is>
      </c>
      <c r="AE483" s="24" t="inlineStr">
        <is>
          <t>317330.KQ</t>
        </is>
      </c>
    </row>
    <row r="484" ht="24" customHeight="1">
      <c r="A484" s="29" t="inlineStr">
        <is>
          <t>2025-06-04</t>
        </is>
      </c>
      <c r="B484" s="31" t="n">
        <v>18000</v>
      </c>
      <c r="C484" s="31" t="n">
        <v>18730</v>
      </c>
      <c r="D484" s="31" t="n">
        <v>17950</v>
      </c>
      <c r="E484" s="31" t="n">
        <v>18070</v>
      </c>
      <c r="F484" s="31" t="n">
        <v>18070</v>
      </c>
      <c r="G484" s="31" t="n">
        <v>110330</v>
      </c>
      <c r="H484" s="36" t="n">
        <v>0.01688238604389425</v>
      </c>
      <c r="I484" s="36" t="n">
        <v>-0.7057003257328991</v>
      </c>
      <c r="J484" s="31" t="n">
        <v>19019</v>
      </c>
      <c r="K484" s="31" t="n">
        <v>21700.83333333333</v>
      </c>
      <c r="L484" s="31" t="n">
        <v>27416.66666666667</v>
      </c>
      <c r="M484" s="36" t="n">
        <v>0.4926951376852636</v>
      </c>
      <c r="N484" s="36" t="n">
        <v>0.6920249444277665</v>
      </c>
      <c r="O484" s="36" t="n">
        <v>-0.1951002227171492</v>
      </c>
      <c r="P484" s="36" t="n">
        <v>-0.3692844677137871</v>
      </c>
      <c r="Q484" s="36" t="n">
        <v>-0.4094771241830065</v>
      </c>
      <c r="R484" s="36" t="n">
        <v>-0.04989747095010255</v>
      </c>
      <c r="S484" s="36" t="n">
        <v>-0.1673130832149302</v>
      </c>
      <c r="T484" s="36" t="n">
        <v>-0.3409118541033435</v>
      </c>
      <c r="U484" s="31" t="n">
        <v>61400</v>
      </c>
      <c r="V484" s="31" t="n">
        <v>16870</v>
      </c>
      <c r="W484" s="36" t="n">
        <v>-0.7057003257328991</v>
      </c>
      <c r="X484" s="36" t="n">
        <v>0.0711321873147599</v>
      </c>
      <c r="Y484" s="31" t="n">
        <v>20476584</v>
      </c>
      <c r="Z484" s="31" t="n">
        <v>370011872880</v>
      </c>
      <c r="AA484" s="31" t="n">
        <v>1993663100</v>
      </c>
      <c r="AB484" s="31" t="n">
        <v>2239921930</v>
      </c>
      <c r="AC484" s="36" t="n">
        <v>0.005388105750451345</v>
      </c>
      <c r="AD484" s="29" t="inlineStr">
        <is>
          <t>yfinance_download</t>
        </is>
      </c>
      <c r="AE484" s="29" t="inlineStr">
        <is>
          <t>317330.KQ</t>
        </is>
      </c>
    </row>
    <row r="485" ht="24" customHeight="1">
      <c r="A485" s="24" t="inlineStr">
        <is>
          <t>2025-06-05</t>
        </is>
      </c>
      <c r="B485" s="30" t="n">
        <v>18250</v>
      </c>
      <c r="C485" s="30" t="n">
        <v>18980</v>
      </c>
      <c r="D485" s="30" t="n">
        <v>18010</v>
      </c>
      <c r="E485" s="30" t="n">
        <v>18650</v>
      </c>
      <c r="F485" s="30" t="n">
        <v>18650</v>
      </c>
      <c r="G485" s="30" t="n">
        <v>96764</v>
      </c>
      <c r="H485" s="35" t="n">
        <v>0.03209739900387376</v>
      </c>
      <c r="I485" s="35" t="n">
        <v>-0.6962540716612378</v>
      </c>
      <c r="J485" s="30" t="n">
        <v>18869</v>
      </c>
      <c r="K485" s="30" t="n">
        <v>21533.33333333333</v>
      </c>
      <c r="L485" s="30" t="n">
        <v>27292.91666666667</v>
      </c>
      <c r="M485" s="35" t="n">
        <v>0.5050681520038011</v>
      </c>
      <c r="N485" s="35" t="n">
        <v>0.6963973167626285</v>
      </c>
      <c r="O485" s="35" t="n">
        <v>-0.1385681293302541</v>
      </c>
      <c r="P485" s="35" t="n">
        <v>-0.3501742160278746</v>
      </c>
      <c r="Q485" s="35" t="n">
        <v>-0.4432835820895522</v>
      </c>
      <c r="R485" s="35" t="n">
        <v>-0.01160633843870895</v>
      </c>
      <c r="S485" s="35" t="n">
        <v>-0.1339009287925697</v>
      </c>
      <c r="T485" s="35" t="n">
        <v>-0.3166725188159322</v>
      </c>
      <c r="U485" s="30" t="n">
        <v>61400</v>
      </c>
      <c r="V485" s="30" t="n">
        <v>16870</v>
      </c>
      <c r="W485" s="35" t="n">
        <v>-0.6962540716612378</v>
      </c>
      <c r="X485" s="35" t="n">
        <v>0.105512744516894</v>
      </c>
      <c r="Y485" s="30" t="n">
        <v>20476584</v>
      </c>
      <c r="Z485" s="30" t="n">
        <v>381888291600</v>
      </c>
      <c r="AA485" s="30" t="n">
        <v>1804648600</v>
      </c>
      <c r="AB485" s="30" t="n">
        <v>2264770277.5</v>
      </c>
      <c r="AC485" s="35" t="n">
        <v>0.004725592901628514</v>
      </c>
      <c r="AD485" s="24" t="inlineStr">
        <is>
          <t>yfinance_download</t>
        </is>
      </c>
      <c r="AE485" s="24" t="inlineStr">
        <is>
          <t>317330.KQ</t>
        </is>
      </c>
    </row>
    <row r="486" ht="24" customHeight="1">
      <c r="A486" s="29" t="inlineStr">
        <is>
          <t>2025-06-09</t>
        </is>
      </c>
      <c r="B486" s="31" t="n">
        <v>18600</v>
      </c>
      <c r="C486" s="31" t="n">
        <v>20650</v>
      </c>
      <c r="D486" s="31" t="n">
        <v>17710</v>
      </c>
      <c r="E486" s="31" t="n">
        <v>19490</v>
      </c>
      <c r="F486" s="31" t="n">
        <v>19490</v>
      </c>
      <c r="G486" s="31" t="n">
        <v>289334</v>
      </c>
      <c r="H486" s="36" t="n">
        <v>0.04504021447721174</v>
      </c>
      <c r="I486" s="36" t="n">
        <v>-0.6825732899022801</v>
      </c>
      <c r="J486" s="31" t="n">
        <v>18753.5</v>
      </c>
      <c r="K486" s="31" t="n">
        <v>21397.33333333333</v>
      </c>
      <c r="L486" s="31" t="n">
        <v>27185.75</v>
      </c>
      <c r="M486" s="36" t="n">
        <v>0.5361180545921331</v>
      </c>
      <c r="N486" s="36" t="n">
        <v>0.7012797145128722</v>
      </c>
      <c r="O486" s="36" t="n">
        <v>-0.1059633027522936</v>
      </c>
      <c r="P486" s="36" t="n">
        <v>-0.2951175406871609</v>
      </c>
      <c r="Q486" s="36" t="n">
        <v>-0.3975270479134467</v>
      </c>
      <c r="R486" s="36" t="n">
        <v>0.03927266910176774</v>
      </c>
      <c r="S486" s="36" t="n">
        <v>-0.08913883349950147</v>
      </c>
      <c r="T486" s="36" t="n">
        <v>-0.2830802902255778</v>
      </c>
      <c r="U486" s="31" t="n">
        <v>61400</v>
      </c>
      <c r="V486" s="31" t="n">
        <v>16870</v>
      </c>
      <c r="W486" s="36" t="n">
        <v>-0.6825732899022801</v>
      </c>
      <c r="X486" s="36" t="n">
        <v>0.1553052756372257</v>
      </c>
      <c r="Y486" s="31" t="n">
        <v>20476584</v>
      </c>
      <c r="Z486" s="31" t="n">
        <v>399088622160</v>
      </c>
      <c r="AA486" s="31" t="n">
        <v>5639119660</v>
      </c>
      <c r="AB486" s="31" t="n">
        <v>2501180610.5</v>
      </c>
      <c r="AC486" s="36" t="n">
        <v>0.01412999355751916</v>
      </c>
      <c r="AD486" s="29" t="inlineStr">
        <is>
          <t>yfinance_download</t>
        </is>
      </c>
      <c r="AE486" s="29" t="inlineStr">
        <is>
          <t>317330.KQ</t>
        </is>
      </c>
    </row>
    <row r="487" ht="24" customHeight="1">
      <c r="A487" s="24" t="inlineStr">
        <is>
          <t>2025-06-10</t>
        </is>
      </c>
      <c r="B487" s="30" t="n">
        <v>19200</v>
      </c>
      <c r="C487" s="30" t="n">
        <v>19340</v>
      </c>
      <c r="D487" s="30" t="n">
        <v>18380</v>
      </c>
      <c r="E487" s="30" t="n">
        <v>18420</v>
      </c>
      <c r="F487" s="30" t="n">
        <v>18420</v>
      </c>
      <c r="G487" s="30" t="n">
        <v>194717</v>
      </c>
      <c r="H487" s="35" t="n">
        <v>-0.05489994869163672</v>
      </c>
      <c r="I487" s="35" t="n">
        <v>-0.7</v>
      </c>
      <c r="J487" s="30" t="n">
        <v>18627</v>
      </c>
      <c r="K487" s="30" t="n">
        <v>21256</v>
      </c>
      <c r="L487" s="30" t="n">
        <v>27080.08333333333</v>
      </c>
      <c r="M487" s="35" t="n">
        <v>0.5522126664014428</v>
      </c>
      <c r="N487" s="35" t="n">
        <v>0.7073270290181162</v>
      </c>
      <c r="O487" s="35" t="n">
        <v>-0.120763723150358</v>
      </c>
      <c r="P487" s="35" t="n">
        <v>-0.3152416356877323</v>
      </c>
      <c r="Q487" s="35" t="n">
        <v>-0.4077170418006431</v>
      </c>
      <c r="R487" s="35" t="n">
        <v>-0.01111290062812043</v>
      </c>
      <c r="S487" s="35" t="n">
        <v>-0.1334211516748213</v>
      </c>
      <c r="T487" s="35" t="n">
        <v>-0.3197952985127446</v>
      </c>
      <c r="U487" s="30" t="n">
        <v>61400</v>
      </c>
      <c r="V487" s="30" t="n">
        <v>16870</v>
      </c>
      <c r="W487" s="35" t="n">
        <v>-0.7</v>
      </c>
      <c r="X487" s="35" t="n">
        <v>0.0918790752815648</v>
      </c>
      <c r="Y487" s="30" t="n">
        <v>20476584</v>
      </c>
      <c r="Z487" s="30" t="n">
        <v>377178677280</v>
      </c>
      <c r="AA487" s="30" t="n">
        <v>3586687140</v>
      </c>
      <c r="AB487" s="30" t="n">
        <v>2584455027.5</v>
      </c>
      <c r="AC487" s="35" t="n">
        <v>0.009509252129163731</v>
      </c>
      <c r="AD487" s="24" t="inlineStr">
        <is>
          <t>yfinance_download</t>
        </is>
      </c>
      <c r="AE487" s="24" t="inlineStr">
        <is>
          <t>317330.KQ</t>
        </is>
      </c>
    </row>
    <row r="488" ht="24" customHeight="1">
      <c r="A488" s="29" t="inlineStr">
        <is>
          <t>2025-06-11</t>
        </is>
      </c>
      <c r="B488" s="31" t="n">
        <v>18420</v>
      </c>
      <c r="C488" s="31" t="n">
        <v>18870</v>
      </c>
      <c r="D488" s="31" t="n">
        <v>18350</v>
      </c>
      <c r="E488" s="31" t="n">
        <v>18410</v>
      </c>
      <c r="F488" s="31" t="n">
        <v>18410</v>
      </c>
      <c r="G488" s="31" t="n">
        <v>94036</v>
      </c>
      <c r="H488" s="36" t="n">
        <v>-0.0005428881650380024</v>
      </c>
      <c r="I488" s="36" t="n">
        <v>-0.7001628664495114</v>
      </c>
      <c r="J488" s="31" t="n">
        <v>18482.5</v>
      </c>
      <c r="K488" s="31" t="n">
        <v>21116.16666666667</v>
      </c>
      <c r="L488" s="31" t="n">
        <v>26968.5</v>
      </c>
      <c r="M488" s="36" t="n">
        <v>0.5462353781236766</v>
      </c>
      <c r="N488" s="36" t="n">
        <v>0.7073880880251601</v>
      </c>
      <c r="O488" s="36" t="n">
        <v>-0.1356807511737089</v>
      </c>
      <c r="P488" s="36" t="n">
        <v>-0.3130597014925374</v>
      </c>
      <c r="Q488" s="36" t="n">
        <v>-0.4210691823899371</v>
      </c>
      <c r="R488" s="36" t="n">
        <v>-0.003922629514405473</v>
      </c>
      <c r="S488" s="36" t="n">
        <v>-0.1281561520793705</v>
      </c>
      <c r="T488" s="36" t="n">
        <v>-0.3173517251608358</v>
      </c>
      <c r="U488" s="31" t="n">
        <v>61400</v>
      </c>
      <c r="V488" s="31" t="n">
        <v>16870</v>
      </c>
      <c r="W488" s="36" t="n">
        <v>-0.7001628664495114</v>
      </c>
      <c r="X488" s="36" t="n">
        <v>0.09128630705394181</v>
      </c>
      <c r="Y488" s="31" t="n">
        <v>20476584</v>
      </c>
      <c r="Z488" s="31" t="n">
        <v>376973911440</v>
      </c>
      <c r="AA488" s="31" t="n">
        <v>1731202760</v>
      </c>
      <c r="AB488" s="31" t="n">
        <v>2592502300.5</v>
      </c>
      <c r="AC488" s="36" t="n">
        <v>0.004592367555057035</v>
      </c>
      <c r="AD488" s="29" t="inlineStr">
        <is>
          <t>yfinance_download</t>
        </is>
      </c>
      <c r="AE488" s="29" t="inlineStr">
        <is>
          <t>317330.KQ</t>
        </is>
      </c>
    </row>
    <row r="489" ht="24" customHeight="1">
      <c r="A489" s="24" t="inlineStr">
        <is>
          <t>2025-06-12</t>
        </is>
      </c>
      <c r="B489" s="30" t="n">
        <v>18430</v>
      </c>
      <c r="C489" s="30" t="n">
        <v>18820</v>
      </c>
      <c r="D489" s="30" t="n">
        <v>17870</v>
      </c>
      <c r="E489" s="30" t="n">
        <v>17960</v>
      </c>
      <c r="F489" s="30" t="n">
        <v>17960</v>
      </c>
      <c r="G489" s="30" t="n">
        <v>241061</v>
      </c>
      <c r="H489" s="35" t="n">
        <v>-0.02444323737099408</v>
      </c>
      <c r="I489" s="35" t="n">
        <v>-0.7074918566775245</v>
      </c>
      <c r="J489" s="30" t="n">
        <v>18323</v>
      </c>
      <c r="K489" s="30" t="n">
        <v>20980.5</v>
      </c>
      <c r="L489" s="30" t="n">
        <v>26886.5</v>
      </c>
      <c r="M489" s="35" t="n">
        <v>0.5498607016131022</v>
      </c>
      <c r="N489" s="35" t="n">
        <v>0.7071855832033775</v>
      </c>
      <c r="O489" s="35" t="n">
        <v>-0.1508274231678487</v>
      </c>
      <c r="P489" s="35" t="n">
        <v>-0.3118773946360153</v>
      </c>
      <c r="Q489" s="35" t="n">
        <v>-0.3539568345323741</v>
      </c>
      <c r="R489" s="35" t="n">
        <v>-0.01981116629372914</v>
      </c>
      <c r="S489" s="35" t="n">
        <v>-0.1439670169919688</v>
      </c>
      <c r="T489" s="35" t="n">
        <v>-0.3320067691964369</v>
      </c>
      <c r="U489" s="30" t="n">
        <v>61400</v>
      </c>
      <c r="V489" s="30" t="n">
        <v>16870</v>
      </c>
      <c r="W489" s="35" t="n">
        <v>-0.7074918566775245</v>
      </c>
      <c r="X489" s="35" t="n">
        <v>0.06461173681090693</v>
      </c>
      <c r="Y489" s="30" t="n">
        <v>20476584</v>
      </c>
      <c r="Z489" s="30" t="n">
        <v>367759448640</v>
      </c>
      <c r="AA489" s="30" t="n">
        <v>4329455560</v>
      </c>
      <c r="AB489" s="30" t="n">
        <v>2750106168.5</v>
      </c>
      <c r="AC489" s="35" t="n">
        <v>0.01177252026021528</v>
      </c>
      <c r="AD489" s="24" t="inlineStr">
        <is>
          <t>yfinance_download</t>
        </is>
      </c>
      <c r="AE489" s="24" t="inlineStr">
        <is>
          <t>317330.KQ</t>
        </is>
      </c>
    </row>
    <row r="490" ht="24" customHeight="1">
      <c r="A490" s="29" t="inlineStr">
        <is>
          <t>2025-06-13</t>
        </is>
      </c>
      <c r="B490" s="31" t="n">
        <v>17930</v>
      </c>
      <c r="C490" s="31" t="n">
        <v>17950</v>
      </c>
      <c r="D490" s="31" t="n">
        <v>16690</v>
      </c>
      <c r="E490" s="31" t="n">
        <v>16850</v>
      </c>
      <c r="F490" s="31" t="n">
        <v>16850</v>
      </c>
      <c r="G490" s="31" t="n">
        <v>219191</v>
      </c>
      <c r="H490" s="36" t="n">
        <v>-0.06180400890868598</v>
      </c>
      <c r="I490" s="36" t="n">
        <v>-0.7255700325732899</v>
      </c>
      <c r="J490" s="31" t="n">
        <v>18145.5</v>
      </c>
      <c r="K490" s="31" t="n">
        <v>20840.5</v>
      </c>
      <c r="L490" s="31" t="n">
        <v>26777.75</v>
      </c>
      <c r="M490" s="36" t="n">
        <v>0.574961843804895</v>
      </c>
      <c r="N490" s="36" t="n">
        <v>0.7145077664622415</v>
      </c>
      <c r="O490" s="36" t="n">
        <v>-0.1740196078431373</v>
      </c>
      <c r="P490" s="36" t="n">
        <v>-0.3326732673267326</v>
      </c>
      <c r="Q490" s="36" t="n">
        <v>-0.4364548494983278</v>
      </c>
      <c r="R490" s="36" t="n">
        <v>-0.07139511173569202</v>
      </c>
      <c r="S490" s="36" t="n">
        <v>-0.1914781315227562</v>
      </c>
      <c r="T490" s="36" t="n">
        <v>-0.3707462352139369</v>
      </c>
      <c r="U490" s="31" t="n">
        <v>61400</v>
      </c>
      <c r="V490" s="31" t="n">
        <v>16850</v>
      </c>
      <c r="W490" s="36" t="n">
        <v>-0.7255700325732899</v>
      </c>
      <c r="X490" s="36" t="n">
        <v>0</v>
      </c>
      <c r="Y490" s="31" t="n">
        <v>20476584</v>
      </c>
      <c r="Z490" s="31" t="n">
        <v>345030440400</v>
      </c>
      <c r="AA490" s="31" t="n">
        <v>3693368350</v>
      </c>
      <c r="AB490" s="31" t="n">
        <v>2754340666</v>
      </c>
      <c r="AC490" s="36" t="n">
        <v>0.01070447101918953</v>
      </c>
      <c r="AD490" s="29" t="inlineStr">
        <is>
          <t>yfinance_download</t>
        </is>
      </c>
      <c r="AE490" s="29" t="inlineStr">
        <is>
          <t>317330.KQ</t>
        </is>
      </c>
    </row>
    <row r="491" ht="24" customHeight="1">
      <c r="A491" s="24" t="inlineStr">
        <is>
          <t>2025-06-16</t>
        </is>
      </c>
      <c r="B491" s="30" t="n">
        <v>16520</v>
      </c>
      <c r="C491" s="30" t="n">
        <v>16700</v>
      </c>
      <c r="D491" s="30" t="n">
        <v>15900</v>
      </c>
      <c r="E491" s="30" t="n">
        <v>16120</v>
      </c>
      <c r="F491" s="30" t="n">
        <v>16120</v>
      </c>
      <c r="G491" s="30" t="n">
        <v>169545</v>
      </c>
      <c r="H491" s="35" t="n">
        <v>-0.04332344213649852</v>
      </c>
      <c r="I491" s="35" t="n">
        <v>-0.7374592833876221</v>
      </c>
      <c r="J491" s="30" t="n">
        <v>17952</v>
      </c>
      <c r="K491" s="30" t="n">
        <v>20671.66666666667</v>
      </c>
      <c r="L491" s="30" t="n">
        <v>26657.08333333333</v>
      </c>
      <c r="M491" s="35" t="n">
        <v>0.5867583131315306</v>
      </c>
      <c r="N491" s="35" t="n">
        <v>0.7122338751433496</v>
      </c>
      <c r="O491" s="35" t="n">
        <v>-0.1935967983991996</v>
      </c>
      <c r="P491" s="35" t="n">
        <v>-0.3859047619047619</v>
      </c>
      <c r="Q491" s="35" t="n">
        <v>-0.473202614379085</v>
      </c>
      <c r="R491" s="35" t="n">
        <v>-0.1020499108734403</v>
      </c>
      <c r="S491" s="35" t="n">
        <v>-0.2201886640328953</v>
      </c>
      <c r="T491" s="35" t="n">
        <v>-0.3952826797130219</v>
      </c>
      <c r="U491" s="30" t="n">
        <v>61400</v>
      </c>
      <c r="V491" s="30" t="n">
        <v>16120</v>
      </c>
      <c r="W491" s="35" t="n">
        <v>-0.7374592833876221</v>
      </c>
      <c r="X491" s="35" t="n">
        <v>0</v>
      </c>
      <c r="Y491" s="30" t="n">
        <v>20476584</v>
      </c>
      <c r="Z491" s="30" t="n">
        <v>330082534080</v>
      </c>
      <c r="AA491" s="30" t="n">
        <v>2733065400</v>
      </c>
      <c r="AB491" s="30" t="n">
        <v>2825732583</v>
      </c>
      <c r="AC491" s="35" t="n">
        <v>0.008279945522163268</v>
      </c>
      <c r="AD491" s="24" t="inlineStr">
        <is>
          <t>yfinance_download</t>
        </is>
      </c>
      <c r="AE491" s="24" t="inlineStr">
        <is>
          <t>317330.KQ</t>
        </is>
      </c>
    </row>
    <row r="492" ht="24" customHeight="1">
      <c r="A492" s="29" t="inlineStr">
        <is>
          <t>2025-06-17</t>
        </is>
      </c>
      <c r="B492" s="31" t="n">
        <v>16160</v>
      </c>
      <c r="C492" s="31" t="n">
        <v>16590</v>
      </c>
      <c r="D492" s="31" t="n">
        <v>15480</v>
      </c>
      <c r="E492" s="31" t="n">
        <v>15530</v>
      </c>
      <c r="F492" s="31" t="n">
        <v>15530</v>
      </c>
      <c r="G492" s="31" t="n">
        <v>202359</v>
      </c>
      <c r="H492" s="36" t="n">
        <v>-0.03660049627791562</v>
      </c>
      <c r="I492" s="36" t="n">
        <v>-0.7470684039087948</v>
      </c>
      <c r="J492" s="31" t="n">
        <v>17771</v>
      </c>
      <c r="K492" s="31" t="n">
        <v>20503.83333333333</v>
      </c>
      <c r="L492" s="31" t="n">
        <v>26491.5</v>
      </c>
      <c r="M492" s="36" t="n">
        <v>0.5831450570484448</v>
      </c>
      <c r="N492" s="36" t="n">
        <v>0.7138969033376436</v>
      </c>
      <c r="O492" s="36" t="n">
        <v>-0.1890339425587467</v>
      </c>
      <c r="P492" s="36" t="n">
        <v>-0.393359375</v>
      </c>
      <c r="Q492" s="36" t="n">
        <v>-0.5612994350282485</v>
      </c>
      <c r="R492" s="36" t="n">
        <v>-0.1261043272747735</v>
      </c>
      <c r="S492" s="36" t="n">
        <v>-0.2425806556497565</v>
      </c>
      <c r="T492" s="36" t="n">
        <v>-0.4137742294698299</v>
      </c>
      <c r="U492" s="31" t="n">
        <v>61400</v>
      </c>
      <c r="V492" s="31" t="n">
        <v>15530</v>
      </c>
      <c r="W492" s="36" t="n">
        <v>-0.7470684039087948</v>
      </c>
      <c r="X492" s="36" t="n">
        <v>0</v>
      </c>
      <c r="Y492" s="31" t="n">
        <v>20476584</v>
      </c>
      <c r="Z492" s="31" t="n">
        <v>318001349520</v>
      </c>
      <c r="AA492" s="31" t="n">
        <v>3142635270</v>
      </c>
      <c r="AB492" s="31" t="n">
        <v>2855432586.5</v>
      </c>
      <c r="AC492" s="36" t="n">
        <v>0.009882458910138527</v>
      </c>
      <c r="AD492" s="29" t="inlineStr">
        <is>
          <t>yfinance_download</t>
        </is>
      </c>
      <c r="AE492" s="29" t="inlineStr">
        <is>
          <t>317330.KQ</t>
        </is>
      </c>
    </row>
    <row r="493" ht="24" customHeight="1">
      <c r="A493" s="24" t="inlineStr">
        <is>
          <t>2025-06-18</t>
        </is>
      </c>
      <c r="B493" s="30" t="n">
        <v>15440</v>
      </c>
      <c r="C493" s="30" t="n">
        <v>15690</v>
      </c>
      <c r="D493" s="30" t="n">
        <v>15230</v>
      </c>
      <c r="E493" s="30" t="n">
        <v>15470</v>
      </c>
      <c r="F493" s="30" t="n">
        <v>15470</v>
      </c>
      <c r="G493" s="30" t="n">
        <v>175487</v>
      </c>
      <c r="H493" s="35" t="n">
        <v>-0.003863490019317406</v>
      </c>
      <c r="I493" s="35" t="n">
        <v>-0.7480456026058632</v>
      </c>
      <c r="J493" s="30" t="n">
        <v>17571.5</v>
      </c>
      <c r="K493" s="30" t="n">
        <v>20347.5</v>
      </c>
      <c r="L493" s="30" t="n">
        <v>26345</v>
      </c>
      <c r="M493" s="35" t="n">
        <v>0.5755987565933586</v>
      </c>
      <c r="N493" s="35" t="n">
        <v>0.7124553045532276</v>
      </c>
      <c r="O493" s="35" t="n">
        <v>-0.2050359712230215</v>
      </c>
      <c r="P493" s="35" t="n">
        <v>-0.3774647887323944</v>
      </c>
      <c r="Q493" s="35" t="n">
        <v>-0.5319213313161876</v>
      </c>
      <c r="R493" s="35" t="n">
        <v>-0.119597074808639</v>
      </c>
      <c r="S493" s="35" t="n">
        <v>-0.2397100380882172</v>
      </c>
      <c r="T493" s="35" t="n">
        <v>-0.4127918011007782</v>
      </c>
      <c r="U493" s="30" t="n">
        <v>61400</v>
      </c>
      <c r="V493" s="30" t="n">
        <v>15470</v>
      </c>
      <c r="W493" s="35" t="n">
        <v>-0.7480456026058632</v>
      </c>
      <c r="X493" s="35" t="n">
        <v>0</v>
      </c>
      <c r="Y493" s="30" t="n">
        <v>20476584</v>
      </c>
      <c r="Z493" s="30" t="n">
        <v>316772754480</v>
      </c>
      <c r="AA493" s="30" t="n">
        <v>2714783890</v>
      </c>
      <c r="AB493" s="30" t="n">
        <v>2907302100</v>
      </c>
      <c r="AC493" s="35" t="n">
        <v>0.008570130642884574</v>
      </c>
      <c r="AD493" s="24" t="inlineStr">
        <is>
          <t>yfinance_download</t>
        </is>
      </c>
      <c r="AE493" s="24" t="inlineStr">
        <is>
          <t>317330.KQ</t>
        </is>
      </c>
    </row>
    <row r="494" ht="24" customHeight="1">
      <c r="A494" s="29" t="inlineStr">
        <is>
          <t>2025-06-19</t>
        </is>
      </c>
      <c r="B494" s="31" t="n">
        <v>15620</v>
      </c>
      <c r="C494" s="31" t="n">
        <v>16660</v>
      </c>
      <c r="D494" s="31" t="n">
        <v>15450</v>
      </c>
      <c r="E494" s="31" t="n">
        <v>16120</v>
      </c>
      <c r="F494" s="31" t="n">
        <v>16120</v>
      </c>
      <c r="G494" s="31" t="n">
        <v>203076</v>
      </c>
      <c r="H494" s="36" t="n">
        <v>0.04201680672268915</v>
      </c>
      <c r="I494" s="36" t="n">
        <v>-0.7374592833876221</v>
      </c>
      <c r="J494" s="31" t="n">
        <v>17472.5</v>
      </c>
      <c r="K494" s="31" t="n">
        <v>20213.66666666667</v>
      </c>
      <c r="L494" s="31" t="n">
        <v>26201.83333333333</v>
      </c>
      <c r="M494" s="36" t="n">
        <v>0.5600364322536462</v>
      </c>
      <c r="N494" s="36" t="n">
        <v>0.7180058625598126</v>
      </c>
      <c r="O494" s="36" t="n">
        <v>-0.1093922651933702</v>
      </c>
      <c r="P494" s="36" t="n">
        <v>-0.3325051759834369</v>
      </c>
      <c r="Q494" s="36" t="n">
        <v>-0.5159159159159159</v>
      </c>
      <c r="R494" s="36" t="n">
        <v>-0.07740735441407931</v>
      </c>
      <c r="S494" s="36" t="n">
        <v>-0.2025197473656437</v>
      </c>
      <c r="T494" s="36" t="n">
        <v>-0.3847758744617107</v>
      </c>
      <c r="U494" s="31" t="n">
        <v>61400</v>
      </c>
      <c r="V494" s="31" t="n">
        <v>15470</v>
      </c>
      <c r="W494" s="36" t="n">
        <v>-0.7374592833876221</v>
      </c>
      <c r="X494" s="36" t="n">
        <v>0.04201680672268915</v>
      </c>
      <c r="Y494" s="31" t="n">
        <v>20476584</v>
      </c>
      <c r="Z494" s="31" t="n">
        <v>330082534080</v>
      </c>
      <c r="AA494" s="31" t="n">
        <v>3273585120</v>
      </c>
      <c r="AB494" s="31" t="n">
        <v>2935361676</v>
      </c>
      <c r="AC494" s="36" t="n">
        <v>0.009917474516257204</v>
      </c>
      <c r="AD494" s="29" t="inlineStr">
        <is>
          <t>yfinance_download</t>
        </is>
      </c>
      <c r="AE494" s="29" t="inlineStr">
        <is>
          <t>317330.KQ</t>
        </is>
      </c>
    </row>
    <row r="495" ht="24" customHeight="1">
      <c r="A495" s="24" t="inlineStr">
        <is>
          <t>2025-06-20</t>
        </is>
      </c>
      <c r="B495" s="30" t="n">
        <v>16150</v>
      </c>
      <c r="C495" s="30" t="n">
        <v>16550</v>
      </c>
      <c r="D495" s="30" t="n">
        <v>15960</v>
      </c>
      <c r="E495" s="30" t="n">
        <v>16290</v>
      </c>
      <c r="F495" s="30" t="n">
        <v>16290</v>
      </c>
      <c r="G495" s="30" t="n">
        <v>121257</v>
      </c>
      <c r="H495" s="35" t="n">
        <v>0.01054590570719594</v>
      </c>
      <c r="I495" s="35" t="n">
        <v>-0.7346905537459283</v>
      </c>
      <c r="J495" s="30" t="n">
        <v>17400.5</v>
      </c>
      <c r="K495" s="30" t="n">
        <v>20071.83333333333</v>
      </c>
      <c r="L495" s="30" t="n">
        <v>26071.33333333333</v>
      </c>
      <c r="M495" s="35" t="n">
        <v>0.5596407128992893</v>
      </c>
      <c r="N495" s="35" t="n">
        <v>0.7156063173761436</v>
      </c>
      <c r="O495" s="35" t="n">
        <v>-0.08121827411167515</v>
      </c>
      <c r="P495" s="35" t="n">
        <v>-0.3431451612903226</v>
      </c>
      <c r="Q495" s="35" t="n">
        <v>-0.4901408450704225</v>
      </c>
      <c r="R495" s="35" t="n">
        <v>-0.06382000517226516</v>
      </c>
      <c r="S495" s="35" t="n">
        <v>-0.1884149429964045</v>
      </c>
      <c r="T495" s="35" t="n">
        <v>-0.3751757997289488</v>
      </c>
      <c r="U495" s="30" t="n">
        <v>61400</v>
      </c>
      <c r="V495" s="30" t="n">
        <v>15470</v>
      </c>
      <c r="W495" s="35" t="n">
        <v>-0.7346905537459283</v>
      </c>
      <c r="X495" s="35" t="n">
        <v>0.0530058177117001</v>
      </c>
      <c r="Y495" s="30" t="n">
        <v>20476584</v>
      </c>
      <c r="Z495" s="30" t="n">
        <v>333563553360</v>
      </c>
      <c r="AA495" s="30" t="n">
        <v>1975276530</v>
      </c>
      <c r="AB495" s="30" t="n">
        <v>2850220191</v>
      </c>
      <c r="AC495" s="35" t="n">
        <v>0.005921739680798321</v>
      </c>
      <c r="AD495" s="24" t="inlineStr">
        <is>
          <t>yfinance_download</t>
        </is>
      </c>
      <c r="AE495" s="24" t="inlineStr">
        <is>
          <t>317330.KQ</t>
        </is>
      </c>
    </row>
    <row r="496" ht="24" customHeight="1">
      <c r="A496" s="29" t="inlineStr">
        <is>
          <t>2025-06-23</t>
        </is>
      </c>
      <c r="B496" s="31" t="n">
        <v>16030</v>
      </c>
      <c r="C496" s="31" t="n">
        <v>16070</v>
      </c>
      <c r="D496" s="31" t="n">
        <v>15380</v>
      </c>
      <c r="E496" s="31" t="n">
        <v>15480</v>
      </c>
      <c r="F496" s="31" t="n">
        <v>15480</v>
      </c>
      <c r="G496" s="31" t="n">
        <v>126926</v>
      </c>
      <c r="H496" s="36" t="n">
        <v>-0.04972375690607733</v>
      </c>
      <c r="I496" s="36" t="n">
        <v>-0.7478827361563518</v>
      </c>
      <c r="J496" s="31" t="n">
        <v>17300</v>
      </c>
      <c r="K496" s="31" t="n">
        <v>19939.83333333333</v>
      </c>
      <c r="L496" s="31" t="n">
        <v>25929.91666666667</v>
      </c>
      <c r="M496" s="36" t="n">
        <v>0.5824113025281448</v>
      </c>
      <c r="N496" s="36" t="n">
        <v>0.7137109811869851</v>
      </c>
      <c r="O496" s="36" t="n">
        <v>-0.1149228130360206</v>
      </c>
      <c r="P496" s="36" t="n">
        <v>-0.3384615384615385</v>
      </c>
      <c r="Q496" s="36" t="n">
        <v>-0.5229583975346688</v>
      </c>
      <c r="R496" s="36" t="n">
        <v>-0.1052023121387283</v>
      </c>
      <c r="S496" s="36" t="n">
        <v>-0.223664524110031</v>
      </c>
      <c r="T496" s="36" t="n">
        <v>-0.4030061801201316</v>
      </c>
      <c r="U496" s="31" t="n">
        <v>61400</v>
      </c>
      <c r="V496" s="31" t="n">
        <v>15470</v>
      </c>
      <c r="W496" s="36" t="n">
        <v>-0.7478827361563518</v>
      </c>
      <c r="X496" s="36" t="n">
        <v>0.0006464124111182912</v>
      </c>
      <c r="Y496" s="31" t="n">
        <v>20476584</v>
      </c>
      <c r="Z496" s="31" t="n">
        <v>316977520320</v>
      </c>
      <c r="AA496" s="31" t="n">
        <v>1964814480</v>
      </c>
      <c r="AB496" s="31" t="n">
        <v>2832558183</v>
      </c>
      <c r="AC496" s="36" t="n">
        <v>0.006198592499608333</v>
      </c>
      <c r="AD496" s="29" t="inlineStr">
        <is>
          <t>yfinance_download</t>
        </is>
      </c>
      <c r="AE496" s="29" t="inlineStr">
        <is>
          <t>317330.KQ</t>
        </is>
      </c>
    </row>
    <row r="497" ht="24" customHeight="1">
      <c r="A497" s="24" t="inlineStr">
        <is>
          <t>2025-06-24</t>
        </is>
      </c>
      <c r="B497" s="30" t="n">
        <v>15900</v>
      </c>
      <c r="C497" s="30" t="n">
        <v>16650</v>
      </c>
      <c r="D497" s="30" t="n">
        <v>15805</v>
      </c>
      <c r="E497" s="30" t="n">
        <v>16410</v>
      </c>
      <c r="F497" s="30" t="n">
        <v>16410</v>
      </c>
      <c r="G497" s="30" t="n">
        <v>180332</v>
      </c>
      <c r="H497" s="35" t="n">
        <v>0.06007751937984507</v>
      </c>
      <c r="I497" s="35" t="n">
        <v>-0.7327361563517916</v>
      </c>
      <c r="J497" s="30" t="n">
        <v>17276.5</v>
      </c>
      <c r="K497" s="30" t="n">
        <v>19845</v>
      </c>
      <c r="L497" s="30" t="n">
        <v>25804.58333333333</v>
      </c>
      <c r="M497" s="35" t="n">
        <v>0.6153637635971256</v>
      </c>
      <c r="N497" s="35" t="n">
        <v>0.7186707992969886</v>
      </c>
      <c r="O497" s="35" t="n">
        <v>-0.02784360189573465</v>
      </c>
      <c r="P497" s="35" t="n">
        <v>-0.2574660633484163</v>
      </c>
      <c r="Q497" s="35" t="n">
        <v>-0.4782193958664547</v>
      </c>
      <c r="R497" s="35" t="n">
        <v>-0.05015483460191594</v>
      </c>
      <c r="S497" s="35" t="n">
        <v>-0.1730914588057445</v>
      </c>
      <c r="T497" s="35" t="n">
        <v>-0.3640664610615039</v>
      </c>
      <c r="U497" s="30" t="n">
        <v>61400</v>
      </c>
      <c r="V497" s="30" t="n">
        <v>15470</v>
      </c>
      <c r="W497" s="35" t="n">
        <v>-0.7327361563517916</v>
      </c>
      <c r="X497" s="35" t="n">
        <v>0.06076276664511959</v>
      </c>
      <c r="Y497" s="30" t="n">
        <v>20476584</v>
      </c>
      <c r="Z497" s="30" t="n">
        <v>336020743440</v>
      </c>
      <c r="AA497" s="30" t="n">
        <v>2959248120</v>
      </c>
      <c r="AB497" s="30" t="n">
        <v>2861062517</v>
      </c>
      <c r="AC497" s="35" t="n">
        <v>0.008806742374607015</v>
      </c>
      <c r="AD497" s="24" t="inlineStr">
        <is>
          <t>yfinance_download</t>
        </is>
      </c>
      <c r="AE497" s="24" t="inlineStr">
        <is>
          <t>317330.KQ</t>
        </is>
      </c>
    </row>
    <row r="498" ht="24" customHeight="1">
      <c r="A498" s="29" t="inlineStr">
        <is>
          <t>2025-06-25</t>
        </is>
      </c>
      <c r="B498" s="31" t="n">
        <v>16560</v>
      </c>
      <c r="C498" s="31" t="n">
        <v>17050</v>
      </c>
      <c r="D498" s="31" t="n">
        <v>16250</v>
      </c>
      <c r="E498" s="31" t="n">
        <v>16620</v>
      </c>
      <c r="F498" s="31" t="n">
        <v>16620</v>
      </c>
      <c r="G498" s="31" t="n">
        <v>150207</v>
      </c>
      <c r="H498" s="36" t="n">
        <v>0.01279707495429605</v>
      </c>
      <c r="I498" s="36" t="n">
        <v>-0.7293159609120521</v>
      </c>
      <c r="J498" s="31" t="n">
        <v>17234.5</v>
      </c>
      <c r="K498" s="31" t="n">
        <v>19745.33333333333</v>
      </c>
      <c r="L498" s="31" t="n">
        <v>25691.41666666667</v>
      </c>
      <c r="M498" s="36" t="n">
        <v>0.603721287564646</v>
      </c>
      <c r="N498" s="36" t="n">
        <v>0.7173987478868999</v>
      </c>
      <c r="O498" s="36" t="n">
        <v>-0.04810996563573888</v>
      </c>
      <c r="P498" s="36" t="n">
        <v>-0.2646017699115044</v>
      </c>
      <c r="Q498" s="36" t="n">
        <v>-0.4496688741721855</v>
      </c>
      <c r="R498" s="36" t="n">
        <v>-0.03565522643534769</v>
      </c>
      <c r="S498" s="36" t="n">
        <v>-0.1582821257343506</v>
      </c>
      <c r="T498" s="36" t="n">
        <v>-0.3530913372494705</v>
      </c>
      <c r="U498" s="31" t="n">
        <v>61400</v>
      </c>
      <c r="V498" s="31" t="n">
        <v>15470</v>
      </c>
      <c r="W498" s="36" t="n">
        <v>-0.7293159609120521</v>
      </c>
      <c r="X498" s="36" t="n">
        <v>0.07433742727860371</v>
      </c>
      <c r="Y498" s="31" t="n">
        <v>20476584</v>
      </c>
      <c r="Z498" s="31" t="n">
        <v>340320826080</v>
      </c>
      <c r="AA498" s="31" t="n">
        <v>2496440340</v>
      </c>
      <c r="AB498" s="31" t="n">
        <v>2880126695</v>
      </c>
      <c r="AC498" s="36" t="n">
        <v>0.007335549718644477</v>
      </c>
      <c r="AD498" s="29" t="inlineStr">
        <is>
          <t>yfinance_download</t>
        </is>
      </c>
      <c r="AE498" s="29" t="inlineStr">
        <is>
          <t>317330.KQ</t>
        </is>
      </c>
    </row>
    <row r="499" ht="24" customHeight="1">
      <c r="A499" s="24" t="inlineStr">
        <is>
          <t>2025-06-26</t>
        </is>
      </c>
      <c r="B499" s="30" t="n">
        <v>16670</v>
      </c>
      <c r="C499" s="30" t="n">
        <v>16970</v>
      </c>
      <c r="D499" s="30" t="n">
        <v>16150</v>
      </c>
      <c r="E499" s="30" t="n">
        <v>16260</v>
      </c>
      <c r="F499" s="30" t="n">
        <v>16260</v>
      </c>
      <c r="G499" s="30" t="n">
        <v>100999</v>
      </c>
      <c r="H499" s="35" t="n">
        <v>-0.02166064981949456</v>
      </c>
      <c r="I499" s="35" t="n">
        <v>-0.7351791530944625</v>
      </c>
      <c r="J499" s="30" t="n">
        <v>17204</v>
      </c>
      <c r="K499" s="30" t="n">
        <v>19657.16666666667</v>
      </c>
      <c r="L499" s="30" t="n">
        <v>25567.75</v>
      </c>
      <c r="M499" s="35" t="n">
        <v>0.596683153600939</v>
      </c>
      <c r="N499" s="35" t="n">
        <v>0.7129353575145615</v>
      </c>
      <c r="O499" s="35" t="n">
        <v>-0.03615886188500295</v>
      </c>
      <c r="P499" s="35" t="n">
        <v>-0.2454756380510441</v>
      </c>
      <c r="Q499" s="35" t="n">
        <v>-0.4771704180064309</v>
      </c>
      <c r="R499" s="35" t="n">
        <v>-0.05487096024180427</v>
      </c>
      <c r="S499" s="35" t="n">
        <v>-0.1728207693546884</v>
      </c>
      <c r="T499" s="35" t="n">
        <v>-0.3640425927193437</v>
      </c>
      <c r="U499" s="30" t="n">
        <v>61400</v>
      </c>
      <c r="V499" s="30" t="n">
        <v>15470</v>
      </c>
      <c r="W499" s="35" t="n">
        <v>-0.7351791530944625</v>
      </c>
      <c r="X499" s="35" t="n">
        <v>0.05106658047834522</v>
      </c>
      <c r="Y499" s="30" t="n">
        <v>20476584</v>
      </c>
      <c r="Z499" s="30" t="n">
        <v>332949255840</v>
      </c>
      <c r="AA499" s="30" t="n">
        <v>1642243740</v>
      </c>
      <c r="AB499" s="30" t="n">
        <v>2854254012</v>
      </c>
      <c r="AC499" s="35" t="n">
        <v>0.004932414508201173</v>
      </c>
      <c r="AD499" s="24" t="inlineStr">
        <is>
          <t>yfinance_download</t>
        </is>
      </c>
      <c r="AE499" s="24" t="inlineStr">
        <is>
          <t>317330.KQ</t>
        </is>
      </c>
    </row>
    <row r="500" ht="24" customHeight="1">
      <c r="A500" s="29" t="inlineStr">
        <is>
          <t>2025-06-27</t>
        </is>
      </c>
      <c r="B500" s="31" t="n">
        <v>16360</v>
      </c>
      <c r="C500" s="31" t="n">
        <v>16370</v>
      </c>
      <c r="D500" s="31" t="n">
        <v>15560</v>
      </c>
      <c r="E500" s="31" t="n">
        <v>15620</v>
      </c>
      <c r="F500" s="31" t="n">
        <v>15620</v>
      </c>
      <c r="G500" s="31" t="n">
        <v>108415</v>
      </c>
      <c r="H500" s="36" t="n">
        <v>-0.03936039360393606</v>
      </c>
      <c r="I500" s="36" t="n">
        <v>-0.7456026058631922</v>
      </c>
      <c r="J500" s="31" t="n">
        <v>17095.5</v>
      </c>
      <c r="K500" s="31" t="n">
        <v>19558.33333333333</v>
      </c>
      <c r="L500" s="31" t="n">
        <v>25442.5</v>
      </c>
      <c r="M500" s="36" t="n">
        <v>0.5730435648284395</v>
      </c>
      <c r="N500" s="36" t="n">
        <v>0.7166125105659571</v>
      </c>
      <c r="O500" s="36" t="n">
        <v>-0.1219786396852164</v>
      </c>
      <c r="P500" s="36" t="n">
        <v>-0.2751740139211137</v>
      </c>
      <c r="Q500" s="36" t="n">
        <v>-0.4903752039151713</v>
      </c>
      <c r="R500" s="36" t="n">
        <v>-0.08630926267146322</v>
      </c>
      <c r="S500" s="36" t="n">
        <v>-0.2013634426927993</v>
      </c>
      <c r="T500" s="36" t="n">
        <v>-0.3860666208116341</v>
      </c>
      <c r="U500" s="31" t="n">
        <v>61400</v>
      </c>
      <c r="V500" s="31" t="n">
        <v>15470</v>
      </c>
      <c r="W500" s="36" t="n">
        <v>-0.7456026058631922</v>
      </c>
      <c r="X500" s="36" t="n">
        <v>0.009696186166774368</v>
      </c>
      <c r="Y500" s="31" t="n">
        <v>20476584</v>
      </c>
      <c r="Z500" s="31" t="n">
        <v>319844242080</v>
      </c>
      <c r="AA500" s="31" t="n">
        <v>1693442300</v>
      </c>
      <c r="AB500" s="31" t="n">
        <v>2796100001.5</v>
      </c>
      <c r="AC500" s="36" t="n">
        <v>0.005294584291989328</v>
      </c>
      <c r="AD500" s="29" t="inlineStr">
        <is>
          <t>yfinance_download</t>
        </is>
      </c>
      <c r="AE500" s="29" t="inlineStr">
        <is>
          <t>317330.KQ</t>
        </is>
      </c>
    </row>
    <row r="501" ht="24" customHeight="1">
      <c r="A501" s="24" t="inlineStr">
        <is>
          <t>2025-06-30</t>
        </is>
      </c>
      <c r="B501" s="30" t="n">
        <v>15600</v>
      </c>
      <c r="C501" s="30" t="n">
        <v>15880</v>
      </c>
      <c r="D501" s="30" t="n">
        <v>15280</v>
      </c>
      <c r="E501" s="30" t="n">
        <v>15290</v>
      </c>
      <c r="F501" s="30" t="n">
        <v>15290</v>
      </c>
      <c r="G501" s="30" t="n">
        <v>111867</v>
      </c>
      <c r="H501" s="35" t="n">
        <v>-0.02112676056338025</v>
      </c>
      <c r="I501" s="35" t="n">
        <v>-0.7509771986970684</v>
      </c>
      <c r="J501" s="30" t="n">
        <v>16944.5</v>
      </c>
      <c r="K501" s="30" t="n">
        <v>19485.33333333333</v>
      </c>
      <c r="L501" s="30" t="n">
        <v>25322</v>
      </c>
      <c r="M501" s="35" t="n">
        <v>0.5598701160672765</v>
      </c>
      <c r="N501" s="35" t="n">
        <v>0.6964858884102739</v>
      </c>
      <c r="O501" s="35" t="n">
        <v>-0.1649371927908246</v>
      </c>
      <c r="P501" s="35" t="n">
        <v>-0.2226741230299949</v>
      </c>
      <c r="Q501" s="35" t="n">
        <v>-0.4860504201680672</v>
      </c>
      <c r="R501" s="35" t="n">
        <v>-0.09764230281212194</v>
      </c>
      <c r="S501" s="35" t="n">
        <v>-0.2153072396332284</v>
      </c>
      <c r="T501" s="35" t="n">
        <v>-0.3961772371850565</v>
      </c>
      <c r="U501" s="30" t="n">
        <v>61400</v>
      </c>
      <c r="V501" s="30" t="n">
        <v>15290</v>
      </c>
      <c r="W501" s="35" t="n">
        <v>-0.7509771986970684</v>
      </c>
      <c r="X501" s="35" t="n">
        <v>0</v>
      </c>
      <c r="Y501" s="30" t="n">
        <v>20476584</v>
      </c>
      <c r="Z501" s="30" t="n">
        <v>313086969360</v>
      </c>
      <c r="AA501" s="30" t="n">
        <v>1710446430</v>
      </c>
      <c r="AB501" s="30" t="n">
        <v>2763836839.5</v>
      </c>
      <c r="AC501" s="35" t="n">
        <v>0.005463167098574645</v>
      </c>
      <c r="AD501" s="24" t="inlineStr">
        <is>
          <t>yfinance_download</t>
        </is>
      </c>
      <c r="AE501" s="24" t="inlineStr">
        <is>
          <t>317330.KQ</t>
        </is>
      </c>
    </row>
    <row r="502" ht="24" customHeight="1">
      <c r="A502" s="29" t="inlineStr">
        <is>
          <t>2025-07-01</t>
        </is>
      </c>
      <c r="B502" s="31" t="n">
        <v>15290</v>
      </c>
      <c r="C502" s="31" t="n">
        <v>15640</v>
      </c>
      <c r="D502" s="31" t="n">
        <v>15240</v>
      </c>
      <c r="E502" s="31" t="n">
        <v>15250</v>
      </c>
      <c r="F502" s="31" t="n">
        <v>15250</v>
      </c>
      <c r="G502" s="31" t="n">
        <v>110965</v>
      </c>
      <c r="H502" s="36" t="n">
        <v>-0.002616088947024253</v>
      </c>
      <c r="I502" s="36" t="n">
        <v>-0.751628664495114</v>
      </c>
      <c r="J502" s="31" t="n">
        <v>16804</v>
      </c>
      <c r="K502" s="31" t="n">
        <v>19397.83333333333</v>
      </c>
      <c r="L502" s="31" t="n">
        <v>25209.08333333333</v>
      </c>
      <c r="M502" s="36" t="n">
        <v>0.5598620881724834</v>
      </c>
      <c r="N502" s="36" t="n">
        <v>0.6900154352408047</v>
      </c>
      <c r="O502" s="36" t="n">
        <v>-0.155592469545958</v>
      </c>
      <c r="P502" s="36" t="n">
        <v>-0.2560975609756098</v>
      </c>
      <c r="Q502" s="36" t="n">
        <v>-0.4704861111111112</v>
      </c>
      <c r="R502" s="36" t="n">
        <v>-0.09247798143299213</v>
      </c>
      <c r="S502" s="36" t="n">
        <v>-0.2138297232508785</v>
      </c>
      <c r="T502" s="36" t="n">
        <v>-0.3950593205491406</v>
      </c>
      <c r="U502" s="31" t="n">
        <v>61400</v>
      </c>
      <c r="V502" s="31" t="n">
        <v>15250</v>
      </c>
      <c r="W502" s="36" t="n">
        <v>-0.751628664495114</v>
      </c>
      <c r="X502" s="36" t="n">
        <v>0</v>
      </c>
      <c r="Y502" s="31" t="n">
        <v>20476584</v>
      </c>
      <c r="Z502" s="31" t="n">
        <v>312267906000</v>
      </c>
      <c r="AA502" s="31" t="n">
        <v>1692216250</v>
      </c>
      <c r="AB502" s="31" t="n">
        <v>2607212105</v>
      </c>
      <c r="AC502" s="36" t="n">
        <v>0.00541911678236956</v>
      </c>
      <c r="AD502" s="29" t="inlineStr">
        <is>
          <t>yfinance_download</t>
        </is>
      </c>
      <c r="AE502" s="29" t="inlineStr">
        <is>
          <t>317330.KQ</t>
        </is>
      </c>
    </row>
    <row r="503" ht="24" customHeight="1">
      <c r="A503" s="24" t="inlineStr">
        <is>
          <t>2025-07-02</t>
        </is>
      </c>
      <c r="B503" s="30" t="n">
        <v>15250</v>
      </c>
      <c r="C503" s="30" t="n">
        <v>15250</v>
      </c>
      <c r="D503" s="30" t="n">
        <v>14840</v>
      </c>
      <c r="E503" s="30" t="n">
        <v>15050</v>
      </c>
      <c r="F503" s="30" t="n">
        <v>15050</v>
      </c>
      <c r="G503" s="30" t="n">
        <v>85871</v>
      </c>
      <c r="H503" s="35" t="n">
        <v>-0.0131147540983606</v>
      </c>
      <c r="I503" s="35" t="n">
        <v>-0.754885993485342</v>
      </c>
      <c r="J503" s="30" t="n">
        <v>16668</v>
      </c>
      <c r="K503" s="30" t="n">
        <v>19312</v>
      </c>
      <c r="L503" s="30" t="n">
        <v>25087.41666666667</v>
      </c>
      <c r="M503" s="35" t="n">
        <v>0.5593856240182117</v>
      </c>
      <c r="N503" s="35" t="n">
        <v>0.6899226203350489</v>
      </c>
      <c r="O503" s="35" t="n">
        <v>-0.1530669667979742</v>
      </c>
      <c r="P503" s="35" t="n">
        <v>-0.254950495049505</v>
      </c>
      <c r="Q503" s="35" t="n">
        <v>-0.4924114671163575</v>
      </c>
      <c r="R503" s="35" t="n">
        <v>-0.09707223422126232</v>
      </c>
      <c r="S503" s="35" t="n">
        <v>-0.2206917978458989</v>
      </c>
      <c r="T503" s="35" t="n">
        <v>-0.400097658520706</v>
      </c>
      <c r="U503" s="30" t="n">
        <v>61400</v>
      </c>
      <c r="V503" s="30" t="n">
        <v>15050</v>
      </c>
      <c r="W503" s="35" t="n">
        <v>-0.754885993485342</v>
      </c>
      <c r="X503" s="35" t="n">
        <v>0</v>
      </c>
      <c r="Y503" s="30" t="n">
        <v>20476584</v>
      </c>
      <c r="Z503" s="30" t="n">
        <v>308172589200</v>
      </c>
      <c r="AA503" s="30" t="n">
        <v>1292358550</v>
      </c>
      <c r="AB503" s="30" t="n">
        <v>2603435079.5</v>
      </c>
      <c r="AC503" s="35" t="n">
        <v>0.004193619404486607</v>
      </c>
      <c r="AD503" s="24" t="inlineStr">
        <is>
          <t>yfinance_download</t>
        </is>
      </c>
      <c r="AE503" s="24" t="inlineStr">
        <is>
          <t>317330.KQ</t>
        </is>
      </c>
    </row>
    <row r="504" ht="24" customHeight="1">
      <c r="A504" s="29" t="inlineStr">
        <is>
          <t>2025-07-03</t>
        </is>
      </c>
      <c r="B504" s="31" t="n">
        <v>15370</v>
      </c>
      <c r="C504" s="31" t="n">
        <v>16500</v>
      </c>
      <c r="D504" s="31" t="n">
        <v>15050</v>
      </c>
      <c r="E504" s="31" t="n">
        <v>16370</v>
      </c>
      <c r="F504" s="31" t="n">
        <v>16370</v>
      </c>
      <c r="G504" s="31" t="n">
        <v>208033</v>
      </c>
      <c r="H504" s="36" t="n">
        <v>0.08770764119601338</v>
      </c>
      <c r="I504" s="36" t="n">
        <v>-0.7333876221498372</v>
      </c>
      <c r="J504" s="31" t="n">
        <v>16583</v>
      </c>
      <c r="K504" s="31" t="n">
        <v>19232.33333333333</v>
      </c>
      <c r="L504" s="31" t="n">
        <v>24971.75</v>
      </c>
      <c r="M504" s="36" t="n">
        <v>0.6498191277155074</v>
      </c>
      <c r="N504" s="36" t="n">
        <v>0.7075824309086899</v>
      </c>
      <c r="O504" s="36" t="n">
        <v>-0.09407858328721641</v>
      </c>
      <c r="P504" s="36" t="n">
        <v>-0.2260047281323877</v>
      </c>
      <c r="Q504" s="36" t="n">
        <v>-0.4588429752066115</v>
      </c>
      <c r="R504" s="36" t="n">
        <v>-0.01284447928601584</v>
      </c>
      <c r="S504" s="36" t="n">
        <v>-0.1488292285560774</v>
      </c>
      <c r="T504" s="36" t="n">
        <v>-0.3444592389400022</v>
      </c>
      <c r="U504" s="31" t="n">
        <v>61400</v>
      </c>
      <c r="V504" s="31" t="n">
        <v>15050</v>
      </c>
      <c r="W504" s="36" t="n">
        <v>-0.7333876221498372</v>
      </c>
      <c r="X504" s="36" t="n">
        <v>0.08770764119601338</v>
      </c>
      <c r="Y504" s="31" t="n">
        <v>20476584</v>
      </c>
      <c r="Z504" s="31" t="n">
        <v>335201680080</v>
      </c>
      <c r="AA504" s="31" t="n">
        <v>3405500210</v>
      </c>
      <c r="AB504" s="31" t="n">
        <v>2674026935</v>
      </c>
      <c r="AC504" s="36" t="n">
        <v>0.01015955591030223</v>
      </c>
      <c r="AD504" s="29" t="inlineStr">
        <is>
          <t>yfinance_download</t>
        </is>
      </c>
      <c r="AE504" s="29" t="inlineStr">
        <is>
          <t>317330.KQ</t>
        </is>
      </c>
    </row>
    <row r="505" ht="24" customHeight="1">
      <c r="A505" s="24" t="inlineStr">
        <is>
          <t>2025-07-04</t>
        </is>
      </c>
      <c r="B505" s="30" t="n">
        <v>16380</v>
      </c>
      <c r="C505" s="30" t="n">
        <v>16680</v>
      </c>
      <c r="D505" s="30" t="n">
        <v>15830</v>
      </c>
      <c r="E505" s="30" t="n">
        <v>16290</v>
      </c>
      <c r="F505" s="30" t="n">
        <v>16290</v>
      </c>
      <c r="G505" s="30" t="n">
        <v>105885</v>
      </c>
      <c r="H505" s="35" t="n">
        <v>-0.004886988393402514</v>
      </c>
      <c r="I505" s="35" t="n">
        <v>-0.7346905537459283</v>
      </c>
      <c r="J505" s="30" t="n">
        <v>16465</v>
      </c>
      <c r="K505" s="30" t="n">
        <v>19151.33333333333</v>
      </c>
      <c r="L505" s="30" t="n">
        <v>24847.08333333333</v>
      </c>
      <c r="M505" s="35" t="n">
        <v>0.6355696881076467</v>
      </c>
      <c r="N505" s="35" t="n">
        <v>0.7075554957159694</v>
      </c>
      <c r="O505" s="35" t="n">
        <v>-0.1265415549597855</v>
      </c>
      <c r="P505" s="35" t="n">
        <v>-0.2297872340425532</v>
      </c>
      <c r="Q505" s="35" t="n">
        <v>-0.47872</v>
      </c>
      <c r="R505" s="35" t="n">
        <v>-0.01062860613422412</v>
      </c>
      <c r="S505" s="35" t="n">
        <v>-0.1494064817071048</v>
      </c>
      <c r="T505" s="35" t="n">
        <v>-0.3443898512568544</v>
      </c>
      <c r="U505" s="30" t="n">
        <v>61400</v>
      </c>
      <c r="V505" s="30" t="n">
        <v>15050</v>
      </c>
      <c r="W505" s="35" t="n">
        <v>-0.7346905537459283</v>
      </c>
      <c r="X505" s="35" t="n">
        <v>0.0823920265780731</v>
      </c>
      <c r="Y505" s="30" t="n">
        <v>20476584</v>
      </c>
      <c r="Z505" s="30" t="n">
        <v>333563553360</v>
      </c>
      <c r="AA505" s="30" t="n">
        <v>1724866650</v>
      </c>
      <c r="AB505" s="30" t="n">
        <v>2670037837.5</v>
      </c>
      <c r="AC505" s="35" t="n">
        <v>0.005171028527023843</v>
      </c>
      <c r="AD505" s="24" t="inlineStr">
        <is>
          <t>yfinance_download</t>
        </is>
      </c>
      <c r="AE505" s="24" t="inlineStr">
        <is>
          <t>317330.KQ</t>
        </is>
      </c>
    </row>
    <row r="506" ht="24" customHeight="1">
      <c r="A506" s="29" t="inlineStr">
        <is>
          <t>2025-07-07</t>
        </is>
      </c>
      <c r="B506" s="31" t="n">
        <v>16470</v>
      </c>
      <c r="C506" s="31" t="n">
        <v>16510</v>
      </c>
      <c r="D506" s="31" t="n">
        <v>15800</v>
      </c>
      <c r="E506" s="31" t="n">
        <v>16000</v>
      </c>
      <c r="F506" s="31" t="n">
        <v>16000</v>
      </c>
      <c r="G506" s="31" t="n">
        <v>90421</v>
      </c>
      <c r="H506" s="36" t="n">
        <v>-0.01780233271945975</v>
      </c>
      <c r="I506" s="36" t="n">
        <v>-0.739413680781759</v>
      </c>
      <c r="J506" s="31" t="n">
        <v>16290.5</v>
      </c>
      <c r="K506" s="31" t="n">
        <v>19090.33333333333</v>
      </c>
      <c r="L506" s="31" t="n">
        <v>24719.16666666667</v>
      </c>
      <c r="M506" s="36" t="n">
        <v>0.6071603410609629</v>
      </c>
      <c r="N506" s="36" t="n">
        <v>0.6943491192448581</v>
      </c>
      <c r="O506" s="36" t="n">
        <v>-0.1790661877886095</v>
      </c>
      <c r="P506" s="36" t="n">
        <v>-0.1861648016276704</v>
      </c>
      <c r="Q506" s="36" t="n">
        <v>-0.4896331738437002</v>
      </c>
      <c r="R506" s="36" t="n">
        <v>-0.01783247905220831</v>
      </c>
      <c r="S506" s="36" t="n">
        <v>-0.1618794852543172</v>
      </c>
      <c r="T506" s="36" t="n">
        <v>-0.3527289889761657</v>
      </c>
      <c r="U506" s="31" t="n">
        <v>61400</v>
      </c>
      <c r="V506" s="31" t="n">
        <v>15050</v>
      </c>
      <c r="W506" s="36" t="n">
        <v>-0.739413680781759</v>
      </c>
      <c r="X506" s="36" t="n">
        <v>0.06312292358803995</v>
      </c>
      <c r="Y506" s="31" t="n">
        <v>20476584</v>
      </c>
      <c r="Z506" s="31" t="n">
        <v>327625344000</v>
      </c>
      <c r="AA506" s="31" t="n">
        <v>1446736000</v>
      </c>
      <c r="AB506" s="31" t="n">
        <v>2460418654.5</v>
      </c>
      <c r="AC506" s="36" t="n">
        <v>0.00441582443634153</v>
      </c>
      <c r="AD506" s="29" t="inlineStr">
        <is>
          <t>yfinance_download</t>
        </is>
      </c>
      <c r="AE506" s="29" t="inlineStr">
        <is>
          <t>317330.KQ</t>
        </is>
      </c>
    </row>
    <row r="507" ht="24" customHeight="1">
      <c r="A507" s="24" t="inlineStr">
        <is>
          <t>2025-07-08</t>
        </is>
      </c>
      <c r="B507" s="30" t="n">
        <v>15700</v>
      </c>
      <c r="C507" s="30" t="n">
        <v>16150</v>
      </c>
      <c r="D507" s="30" t="n">
        <v>15610</v>
      </c>
      <c r="E507" s="30" t="n">
        <v>15810</v>
      </c>
      <c r="F507" s="30" t="n">
        <v>15810</v>
      </c>
      <c r="G507" s="30" t="n">
        <v>61400</v>
      </c>
      <c r="H507" s="35" t="n">
        <v>-0.01187499999999997</v>
      </c>
      <c r="I507" s="35" t="n">
        <v>-0.7425081433224756</v>
      </c>
      <c r="J507" s="30" t="n">
        <v>16160</v>
      </c>
      <c r="K507" s="30" t="n">
        <v>19038.83333333333</v>
      </c>
      <c r="L507" s="30" t="n">
        <v>24593.41666666667</v>
      </c>
      <c r="M507" s="35" t="n">
        <v>0.5828658239880247</v>
      </c>
      <c r="N507" s="35" t="n">
        <v>0.6905546142279361</v>
      </c>
      <c r="O507" s="35" t="n">
        <v>-0.1416938110749185</v>
      </c>
      <c r="P507" s="35" t="n">
        <v>-0.1634920634920635</v>
      </c>
      <c r="Q507" s="35" t="n">
        <v>-0.4883495145631068</v>
      </c>
      <c r="R507" s="35" t="n">
        <v>-0.02165841584158412</v>
      </c>
      <c r="S507" s="35" t="n">
        <v>-0.169591974298145</v>
      </c>
      <c r="T507" s="35" t="n">
        <v>-0.3571450354261473</v>
      </c>
      <c r="U507" s="30" t="n">
        <v>57700</v>
      </c>
      <c r="V507" s="30" t="n">
        <v>15050</v>
      </c>
      <c r="W507" s="35" t="n">
        <v>-0.7259965337954939</v>
      </c>
      <c r="X507" s="35" t="n">
        <v>0.05049833887043187</v>
      </c>
      <c r="Y507" s="30" t="n">
        <v>20476584</v>
      </c>
      <c r="Z507" s="30" t="n">
        <v>323734793040</v>
      </c>
      <c r="AA507" s="30" t="n">
        <v>970734000</v>
      </c>
      <c r="AB507" s="30" t="n">
        <v>2329620997.5</v>
      </c>
      <c r="AC507" s="35" t="n">
        <v>0.002998547023273023</v>
      </c>
      <c r="AD507" s="24" t="inlineStr">
        <is>
          <t>yfinance_download</t>
        </is>
      </c>
      <c r="AE507" s="24" t="inlineStr">
        <is>
          <t>317330.KQ</t>
        </is>
      </c>
    </row>
    <row r="508" ht="24" customHeight="1">
      <c r="A508" s="29" t="inlineStr">
        <is>
          <t>2025-07-09</t>
        </is>
      </c>
      <c r="B508" s="31" t="n">
        <v>15910</v>
      </c>
      <c r="C508" s="31" t="n">
        <v>16050</v>
      </c>
      <c r="D508" s="31" t="n">
        <v>15610</v>
      </c>
      <c r="E508" s="31" t="n">
        <v>15660</v>
      </c>
      <c r="F508" s="31" t="n">
        <v>15660</v>
      </c>
      <c r="G508" s="31" t="n">
        <v>48005</v>
      </c>
      <c r="H508" s="36" t="n">
        <v>-0.009487666034155628</v>
      </c>
      <c r="I508" s="36" t="n">
        <v>-0.7449511400651465</v>
      </c>
      <c r="J508" s="31" t="n">
        <v>16022.5</v>
      </c>
      <c r="K508" s="31" t="n">
        <v>19008.33333333333</v>
      </c>
      <c r="L508" s="31" t="n">
        <v>24456.41666666667</v>
      </c>
      <c r="M508" s="36" t="n">
        <v>0.5824202471007389</v>
      </c>
      <c r="N508" s="36" t="n">
        <v>0.6740399114042994</v>
      </c>
      <c r="O508" s="36" t="n">
        <v>-0.149375339489408</v>
      </c>
      <c r="P508" s="36" t="n">
        <v>-0.1046312178387651</v>
      </c>
      <c r="Q508" s="36" t="n">
        <v>-0.5121495327102803</v>
      </c>
      <c r="R508" s="36" t="n">
        <v>-0.0226244343891403</v>
      </c>
      <c r="S508" s="36" t="n">
        <v>-0.176150811047786</v>
      </c>
      <c r="T508" s="36" t="n">
        <v>-0.3596772489837364</v>
      </c>
      <c r="U508" s="31" t="n">
        <v>55500</v>
      </c>
      <c r="V508" s="31" t="n">
        <v>15050</v>
      </c>
      <c r="W508" s="36" t="n">
        <v>-0.7178378378378378</v>
      </c>
      <c r="X508" s="36" t="n">
        <v>0.04053156146179404</v>
      </c>
      <c r="Y508" s="31" t="n">
        <v>20476584</v>
      </c>
      <c r="Z508" s="31" t="n">
        <v>320663305440</v>
      </c>
      <c r="AA508" s="31" t="n">
        <v>751758300</v>
      </c>
      <c r="AB508" s="31" t="n">
        <v>2280648774.5</v>
      </c>
      <c r="AC508" s="36" t="n">
        <v>0.002344385176746278</v>
      </c>
      <c r="AD508" s="29" t="inlineStr">
        <is>
          <t>yfinance_download</t>
        </is>
      </c>
      <c r="AE508" s="29" t="inlineStr">
        <is>
          <t>317330.KQ</t>
        </is>
      </c>
    </row>
    <row r="509" ht="24" customHeight="1">
      <c r="A509" s="24" t="inlineStr">
        <is>
          <t>2025-07-10</t>
        </is>
      </c>
      <c r="B509" s="30" t="n">
        <v>15670</v>
      </c>
      <c r="C509" s="30" t="n">
        <v>15940</v>
      </c>
      <c r="D509" s="30" t="n">
        <v>15630</v>
      </c>
      <c r="E509" s="30" t="n">
        <v>15860</v>
      </c>
      <c r="F509" s="30" t="n">
        <v>15860</v>
      </c>
      <c r="G509" s="30" t="n">
        <v>49689</v>
      </c>
      <c r="H509" s="35" t="n">
        <v>0.01277139208173694</v>
      </c>
      <c r="I509" s="35" t="n">
        <v>-0.7416938110749185</v>
      </c>
      <c r="J509" s="30" t="n">
        <v>15917.5</v>
      </c>
      <c r="K509" s="30" t="n">
        <v>18927.66666666667</v>
      </c>
      <c r="L509" s="30" t="n">
        <v>24314.83333333333</v>
      </c>
      <c r="M509" s="35" t="n">
        <v>0.5829800855929361</v>
      </c>
      <c r="N509" s="35" t="n">
        <v>0.554649707073135</v>
      </c>
      <c r="O509" s="35" t="n">
        <v>-0.1169265033407573</v>
      </c>
      <c r="P509" s="35" t="n">
        <v>-0.2338164251207729</v>
      </c>
      <c r="Q509" s="35" t="n">
        <v>-0.5171993911719939</v>
      </c>
      <c r="R509" s="35" t="n">
        <v>-0.003612376315376142</v>
      </c>
      <c r="S509" s="35" t="n">
        <v>-0.1620731556980083</v>
      </c>
      <c r="T509" s="35" t="n">
        <v>-0.3477232690607243</v>
      </c>
      <c r="U509" s="30" t="n">
        <v>55500</v>
      </c>
      <c r="V509" s="30" t="n">
        <v>15050</v>
      </c>
      <c r="W509" s="35" t="n">
        <v>-0.7142342342342343</v>
      </c>
      <c r="X509" s="35" t="n">
        <v>0.05382059800664463</v>
      </c>
      <c r="Y509" s="30" t="n">
        <v>20476584</v>
      </c>
      <c r="Z509" s="30" t="n">
        <v>324758622240</v>
      </c>
      <c r="AA509" s="30" t="n">
        <v>788067540</v>
      </c>
      <c r="AB509" s="30" t="n">
        <v>2103579373.5</v>
      </c>
      <c r="AC509" s="35" t="n">
        <v>0.002426625456667968</v>
      </c>
      <c r="AD509" s="24" t="inlineStr">
        <is>
          <t>yfinance_download</t>
        </is>
      </c>
      <c r="AE509" s="24" t="inlineStr">
        <is>
          <t>317330.KQ</t>
        </is>
      </c>
    </row>
    <row r="510" ht="24" customHeight="1">
      <c r="A510" s="29" t="inlineStr">
        <is>
          <t>2025-07-11</t>
        </is>
      </c>
      <c r="B510" s="31" t="n">
        <v>15890</v>
      </c>
      <c r="C510" s="31" t="n">
        <v>16930</v>
      </c>
      <c r="D510" s="31" t="n">
        <v>15890</v>
      </c>
      <c r="E510" s="31" t="n">
        <v>16170</v>
      </c>
      <c r="F510" s="31" t="n">
        <v>16170</v>
      </c>
      <c r="G510" s="31" t="n">
        <v>193939</v>
      </c>
      <c r="H510" s="36" t="n">
        <v>0.01954602774274905</v>
      </c>
      <c r="I510" s="36" t="n">
        <v>-0.7366449511400652</v>
      </c>
      <c r="J510" s="31" t="n">
        <v>15883.5</v>
      </c>
      <c r="K510" s="31" t="n">
        <v>18835.5</v>
      </c>
      <c r="L510" s="31" t="n">
        <v>24158.33333333333</v>
      </c>
      <c r="M510" s="36" t="n">
        <v>0.5494492701994743</v>
      </c>
      <c r="N510" s="36" t="n">
        <v>0.546167656884477</v>
      </c>
      <c r="O510" s="36" t="n">
        <v>-0.04035608308605343</v>
      </c>
      <c r="P510" s="36" t="n">
        <v>-0.2548387096774194</v>
      </c>
      <c r="Q510" s="36" t="n">
        <v>-0.5373390557939914</v>
      </c>
      <c r="R510" s="36" t="n">
        <v>0.01803758617433182</v>
      </c>
      <c r="S510" s="36" t="n">
        <v>-0.1415146929999204</v>
      </c>
      <c r="T510" s="36" t="n">
        <v>-0.3306657468092445</v>
      </c>
      <c r="U510" s="31" t="n">
        <v>55500</v>
      </c>
      <c r="V510" s="31" t="n">
        <v>15050</v>
      </c>
      <c r="W510" s="36" t="n">
        <v>-0.7086486486486486</v>
      </c>
      <c r="X510" s="36" t="n">
        <v>0.07441860465116279</v>
      </c>
      <c r="Y510" s="31" t="n">
        <v>20476584</v>
      </c>
      <c r="Z510" s="31" t="n">
        <v>331106363280</v>
      </c>
      <c r="AA510" s="31" t="n">
        <v>3135993630</v>
      </c>
      <c r="AB510" s="31" t="n">
        <v>2075710637.5</v>
      </c>
      <c r="AC510" s="36" t="n">
        <v>0.009471257510530077</v>
      </c>
      <c r="AD510" s="29" t="inlineStr">
        <is>
          <t>yfinance_download</t>
        </is>
      </c>
      <c r="AE510" s="29" t="inlineStr">
        <is>
          <t>317330.KQ</t>
        </is>
      </c>
    </row>
    <row r="511" ht="24" customHeight="1">
      <c r="A511" s="24" t="inlineStr">
        <is>
          <t>2025-07-14</t>
        </is>
      </c>
      <c r="B511" s="30" t="n">
        <v>16200</v>
      </c>
      <c r="C511" s="30" t="n">
        <v>16200</v>
      </c>
      <c r="D511" s="30" t="n">
        <v>15830</v>
      </c>
      <c r="E511" s="30" t="n">
        <v>15930</v>
      </c>
      <c r="F511" s="30" t="n">
        <v>15930</v>
      </c>
      <c r="G511" s="30" t="n">
        <v>64054</v>
      </c>
      <c r="H511" s="35" t="n">
        <v>-0.01484230055658631</v>
      </c>
      <c r="I511" s="35" t="n">
        <v>-0.7405537459283388</v>
      </c>
      <c r="J511" s="30" t="n">
        <v>15874</v>
      </c>
      <c r="K511" s="30" t="n">
        <v>18734.33333333333</v>
      </c>
      <c r="L511" s="30" t="n">
        <v>24015.66666666667</v>
      </c>
      <c r="M511" s="35" t="n">
        <v>0.5296384940351408</v>
      </c>
      <c r="N511" s="35" t="n">
        <v>0.5452603398191456</v>
      </c>
      <c r="O511" s="35" t="n">
        <v>-0.01178660049627789</v>
      </c>
      <c r="P511" s="35" t="n">
        <v>-0.2759090909090909</v>
      </c>
      <c r="Q511" s="35" t="n">
        <v>-0.5180030257186081</v>
      </c>
      <c r="R511" s="35" t="n">
        <v>0.003527781277560704</v>
      </c>
      <c r="S511" s="35" t="n">
        <v>-0.1496895183531127</v>
      </c>
      <c r="T511" s="35" t="n">
        <v>-0.3366829985981373</v>
      </c>
      <c r="U511" s="30" t="n">
        <v>55500</v>
      </c>
      <c r="V511" s="30" t="n">
        <v>15050</v>
      </c>
      <c r="W511" s="35" t="n">
        <v>-0.712972972972973</v>
      </c>
      <c r="X511" s="35" t="n">
        <v>0.05847176079734218</v>
      </c>
      <c r="Y511" s="30" t="n">
        <v>20476584</v>
      </c>
      <c r="Z511" s="30" t="n">
        <v>326191983120</v>
      </c>
      <c r="AA511" s="30" t="n">
        <v>1020380220</v>
      </c>
      <c r="AB511" s="30" t="n">
        <v>1990076378.5</v>
      </c>
      <c r="AC511" s="35" t="n">
        <v>0.003128158485809938</v>
      </c>
      <c r="AD511" s="24" t="inlineStr">
        <is>
          <t>yfinance_download</t>
        </is>
      </c>
      <c r="AE511" s="24" t="inlineStr">
        <is>
          <t>317330.KQ</t>
        </is>
      </c>
    </row>
    <row r="512" ht="24" customHeight="1">
      <c r="A512" s="29" t="inlineStr">
        <is>
          <t>2025-07-15</t>
        </is>
      </c>
      <c r="B512" s="31" t="n">
        <v>15800</v>
      </c>
      <c r="C512" s="31" t="n">
        <v>15950</v>
      </c>
      <c r="D512" s="31" t="n">
        <v>15360</v>
      </c>
      <c r="E512" s="31" t="n">
        <v>15660</v>
      </c>
      <c r="F512" s="31" t="n">
        <v>15660</v>
      </c>
      <c r="G512" s="31" t="n">
        <v>117201</v>
      </c>
      <c r="H512" s="36" t="n">
        <v>-0.01694915254237284</v>
      </c>
      <c r="I512" s="36" t="n">
        <v>-0.7449511400651465</v>
      </c>
      <c r="J512" s="31" t="n">
        <v>15880.5</v>
      </c>
      <c r="K512" s="31" t="n">
        <v>18611.16666666667</v>
      </c>
      <c r="L512" s="31" t="n">
        <v>23860.75</v>
      </c>
      <c r="M512" s="36" t="n">
        <v>0.5160840733157828</v>
      </c>
      <c r="N512" s="36" t="n">
        <v>0.5346602209406501</v>
      </c>
      <c r="O512" s="36" t="n">
        <v>0.008370895041854398</v>
      </c>
      <c r="P512" s="36" t="n">
        <v>-0.3206073752711497</v>
      </c>
      <c r="Q512" s="36" t="n">
        <v>-0.5427737226277372</v>
      </c>
      <c r="R512" s="36" t="n">
        <v>-0.0138849532445452</v>
      </c>
      <c r="S512" s="36" t="n">
        <v>-0.1585696759114152</v>
      </c>
      <c r="T512" s="36" t="n">
        <v>-0.3436920465618223</v>
      </c>
      <c r="U512" s="31" t="n">
        <v>55500</v>
      </c>
      <c r="V512" s="31" t="n">
        <v>15050</v>
      </c>
      <c r="W512" s="36" t="n">
        <v>-0.7178378378378378</v>
      </c>
      <c r="X512" s="36" t="n">
        <v>0.04053156146179404</v>
      </c>
      <c r="Y512" s="31" t="n">
        <v>20476584</v>
      </c>
      <c r="Z512" s="31" t="n">
        <v>320663305440</v>
      </c>
      <c r="AA512" s="31" t="n">
        <v>1835367660</v>
      </c>
      <c r="AB512" s="31" t="n">
        <v>1924712998</v>
      </c>
      <c r="AC512" s="36" t="n">
        <v>0.005723659766687646</v>
      </c>
      <c r="AD512" s="29" t="inlineStr">
        <is>
          <t>yfinance_download</t>
        </is>
      </c>
      <c r="AE512" s="29" t="inlineStr">
        <is>
          <t>317330.KQ</t>
        </is>
      </c>
    </row>
    <row r="513" ht="24" customHeight="1">
      <c r="A513" s="24" t="inlineStr">
        <is>
          <t>2025-07-16</t>
        </is>
      </c>
      <c r="B513" s="30" t="n">
        <v>15700</v>
      </c>
      <c r="C513" s="30" t="n">
        <v>15700</v>
      </c>
      <c r="D513" s="30" t="n">
        <v>15320</v>
      </c>
      <c r="E513" s="30" t="n">
        <v>15320</v>
      </c>
      <c r="F513" s="30" t="n">
        <v>15320</v>
      </c>
      <c r="G513" s="30" t="n">
        <v>80457</v>
      </c>
      <c r="H513" s="35" t="n">
        <v>-0.02171136653895278</v>
      </c>
      <c r="I513" s="35" t="n">
        <v>-0.7504885993485342</v>
      </c>
      <c r="J513" s="30" t="n">
        <v>15873</v>
      </c>
      <c r="K513" s="30" t="n">
        <v>18488.16666666667</v>
      </c>
      <c r="L513" s="30" t="n">
        <v>23698.83333333333</v>
      </c>
      <c r="M513" s="35" t="n">
        <v>0.5221257519377819</v>
      </c>
      <c r="N513" s="35" t="n">
        <v>0.5353128492831587</v>
      </c>
      <c r="O513" s="35" t="n">
        <v>-0.009696186166774368</v>
      </c>
      <c r="P513" s="35" t="n">
        <v>-0.3251101321585903</v>
      </c>
      <c r="Q513" s="35" t="n">
        <v>-0.5591366906474819</v>
      </c>
      <c r="R513" s="35" t="n">
        <v>-0.03483903483903483</v>
      </c>
      <c r="S513" s="35" t="n">
        <v>-0.1713618620919688</v>
      </c>
      <c r="T513" s="35" t="n">
        <v>-0.3535546756872701</v>
      </c>
      <c r="U513" s="30" t="n">
        <v>55500</v>
      </c>
      <c r="V513" s="30" t="n">
        <v>15050</v>
      </c>
      <c r="W513" s="35" t="n">
        <v>-0.7239639639639639</v>
      </c>
      <c r="X513" s="35" t="n">
        <v>0.01794019933554813</v>
      </c>
      <c r="Y513" s="30" t="n">
        <v>20476584</v>
      </c>
      <c r="Z513" s="30" t="n">
        <v>313701266880</v>
      </c>
      <c r="AA513" s="30" t="n">
        <v>1232601240</v>
      </c>
      <c r="AB513" s="30" t="n">
        <v>1850603865.5</v>
      </c>
      <c r="AC513" s="35" t="n">
        <v>0.003929219834714618</v>
      </c>
      <c r="AD513" s="24" t="inlineStr">
        <is>
          <t>yfinance_download</t>
        </is>
      </c>
      <c r="AE513" s="24" t="inlineStr">
        <is>
          <t>317330.KQ</t>
        </is>
      </c>
    </row>
    <row r="514" ht="24" customHeight="1">
      <c r="A514" s="29" t="inlineStr">
        <is>
          <t>2025-07-17</t>
        </is>
      </c>
      <c r="B514" s="31" t="n">
        <v>15450</v>
      </c>
      <c r="C514" s="31" t="n">
        <v>15550</v>
      </c>
      <c r="D514" s="31" t="n">
        <v>15060</v>
      </c>
      <c r="E514" s="31" t="n">
        <v>15390</v>
      </c>
      <c r="F514" s="31" t="n">
        <v>15390</v>
      </c>
      <c r="G514" s="31" t="n">
        <v>69841</v>
      </c>
      <c r="H514" s="36" t="n">
        <v>0.004569190600522299</v>
      </c>
      <c r="I514" s="36" t="n">
        <v>-0.7493485342019544</v>
      </c>
      <c r="J514" s="31" t="n">
        <v>15836.5</v>
      </c>
      <c r="K514" s="31" t="n">
        <v>18360.5</v>
      </c>
      <c r="L514" s="31" t="n">
        <v>23526.25</v>
      </c>
      <c r="M514" s="36" t="n">
        <v>0.4985603853772036</v>
      </c>
      <c r="N514" s="36" t="n">
        <v>0.5339205956717229</v>
      </c>
      <c r="O514" s="36" t="n">
        <v>-0.04528535980148884</v>
      </c>
      <c r="P514" s="36" t="n">
        <v>-0.3323210412147506</v>
      </c>
      <c r="Q514" s="36" t="n">
        <v>-0.5736842105263158</v>
      </c>
      <c r="R514" s="36" t="n">
        <v>-0.0281943611277744</v>
      </c>
      <c r="S514" s="36" t="n">
        <v>-0.1617875330192533</v>
      </c>
      <c r="T514" s="36" t="n">
        <v>-0.3458370968598905</v>
      </c>
      <c r="U514" s="31" t="n">
        <v>55500</v>
      </c>
      <c r="V514" s="31" t="n">
        <v>15050</v>
      </c>
      <c r="W514" s="36" t="n">
        <v>-0.7227027027027026</v>
      </c>
      <c r="X514" s="36" t="n">
        <v>0.02259136212624591</v>
      </c>
      <c r="Y514" s="31" t="n">
        <v>20476584</v>
      </c>
      <c r="Z514" s="31" t="n">
        <v>315134627760</v>
      </c>
      <c r="AA514" s="31" t="n">
        <v>1074852990</v>
      </c>
      <c r="AB514" s="31" t="n">
        <v>1740667259</v>
      </c>
      <c r="AC514" s="36" t="n">
        <v>0.003410773984566957</v>
      </c>
      <c r="AD514" s="29" t="inlineStr">
        <is>
          <t>yfinance_download</t>
        </is>
      </c>
      <c r="AE514" s="29" t="inlineStr">
        <is>
          <t>317330.KQ</t>
        </is>
      </c>
    </row>
    <row r="515" ht="24" customHeight="1">
      <c r="A515" s="24" t="inlineStr">
        <is>
          <t>2025-07-18</t>
        </is>
      </c>
      <c r="B515" s="30" t="n">
        <v>15470</v>
      </c>
      <c r="C515" s="30" t="n">
        <v>15990</v>
      </c>
      <c r="D515" s="30" t="n">
        <v>15300</v>
      </c>
      <c r="E515" s="30" t="n">
        <v>15700</v>
      </c>
      <c r="F515" s="30" t="n">
        <v>15700</v>
      </c>
      <c r="G515" s="30" t="n">
        <v>123284</v>
      </c>
      <c r="H515" s="35" t="n">
        <v>0.02014294996751143</v>
      </c>
      <c r="I515" s="35" t="n">
        <v>-0.744299674267101</v>
      </c>
      <c r="J515" s="30" t="n">
        <v>15807</v>
      </c>
      <c r="K515" s="30" t="n">
        <v>18223</v>
      </c>
      <c r="L515" s="30" t="n">
        <v>23356.25</v>
      </c>
      <c r="M515" s="35" t="n">
        <v>0.502872200817317</v>
      </c>
      <c r="N515" s="35" t="n">
        <v>0.5284624739837748</v>
      </c>
      <c r="O515" s="35" t="n">
        <v>-0.03621853898096994</v>
      </c>
      <c r="P515" s="35" t="n">
        <v>-0.3444676409185804</v>
      </c>
      <c r="Q515" s="35" t="n">
        <v>-0.5650969529085872</v>
      </c>
      <c r="R515" s="35" t="n">
        <v>-0.006769152906939913</v>
      </c>
      <c r="S515" s="35" t="n">
        <v>-0.1384514075618724</v>
      </c>
      <c r="T515" s="35" t="n">
        <v>-0.3278030505753278</v>
      </c>
      <c r="U515" s="30" t="n">
        <v>55500</v>
      </c>
      <c r="V515" s="30" t="n">
        <v>15050</v>
      </c>
      <c r="W515" s="35" t="n">
        <v>-0.7171171171171171</v>
      </c>
      <c r="X515" s="35" t="n">
        <v>0.04318936877076407</v>
      </c>
      <c r="Y515" s="30" t="n">
        <v>20476584</v>
      </c>
      <c r="Z515" s="30" t="n">
        <v>321482368800</v>
      </c>
      <c r="AA515" s="30" t="n">
        <v>1935558800</v>
      </c>
      <c r="AB515" s="30" t="n">
        <v>1738681372.5</v>
      </c>
      <c r="AC515" s="35" t="n">
        <v>0.00602073080158292</v>
      </c>
      <c r="AD515" s="24" t="inlineStr">
        <is>
          <t>yfinance_download</t>
        </is>
      </c>
      <c r="AE515" s="24" t="inlineStr">
        <is>
          <t>317330.KQ</t>
        </is>
      </c>
    </row>
    <row r="516" ht="24" customHeight="1">
      <c r="A516" s="29" t="inlineStr">
        <is>
          <t>2025-07-21</t>
        </is>
      </c>
      <c r="B516" s="31" t="n">
        <v>15750</v>
      </c>
      <c r="C516" s="31" t="n">
        <v>17310</v>
      </c>
      <c r="D516" s="31" t="n">
        <v>15700</v>
      </c>
      <c r="E516" s="31" t="n">
        <v>16930</v>
      </c>
      <c r="F516" s="31" t="n">
        <v>16930</v>
      </c>
      <c r="G516" s="31" t="n">
        <v>433924</v>
      </c>
      <c r="H516" s="36" t="n">
        <v>0.07834394904458608</v>
      </c>
      <c r="I516" s="36" t="n">
        <v>-0.7242671009771987</v>
      </c>
      <c r="J516" s="31" t="n">
        <v>15879.5</v>
      </c>
      <c r="K516" s="31" t="n">
        <v>18119.33333333333</v>
      </c>
      <c r="L516" s="31" t="n">
        <v>23190.66666666667</v>
      </c>
      <c r="M516" s="36" t="n">
        <v>0.5434117575594128</v>
      </c>
      <c r="N516" s="36" t="n">
        <v>0.5531849664373532</v>
      </c>
      <c r="O516" s="36" t="n">
        <v>0.09366925064599485</v>
      </c>
      <c r="P516" s="36" t="n">
        <v>-0.2686825053995681</v>
      </c>
      <c r="Q516" s="36" t="n">
        <v>-0.539945652173913</v>
      </c>
      <c r="R516" s="36" t="n">
        <v>0.06615447589659618</v>
      </c>
      <c r="S516" s="36" t="n">
        <v>-0.06563891239559949</v>
      </c>
      <c r="T516" s="36" t="n">
        <v>-0.2699649284194792</v>
      </c>
      <c r="U516" s="31" t="n">
        <v>55500</v>
      </c>
      <c r="V516" s="31" t="n">
        <v>15050</v>
      </c>
      <c r="W516" s="36" t="n">
        <v>-0.694954954954955</v>
      </c>
      <c r="X516" s="36" t="n">
        <v>0.1249169435215947</v>
      </c>
      <c r="Y516" s="31" t="n">
        <v>20476584</v>
      </c>
      <c r="Z516" s="31" t="n">
        <v>346668567120</v>
      </c>
      <c r="AA516" s="31" t="n">
        <v>7346333320</v>
      </c>
      <c r="AB516" s="31" t="n">
        <v>2007757314.5</v>
      </c>
      <c r="AC516" s="36" t="n">
        <v>0.02119122994343197</v>
      </c>
      <c r="AD516" s="29" t="inlineStr">
        <is>
          <t>yfinance_download</t>
        </is>
      </c>
      <c r="AE516" s="29" t="inlineStr">
        <is>
          <t>317330.KQ</t>
        </is>
      </c>
    </row>
    <row r="517" ht="24" customHeight="1">
      <c r="A517" s="24" t="inlineStr">
        <is>
          <t>2025-07-22</t>
        </is>
      </c>
      <c r="B517" s="30" t="n">
        <v>17030</v>
      </c>
      <c r="C517" s="30" t="n">
        <v>17450</v>
      </c>
      <c r="D517" s="30" t="n">
        <v>16600</v>
      </c>
      <c r="E517" s="30" t="n">
        <v>16780</v>
      </c>
      <c r="F517" s="30" t="n">
        <v>16780</v>
      </c>
      <c r="G517" s="30" t="n">
        <v>201197</v>
      </c>
      <c r="H517" s="35" t="n">
        <v>-0.008860011813349056</v>
      </c>
      <c r="I517" s="35" t="n">
        <v>-0.7267100977198697</v>
      </c>
      <c r="J517" s="30" t="n">
        <v>15898</v>
      </c>
      <c r="K517" s="30" t="n">
        <v>18029</v>
      </c>
      <c r="L517" s="30" t="n">
        <v>23035.5</v>
      </c>
      <c r="M517" s="35" t="n">
        <v>0.5044860107730276</v>
      </c>
      <c r="N517" s="35" t="n">
        <v>0.5480419857321103</v>
      </c>
      <c r="O517" s="35" t="n">
        <v>0.02254722730042658</v>
      </c>
      <c r="P517" s="35" t="n">
        <v>-0.2441441441441441</v>
      </c>
      <c r="Q517" s="35" t="n">
        <v>-0.5259887005649717</v>
      </c>
      <c r="R517" s="35" t="n">
        <v>0.05547867656308969</v>
      </c>
      <c r="S517" s="35" t="n">
        <v>-0.06927727550058238</v>
      </c>
      <c r="T517" s="35" t="n">
        <v>-0.2715591152785918</v>
      </c>
      <c r="U517" s="30" t="n">
        <v>55500</v>
      </c>
      <c r="V517" s="30" t="n">
        <v>15050</v>
      </c>
      <c r="W517" s="35" t="n">
        <v>-0.6976576576576576</v>
      </c>
      <c r="X517" s="35" t="n">
        <v>0.1149501661129568</v>
      </c>
      <c r="Y517" s="30" t="n">
        <v>20476584</v>
      </c>
      <c r="Z517" s="30" t="n">
        <v>343597079520</v>
      </c>
      <c r="AA517" s="30" t="n">
        <v>3376085660</v>
      </c>
      <c r="AB517" s="30" t="n">
        <v>2028599191.5</v>
      </c>
      <c r="AC517" s="35" t="n">
        <v>0.009825711163541731</v>
      </c>
      <c r="AD517" s="24" t="inlineStr">
        <is>
          <t>yfinance_download</t>
        </is>
      </c>
      <c r="AE517" s="24" t="inlineStr">
        <is>
          <t>317330.KQ</t>
        </is>
      </c>
    </row>
    <row r="518" ht="24" customHeight="1">
      <c r="A518" s="29" t="inlineStr">
        <is>
          <t>2025-07-23</t>
        </is>
      </c>
      <c r="B518" s="31" t="n">
        <v>16930</v>
      </c>
      <c r="C518" s="31" t="n">
        <v>16970</v>
      </c>
      <c r="D518" s="31" t="n">
        <v>15990</v>
      </c>
      <c r="E518" s="31" t="n">
        <v>16400</v>
      </c>
      <c r="F518" s="31" t="n">
        <v>16400</v>
      </c>
      <c r="G518" s="31" t="n">
        <v>154883</v>
      </c>
      <c r="H518" s="36" t="n">
        <v>-0.02264600715137066</v>
      </c>
      <c r="I518" s="36" t="n">
        <v>-0.7328990228013029</v>
      </c>
      <c r="J518" s="31" t="n">
        <v>15887</v>
      </c>
      <c r="K518" s="31" t="n">
        <v>17899.83333333333</v>
      </c>
      <c r="L518" s="31" t="n">
        <v>22875.5</v>
      </c>
      <c r="M518" s="36" t="n">
        <v>0.5096937160062727</v>
      </c>
      <c r="N518" s="36" t="n">
        <v>0.5146562094456456</v>
      </c>
      <c r="O518" s="36" t="n">
        <v>-0.01323706377858003</v>
      </c>
      <c r="P518" s="36" t="n">
        <v>-0.3209109730848861</v>
      </c>
      <c r="Q518" s="36" t="n">
        <v>-0.5393258426966292</v>
      </c>
      <c r="R518" s="36" t="n">
        <v>0.03229055202366715</v>
      </c>
      <c r="S518" s="36" t="n">
        <v>-0.08379035186547357</v>
      </c>
      <c r="T518" s="36" t="n">
        <v>-0.2830757797643767</v>
      </c>
      <c r="U518" s="31" t="n">
        <v>55500</v>
      </c>
      <c r="V518" s="31" t="n">
        <v>15050</v>
      </c>
      <c r="W518" s="36" t="n">
        <v>-0.7045045045045045</v>
      </c>
      <c r="X518" s="36" t="n">
        <v>0.0897009966777409</v>
      </c>
      <c r="Y518" s="31" t="n">
        <v>20476584</v>
      </c>
      <c r="Z518" s="31" t="n">
        <v>335815977600</v>
      </c>
      <c r="AA518" s="31" t="n">
        <v>2540081200</v>
      </c>
      <c r="AB518" s="31" t="n">
        <v>2030781234.5</v>
      </c>
      <c r="AC518" s="36" t="n">
        <v>0.007563908120612305</v>
      </c>
      <c r="AD518" s="29" t="inlineStr">
        <is>
          <t>yfinance_download</t>
        </is>
      </c>
      <c r="AE518" s="29" t="inlineStr">
        <is>
          <t>317330.KQ</t>
        </is>
      </c>
    </row>
    <row r="519" ht="24" customHeight="1">
      <c r="A519" s="24" t="inlineStr">
        <is>
          <t>2025-07-24</t>
        </is>
      </c>
      <c r="B519" s="30" t="n">
        <v>16430</v>
      </c>
      <c r="C519" s="30" t="n">
        <v>17250</v>
      </c>
      <c r="D519" s="30" t="n">
        <v>16400</v>
      </c>
      <c r="E519" s="30" t="n">
        <v>17010</v>
      </c>
      <c r="F519" s="30" t="n">
        <v>17010</v>
      </c>
      <c r="G519" s="30" t="n">
        <v>170157</v>
      </c>
      <c r="H519" s="35" t="n">
        <v>0.03719512195121943</v>
      </c>
      <c r="I519" s="35" t="n">
        <v>-0.7229641693811075</v>
      </c>
      <c r="J519" s="30" t="n">
        <v>15924.5</v>
      </c>
      <c r="K519" s="30" t="n">
        <v>17789.16666666667</v>
      </c>
      <c r="L519" s="30" t="n">
        <v>22730.16666666667</v>
      </c>
      <c r="M519" s="35" t="n">
        <v>0.5195364344856116</v>
      </c>
      <c r="N519" s="35" t="n">
        <v>0.5211880322329315</v>
      </c>
      <c r="O519" s="35" t="n">
        <v>0.04612546125461248</v>
      </c>
      <c r="P519" s="35" t="n">
        <v>-0.2807610993657506</v>
      </c>
      <c r="Q519" s="35" t="n">
        <v>-0.5062409288824383</v>
      </c>
      <c r="R519" s="35" t="n">
        <v>0.06816540550723738</v>
      </c>
      <c r="S519" s="35" t="n">
        <v>-0.04380006558298599</v>
      </c>
      <c r="T519" s="35" t="n">
        <v>-0.2516552892265052</v>
      </c>
      <c r="U519" s="30" t="n">
        <v>53500</v>
      </c>
      <c r="V519" s="30" t="n">
        <v>15050</v>
      </c>
      <c r="W519" s="35" t="n">
        <v>-0.6820560747663551</v>
      </c>
      <c r="X519" s="35" t="n">
        <v>0.1302325581395349</v>
      </c>
      <c r="Y519" s="30" t="n">
        <v>20476584</v>
      </c>
      <c r="Z519" s="30" t="n">
        <v>348306693840</v>
      </c>
      <c r="AA519" s="30" t="n">
        <v>2894370570</v>
      </c>
      <c r="AB519" s="30" t="n">
        <v>2093387576</v>
      </c>
      <c r="AC519" s="35" t="n">
        <v>0.008309833319854522</v>
      </c>
      <c r="AD519" s="24" t="inlineStr">
        <is>
          <t>yfinance_download</t>
        </is>
      </c>
      <c r="AE519" s="24" t="inlineStr">
        <is>
          <t>317330.KQ</t>
        </is>
      </c>
    </row>
    <row r="520" ht="24" customHeight="1">
      <c r="A520" s="29" t="inlineStr">
        <is>
          <t>2025-07-25</t>
        </is>
      </c>
      <c r="B520" s="31" t="n">
        <v>16870</v>
      </c>
      <c r="C520" s="31" t="n">
        <v>17200</v>
      </c>
      <c r="D520" s="31" t="n">
        <v>16440</v>
      </c>
      <c r="E520" s="31" t="n">
        <v>16750</v>
      </c>
      <c r="F520" s="31" t="n">
        <v>16750</v>
      </c>
      <c r="G520" s="31" t="n">
        <v>169650</v>
      </c>
      <c r="H520" s="36" t="n">
        <v>-0.01528512639623747</v>
      </c>
      <c r="I520" s="36" t="n">
        <v>-0.7271986970684039</v>
      </c>
      <c r="J520" s="31" t="n">
        <v>15981</v>
      </c>
      <c r="K520" s="31" t="n">
        <v>17672.5</v>
      </c>
      <c r="L520" s="31" t="n">
        <v>22586.41666666667</v>
      </c>
      <c r="M520" s="36" t="n">
        <v>0.5003283909726352</v>
      </c>
      <c r="N520" s="36" t="n">
        <v>0.5212542488270058</v>
      </c>
      <c r="O520" s="36" t="n">
        <v>0.07234314980793854</v>
      </c>
      <c r="P520" s="36" t="n">
        <v>-0.2947368421052632</v>
      </c>
      <c r="Q520" s="36" t="n">
        <v>-0.5073529411764706</v>
      </c>
      <c r="R520" s="36" t="n">
        <v>0.04811964207496411</v>
      </c>
      <c r="S520" s="36" t="n">
        <v>-0.05219974536709582</v>
      </c>
      <c r="T520" s="36" t="n">
        <v>-0.2584038341628634</v>
      </c>
      <c r="U520" s="31" t="n">
        <v>51500</v>
      </c>
      <c r="V520" s="31" t="n">
        <v>15050</v>
      </c>
      <c r="W520" s="36" t="n">
        <v>-0.674757281553398</v>
      </c>
      <c r="X520" s="36" t="n">
        <v>0.1129568106312293</v>
      </c>
      <c r="Y520" s="31" t="n">
        <v>20476584</v>
      </c>
      <c r="Z520" s="31" t="n">
        <v>342982782000</v>
      </c>
      <c r="AA520" s="31" t="n">
        <v>2841637500</v>
      </c>
      <c r="AB520" s="31" t="n">
        <v>2150797336</v>
      </c>
      <c r="AC520" s="36" t="n">
        <v>0.008285073330590689</v>
      </c>
      <c r="AD520" s="29" t="inlineStr">
        <is>
          <t>yfinance_download</t>
        </is>
      </c>
      <c r="AE520" s="29" t="inlineStr">
        <is>
          <t>317330.KQ</t>
        </is>
      </c>
    </row>
    <row r="521" ht="24" customHeight="1">
      <c r="A521" s="24" t="inlineStr">
        <is>
          <t>2025-07-28</t>
        </is>
      </c>
      <c r="B521" s="30" t="n">
        <v>16820</v>
      </c>
      <c r="C521" s="30" t="n">
        <v>17260</v>
      </c>
      <c r="D521" s="30" t="n">
        <v>16660</v>
      </c>
      <c r="E521" s="30" t="n">
        <v>16930</v>
      </c>
      <c r="F521" s="30" t="n">
        <v>16930</v>
      </c>
      <c r="G521" s="30" t="n">
        <v>96698</v>
      </c>
      <c r="H521" s="35" t="n">
        <v>0.01074626865671635</v>
      </c>
      <c r="I521" s="35" t="n">
        <v>-0.7242671009771987</v>
      </c>
      <c r="J521" s="30" t="n">
        <v>16063</v>
      </c>
      <c r="K521" s="30" t="n">
        <v>17570.5</v>
      </c>
      <c r="L521" s="30" t="n">
        <v>22441.66666666667</v>
      </c>
      <c r="M521" s="35" t="n">
        <v>0.4918575898353905</v>
      </c>
      <c r="N521" s="35" t="n">
        <v>0.5197948832239906</v>
      </c>
      <c r="O521" s="35" t="n">
        <v>0.1072596468279921</v>
      </c>
      <c r="P521" s="35" t="n">
        <v>-0.2655097613882863</v>
      </c>
      <c r="Q521" s="35" t="n">
        <v>-0.5064139941690962</v>
      </c>
      <c r="R521" s="35" t="n">
        <v>0.05397497354167968</v>
      </c>
      <c r="S521" s="35" t="n">
        <v>-0.03645314589795401</v>
      </c>
      <c r="T521" s="35" t="n">
        <v>-0.2455997029335314</v>
      </c>
      <c r="U521" s="30" t="n">
        <v>50000</v>
      </c>
      <c r="V521" s="30" t="n">
        <v>15050</v>
      </c>
      <c r="W521" s="35" t="n">
        <v>-0.6614</v>
      </c>
      <c r="X521" s="35" t="n">
        <v>0.1249169435215947</v>
      </c>
      <c r="Y521" s="30" t="n">
        <v>20476584</v>
      </c>
      <c r="Z521" s="30" t="n">
        <v>346668567120</v>
      </c>
      <c r="AA521" s="30" t="n">
        <v>1637097140</v>
      </c>
      <c r="AB521" s="30" t="n">
        <v>2147129871.5</v>
      </c>
      <c r="AC521" s="35" t="n">
        <v>0.004722369707759849</v>
      </c>
      <c r="AD521" s="24" t="inlineStr">
        <is>
          <t>yfinance_download</t>
        </is>
      </c>
      <c r="AE521" s="24" t="inlineStr">
        <is>
          <t>317330.KQ</t>
        </is>
      </c>
    </row>
    <row r="522" ht="24" customHeight="1">
      <c r="A522" s="29" t="inlineStr">
        <is>
          <t>2025-07-29</t>
        </is>
      </c>
      <c r="B522" s="31" t="n">
        <v>16750</v>
      </c>
      <c r="C522" s="31" t="n">
        <v>16910</v>
      </c>
      <c r="D522" s="31" t="n">
        <v>16270</v>
      </c>
      <c r="E522" s="31" t="n">
        <v>16550</v>
      </c>
      <c r="F522" s="31" t="n">
        <v>16550</v>
      </c>
      <c r="G522" s="31" t="n">
        <v>76944</v>
      </c>
      <c r="H522" s="36" t="n">
        <v>-0.0224453632604843</v>
      </c>
      <c r="I522" s="36" t="n">
        <v>-0.7304560260586319</v>
      </c>
      <c r="J522" s="31" t="n">
        <v>16128</v>
      </c>
      <c r="K522" s="31" t="n">
        <v>17464.66666666667</v>
      </c>
      <c r="L522" s="31" t="n">
        <v>22314.58333333333</v>
      </c>
      <c r="M522" s="36" t="n">
        <v>0.5011707557714682</v>
      </c>
      <c r="N522" s="36" t="n">
        <v>0.5210685076476754</v>
      </c>
      <c r="O522" s="36" t="n">
        <v>0.08524590163934431</v>
      </c>
      <c r="P522" s="36" t="n">
        <v>-0.277292576419214</v>
      </c>
      <c r="Q522" s="36" t="n">
        <v>-0.4795597484276729</v>
      </c>
      <c r="R522" s="36" t="n">
        <v>0.02616567460317465</v>
      </c>
      <c r="S522" s="36" t="n">
        <v>-0.05237240905447194</v>
      </c>
      <c r="T522" s="36" t="n">
        <v>-0.2583325553169639</v>
      </c>
      <c r="U522" s="31" t="n">
        <v>48200</v>
      </c>
      <c r="V522" s="31" t="n">
        <v>15050</v>
      </c>
      <c r="W522" s="36" t="n">
        <v>-0.6566390041493776</v>
      </c>
      <c r="X522" s="36" t="n">
        <v>0.09966777408637872</v>
      </c>
      <c r="Y522" s="31" t="n">
        <v>20476584</v>
      </c>
      <c r="Z522" s="31" t="n">
        <v>338887465200</v>
      </c>
      <c r="AA522" s="31" t="n">
        <v>1273423200</v>
      </c>
      <c r="AB522" s="31" t="n">
        <v>2126190219</v>
      </c>
      <c r="AC522" s="36" t="n">
        <v>0.003757658015614323</v>
      </c>
      <c r="AD522" s="29" t="inlineStr">
        <is>
          <t>yfinance_download</t>
        </is>
      </c>
      <c r="AE522" s="29" t="inlineStr">
        <is>
          <t>317330.KQ</t>
        </is>
      </c>
    </row>
    <row r="523" ht="24" customHeight="1">
      <c r="A523" s="24" t="inlineStr">
        <is>
          <t>2025-07-30</t>
        </is>
      </c>
      <c r="B523" s="30" t="n">
        <v>16420</v>
      </c>
      <c r="C523" s="30" t="n">
        <v>17500</v>
      </c>
      <c r="D523" s="30" t="n">
        <v>16420</v>
      </c>
      <c r="E523" s="30" t="n">
        <v>16880</v>
      </c>
      <c r="F523" s="30" t="n">
        <v>16880</v>
      </c>
      <c r="G523" s="30" t="n">
        <v>174046</v>
      </c>
      <c r="H523" s="35" t="n">
        <v>0.01993957703927496</v>
      </c>
      <c r="I523" s="35" t="n">
        <v>-0.7250814332247557</v>
      </c>
      <c r="J523" s="30" t="n">
        <v>16219.5</v>
      </c>
      <c r="K523" s="30" t="n">
        <v>17375.16666666667</v>
      </c>
      <c r="L523" s="30" t="n">
        <v>22193.58333333333</v>
      </c>
      <c r="M523" s="35" t="n">
        <v>0.4994447044442856</v>
      </c>
      <c r="N523" s="35" t="n">
        <v>0.5211663995027128</v>
      </c>
      <c r="O523" s="35" t="n">
        <v>0.1215946843853821</v>
      </c>
      <c r="P523" s="35" t="n">
        <v>-0.2413483146067416</v>
      </c>
      <c r="Q523" s="35" t="n">
        <v>-0.4624203821656051</v>
      </c>
      <c r="R523" s="35" t="n">
        <v>0.04072258700946385</v>
      </c>
      <c r="S523" s="35" t="n">
        <v>-0.02849852759206151</v>
      </c>
      <c r="T523" s="35" t="n">
        <v>-0.2394198022701757</v>
      </c>
      <c r="U523" s="30" t="n">
        <v>47150</v>
      </c>
      <c r="V523" s="30" t="n">
        <v>15050</v>
      </c>
      <c r="W523" s="35" t="n">
        <v>-0.6419936373276776</v>
      </c>
      <c r="X523" s="35" t="n">
        <v>0.1215946843853821</v>
      </c>
      <c r="Y523" s="30" t="n">
        <v>20476584</v>
      </c>
      <c r="Z523" s="30" t="n">
        <v>345644737920</v>
      </c>
      <c r="AA523" s="30" t="n">
        <v>2937896480</v>
      </c>
      <c r="AB523" s="30" t="n">
        <v>2208467115.5</v>
      </c>
      <c r="AC523" s="35" t="n">
        <v>0.008499757576752059</v>
      </c>
      <c r="AD523" s="24" t="inlineStr">
        <is>
          <t>yfinance_download</t>
        </is>
      </c>
      <c r="AE523" s="24" t="inlineStr">
        <is>
          <t>317330.KQ</t>
        </is>
      </c>
    </row>
    <row r="524" ht="24" customHeight="1">
      <c r="A524" s="29" t="inlineStr">
        <is>
          <t>2025-07-31</t>
        </is>
      </c>
      <c r="B524" s="31" t="n">
        <v>17160</v>
      </c>
      <c r="C524" s="31" t="n">
        <v>17280</v>
      </c>
      <c r="D524" s="31" t="n">
        <v>16630</v>
      </c>
      <c r="E524" s="31" t="n">
        <v>16890</v>
      </c>
      <c r="F524" s="31" t="n">
        <v>16890</v>
      </c>
      <c r="G524" s="31" t="n">
        <v>114148</v>
      </c>
      <c r="H524" s="36" t="n">
        <v>0.0005924170616113944</v>
      </c>
      <c r="I524" s="36" t="n">
        <v>-0.7249185667752442</v>
      </c>
      <c r="J524" s="31" t="n">
        <v>16245.5</v>
      </c>
      <c r="K524" s="31" t="n">
        <v>17282.5</v>
      </c>
      <c r="L524" s="31" t="n">
        <v>22058.08333333333</v>
      </c>
      <c r="M524" s="36" t="n">
        <v>0.3958981311518219</v>
      </c>
      <c r="N524" s="36" t="n">
        <v>0.5205517292886617</v>
      </c>
      <c r="O524" s="36" t="n">
        <v>0.03176542455711662</v>
      </c>
      <c r="P524" s="36" t="n">
        <v>-0.2476614699331848</v>
      </c>
      <c r="Q524" s="36" t="n">
        <v>-0.4904977375565611</v>
      </c>
      <c r="R524" s="36" t="n">
        <v>0.03967252469914739</v>
      </c>
      <c r="S524" s="36" t="n">
        <v>-0.02271083465933743</v>
      </c>
      <c r="T524" s="36" t="n">
        <v>-0.2342943063200564</v>
      </c>
      <c r="U524" s="31" t="n">
        <v>47150</v>
      </c>
      <c r="V524" s="31" t="n">
        <v>15050</v>
      </c>
      <c r="W524" s="36" t="n">
        <v>-0.6417815482502651</v>
      </c>
      <c r="X524" s="36" t="n">
        <v>0.1222591362126246</v>
      </c>
      <c r="Y524" s="31" t="n">
        <v>20476584</v>
      </c>
      <c r="Z524" s="31" t="n">
        <v>345849503760</v>
      </c>
      <c r="AA524" s="31" t="n">
        <v>1927959720</v>
      </c>
      <c r="AB524" s="31" t="n">
        <v>2134590091</v>
      </c>
      <c r="AC524" s="36" t="n">
        <v>0.005574562632126531</v>
      </c>
      <c r="AD524" s="29" t="inlineStr">
        <is>
          <t>yfinance_download</t>
        </is>
      </c>
      <c r="AE524" s="29" t="inlineStr">
        <is>
          <t>317330.KQ</t>
        </is>
      </c>
    </row>
    <row r="525" ht="24" customHeight="1">
      <c r="A525" s="24" t="inlineStr">
        <is>
          <t>2025-08-01</t>
        </is>
      </c>
      <c r="B525" s="30" t="n">
        <v>16680</v>
      </c>
      <c r="C525" s="30" t="n">
        <v>16870</v>
      </c>
      <c r="D525" s="30" t="n">
        <v>15750</v>
      </c>
      <c r="E525" s="30" t="n">
        <v>15780</v>
      </c>
      <c r="F525" s="30" t="n">
        <v>15780</v>
      </c>
      <c r="G525" s="30" t="n">
        <v>136767</v>
      </c>
      <c r="H525" s="35" t="n">
        <v>-0.06571936056838368</v>
      </c>
      <c r="I525" s="35" t="n">
        <v>-0.7429967426710098</v>
      </c>
      <c r="J525" s="30" t="n">
        <v>16220</v>
      </c>
      <c r="K525" s="30" t="n">
        <v>17184.66666666667</v>
      </c>
      <c r="L525" s="30" t="n">
        <v>21897.91666666667</v>
      </c>
      <c r="M525" s="35" t="n">
        <v>0.462858824148365</v>
      </c>
      <c r="N525" s="35" t="n">
        <v>0.5318385686819315</v>
      </c>
      <c r="O525" s="35" t="n">
        <v>-0.03130755064456725</v>
      </c>
      <c r="P525" s="35" t="n">
        <v>-0.2711316397228637</v>
      </c>
      <c r="Q525" s="35" t="n">
        <v>-0.5491428571428572</v>
      </c>
      <c r="R525" s="35" t="n">
        <v>-0.0271270036991369</v>
      </c>
      <c r="S525" s="35" t="n">
        <v>-0.08173953524459798</v>
      </c>
      <c r="T525" s="35" t="n">
        <v>-0.2793835029968604</v>
      </c>
      <c r="U525" s="30" t="n">
        <v>47150</v>
      </c>
      <c r="V525" s="30" t="n">
        <v>15050</v>
      </c>
      <c r="W525" s="35" t="n">
        <v>-0.6653234358430541</v>
      </c>
      <c r="X525" s="35" t="n">
        <v>0.04850498338870435</v>
      </c>
      <c r="Y525" s="30" t="n">
        <v>20476584</v>
      </c>
      <c r="Z525" s="30" t="n">
        <v>323120495520</v>
      </c>
      <c r="AA525" s="30" t="n">
        <v>2158183260</v>
      </c>
      <c r="AB525" s="30" t="n">
        <v>2156255921.5</v>
      </c>
      <c r="AC525" s="35" t="n">
        <v>0.006679190239934551</v>
      </c>
      <c r="AD525" s="24" t="inlineStr">
        <is>
          <t>yfinance_download</t>
        </is>
      </c>
      <c r="AE525" s="24" t="inlineStr">
        <is>
          <t>317330.KQ</t>
        </is>
      </c>
    </row>
    <row r="526" ht="24" customHeight="1">
      <c r="A526" s="29" t="inlineStr">
        <is>
          <t>2025-08-04</t>
        </is>
      </c>
      <c r="B526" s="31" t="n">
        <v>16000</v>
      </c>
      <c r="C526" s="31" t="n">
        <v>16090</v>
      </c>
      <c r="D526" s="31" t="n">
        <v>15780</v>
      </c>
      <c r="E526" s="31" t="n">
        <v>16010</v>
      </c>
      <c r="F526" s="31" t="n">
        <v>16010</v>
      </c>
      <c r="G526" s="31" t="n">
        <v>33082</v>
      </c>
      <c r="H526" s="36" t="n">
        <v>0.01457541191381506</v>
      </c>
      <c r="I526" s="36" t="n">
        <v>-0.7392508143322476</v>
      </c>
      <c r="J526" s="31" t="n">
        <v>16220.5</v>
      </c>
      <c r="K526" s="31" t="n">
        <v>17088.16666666667</v>
      </c>
      <c r="L526" s="31" t="n">
        <v>21730.5</v>
      </c>
      <c r="M526" s="36" t="n">
        <v>0.4617124643920599</v>
      </c>
      <c r="N526" s="36" t="n">
        <v>0.5327832647735155</v>
      </c>
      <c r="O526" s="36" t="n">
        <v>0.0006250000000000977</v>
      </c>
      <c r="P526" s="36" t="n">
        <v>-0.2655963302752293</v>
      </c>
      <c r="Q526" s="36" t="n">
        <v>-0.5565096952908588</v>
      </c>
      <c r="R526" s="36" t="n">
        <v>-0.01297740513547674</v>
      </c>
      <c r="S526" s="36" t="n">
        <v>-0.06309434403924752</v>
      </c>
      <c r="T526" s="36" t="n">
        <v>-0.2632475092611767</v>
      </c>
      <c r="U526" s="31" t="n">
        <v>47150</v>
      </c>
      <c r="V526" s="31" t="n">
        <v>15050</v>
      </c>
      <c r="W526" s="36" t="n">
        <v>-0.6604453870625663</v>
      </c>
      <c r="X526" s="36" t="n">
        <v>0.06378737541528245</v>
      </c>
      <c r="Y526" s="31" t="n">
        <v>20476584</v>
      </c>
      <c r="Z526" s="31" t="n">
        <v>327830109840</v>
      </c>
      <c r="AA526" s="31" t="n">
        <v>529642820</v>
      </c>
      <c r="AB526" s="31" t="n">
        <v>2110401262.5</v>
      </c>
      <c r="AC526" s="36" t="n">
        <v>0.001615601508532869</v>
      </c>
      <c r="AD526" s="29" t="inlineStr">
        <is>
          <t>yfinance_download</t>
        </is>
      </c>
      <c r="AE526" s="29" t="inlineStr">
        <is>
          <t>317330.KQ</t>
        </is>
      </c>
    </row>
    <row r="527" ht="24" customHeight="1">
      <c r="A527" s="24" t="inlineStr">
        <is>
          <t>2025-08-05</t>
        </is>
      </c>
      <c r="B527" s="30" t="n">
        <v>16220</v>
      </c>
      <c r="C527" s="30" t="n">
        <v>17300</v>
      </c>
      <c r="D527" s="30" t="n">
        <v>16110</v>
      </c>
      <c r="E527" s="30" t="n">
        <v>16830</v>
      </c>
      <c r="F527" s="30" t="n">
        <v>16830</v>
      </c>
      <c r="G527" s="30" t="n">
        <v>135654</v>
      </c>
      <c r="H527" s="35" t="n">
        <v>0.05121798875702677</v>
      </c>
      <c r="I527" s="35" t="n">
        <v>-0.7258957654723127</v>
      </c>
      <c r="J527" s="30" t="n">
        <v>16271.5</v>
      </c>
      <c r="K527" s="30" t="n">
        <v>17019.5</v>
      </c>
      <c r="L527" s="30" t="n">
        <v>21574.91666666667</v>
      </c>
      <c r="M527" s="35" t="n">
        <v>0.4926880433570174</v>
      </c>
      <c r="N527" s="35" t="n">
        <v>0.5399256517665408</v>
      </c>
      <c r="O527" s="35" t="n">
        <v>0.06451612903225801</v>
      </c>
      <c r="P527" s="35" t="n">
        <v>-0.1966587112171838</v>
      </c>
      <c r="Q527" s="35" t="n">
        <v>-0.5259154929577465</v>
      </c>
      <c r="R527" s="35" t="n">
        <v>0.03432381771809601</v>
      </c>
      <c r="S527" s="35" t="n">
        <v>-0.01113428714122033</v>
      </c>
      <c r="T527" s="35" t="n">
        <v>-0.2199274620604946</v>
      </c>
      <c r="U527" s="30" t="n">
        <v>47150</v>
      </c>
      <c r="V527" s="30" t="n">
        <v>15050</v>
      </c>
      <c r="W527" s="35" t="n">
        <v>-0.6430540827147402</v>
      </c>
      <c r="X527" s="35" t="n">
        <v>0.1182724252491694</v>
      </c>
      <c r="Y527" s="30" t="n">
        <v>20476584</v>
      </c>
      <c r="Z527" s="30" t="n">
        <v>344620908720</v>
      </c>
      <c r="AA527" s="30" t="n">
        <v>2283056820</v>
      </c>
      <c r="AB527" s="30" t="n">
        <v>2176017403.5</v>
      </c>
      <c r="AC527" s="35" t="n">
        <v>0.006624835470603886</v>
      </c>
      <c r="AD527" s="24" t="inlineStr">
        <is>
          <t>yfinance_download</t>
        </is>
      </c>
      <c r="AE527" s="24" t="inlineStr">
        <is>
          <t>317330.KQ</t>
        </is>
      </c>
    </row>
    <row r="528" ht="24" customHeight="1">
      <c r="A528" s="29" t="inlineStr">
        <is>
          <t>2025-08-06</t>
        </is>
      </c>
      <c r="B528" s="31" t="n">
        <v>16970</v>
      </c>
      <c r="C528" s="31" t="n">
        <v>17920</v>
      </c>
      <c r="D528" s="31" t="n">
        <v>16760</v>
      </c>
      <c r="E528" s="31" t="n">
        <v>17010</v>
      </c>
      <c r="F528" s="31" t="n">
        <v>17010</v>
      </c>
      <c r="G528" s="31" t="n">
        <v>202294</v>
      </c>
      <c r="H528" s="36" t="n">
        <v>0.01069518716577544</v>
      </c>
      <c r="I528" s="36" t="n">
        <v>-0.7229641693811075</v>
      </c>
      <c r="J528" s="31" t="n">
        <v>16339</v>
      </c>
      <c r="K528" s="31" t="n">
        <v>16948</v>
      </c>
      <c r="L528" s="31" t="n">
        <v>21428.33333333333</v>
      </c>
      <c r="M528" s="36" t="n">
        <v>0.4907906359057835</v>
      </c>
      <c r="N528" s="36" t="n">
        <v>0.5391248259064734</v>
      </c>
      <c r="O528" s="36" t="n">
        <v>0.0862068965517242</v>
      </c>
      <c r="P528" s="36" t="n">
        <v>-0.2014084507042253</v>
      </c>
      <c r="Q528" s="36" t="n">
        <v>-0.5083815028901735</v>
      </c>
      <c r="R528" s="36" t="n">
        <v>0.0410673847848706</v>
      </c>
      <c r="S528" s="36" t="n">
        <v>0.003658248760915805</v>
      </c>
      <c r="T528" s="36" t="n">
        <v>-0.2061911799019989</v>
      </c>
      <c r="U528" s="31" t="n">
        <v>47150</v>
      </c>
      <c r="V528" s="31" t="n">
        <v>15050</v>
      </c>
      <c r="W528" s="36" t="n">
        <v>-0.639236479321315</v>
      </c>
      <c r="X528" s="36" t="n">
        <v>0.1302325581395349</v>
      </c>
      <c r="Y528" s="31" t="n">
        <v>20476584</v>
      </c>
      <c r="Z528" s="31" t="n">
        <v>348306693840</v>
      </c>
      <c r="AA528" s="31" t="n">
        <v>3441020940</v>
      </c>
      <c r="AB528" s="31" t="n">
        <v>2310480535.5</v>
      </c>
      <c r="AC528" s="36" t="n">
        <v>0.0098792845525406</v>
      </c>
      <c r="AD528" s="29" t="inlineStr">
        <is>
          <t>yfinance_download</t>
        </is>
      </c>
      <c r="AE528" s="29" t="inlineStr">
        <is>
          <t>317330.KQ</t>
        </is>
      </c>
    </row>
    <row r="529" ht="24" customHeight="1">
      <c r="A529" s="24" t="inlineStr">
        <is>
          <t>2025-08-07</t>
        </is>
      </c>
      <c r="B529" s="30" t="n">
        <v>17140</v>
      </c>
      <c r="C529" s="30" t="n">
        <v>17300</v>
      </c>
      <c r="D529" s="30" t="n">
        <v>16850</v>
      </c>
      <c r="E529" s="30" t="n">
        <v>17120</v>
      </c>
      <c r="F529" s="30" t="n">
        <v>17120</v>
      </c>
      <c r="G529" s="30" t="n">
        <v>67710</v>
      </c>
      <c r="H529" s="35" t="n">
        <v>0.00646678424456204</v>
      </c>
      <c r="I529" s="35" t="n">
        <v>-0.721172638436482</v>
      </c>
      <c r="J529" s="30" t="n">
        <v>16402</v>
      </c>
      <c r="K529" s="30" t="n">
        <v>16880.83333333333</v>
      </c>
      <c r="L529" s="30" t="n">
        <v>21282.66666666667</v>
      </c>
      <c r="M529" s="35" t="n">
        <v>0.4899068038287104</v>
      </c>
      <c r="N529" s="35" t="n">
        <v>0.5394219626454786</v>
      </c>
      <c r="O529" s="35" t="n">
        <v>0.07944514501891553</v>
      </c>
      <c r="P529" s="35" t="n">
        <v>-0.1905437352245863</v>
      </c>
      <c r="Q529" s="35" t="n">
        <v>-0.5052023121387283</v>
      </c>
      <c r="R529" s="35" t="n">
        <v>0.04377514937202776</v>
      </c>
      <c r="S529" s="35" t="n">
        <v>0.01416794194599413</v>
      </c>
      <c r="T529" s="35" t="n">
        <v>-0.1955895251221652</v>
      </c>
      <c r="U529" s="30" t="n">
        <v>47150</v>
      </c>
      <c r="V529" s="30" t="n">
        <v>15050</v>
      </c>
      <c r="W529" s="35" t="n">
        <v>-0.6369034994697773</v>
      </c>
      <c r="X529" s="35" t="n">
        <v>0.1375415282392027</v>
      </c>
      <c r="Y529" s="30" t="n">
        <v>20476584</v>
      </c>
      <c r="Z529" s="30" t="n">
        <v>350559118080</v>
      </c>
      <c r="AA529" s="30" t="n">
        <v>1159195200</v>
      </c>
      <c r="AB529" s="30" t="n">
        <v>2329036918.5</v>
      </c>
      <c r="AC529" s="35" t="n">
        <v>0.003306703891625674</v>
      </c>
      <c r="AD529" s="24" t="inlineStr">
        <is>
          <t>yfinance_download</t>
        </is>
      </c>
      <c r="AE529" s="24" t="inlineStr">
        <is>
          <t>317330.KQ</t>
        </is>
      </c>
    </row>
    <row r="530" ht="24" customHeight="1">
      <c r="A530" s="29" t="inlineStr">
        <is>
          <t>2025-08-08</t>
        </is>
      </c>
      <c r="B530" s="31" t="n">
        <v>17210</v>
      </c>
      <c r="C530" s="31" t="n">
        <v>17300</v>
      </c>
      <c r="D530" s="31" t="n">
        <v>16150</v>
      </c>
      <c r="E530" s="31" t="n">
        <v>16880</v>
      </c>
      <c r="F530" s="31" t="n">
        <v>16880</v>
      </c>
      <c r="G530" s="31" t="n">
        <v>78133</v>
      </c>
      <c r="H530" s="36" t="n">
        <v>-0.01401869158878499</v>
      </c>
      <c r="I530" s="36" t="n">
        <v>-0.7250814332247557</v>
      </c>
      <c r="J530" s="31" t="n">
        <v>16437.5</v>
      </c>
      <c r="K530" s="31" t="n">
        <v>16822.16666666667</v>
      </c>
      <c r="L530" s="31" t="n">
        <v>21122.5</v>
      </c>
      <c r="M530" s="36" t="n">
        <v>0.4905205342387489</v>
      </c>
      <c r="N530" s="36" t="n">
        <v>0.5356795071434023</v>
      </c>
      <c r="O530" s="36" t="n">
        <v>0.04390847247990104</v>
      </c>
      <c r="P530" s="36" t="n">
        <v>-0.1725490196078432</v>
      </c>
      <c r="Q530" s="36" t="n">
        <v>-0.532409972299169</v>
      </c>
      <c r="R530" s="36" t="n">
        <v>0.02692015209125476</v>
      </c>
      <c r="S530" s="36" t="n">
        <v>0.003437924167517092</v>
      </c>
      <c r="T530" s="36" t="n">
        <v>-0.2008521718546573</v>
      </c>
      <c r="U530" s="31" t="n">
        <v>47150</v>
      </c>
      <c r="V530" s="31" t="n">
        <v>15050</v>
      </c>
      <c r="W530" s="36" t="n">
        <v>-0.6419936373276776</v>
      </c>
      <c r="X530" s="36" t="n">
        <v>0.1215946843853821</v>
      </c>
      <c r="Y530" s="31" t="n">
        <v>20476584</v>
      </c>
      <c r="Z530" s="31" t="n">
        <v>345644737920</v>
      </c>
      <c r="AA530" s="31" t="n">
        <v>1318885040</v>
      </c>
      <c r="AB530" s="31" t="n">
        <v>2238181489</v>
      </c>
      <c r="AC530" s="36" t="n">
        <v>0.003815724341521027</v>
      </c>
      <c r="AD530" s="29" t="inlineStr">
        <is>
          <t>yfinance_download</t>
        </is>
      </c>
      <c r="AE530" s="29" t="inlineStr">
        <is>
          <t>317330.KQ</t>
        </is>
      </c>
    </row>
    <row r="531" ht="24" customHeight="1">
      <c r="A531" s="24" t="inlineStr">
        <is>
          <t>2025-08-11</t>
        </is>
      </c>
      <c r="B531" s="30" t="n">
        <v>17190</v>
      </c>
      <c r="C531" s="30" t="n">
        <v>18500</v>
      </c>
      <c r="D531" s="30" t="n">
        <v>17180</v>
      </c>
      <c r="E531" s="30" t="n">
        <v>18310</v>
      </c>
      <c r="F531" s="30" t="n">
        <v>18310</v>
      </c>
      <c r="G531" s="30" t="n">
        <v>426443</v>
      </c>
      <c r="H531" s="35" t="n">
        <v>0.08471563981042651</v>
      </c>
      <c r="I531" s="35" t="n">
        <v>-0.7017915309446254</v>
      </c>
      <c r="J531" s="30" t="n">
        <v>16556.5</v>
      </c>
      <c r="K531" s="30" t="n">
        <v>16794.16666666667</v>
      </c>
      <c r="L531" s="30" t="n">
        <v>20986.75</v>
      </c>
      <c r="M531" s="35" t="n">
        <v>0.5651852930767709</v>
      </c>
      <c r="N531" s="35" t="n">
        <v>0.5634019627095332</v>
      </c>
      <c r="O531" s="35" t="n">
        <v>0.1494036409290647</v>
      </c>
      <c r="P531" s="35" t="n">
        <v>-0.08404202101050529</v>
      </c>
      <c r="Q531" s="35" t="n">
        <v>-0.4708092485549132</v>
      </c>
      <c r="R531" s="35" t="n">
        <v>0.1059100655331744</v>
      </c>
      <c r="S531" s="35" t="n">
        <v>0.09025951471244964</v>
      </c>
      <c r="T531" s="35" t="n">
        <v>-0.1275447603845283</v>
      </c>
      <c r="U531" s="30" t="n">
        <v>47150</v>
      </c>
      <c r="V531" s="30" t="n">
        <v>15050</v>
      </c>
      <c r="W531" s="35" t="n">
        <v>-0.6116648992576883</v>
      </c>
      <c r="X531" s="35" t="n">
        <v>0.2166112956810631</v>
      </c>
      <c r="Y531" s="30" t="n">
        <v>20476584</v>
      </c>
      <c r="Z531" s="30" t="n">
        <v>374926253040</v>
      </c>
      <c r="AA531" s="30" t="n">
        <v>7808171330</v>
      </c>
      <c r="AB531" s="30" t="n">
        <v>2577571044.5</v>
      </c>
      <c r="AC531" s="35" t="n">
        <v>0.02082588580204589</v>
      </c>
      <c r="AD531" s="24" t="inlineStr">
        <is>
          <t>yfinance_download</t>
        </is>
      </c>
      <c r="AE531" s="24" t="inlineStr">
        <is>
          <t>317330.KQ</t>
        </is>
      </c>
    </row>
    <row r="532" ht="24" customHeight="1">
      <c r="A532" s="29" t="inlineStr">
        <is>
          <t>2025-08-12</t>
        </is>
      </c>
      <c r="B532" s="31" t="n">
        <v>17960</v>
      </c>
      <c r="C532" s="31" t="n">
        <v>18650</v>
      </c>
      <c r="D532" s="31" t="n">
        <v>17760</v>
      </c>
      <c r="E532" s="31" t="n">
        <v>17810</v>
      </c>
      <c r="F532" s="31" t="n">
        <v>17810</v>
      </c>
      <c r="G532" s="31" t="n">
        <v>183895</v>
      </c>
      <c r="H532" s="36" t="n">
        <v>-0.02730748225013657</v>
      </c>
      <c r="I532" s="36" t="n">
        <v>-0.7099348534201955</v>
      </c>
      <c r="J532" s="31" t="n">
        <v>16664</v>
      </c>
      <c r="K532" s="31" t="n">
        <v>16771.83333333333</v>
      </c>
      <c r="L532" s="31" t="n">
        <v>20842.66666666667</v>
      </c>
      <c r="M532" s="36" t="n">
        <v>0.5722986032935582</v>
      </c>
      <c r="N532" s="36" t="n">
        <v>0.5596034747879669</v>
      </c>
      <c r="O532" s="36" t="n">
        <v>0.1372924648786717</v>
      </c>
      <c r="P532" s="36" t="n">
        <v>-0.06997389033942558</v>
      </c>
      <c r="Q532" s="36" t="n">
        <v>-0.4925925925925926</v>
      </c>
      <c r="R532" s="36" t="n">
        <v>0.06877100336053776</v>
      </c>
      <c r="S532" s="36" t="n">
        <v>0.06189941469328542</v>
      </c>
      <c r="T532" s="36" t="n">
        <v>-0.145502814738997</v>
      </c>
      <c r="U532" s="31" t="n">
        <v>47150</v>
      </c>
      <c r="V532" s="31" t="n">
        <v>15050</v>
      </c>
      <c r="W532" s="36" t="n">
        <v>-0.6222693531283139</v>
      </c>
      <c r="X532" s="36" t="n">
        <v>0.1833887043189368</v>
      </c>
      <c r="Y532" s="31" t="n">
        <v>20476584</v>
      </c>
      <c r="Z532" s="31" t="n">
        <v>364687961040</v>
      </c>
      <c r="AA532" s="31" t="n">
        <v>3275169950</v>
      </c>
      <c r="AB532" s="31" t="n">
        <v>2649561159</v>
      </c>
      <c r="AC532" s="36" t="n">
        <v>0.008980746007244177</v>
      </c>
      <c r="AD532" s="29" t="inlineStr">
        <is>
          <t>yfinance_download</t>
        </is>
      </c>
      <c r="AE532" s="29" t="inlineStr">
        <is>
          <t>317330.KQ</t>
        </is>
      </c>
    </row>
    <row r="533" ht="24" customHeight="1">
      <c r="A533" s="24" t="inlineStr">
        <is>
          <t>2025-08-13</t>
        </is>
      </c>
      <c r="B533" s="30" t="n">
        <v>18280</v>
      </c>
      <c r="C533" s="30" t="n">
        <v>19720</v>
      </c>
      <c r="D533" s="30" t="n">
        <v>17800</v>
      </c>
      <c r="E533" s="30" t="n">
        <v>19640</v>
      </c>
      <c r="F533" s="30" t="n">
        <v>19640</v>
      </c>
      <c r="G533" s="30" t="n">
        <v>440397</v>
      </c>
      <c r="H533" s="35" t="n">
        <v>0.102751263335205</v>
      </c>
      <c r="I533" s="35" t="n">
        <v>-0.6801302931596092</v>
      </c>
      <c r="J533" s="30" t="n">
        <v>16880</v>
      </c>
      <c r="K533" s="30" t="n">
        <v>16774.83333333333</v>
      </c>
      <c r="L533" s="30" t="n">
        <v>20722.58333333333</v>
      </c>
      <c r="M533" s="35" t="n">
        <v>0.654003647839966</v>
      </c>
      <c r="N533" s="35" t="n">
        <v>0.5975311847824998</v>
      </c>
      <c r="O533" s="35" t="n">
        <v>0.2819843342036554</v>
      </c>
      <c r="P533" s="35" t="n">
        <v>0.009249743062692772</v>
      </c>
      <c r="Q533" s="35" t="n">
        <v>-0.423201174743025</v>
      </c>
      <c r="R533" s="35" t="n">
        <v>0.1635071090047393</v>
      </c>
      <c r="S533" s="35" t="n">
        <v>0.1708014982761876</v>
      </c>
      <c r="T533" s="35" t="n">
        <v>-0.05224171696739865</v>
      </c>
      <c r="U533" s="30" t="n">
        <v>47150</v>
      </c>
      <c r="V533" s="30" t="n">
        <v>15050</v>
      </c>
      <c r="W533" s="35" t="n">
        <v>-0.583457051961824</v>
      </c>
      <c r="X533" s="35" t="n">
        <v>0.304983388704319</v>
      </c>
      <c r="Y533" s="30" t="n">
        <v>20476584</v>
      </c>
      <c r="Z533" s="30" t="n">
        <v>402160109760</v>
      </c>
      <c r="AA533" s="30" t="n">
        <v>8649397080</v>
      </c>
      <c r="AB533" s="30" t="n">
        <v>3020400951</v>
      </c>
      <c r="AC533" s="35" t="n">
        <v>0.02150734712391481</v>
      </c>
      <c r="AD533" s="24" t="inlineStr">
        <is>
          <t>yfinance_download</t>
        </is>
      </c>
      <c r="AE533" s="24" t="inlineStr">
        <is>
          <t>317330.KQ</t>
        </is>
      </c>
    </row>
    <row r="534" ht="24" customHeight="1">
      <c r="A534" s="29" t="inlineStr">
        <is>
          <t>2025-08-14</t>
        </is>
      </c>
      <c r="B534" s="31" t="n">
        <v>19400</v>
      </c>
      <c r="C534" s="31" t="n">
        <v>19520</v>
      </c>
      <c r="D534" s="31" t="n">
        <v>18830</v>
      </c>
      <c r="E534" s="31" t="n">
        <v>19200</v>
      </c>
      <c r="F534" s="31" t="n">
        <v>19200</v>
      </c>
      <c r="G534" s="31" t="n">
        <v>303359</v>
      </c>
      <c r="H534" s="36" t="n">
        <v>-0.0224032586558045</v>
      </c>
      <c r="I534" s="36" t="n">
        <v>-0.6872964169381108</v>
      </c>
      <c r="J534" s="31" t="n">
        <v>17070.5</v>
      </c>
      <c r="K534" s="31" t="n">
        <v>16793.16666666667</v>
      </c>
      <c r="L534" s="31" t="n">
        <v>20573.41666666667</v>
      </c>
      <c r="M534" s="36" t="n">
        <v>0.6656743471542456</v>
      </c>
      <c r="N534" s="36" t="n">
        <v>0.5812269587319889</v>
      </c>
      <c r="O534" s="36" t="n">
        <v>0.2475633528265107</v>
      </c>
      <c r="P534" s="36" t="n">
        <v>0.06077348066298338</v>
      </c>
      <c r="Q534" s="36" t="n">
        <v>-0.4824797843665768</v>
      </c>
      <c r="R534" s="36" t="n">
        <v>0.1247473711959228</v>
      </c>
      <c r="S534" s="36" t="n">
        <v>0.1433221846187436</v>
      </c>
      <c r="T534" s="36" t="n">
        <v>-0.06675685856748803</v>
      </c>
      <c r="U534" s="31" t="n">
        <v>47150</v>
      </c>
      <c r="V534" s="31" t="n">
        <v>15050</v>
      </c>
      <c r="W534" s="36" t="n">
        <v>-0.5927889713679746</v>
      </c>
      <c r="X534" s="36" t="n">
        <v>0.2757475083056478</v>
      </c>
      <c r="Y534" s="31" t="n">
        <v>20476584</v>
      </c>
      <c r="Z534" s="31" t="n">
        <v>393150412800</v>
      </c>
      <c r="AA534" s="31" t="n">
        <v>5824492800</v>
      </c>
      <c r="AB534" s="31" t="n">
        <v>3257882941.5</v>
      </c>
      <c r="AC534" s="36" t="n">
        <v>0.01481492225461044</v>
      </c>
      <c r="AD534" s="29" t="inlineStr">
        <is>
          <t>yfinance_download</t>
        </is>
      </c>
      <c r="AE534" s="29" t="inlineStr">
        <is>
          <t>317330.KQ</t>
        </is>
      </c>
    </row>
    <row r="535" ht="24" customHeight="1">
      <c r="A535" s="24" t="inlineStr">
        <is>
          <t>2025-08-18</t>
        </is>
      </c>
      <c r="B535" s="30" t="n">
        <v>18750</v>
      </c>
      <c r="C535" s="30" t="n">
        <v>18860</v>
      </c>
      <c r="D535" s="30" t="n">
        <v>17620</v>
      </c>
      <c r="E535" s="30" t="n">
        <v>17620</v>
      </c>
      <c r="F535" s="30" t="n">
        <v>17620</v>
      </c>
      <c r="G535" s="30" t="n">
        <v>229721</v>
      </c>
      <c r="H535" s="35" t="n">
        <v>-0.08229166666666665</v>
      </c>
      <c r="I535" s="35" t="n">
        <v>-0.713029315960912</v>
      </c>
      <c r="J535" s="30" t="n">
        <v>17166.5</v>
      </c>
      <c r="K535" s="30" t="n">
        <v>16791.33333333333</v>
      </c>
      <c r="L535" s="30" t="n">
        <v>20410.66666666667</v>
      </c>
      <c r="M535" s="35" t="n">
        <v>0.7436592863660842</v>
      </c>
      <c r="N535" s="35" t="n">
        <v>0.6046103498868812</v>
      </c>
      <c r="O535" s="35" t="n">
        <v>0.1222929936305732</v>
      </c>
      <c r="P535" s="35" t="n">
        <v>-0.006204173716864103</v>
      </c>
      <c r="Q535" s="35" t="n">
        <v>-0.5257065948855989</v>
      </c>
      <c r="R535" s="35" t="n">
        <v>0.02641773221099242</v>
      </c>
      <c r="S535" s="35" t="n">
        <v>0.04935085560011121</v>
      </c>
      <c r="T535" s="35" t="n">
        <v>-0.1367258949568854</v>
      </c>
      <c r="U535" s="30" t="n">
        <v>47150</v>
      </c>
      <c r="V535" s="30" t="n">
        <v>15050</v>
      </c>
      <c r="W535" s="35" t="n">
        <v>-0.6262990455991517</v>
      </c>
      <c r="X535" s="35" t="n">
        <v>0.170764119601329</v>
      </c>
      <c r="Y535" s="30" t="n">
        <v>20476584</v>
      </c>
      <c r="Z535" s="30" t="n">
        <v>360797410080</v>
      </c>
      <c r="AA535" s="30" t="n">
        <v>4047684020</v>
      </c>
      <c r="AB535" s="30" t="n">
        <v>3363489202.5</v>
      </c>
      <c r="AC535" s="35" t="n">
        <v>0.01121871695005378</v>
      </c>
      <c r="AD535" s="24" t="inlineStr">
        <is>
          <t>yfinance_download</t>
        </is>
      </c>
      <c r="AE535" s="24" t="inlineStr">
        <is>
          <t>317330.KQ</t>
        </is>
      </c>
    </row>
    <row r="536" ht="24" customHeight="1">
      <c r="A536" s="29" t="inlineStr">
        <is>
          <t>2025-08-19</t>
        </is>
      </c>
      <c r="B536" s="31" t="n">
        <v>17810</v>
      </c>
      <c r="C536" s="31" t="n">
        <v>17890</v>
      </c>
      <c r="D536" s="31" t="n">
        <v>17100</v>
      </c>
      <c r="E536" s="31" t="n">
        <v>17180</v>
      </c>
      <c r="F536" s="31" t="n">
        <v>17180</v>
      </c>
      <c r="G536" s="31" t="n">
        <v>114995</v>
      </c>
      <c r="H536" s="36" t="n">
        <v>-0.02497162315550516</v>
      </c>
      <c r="I536" s="36" t="n">
        <v>-0.7201954397394137</v>
      </c>
      <c r="J536" s="31" t="n">
        <v>17179</v>
      </c>
      <c r="K536" s="31" t="n">
        <v>16786.16666666667</v>
      </c>
      <c r="L536" s="31" t="n">
        <v>20240.5</v>
      </c>
      <c r="M536" s="36" t="n">
        <v>0.7010612347111377</v>
      </c>
      <c r="N536" s="36" t="n">
        <v>0.6062044518322975</v>
      </c>
      <c r="O536" s="36" t="n">
        <v>0.01476668635558176</v>
      </c>
      <c r="P536" s="36" t="n">
        <v>-0.01772441395082902</v>
      </c>
      <c r="Q536" s="36" t="n">
        <v>-0.5430851063829787</v>
      </c>
      <c r="R536" s="36" t="n">
        <v>5.821060597233085e-05</v>
      </c>
      <c r="S536" s="36" t="n">
        <v>0.02346177904425262</v>
      </c>
      <c r="T536" s="36" t="n">
        <v>-0.1512067389639584</v>
      </c>
      <c r="U536" s="31" t="n">
        <v>47150</v>
      </c>
      <c r="V536" s="31" t="n">
        <v>15050</v>
      </c>
      <c r="W536" s="36" t="n">
        <v>-0.6356309650053023</v>
      </c>
      <c r="X536" s="36" t="n">
        <v>0.1415282392026578</v>
      </c>
      <c r="Y536" s="31" t="n">
        <v>20476584</v>
      </c>
      <c r="Z536" s="31" t="n">
        <v>351787713120</v>
      </c>
      <c r="AA536" s="31" t="n">
        <v>1975614100</v>
      </c>
      <c r="AB536" s="31" t="n">
        <v>3094953241.5</v>
      </c>
      <c r="AC536" s="36" t="n">
        <v>0.005615926953441062</v>
      </c>
      <c r="AD536" s="29" t="inlineStr">
        <is>
          <t>yfinance_download</t>
        </is>
      </c>
      <c r="AE536" s="29" t="inlineStr">
        <is>
          <t>317330.KQ</t>
        </is>
      </c>
    </row>
    <row r="537" ht="24" customHeight="1">
      <c r="A537" s="24" t="inlineStr">
        <is>
          <t>2025-08-20</t>
        </is>
      </c>
      <c r="B537" s="30" t="n">
        <v>17000</v>
      </c>
      <c r="C537" s="30" t="n">
        <v>18000</v>
      </c>
      <c r="D537" s="30" t="n">
        <v>16980</v>
      </c>
      <c r="E537" s="30" t="n">
        <v>17640</v>
      </c>
      <c r="F537" s="30" t="n">
        <v>17640</v>
      </c>
      <c r="G537" s="30" t="n">
        <v>158575</v>
      </c>
      <c r="H537" s="35" t="n">
        <v>0.02677532013969741</v>
      </c>
      <c r="I537" s="35" t="n">
        <v>-0.7127035830618893</v>
      </c>
      <c r="J537" s="30" t="n">
        <v>17222</v>
      </c>
      <c r="K537" s="30" t="n">
        <v>16798.83333333333</v>
      </c>
      <c r="L537" s="30" t="n">
        <v>20080.41666666667</v>
      </c>
      <c r="M537" s="35" t="n">
        <v>0.7053757606122536</v>
      </c>
      <c r="N537" s="35" t="n">
        <v>0.6040396839141526</v>
      </c>
      <c r="O537" s="35" t="n">
        <v>0.05125148986889161</v>
      </c>
      <c r="P537" s="35" t="n">
        <v>0.04502369668246442</v>
      </c>
      <c r="Q537" s="35" t="n">
        <v>-0.5213025780189959</v>
      </c>
      <c r="R537" s="35" t="n">
        <v>0.02427128091975383</v>
      </c>
      <c r="S537" s="35" t="n">
        <v>0.0500729217306759</v>
      </c>
      <c r="T537" s="35" t="n">
        <v>-0.1215321727221796</v>
      </c>
      <c r="U537" s="30" t="n">
        <v>47150</v>
      </c>
      <c r="V537" s="30" t="n">
        <v>15050</v>
      </c>
      <c r="W537" s="35" t="n">
        <v>-0.6258748674443266</v>
      </c>
      <c r="X537" s="35" t="n">
        <v>0.172093023255814</v>
      </c>
      <c r="Y537" s="30" t="n">
        <v>20476584</v>
      </c>
      <c r="Z537" s="30" t="n">
        <v>361206941760</v>
      </c>
      <c r="AA537" s="30" t="n">
        <v>2797263000</v>
      </c>
      <c r="AB537" s="30" t="n">
        <v>3066012108.5</v>
      </c>
      <c r="AC537" s="35" t="n">
        <v>0.007744211632174585</v>
      </c>
      <c r="AD537" s="24" t="inlineStr">
        <is>
          <t>yfinance_download</t>
        </is>
      </c>
      <c r="AE537" s="24" t="inlineStr">
        <is>
          <t>317330.KQ</t>
        </is>
      </c>
    </row>
    <row r="538" ht="24" customHeight="1">
      <c r="A538" s="29" t="inlineStr">
        <is>
          <t>2025-08-21</t>
        </is>
      </c>
      <c r="B538" s="31" t="n">
        <v>17660</v>
      </c>
      <c r="C538" s="31" t="n">
        <v>18330</v>
      </c>
      <c r="D538" s="31" t="n">
        <v>17390</v>
      </c>
      <c r="E538" s="31" t="n">
        <v>18150</v>
      </c>
      <c r="F538" s="31" t="n">
        <v>18150</v>
      </c>
      <c r="G538" s="31" t="n">
        <v>132252</v>
      </c>
      <c r="H538" s="36" t="n">
        <v>0.02891156462585043</v>
      </c>
      <c r="I538" s="36" t="n">
        <v>-0.7043973941368078</v>
      </c>
      <c r="J538" s="31" t="n">
        <v>17309.5</v>
      </c>
      <c r="K538" s="31" t="n">
        <v>16810.33333333333</v>
      </c>
      <c r="L538" s="31" t="n">
        <v>19942.08333333333</v>
      </c>
      <c r="M538" s="36" t="n">
        <v>0.7038372557147403</v>
      </c>
      <c r="N538" s="36" t="n">
        <v>0.6028733415873466</v>
      </c>
      <c r="O538" s="36" t="n">
        <v>0.1067073170731707</v>
      </c>
      <c r="P538" s="36" t="n">
        <v>0.03951890034364269</v>
      </c>
      <c r="Q538" s="36" t="n">
        <v>-0.4776978417266187</v>
      </c>
      <c r="R538" s="36" t="n">
        <v>0.0485571506975937</v>
      </c>
      <c r="S538" s="36" t="n">
        <v>0.07969304594396309</v>
      </c>
      <c r="T538" s="36" t="n">
        <v>-0.08986439898873821</v>
      </c>
      <c r="U538" s="31" t="n">
        <v>47150</v>
      </c>
      <c r="V538" s="31" t="n">
        <v>15050</v>
      </c>
      <c r="W538" s="36" t="n">
        <v>-0.6150583244962884</v>
      </c>
      <c r="X538" s="36" t="n">
        <v>0.2059800664451827</v>
      </c>
      <c r="Y538" s="31" t="n">
        <v>20476584</v>
      </c>
      <c r="Z538" s="31" t="n">
        <v>371649999600</v>
      </c>
      <c r="AA538" s="31" t="n">
        <v>2400373800</v>
      </c>
      <c r="AB538" s="31" t="n">
        <v>3059026738.5</v>
      </c>
      <c r="AC538" s="36" t="n">
        <v>0.006458694477555436</v>
      </c>
      <c r="AD538" s="29" t="inlineStr">
        <is>
          <t>yfinance_download</t>
        </is>
      </c>
      <c r="AE538" s="29" t="inlineStr">
        <is>
          <t>317330.KQ</t>
        </is>
      </c>
    </row>
    <row r="539" ht="24" customHeight="1">
      <c r="A539" s="24" t="inlineStr">
        <is>
          <t>2025-08-22</t>
        </is>
      </c>
      <c r="B539" s="30" t="n">
        <v>18310</v>
      </c>
      <c r="C539" s="30" t="n">
        <v>18720</v>
      </c>
      <c r="D539" s="30" t="n">
        <v>18200</v>
      </c>
      <c r="E539" s="30" t="n">
        <v>18220</v>
      </c>
      <c r="F539" s="30" t="n">
        <v>18220</v>
      </c>
      <c r="G539" s="30" t="n">
        <v>129671</v>
      </c>
      <c r="H539" s="35" t="n">
        <v>0.003856749311294871</v>
      </c>
      <c r="I539" s="35" t="n">
        <v>-0.703257328990228</v>
      </c>
      <c r="J539" s="30" t="n">
        <v>17370</v>
      </c>
      <c r="K539" s="30" t="n">
        <v>16832.83333333333</v>
      </c>
      <c r="L539" s="30" t="n">
        <v>19811</v>
      </c>
      <c r="M539" s="35" t="n">
        <v>0.6941254064394971</v>
      </c>
      <c r="N539" s="35" t="n">
        <v>0.5984218237963673</v>
      </c>
      <c r="O539" s="35" t="n">
        <v>0.07113462669018222</v>
      </c>
      <c r="P539" s="35" t="n">
        <v>0.08002371072910486</v>
      </c>
      <c r="Q539" s="35" t="n">
        <v>-0.4633284241531664</v>
      </c>
      <c r="R539" s="35" t="n">
        <v>0.04893494530800235</v>
      </c>
      <c r="S539" s="35" t="n">
        <v>0.08240838836797137</v>
      </c>
      <c r="T539" s="35" t="n">
        <v>-0.08030891928726469</v>
      </c>
      <c r="U539" s="30" t="n">
        <v>47150</v>
      </c>
      <c r="V539" s="30" t="n">
        <v>15050</v>
      </c>
      <c r="W539" s="35" t="n">
        <v>-0.6135737009544009</v>
      </c>
      <c r="X539" s="35" t="n">
        <v>0.2106312292358803</v>
      </c>
      <c r="Y539" s="30" t="n">
        <v>20476584</v>
      </c>
      <c r="Z539" s="30" t="n">
        <v>373083360480</v>
      </c>
      <c r="AA539" s="30" t="n">
        <v>2362605620</v>
      </c>
      <c r="AB539" s="30" t="n">
        <v>3032438491</v>
      </c>
      <c r="AC539" s="35" t="n">
        <v>0.006332648062782347</v>
      </c>
      <c r="AD539" s="24" t="inlineStr">
        <is>
          <t>yfinance_download</t>
        </is>
      </c>
      <c r="AE539" s="24" t="inlineStr">
        <is>
          <t>317330.KQ</t>
        </is>
      </c>
    </row>
    <row r="540" ht="24" customHeight="1">
      <c r="A540" s="29" t="inlineStr">
        <is>
          <t>2025-08-25</t>
        </is>
      </c>
      <c r="B540" s="31" t="n">
        <v>18400</v>
      </c>
      <c r="C540" s="31" t="n">
        <v>20400</v>
      </c>
      <c r="D540" s="31" t="n">
        <v>18370</v>
      </c>
      <c r="E540" s="31" t="n">
        <v>19730</v>
      </c>
      <c r="F540" s="31" t="n">
        <v>19730</v>
      </c>
      <c r="G540" s="31" t="n">
        <v>427183</v>
      </c>
      <c r="H540" s="36" t="n">
        <v>0.08287596048298562</v>
      </c>
      <c r="I540" s="36" t="n">
        <v>-0.6786644951140065</v>
      </c>
      <c r="J540" s="31" t="n">
        <v>17519</v>
      </c>
      <c r="K540" s="31" t="n">
        <v>16865.16666666667</v>
      </c>
      <c r="L540" s="31" t="n">
        <v>19695.83333333333</v>
      </c>
      <c r="M540" s="36" t="n">
        <v>0.7430460916633086</v>
      </c>
      <c r="N540" s="36" t="n">
        <v>0.6117248093436709</v>
      </c>
      <c r="O540" s="36" t="n">
        <v>0.1779104477611941</v>
      </c>
      <c r="P540" s="36" t="n">
        <v>0.1090500281056774</v>
      </c>
      <c r="Q540" s="36" t="n">
        <v>-0.4119225037257824</v>
      </c>
      <c r="R540" s="36" t="n">
        <v>0.1262058336663052</v>
      </c>
      <c r="S540" s="36" t="n">
        <v>0.1698668853949461</v>
      </c>
      <c r="T540" s="36" t="n">
        <v>0.001734715464353664</v>
      </c>
      <c r="U540" s="31" t="n">
        <v>47150</v>
      </c>
      <c r="V540" s="31" t="n">
        <v>15050</v>
      </c>
      <c r="W540" s="36" t="n">
        <v>-0.5815482502651114</v>
      </c>
      <c r="X540" s="36" t="n">
        <v>0.3109634551495017</v>
      </c>
      <c r="Y540" s="31" t="n">
        <v>20476584</v>
      </c>
      <c r="Z540" s="31" t="n">
        <v>404003002320</v>
      </c>
      <c r="AA540" s="31" t="n">
        <v>8428320590</v>
      </c>
      <c r="AB540" s="31" t="n">
        <v>3311772645.5</v>
      </c>
      <c r="AC540" s="36" t="n">
        <v>0.02086202464239153</v>
      </c>
      <c r="AD540" s="29" t="inlineStr">
        <is>
          <t>yfinance_download</t>
        </is>
      </c>
      <c r="AE540" s="29" t="inlineStr">
        <is>
          <t>317330.KQ</t>
        </is>
      </c>
    </row>
    <row r="541" ht="24" customHeight="1">
      <c r="A541" s="24" t="inlineStr">
        <is>
          <t>2025-08-26</t>
        </is>
      </c>
      <c r="B541" s="30" t="n">
        <v>19600</v>
      </c>
      <c r="C541" s="30" t="n">
        <v>21000</v>
      </c>
      <c r="D541" s="30" t="n">
        <v>19420</v>
      </c>
      <c r="E541" s="30" t="n">
        <v>20250</v>
      </c>
      <c r="F541" s="30" t="n">
        <v>20250</v>
      </c>
      <c r="G541" s="30" t="n">
        <v>252489</v>
      </c>
      <c r="H541" s="35" t="n">
        <v>0.02635580334515963</v>
      </c>
      <c r="I541" s="35" t="n">
        <v>-0.6701954397394136</v>
      </c>
      <c r="J541" s="30" t="n">
        <v>17685</v>
      </c>
      <c r="K541" s="30" t="n">
        <v>16897.5</v>
      </c>
      <c r="L541" s="30" t="n">
        <v>19593.75</v>
      </c>
      <c r="M541" s="35" t="n">
        <v>0.7455252527078337</v>
      </c>
      <c r="N541" s="35" t="n">
        <v>0.6112154769604508</v>
      </c>
      <c r="O541" s="35" t="n">
        <v>0.1961015948021263</v>
      </c>
      <c r="P541" s="35" t="n">
        <v>0.1059530311305297</v>
      </c>
      <c r="Q541" s="35" t="n">
        <v>-0.3769230769230769</v>
      </c>
      <c r="R541" s="35" t="n">
        <v>0.1450381679389312</v>
      </c>
      <c r="S541" s="35" t="n">
        <v>0.1984021304926764</v>
      </c>
      <c r="T541" s="35" t="n">
        <v>0.03349282296650724</v>
      </c>
      <c r="U541" s="30" t="n">
        <v>47150</v>
      </c>
      <c r="V541" s="30" t="n">
        <v>15050</v>
      </c>
      <c r="W541" s="35" t="n">
        <v>-0.5705196182396606</v>
      </c>
      <c r="X541" s="35" t="n">
        <v>0.345514950166113</v>
      </c>
      <c r="Y541" s="30" t="n">
        <v>20476584</v>
      </c>
      <c r="Z541" s="30" t="n">
        <v>414650826000</v>
      </c>
      <c r="AA541" s="30" t="n">
        <v>5112902250</v>
      </c>
      <c r="AB541" s="30" t="n">
        <v>3485562901</v>
      </c>
      <c r="AC541" s="35" t="n">
        <v>0.01233062116220166</v>
      </c>
      <c r="AD541" s="24" t="inlineStr">
        <is>
          <t>yfinance_download</t>
        </is>
      </c>
      <c r="AE541" s="24" t="inlineStr">
        <is>
          <t>317330.KQ</t>
        </is>
      </c>
    </row>
    <row r="542" ht="24" customHeight="1">
      <c r="A542" s="29" t="inlineStr">
        <is>
          <t>2025-08-27</t>
        </is>
      </c>
      <c r="B542" s="31" t="n">
        <v>20500</v>
      </c>
      <c r="C542" s="31" t="n">
        <v>20650</v>
      </c>
      <c r="D542" s="31" t="n">
        <v>19850</v>
      </c>
      <c r="E542" s="31" t="n">
        <v>20500</v>
      </c>
      <c r="F542" s="31" t="n">
        <v>20500</v>
      </c>
      <c r="G542" s="31" t="n">
        <v>138890</v>
      </c>
      <c r="H542" s="36" t="n">
        <v>0.01234567901234573</v>
      </c>
      <c r="I542" s="36" t="n">
        <v>-0.6661237785016287</v>
      </c>
      <c r="J542" s="31" t="n">
        <v>17882.5</v>
      </c>
      <c r="K542" s="31" t="n">
        <v>16938.16666666667</v>
      </c>
      <c r="L542" s="31" t="n">
        <v>19510</v>
      </c>
      <c r="M542" s="36" t="n">
        <v>0.7355879483449587</v>
      </c>
      <c r="N542" s="36" t="n">
        <v>0.6106212116736968</v>
      </c>
      <c r="O542" s="36" t="n">
        <v>0.2386706948640482</v>
      </c>
      <c r="P542" s="36" t="n">
        <v>0.1351052048726467</v>
      </c>
      <c r="Q542" s="36" t="n">
        <v>-0.3289689034369886</v>
      </c>
      <c r="R542" s="36" t="n">
        <v>0.1463721515448064</v>
      </c>
      <c r="S542" s="36" t="n">
        <v>0.2102844660480767</v>
      </c>
      <c r="T542" s="36" t="n">
        <v>0.0507432086109687</v>
      </c>
      <c r="U542" s="31" t="n">
        <v>47150</v>
      </c>
      <c r="V542" s="31" t="n">
        <v>15050</v>
      </c>
      <c r="W542" s="36" t="n">
        <v>-0.5652173913043479</v>
      </c>
      <c r="X542" s="36" t="n">
        <v>0.3621262458471761</v>
      </c>
      <c r="Y542" s="31" t="n">
        <v>20476584</v>
      </c>
      <c r="Z542" s="31" t="n">
        <v>419769972000</v>
      </c>
      <c r="AA542" s="31" t="n">
        <v>2847245000</v>
      </c>
      <c r="AB542" s="31" t="n">
        <v>3564253991</v>
      </c>
      <c r="AC542" s="36" t="n">
        <v>0.006782869642709936</v>
      </c>
      <c r="AD542" s="29" t="inlineStr">
        <is>
          <t>yfinance_download</t>
        </is>
      </c>
      <c r="AE542" s="29" t="inlineStr">
        <is>
          <t>317330.KQ</t>
        </is>
      </c>
    </row>
    <row r="543" ht="24" customHeight="1">
      <c r="A543" s="24" t="inlineStr">
        <is>
          <t>2025-08-28</t>
        </is>
      </c>
      <c r="B543" s="30" t="n">
        <v>20200</v>
      </c>
      <c r="C543" s="30" t="n">
        <v>20300</v>
      </c>
      <c r="D543" s="30" t="n">
        <v>19150</v>
      </c>
      <c r="E543" s="30" t="n">
        <v>19240</v>
      </c>
      <c r="F543" s="30" t="n">
        <v>19240</v>
      </c>
      <c r="G543" s="30" t="n">
        <v>174117</v>
      </c>
      <c r="H543" s="35" t="n">
        <v>-0.0614634146341464</v>
      </c>
      <c r="I543" s="35" t="n">
        <v>-0.6866449511400652</v>
      </c>
      <c r="J543" s="30" t="n">
        <v>18000.5</v>
      </c>
      <c r="K543" s="30" t="n">
        <v>16962.66666666667</v>
      </c>
      <c r="L543" s="30" t="n">
        <v>19419.91666666667</v>
      </c>
      <c r="M543" s="35" t="n">
        <v>0.7790623551840323</v>
      </c>
      <c r="N543" s="35" t="n">
        <v>0.6235736463605795</v>
      </c>
      <c r="O543" s="35" t="n">
        <v>0.1398104265402844</v>
      </c>
      <c r="P543" s="35" t="n">
        <v>0.08272369161508153</v>
      </c>
      <c r="Q543" s="35" t="n">
        <v>-0.3597337770382696</v>
      </c>
      <c r="R543" s="35" t="n">
        <v>0.06885919835560128</v>
      </c>
      <c r="S543" s="35" t="n">
        <v>0.1342556201855054</v>
      </c>
      <c r="T543" s="35" t="n">
        <v>-0.009264543702985351</v>
      </c>
      <c r="U543" s="30" t="n">
        <v>47150</v>
      </c>
      <c r="V543" s="30" t="n">
        <v>15050</v>
      </c>
      <c r="W543" s="35" t="n">
        <v>-0.5919406150583245</v>
      </c>
      <c r="X543" s="35" t="n">
        <v>0.278405315614618</v>
      </c>
      <c r="Y543" s="30" t="n">
        <v>20476584</v>
      </c>
      <c r="Z543" s="30" t="n">
        <v>393969476160</v>
      </c>
      <c r="AA543" s="30" t="n">
        <v>3350011080</v>
      </c>
      <c r="AB543" s="30" t="n">
        <v>3584859721</v>
      </c>
      <c r="AC543" s="35" t="n">
        <v>0.008503224951974411</v>
      </c>
      <c r="AD543" s="24" t="inlineStr">
        <is>
          <t>yfinance_download</t>
        </is>
      </c>
      <c r="AE543" s="24" t="inlineStr">
        <is>
          <t>317330.KQ</t>
        </is>
      </c>
    </row>
    <row r="544" ht="24" customHeight="1">
      <c r="A544" s="29" t="inlineStr">
        <is>
          <t>2025-08-29</t>
        </is>
      </c>
      <c r="B544" s="31" t="n">
        <v>19550</v>
      </c>
      <c r="C544" s="31" t="n">
        <v>19550</v>
      </c>
      <c r="D544" s="31" t="n">
        <v>18370</v>
      </c>
      <c r="E544" s="31" t="n">
        <v>18690</v>
      </c>
      <c r="F544" s="31" t="n">
        <v>18690</v>
      </c>
      <c r="G544" s="31" t="n">
        <v>162976</v>
      </c>
      <c r="H544" s="36" t="n">
        <v>-0.0285862785862786</v>
      </c>
      <c r="I544" s="36" t="n">
        <v>-0.6956026058631921</v>
      </c>
      <c r="J544" s="31" t="n">
        <v>18090.5</v>
      </c>
      <c r="K544" s="31" t="n">
        <v>16973</v>
      </c>
      <c r="L544" s="31" t="n">
        <v>19336.91666666667</v>
      </c>
      <c r="M544" s="36" t="n">
        <v>0.7894083236901888</v>
      </c>
      <c r="N544" s="36" t="n">
        <v>0.6259200299625256</v>
      </c>
      <c r="O544" s="36" t="n">
        <v>0.1065719360568385</v>
      </c>
      <c r="P544" s="36" t="n">
        <v>0.03431101272827886</v>
      </c>
      <c r="Q544" s="36" t="n">
        <v>-0.3476439790575916</v>
      </c>
      <c r="R544" s="36" t="n">
        <v>0.03313894032779641</v>
      </c>
      <c r="S544" s="36" t="n">
        <v>0.1011606669416132</v>
      </c>
      <c r="T544" s="36" t="n">
        <v>-0.03345500618419872</v>
      </c>
      <c r="U544" s="31" t="n">
        <v>47150</v>
      </c>
      <c r="V544" s="31" t="n">
        <v>15050</v>
      </c>
      <c r="W544" s="36" t="n">
        <v>-0.6036055143160127</v>
      </c>
      <c r="X544" s="36" t="n">
        <v>0.241860465116279</v>
      </c>
      <c r="Y544" s="31" t="n">
        <v>20476584</v>
      </c>
      <c r="Z544" s="31" t="n">
        <v>382707354960</v>
      </c>
      <c r="AA544" s="31" t="n">
        <v>3046021440</v>
      </c>
      <c r="AB544" s="31" t="n">
        <v>3640762807</v>
      </c>
      <c r="AC544" s="36" t="n">
        <v>0.007959140059689644</v>
      </c>
      <c r="AD544" s="29" t="inlineStr">
        <is>
          <t>yfinance_download</t>
        </is>
      </c>
      <c r="AE544" s="29" t="inlineStr">
        <is>
          <t>317330.KQ</t>
        </is>
      </c>
    </row>
    <row r="545" ht="24" customHeight="1">
      <c r="A545" s="24" t="inlineStr">
        <is>
          <t>2025-09-01</t>
        </is>
      </c>
      <c r="B545" s="30" t="n">
        <v>18930</v>
      </c>
      <c r="C545" s="30" t="n">
        <v>19420</v>
      </c>
      <c r="D545" s="30" t="n">
        <v>18360</v>
      </c>
      <c r="E545" s="30" t="n">
        <v>18410</v>
      </c>
      <c r="F545" s="30" t="n">
        <v>18410</v>
      </c>
      <c r="G545" s="30" t="n">
        <v>143096</v>
      </c>
      <c r="H545" s="35" t="n">
        <v>-0.01498127340823974</v>
      </c>
      <c r="I545" s="35" t="n">
        <v>-0.7001628664495114</v>
      </c>
      <c r="J545" s="30" t="n">
        <v>18222</v>
      </c>
      <c r="K545" s="30" t="n">
        <v>16969</v>
      </c>
      <c r="L545" s="30" t="n">
        <v>19251.16666666667</v>
      </c>
      <c r="M545" s="35" t="n">
        <v>0.7474984187728196</v>
      </c>
      <c r="N545" s="35" t="n">
        <v>0.6234630279355443</v>
      </c>
      <c r="O545" s="35" t="n">
        <v>0.1666666666666667</v>
      </c>
      <c r="P545" s="35" t="n">
        <v>-0.01286863270777483</v>
      </c>
      <c r="Q545" s="35" t="n">
        <v>-0.3585365853658536</v>
      </c>
      <c r="R545" s="35" t="n">
        <v>0.01031719899023154</v>
      </c>
      <c r="S545" s="35" t="n">
        <v>0.08491955919618133</v>
      </c>
      <c r="T545" s="35" t="n">
        <v>-0.0436943215562694</v>
      </c>
      <c r="U545" s="30" t="n">
        <v>47150</v>
      </c>
      <c r="V545" s="30" t="n">
        <v>15050</v>
      </c>
      <c r="W545" s="35" t="n">
        <v>-0.609544008483563</v>
      </c>
      <c r="X545" s="35" t="n">
        <v>0.2232558139534884</v>
      </c>
      <c r="Y545" s="30" t="n">
        <v>20476584</v>
      </c>
      <c r="Z545" s="30" t="n">
        <v>376973911440</v>
      </c>
      <c r="AA545" s="30" t="n">
        <v>2634397360</v>
      </c>
      <c r="AB545" s="30" t="n">
        <v>3664573512</v>
      </c>
      <c r="AC545" s="35" t="n">
        <v>0.006988274997431212</v>
      </c>
      <c r="AD545" s="24" t="inlineStr">
        <is>
          <t>yfinance_download</t>
        </is>
      </c>
      <c r="AE545" s="24" t="inlineStr">
        <is>
          <t>317330.KQ</t>
        </is>
      </c>
    </row>
    <row r="546" ht="24" customHeight="1">
      <c r="A546" s="29" t="inlineStr">
        <is>
          <t>2025-09-02</t>
        </is>
      </c>
      <c r="B546" s="31" t="n">
        <v>18600</v>
      </c>
      <c r="C546" s="31" t="n">
        <v>18700</v>
      </c>
      <c r="D546" s="31" t="n">
        <v>18120</v>
      </c>
      <c r="E546" s="31" t="n">
        <v>18410</v>
      </c>
      <c r="F546" s="31" t="n">
        <v>18410</v>
      </c>
      <c r="G546" s="31" t="n">
        <v>79657</v>
      </c>
      <c r="H546" s="36" t="n">
        <v>0</v>
      </c>
      <c r="I546" s="36" t="n">
        <v>-0.7001628664495114</v>
      </c>
      <c r="J546" s="31" t="n">
        <v>18342</v>
      </c>
      <c r="K546" s="31" t="n">
        <v>16951</v>
      </c>
      <c r="L546" s="31" t="n">
        <v>19174.16666666667</v>
      </c>
      <c r="M546" s="36" t="n">
        <v>0.7477890201250328</v>
      </c>
      <c r="N546" s="36" t="n">
        <v>0.6165241841411683</v>
      </c>
      <c r="O546" s="36" t="n">
        <v>0.1499063085571517</v>
      </c>
      <c r="P546" s="36" t="n">
        <v>-0.05541303232426886</v>
      </c>
      <c r="Q546" s="36" t="n">
        <v>-0.3341772151898734</v>
      </c>
      <c r="R546" s="36" t="n">
        <v>0.00370733834914394</v>
      </c>
      <c r="S546" s="36" t="n">
        <v>0.08607161819361697</v>
      </c>
      <c r="T546" s="36" t="n">
        <v>-0.03985397018557957</v>
      </c>
      <c r="U546" s="31" t="n">
        <v>47150</v>
      </c>
      <c r="V546" s="31" t="n">
        <v>15050</v>
      </c>
      <c r="W546" s="36" t="n">
        <v>-0.609544008483563</v>
      </c>
      <c r="X546" s="36" t="n">
        <v>0.2232558139534884</v>
      </c>
      <c r="Y546" s="31" t="n">
        <v>20476584</v>
      </c>
      <c r="Z546" s="31" t="n">
        <v>376973911440</v>
      </c>
      <c r="AA546" s="31" t="n">
        <v>1466485370</v>
      </c>
      <c r="AB546" s="31" t="n">
        <v>3711415639.5</v>
      </c>
      <c r="AC546" s="36" t="n">
        <v>0.003890150818124742</v>
      </c>
      <c r="AD546" s="29" t="inlineStr">
        <is>
          <t>yfinance_download</t>
        </is>
      </c>
      <c r="AE546" s="29" t="inlineStr">
        <is>
          <t>317330.KQ</t>
        </is>
      </c>
    </row>
    <row r="547" ht="24" customHeight="1">
      <c r="A547" s="24" t="inlineStr">
        <is>
          <t>2025-09-03</t>
        </is>
      </c>
      <c r="B547" s="30" t="n">
        <v>18380</v>
      </c>
      <c r="C547" s="30" t="n">
        <v>18570</v>
      </c>
      <c r="D547" s="30" t="n">
        <v>18150</v>
      </c>
      <c r="E547" s="30" t="n">
        <v>18350</v>
      </c>
      <c r="F547" s="30" t="n">
        <v>18350</v>
      </c>
      <c r="G547" s="30" t="n">
        <v>62384</v>
      </c>
      <c r="H547" s="35" t="n">
        <v>-0.00325909831613258</v>
      </c>
      <c r="I547" s="35" t="n">
        <v>-0.7011400651465798</v>
      </c>
      <c r="J547" s="30" t="n">
        <v>18418</v>
      </c>
      <c r="K547" s="30" t="n">
        <v>16949.83333333333</v>
      </c>
      <c r="L547" s="30" t="n">
        <v>19102.91666666667</v>
      </c>
      <c r="M547" s="35" t="n">
        <v>0.7308878410041514</v>
      </c>
      <c r="N547" s="35" t="n">
        <v>0.605954111141182</v>
      </c>
      <c r="O547" s="35" t="n">
        <v>0.09031491384432555</v>
      </c>
      <c r="P547" s="35" t="n">
        <v>-0.003800217155266017</v>
      </c>
      <c r="Q547" s="35" t="n">
        <v>-0.3178438661710037</v>
      </c>
      <c r="R547" s="35" t="n">
        <v>-0.003692040395265495</v>
      </c>
      <c r="S547" s="35" t="n">
        <v>0.08260651530496865</v>
      </c>
      <c r="T547" s="35" t="n">
        <v>-0.03941370209610229</v>
      </c>
      <c r="U547" s="30" t="n">
        <v>47150</v>
      </c>
      <c r="V547" s="30" t="n">
        <v>15050</v>
      </c>
      <c r="W547" s="35" t="n">
        <v>-0.6108165429480381</v>
      </c>
      <c r="X547" s="35" t="n">
        <v>0.2192691029900333</v>
      </c>
      <c r="Y547" s="30" t="n">
        <v>20476584</v>
      </c>
      <c r="Z547" s="30" t="n">
        <v>375745316400</v>
      </c>
      <c r="AA547" s="30" t="n">
        <v>1144746400</v>
      </c>
      <c r="AB547" s="30" t="n">
        <v>3654500118.5</v>
      </c>
      <c r="AC547" s="35" t="n">
        <v>0.003046601913678571</v>
      </c>
      <c r="AD547" s="24" t="inlineStr">
        <is>
          <t>yfinance_download</t>
        </is>
      </c>
      <c r="AE547" s="24" t="inlineStr">
        <is>
          <t>317330.KQ</t>
        </is>
      </c>
    </row>
    <row r="548" ht="24" customHeight="1">
      <c r="A548" s="29" t="inlineStr">
        <is>
          <t>2025-09-04</t>
        </is>
      </c>
      <c r="B548" s="31" t="n">
        <v>18900</v>
      </c>
      <c r="C548" s="31" t="n">
        <v>19130</v>
      </c>
      <c r="D548" s="31" t="n">
        <v>18190</v>
      </c>
      <c r="E548" s="31" t="n">
        <v>18250</v>
      </c>
      <c r="F548" s="31" t="n">
        <v>18250</v>
      </c>
      <c r="G548" s="31" t="n">
        <v>106997</v>
      </c>
      <c r="H548" s="36" t="n">
        <v>-0.00544959128065392</v>
      </c>
      <c r="I548" s="36" t="n">
        <v>-0.7027687296416938</v>
      </c>
      <c r="J548" s="31" t="n">
        <v>18480</v>
      </c>
      <c r="K548" s="31" t="n">
        <v>16947.16666666667</v>
      </c>
      <c r="L548" s="31" t="n">
        <v>19031.66666666667</v>
      </c>
      <c r="M548" s="36" t="n">
        <v>0.7315604742079503</v>
      </c>
      <c r="N548" s="36" t="n">
        <v>0.606078539900432</v>
      </c>
      <c r="O548" s="36" t="n">
        <v>0.07289829512051726</v>
      </c>
      <c r="P548" s="36" t="n">
        <v>-0.00869092884302014</v>
      </c>
      <c r="Q548" s="36" t="n">
        <v>-0.3190298507462687</v>
      </c>
      <c r="R548" s="36" t="n">
        <v>-0.01244588744588748</v>
      </c>
      <c r="S548" s="36" t="n">
        <v>0.0768761739917192</v>
      </c>
      <c r="T548" s="36" t="n">
        <v>-0.04107189771433584</v>
      </c>
      <c r="U548" s="31" t="n">
        <v>47150</v>
      </c>
      <c r="V548" s="31" t="n">
        <v>15050</v>
      </c>
      <c r="W548" s="36" t="n">
        <v>-0.6129374337221634</v>
      </c>
      <c r="X548" s="36" t="n">
        <v>0.212624584717608</v>
      </c>
      <c r="Y548" s="31" t="n">
        <v>20476584</v>
      </c>
      <c r="Z548" s="31" t="n">
        <v>373697658000</v>
      </c>
      <c r="AA548" s="31" t="n">
        <v>1952695250</v>
      </c>
      <c r="AB548" s="31" t="n">
        <v>3580083834</v>
      </c>
      <c r="AC548" s="36" t="n">
        <v>0.005225334460083772</v>
      </c>
      <c r="AD548" s="29" t="inlineStr">
        <is>
          <t>yfinance_download</t>
        </is>
      </c>
      <c r="AE548" s="29" t="inlineStr">
        <is>
          <t>317330.KQ</t>
        </is>
      </c>
    </row>
    <row r="549" ht="24" customHeight="1">
      <c r="A549" s="24" t="inlineStr">
        <is>
          <t>2025-09-05</t>
        </is>
      </c>
      <c r="B549" s="30" t="n">
        <v>18390</v>
      </c>
      <c r="C549" s="30" t="n">
        <v>18450</v>
      </c>
      <c r="D549" s="30" t="n">
        <v>17980</v>
      </c>
      <c r="E549" s="30" t="n">
        <v>18250</v>
      </c>
      <c r="F549" s="30" t="n">
        <v>18250</v>
      </c>
      <c r="G549" s="30" t="n">
        <v>79825</v>
      </c>
      <c r="H549" s="35" t="n">
        <v>0</v>
      </c>
      <c r="I549" s="35" t="n">
        <v>-0.7027687296416938</v>
      </c>
      <c r="J549" s="30" t="n">
        <v>18536.5</v>
      </c>
      <c r="K549" s="30" t="n">
        <v>16952</v>
      </c>
      <c r="L549" s="30" t="n">
        <v>18966.25</v>
      </c>
      <c r="M549" s="35" t="n">
        <v>0.7316918979963316</v>
      </c>
      <c r="N549" s="35" t="n">
        <v>0.6038374197752141</v>
      </c>
      <c r="O549" s="35" t="n">
        <v>0.06600467289719636</v>
      </c>
      <c r="P549" s="35" t="n">
        <v>0.01614699331848546</v>
      </c>
      <c r="Q549" s="35" t="n">
        <v>-0.3007662835249042</v>
      </c>
      <c r="R549" s="35" t="n">
        <v>-0.01545599223154315</v>
      </c>
      <c r="S549" s="35" t="n">
        <v>0.07656913638508733</v>
      </c>
      <c r="T549" s="35" t="n">
        <v>-0.03776445000988593</v>
      </c>
      <c r="U549" s="30" t="n">
        <v>47150</v>
      </c>
      <c r="V549" s="30" t="n">
        <v>15050</v>
      </c>
      <c r="W549" s="35" t="n">
        <v>-0.6129374337221634</v>
      </c>
      <c r="X549" s="35" t="n">
        <v>0.212624584717608</v>
      </c>
      <c r="Y549" s="30" t="n">
        <v>20476584</v>
      </c>
      <c r="Z549" s="30" t="n">
        <v>373697658000</v>
      </c>
      <c r="AA549" s="30" t="n">
        <v>1456806250</v>
      </c>
      <c r="AB549" s="30" t="n">
        <v>3594964386.5</v>
      </c>
      <c r="AC549" s="35" t="n">
        <v>0.003898355311608616</v>
      </c>
      <c r="AD549" s="24" t="inlineStr">
        <is>
          <t>yfinance_download</t>
        </is>
      </c>
      <c r="AE549" s="24" t="inlineStr">
        <is>
          <t>317330.KQ</t>
        </is>
      </c>
    </row>
    <row r="550" ht="24" customHeight="1">
      <c r="A550" s="29" t="inlineStr">
        <is>
          <t>2025-09-08</t>
        </is>
      </c>
      <c r="B550" s="31" t="n">
        <v>18060</v>
      </c>
      <c r="C550" s="31" t="n">
        <v>18410</v>
      </c>
      <c r="D550" s="31" t="n">
        <v>18060</v>
      </c>
      <c r="E550" s="31" t="n">
        <v>18190</v>
      </c>
      <c r="F550" s="31" t="n">
        <v>18190</v>
      </c>
      <c r="G550" s="31" t="n">
        <v>86884</v>
      </c>
      <c r="H550" s="36" t="n">
        <v>-0.003287671232876765</v>
      </c>
      <c r="I550" s="36" t="n">
        <v>-0.7037459283387622</v>
      </c>
      <c r="J550" s="31" t="n">
        <v>18602</v>
      </c>
      <c r="K550" s="31" t="n">
        <v>16974.33333333333</v>
      </c>
      <c r="L550" s="31" t="n">
        <v>18907.41666666667</v>
      </c>
      <c r="M550" s="36" t="n">
        <v>0.7291364809655808</v>
      </c>
      <c r="N550" s="36" t="n">
        <v>0.5895958059318585</v>
      </c>
      <c r="O550" s="36" t="n">
        <v>0.07760663507109</v>
      </c>
      <c r="P550" s="36" t="n">
        <v>0.07952522255192873</v>
      </c>
      <c r="Q550" s="36" t="n">
        <v>-0.2796039603960396</v>
      </c>
      <c r="R550" s="36" t="n">
        <v>-0.02214815611224596</v>
      </c>
      <c r="S550" s="36" t="n">
        <v>0.07161793295760277</v>
      </c>
      <c r="T550" s="36" t="n">
        <v>-0.03794366408243688</v>
      </c>
      <c r="U550" s="31" t="n">
        <v>47150</v>
      </c>
      <c r="V550" s="31" t="n">
        <v>15050</v>
      </c>
      <c r="W550" s="36" t="n">
        <v>-0.6142099681866384</v>
      </c>
      <c r="X550" s="36" t="n">
        <v>0.2086378737541528</v>
      </c>
      <c r="Y550" s="31" t="n">
        <v>20476584</v>
      </c>
      <c r="Z550" s="31" t="n">
        <v>372469062960</v>
      </c>
      <c r="AA550" s="31" t="n">
        <v>1580419960</v>
      </c>
      <c r="AB550" s="31" t="n">
        <v>3608041132.5</v>
      </c>
      <c r="AC550" s="36" t="n">
        <v>0.004243090546743539</v>
      </c>
      <c r="AD550" s="29" t="inlineStr">
        <is>
          <t>yfinance_download</t>
        </is>
      </c>
      <c r="AE550" s="29" t="inlineStr">
        <is>
          <t>317330.KQ</t>
        </is>
      </c>
    </row>
    <row r="551" ht="24" customHeight="1">
      <c r="A551" s="24" t="inlineStr">
        <is>
          <t>2025-09-09</t>
        </is>
      </c>
      <c r="B551" s="30" t="n">
        <v>18500</v>
      </c>
      <c r="C551" s="30" t="n">
        <v>18820</v>
      </c>
      <c r="D551" s="30" t="n">
        <v>18150</v>
      </c>
      <c r="E551" s="30" t="n">
        <v>18170</v>
      </c>
      <c r="F551" s="30" t="n">
        <v>18170</v>
      </c>
      <c r="G551" s="30" t="n">
        <v>150422</v>
      </c>
      <c r="H551" s="35" t="n">
        <v>-0.001099505222649788</v>
      </c>
      <c r="I551" s="35" t="n">
        <v>-0.7040716612377851</v>
      </c>
      <c r="J551" s="30" t="n">
        <v>18595</v>
      </c>
      <c r="K551" s="30" t="n">
        <v>17008.5</v>
      </c>
      <c r="L551" s="30" t="n">
        <v>18840.08333333333</v>
      </c>
      <c r="M551" s="35" t="n">
        <v>0.6650953436171617</v>
      </c>
      <c r="N551" s="35" t="n">
        <v>0.5820513296912095</v>
      </c>
      <c r="O551" s="35" t="n">
        <v>-0.007646095030038214</v>
      </c>
      <c r="P551" s="35" t="n">
        <v>0.1271712158808933</v>
      </c>
      <c r="Q551" s="35" t="n">
        <v>-0.3078095238095238</v>
      </c>
      <c r="R551" s="35" t="n">
        <v>-0.02285560634579187</v>
      </c>
      <c r="S551" s="35" t="n">
        <v>0.06828938471940504</v>
      </c>
      <c r="T551" s="35" t="n">
        <v>-0.03556689858944351</v>
      </c>
      <c r="U551" s="30" t="n">
        <v>47150</v>
      </c>
      <c r="V551" s="30" t="n">
        <v>15050</v>
      </c>
      <c r="W551" s="35" t="n">
        <v>-0.6146341463414634</v>
      </c>
      <c r="X551" s="35" t="n">
        <v>0.2073089700996678</v>
      </c>
      <c r="Y551" s="30" t="n">
        <v>20476584</v>
      </c>
      <c r="Z551" s="30" t="n">
        <v>372059531280</v>
      </c>
      <c r="AA551" s="30" t="n">
        <v>2733167740</v>
      </c>
      <c r="AB551" s="30" t="n">
        <v>3354290953</v>
      </c>
      <c r="AC551" s="35" t="n">
        <v>0.007346049516853006</v>
      </c>
      <c r="AD551" s="24" t="inlineStr">
        <is>
          <t>yfinance_download</t>
        </is>
      </c>
      <c r="AE551" s="24" t="inlineStr">
        <is>
          <t>317330.KQ</t>
        </is>
      </c>
    </row>
    <row r="552" ht="24" customHeight="1">
      <c r="A552" s="29" t="inlineStr">
        <is>
          <t>2025-09-10</t>
        </is>
      </c>
      <c r="B552" s="31" t="n">
        <v>18290</v>
      </c>
      <c r="C552" s="31" t="n">
        <v>18400</v>
      </c>
      <c r="D552" s="31" t="n">
        <v>17850</v>
      </c>
      <c r="E552" s="31" t="n">
        <v>18320</v>
      </c>
      <c r="F552" s="31" t="n">
        <v>18320</v>
      </c>
      <c r="G552" s="31" t="n">
        <v>156261</v>
      </c>
      <c r="H552" s="36" t="n">
        <v>0.008255365987892116</v>
      </c>
      <c r="I552" s="36" t="n">
        <v>-0.701628664495114</v>
      </c>
      <c r="J552" s="31" t="n">
        <v>18620.5</v>
      </c>
      <c r="K552" s="31" t="n">
        <v>17055</v>
      </c>
      <c r="L552" s="31" t="n">
        <v>18779.41666666667</v>
      </c>
      <c r="M552" s="36" t="n">
        <v>0.6573529954548328</v>
      </c>
      <c r="N552" s="36" t="n">
        <v>0.576364082774816</v>
      </c>
      <c r="O552" s="36" t="n">
        <v>0.02863559797866366</v>
      </c>
      <c r="P552" s="36" t="n">
        <v>0.1796522858982614</v>
      </c>
      <c r="Q552" s="36" t="n">
        <v>-0.284375</v>
      </c>
      <c r="R552" s="36" t="n">
        <v>-0.01613812733277842</v>
      </c>
      <c r="S552" s="36" t="n">
        <v>0.07417179712694222</v>
      </c>
      <c r="T552" s="36" t="n">
        <v>-0.02446384117362543</v>
      </c>
      <c r="U552" s="31" t="n">
        <v>47150</v>
      </c>
      <c r="V552" s="31" t="n">
        <v>15050</v>
      </c>
      <c r="W552" s="36" t="n">
        <v>-0.6114528101802756</v>
      </c>
      <c r="X552" s="36" t="n">
        <v>0.2172757475083056</v>
      </c>
      <c r="Y552" s="31" t="n">
        <v>20476584</v>
      </c>
      <c r="Z552" s="31" t="n">
        <v>375131018880</v>
      </c>
      <c r="AA552" s="31" t="n">
        <v>2862701520</v>
      </c>
      <c r="AB552" s="31" t="n">
        <v>3333667531.5</v>
      </c>
      <c r="AC552" s="36" t="n">
        <v>0.007631204501688368</v>
      </c>
      <c r="AD552" s="29" t="inlineStr">
        <is>
          <t>yfinance_download</t>
        </is>
      </c>
      <c r="AE552" s="29" t="inlineStr">
        <is>
          <t>317330.KQ</t>
        </is>
      </c>
    </row>
    <row r="553" ht="24" customHeight="1">
      <c r="A553" s="24" t="inlineStr">
        <is>
          <t>2025-09-11</t>
        </is>
      </c>
      <c r="B553" s="30" t="n">
        <v>18330</v>
      </c>
      <c r="C553" s="30" t="n">
        <v>18750</v>
      </c>
      <c r="D553" s="30" t="n">
        <v>17510</v>
      </c>
      <c r="E553" s="30" t="n">
        <v>18020</v>
      </c>
      <c r="F553" s="30" t="n">
        <v>18020</v>
      </c>
      <c r="G553" s="30" t="n">
        <v>405136</v>
      </c>
      <c r="H553" s="35" t="n">
        <v>-0.01637554585152834</v>
      </c>
      <c r="I553" s="35" t="n">
        <v>-0.706514657980456</v>
      </c>
      <c r="J553" s="30" t="n">
        <v>18539.5</v>
      </c>
      <c r="K553" s="30" t="n">
        <v>17097.5</v>
      </c>
      <c r="L553" s="30" t="n">
        <v>18722.5</v>
      </c>
      <c r="M553" s="35" t="n">
        <v>0.5415102366475015</v>
      </c>
      <c r="N553" s="35" t="n">
        <v>0.5776061539623857</v>
      </c>
      <c r="O553" s="35" t="n">
        <v>-0.08248472505091653</v>
      </c>
      <c r="P553" s="35" t="n">
        <v>0.1648351648351649</v>
      </c>
      <c r="Q553" s="35" t="n">
        <v>-0.2748490945674045</v>
      </c>
      <c r="R553" s="35" t="n">
        <v>-0.0280212519215729</v>
      </c>
      <c r="S553" s="35" t="n">
        <v>0.0539552566164645</v>
      </c>
      <c r="T553" s="35" t="n">
        <v>-0.0375216984911203</v>
      </c>
      <c r="U553" s="30" t="n">
        <v>47150</v>
      </c>
      <c r="V553" s="30" t="n">
        <v>15050</v>
      </c>
      <c r="W553" s="35" t="n">
        <v>-0.6178154825026512</v>
      </c>
      <c r="X553" s="35" t="n">
        <v>0.1973421926910299</v>
      </c>
      <c r="Y553" s="30" t="n">
        <v>20476584</v>
      </c>
      <c r="Z553" s="30" t="n">
        <v>368988043680</v>
      </c>
      <c r="AA553" s="30" t="n">
        <v>7300550720</v>
      </c>
      <c r="AB553" s="30" t="n">
        <v>3266225213.5</v>
      </c>
      <c r="AC553" s="35" t="n">
        <v>0.01978533138144526</v>
      </c>
      <c r="AD553" s="24" t="inlineStr">
        <is>
          <t>yfinance_download</t>
        </is>
      </c>
      <c r="AE553" s="24" t="inlineStr">
        <is>
          <t>317330.KQ</t>
        </is>
      </c>
    </row>
    <row r="554" ht="24" customHeight="1">
      <c r="A554" s="29" t="inlineStr">
        <is>
          <t>2025-09-12</t>
        </is>
      </c>
      <c r="B554" s="31" t="n">
        <v>18100</v>
      </c>
      <c r="C554" s="31" t="n">
        <v>18650</v>
      </c>
      <c r="D554" s="31" t="n">
        <v>18040</v>
      </c>
      <c r="E554" s="31" t="n">
        <v>18370</v>
      </c>
      <c r="F554" s="31" t="n">
        <v>18370</v>
      </c>
      <c r="G554" s="31" t="n">
        <v>143697</v>
      </c>
      <c r="H554" s="36" t="n">
        <v>0.01942286348501665</v>
      </c>
      <c r="I554" s="36" t="n">
        <v>-0.7008143322475571</v>
      </c>
      <c r="J554" s="31" t="n">
        <v>18498</v>
      </c>
      <c r="K554" s="31" t="n">
        <v>17135</v>
      </c>
      <c r="L554" s="31" t="n">
        <v>18674.33333333333</v>
      </c>
      <c r="M554" s="36" t="n">
        <v>0.5427420332424818</v>
      </c>
      <c r="N554" s="36" t="n">
        <v>0.5729558526535127</v>
      </c>
      <c r="O554" s="36" t="n">
        <v>-0.04322916666666665</v>
      </c>
      <c r="P554" s="36" t="n">
        <v>0.1395781637717122</v>
      </c>
      <c r="Q554" s="36" t="n">
        <v>-0.2393374741200828</v>
      </c>
      <c r="R554" s="36" t="n">
        <v>-0.006919666991026086</v>
      </c>
      <c r="S554" s="36" t="n">
        <v>0.07207470090458123</v>
      </c>
      <c r="T554" s="36" t="n">
        <v>-0.01629687806793634</v>
      </c>
      <c r="U554" s="31" t="n">
        <v>47150</v>
      </c>
      <c r="V554" s="31" t="n">
        <v>15050</v>
      </c>
      <c r="W554" s="36" t="n">
        <v>-0.6103923647932131</v>
      </c>
      <c r="X554" s="36" t="n">
        <v>0.2205980066445183</v>
      </c>
      <c r="Y554" s="31" t="n">
        <v>20476584</v>
      </c>
      <c r="Z554" s="31" t="n">
        <v>376154848080</v>
      </c>
      <c r="AA554" s="31" t="n">
        <v>2639713890</v>
      </c>
      <c r="AB554" s="31" t="n">
        <v>3106986268</v>
      </c>
      <c r="AC554" s="36" t="n">
        <v>0.007017625596144357</v>
      </c>
      <c r="AD554" s="29" t="inlineStr">
        <is>
          <t>yfinance_download</t>
        </is>
      </c>
      <c r="AE554" s="29" t="inlineStr">
        <is>
          <t>317330.KQ</t>
        </is>
      </c>
    </row>
    <row r="555" ht="24" customHeight="1">
      <c r="A555" s="24" t="inlineStr">
        <is>
          <t>2025-09-15</t>
        </is>
      </c>
      <c r="B555" s="30" t="n">
        <v>18630</v>
      </c>
      <c r="C555" s="30" t="n">
        <v>18770</v>
      </c>
      <c r="D555" s="30" t="n">
        <v>18100</v>
      </c>
      <c r="E555" s="30" t="n">
        <v>18150</v>
      </c>
      <c r="F555" s="30" t="n">
        <v>18150</v>
      </c>
      <c r="G555" s="30" t="n">
        <v>123755</v>
      </c>
      <c r="H555" s="35" t="n">
        <v>-0.0119760479041916</v>
      </c>
      <c r="I555" s="35" t="n">
        <v>-0.7043973941368078</v>
      </c>
      <c r="J555" s="30" t="n">
        <v>18524.5</v>
      </c>
      <c r="K555" s="30" t="n">
        <v>17166</v>
      </c>
      <c r="L555" s="30" t="n">
        <v>18618.91666666667</v>
      </c>
      <c r="M555" s="35" t="n">
        <v>0.4543674654766313</v>
      </c>
      <c r="N555" s="35" t="n">
        <v>0.5735158718001465</v>
      </c>
      <c r="O555" s="35" t="n">
        <v>0.03007945516458577</v>
      </c>
      <c r="P555" s="35" t="n">
        <v>0.1141804788213627</v>
      </c>
      <c r="Q555" s="35" t="n">
        <v>-0.2681451612903226</v>
      </c>
      <c r="R555" s="35" t="n">
        <v>-0.02021647008016414</v>
      </c>
      <c r="S555" s="35" t="n">
        <v>0.05732261447046483</v>
      </c>
      <c r="T555" s="35" t="n">
        <v>-0.02518495974076551</v>
      </c>
      <c r="U555" s="30" t="n">
        <v>47150</v>
      </c>
      <c r="V555" s="30" t="n">
        <v>15050</v>
      </c>
      <c r="W555" s="35" t="n">
        <v>-0.6150583244962884</v>
      </c>
      <c r="X555" s="35" t="n">
        <v>0.2059800664451827</v>
      </c>
      <c r="Y555" s="30" t="n">
        <v>20476584</v>
      </c>
      <c r="Z555" s="30" t="n">
        <v>371649999600</v>
      </c>
      <c r="AA555" s="30" t="n">
        <v>2246153250</v>
      </c>
      <c r="AB555" s="30" t="n">
        <v>3016909729.5</v>
      </c>
      <c r="AC555" s="35" t="n">
        <v>0.00604373268510021</v>
      </c>
      <c r="AD555" s="24" t="inlineStr">
        <is>
          <t>yfinance_download</t>
        </is>
      </c>
      <c r="AE555" s="24" t="inlineStr">
        <is>
          <t>317330.KQ</t>
        </is>
      </c>
    </row>
    <row r="556" ht="24" customHeight="1">
      <c r="A556" s="29" t="inlineStr">
        <is>
          <t>2025-09-16</t>
        </is>
      </c>
      <c r="B556" s="31" t="n">
        <v>18320</v>
      </c>
      <c r="C556" s="31" t="n">
        <v>18400</v>
      </c>
      <c r="D556" s="31" t="n">
        <v>18070</v>
      </c>
      <c r="E556" s="31" t="n">
        <v>18230</v>
      </c>
      <c r="F556" s="31" t="n">
        <v>18230</v>
      </c>
      <c r="G556" s="31" t="n">
        <v>76425</v>
      </c>
      <c r="H556" s="36" t="n">
        <v>0.004407713498622678</v>
      </c>
      <c r="I556" s="36" t="n">
        <v>-0.7030944625407166</v>
      </c>
      <c r="J556" s="31" t="n">
        <v>18577</v>
      </c>
      <c r="K556" s="31" t="n">
        <v>17211.83333333333</v>
      </c>
      <c r="L556" s="31" t="n">
        <v>18575.83333333333</v>
      </c>
      <c r="M556" s="36" t="n">
        <v>0.4431805955059442</v>
      </c>
      <c r="N556" s="36" t="n">
        <v>0.5631241670076075</v>
      </c>
      <c r="O556" s="36" t="n">
        <v>0.06111757857974398</v>
      </c>
      <c r="P556" s="36" t="n">
        <v>0.1776485788113695</v>
      </c>
      <c r="Q556" s="36" t="n">
        <v>-0.2209401709401709</v>
      </c>
      <c r="R556" s="36" t="n">
        <v>-0.01867901168111108</v>
      </c>
      <c r="S556" s="36" t="n">
        <v>0.05915503868462602</v>
      </c>
      <c r="T556" s="36" t="n">
        <v>-0.01861737921134088</v>
      </c>
      <c r="U556" s="31" t="n">
        <v>47150</v>
      </c>
      <c r="V556" s="31" t="n">
        <v>15050</v>
      </c>
      <c r="W556" s="36" t="n">
        <v>-0.6133616118769883</v>
      </c>
      <c r="X556" s="36" t="n">
        <v>0.211295681063123</v>
      </c>
      <c r="Y556" s="31" t="n">
        <v>20476584</v>
      </c>
      <c r="Z556" s="31" t="n">
        <v>373288126320</v>
      </c>
      <c r="AA556" s="31" t="n">
        <v>1393227750</v>
      </c>
      <c r="AB556" s="31" t="n">
        <v>2987790412</v>
      </c>
      <c r="AC556" s="36" t="n">
        <v>0.003732311991101641</v>
      </c>
      <c r="AD556" s="29" t="inlineStr">
        <is>
          <t>yfinance_download</t>
        </is>
      </c>
      <c r="AE556" s="29" t="inlineStr">
        <is>
          <t>317330.KQ</t>
        </is>
      </c>
    </row>
    <row r="557" ht="24" customHeight="1">
      <c r="A557" s="24" t="inlineStr">
        <is>
          <t>2025-09-17</t>
        </is>
      </c>
      <c r="B557" s="30" t="n">
        <v>18240</v>
      </c>
      <c r="C557" s="30" t="n">
        <v>18520</v>
      </c>
      <c r="D557" s="30" t="n">
        <v>18150</v>
      </c>
      <c r="E557" s="30" t="n">
        <v>18200</v>
      </c>
      <c r="F557" s="30" t="n">
        <v>18200</v>
      </c>
      <c r="G557" s="30" t="n">
        <v>96244</v>
      </c>
      <c r="H557" s="35" t="n">
        <v>-0.001645639056500281</v>
      </c>
      <c r="I557" s="35" t="n">
        <v>-0.7035830618892508</v>
      </c>
      <c r="J557" s="30" t="n">
        <v>18605</v>
      </c>
      <c r="K557" s="30" t="n">
        <v>17241.66666666667</v>
      </c>
      <c r="L557" s="30" t="n">
        <v>18543.33333333333</v>
      </c>
      <c r="M557" s="35" t="n">
        <v>0.4346447331643595</v>
      </c>
      <c r="N557" s="35" t="n">
        <v>0.5506291342473493</v>
      </c>
      <c r="O557" s="35" t="n">
        <v>0.03174603174603186</v>
      </c>
      <c r="P557" s="35" t="n">
        <v>0.1090798293723338</v>
      </c>
      <c r="Q557" s="35" t="n">
        <v>-0.1764705882352942</v>
      </c>
      <c r="R557" s="35" t="n">
        <v>-0.02176834184359044</v>
      </c>
      <c r="S557" s="35" t="n">
        <v>0.05558240695988403</v>
      </c>
      <c r="T557" s="35" t="n">
        <v>-0.01851518964587451</v>
      </c>
      <c r="U557" s="30" t="n">
        <v>47150</v>
      </c>
      <c r="V557" s="30" t="n">
        <v>15050</v>
      </c>
      <c r="W557" s="35" t="n">
        <v>-0.6139978791092259</v>
      </c>
      <c r="X557" s="35" t="n">
        <v>0.2093023255813953</v>
      </c>
      <c r="Y557" s="30" t="n">
        <v>20476584</v>
      </c>
      <c r="Z557" s="30" t="n">
        <v>372673828800</v>
      </c>
      <c r="AA557" s="30" t="n">
        <v>1751640800</v>
      </c>
      <c r="AB557" s="30" t="n">
        <v>2935509302</v>
      </c>
      <c r="AC557" s="35" t="n">
        <v>0.004700198040845094</v>
      </c>
      <c r="AD557" s="24" t="inlineStr">
        <is>
          <t>yfinance_download</t>
        </is>
      </c>
      <c r="AE557" s="24" t="inlineStr">
        <is>
          <t>317330.KQ</t>
        </is>
      </c>
    </row>
    <row r="558" ht="24" customHeight="1">
      <c r="A558" s="29" t="inlineStr">
        <is>
          <t>2025-09-18</t>
        </is>
      </c>
      <c r="B558" s="31" t="n">
        <v>18210</v>
      </c>
      <c r="C558" s="31" t="n">
        <v>19530</v>
      </c>
      <c r="D558" s="31" t="n">
        <v>18060</v>
      </c>
      <c r="E558" s="31" t="n">
        <v>19410</v>
      </c>
      <c r="F558" s="31" t="n">
        <v>19410</v>
      </c>
      <c r="G558" s="31" t="n">
        <v>319087</v>
      </c>
      <c r="H558" s="36" t="n">
        <v>0.06648351648351647</v>
      </c>
      <c r="I558" s="36" t="n">
        <v>-0.6838762214983714</v>
      </c>
      <c r="J558" s="31" t="n">
        <v>18668</v>
      </c>
      <c r="K558" s="31" t="n">
        <v>17288.16666666667</v>
      </c>
      <c r="L558" s="31" t="n">
        <v>18516.75</v>
      </c>
      <c r="M558" s="36" t="n">
        <v>0.4833306083173354</v>
      </c>
      <c r="N558" s="36" t="n">
        <v>0.5657811030592673</v>
      </c>
      <c r="O558" s="36" t="n">
        <v>0.06942148760330569</v>
      </c>
      <c r="P558" s="36" t="n">
        <v>0.167870036101083</v>
      </c>
      <c r="Q558" s="36" t="n">
        <v>-0.1411504424778761</v>
      </c>
      <c r="R558" s="36" t="n">
        <v>0.03974716091707742</v>
      </c>
      <c r="S558" s="36" t="n">
        <v>0.1227332761330004</v>
      </c>
      <c r="T558" s="36" t="n">
        <v>0.04824010693021186</v>
      </c>
      <c r="U558" s="31" t="n">
        <v>47150</v>
      </c>
      <c r="V558" s="31" t="n">
        <v>15050</v>
      </c>
      <c r="W558" s="36" t="n">
        <v>-0.5883351007423118</v>
      </c>
      <c r="X558" s="36" t="n">
        <v>0.2897009966777409</v>
      </c>
      <c r="Y558" s="31" t="n">
        <v>20476584</v>
      </c>
      <c r="Z558" s="31" t="n">
        <v>397450495440</v>
      </c>
      <c r="AA558" s="31" t="n">
        <v>6193478670</v>
      </c>
      <c r="AB558" s="31" t="n">
        <v>3125164545.5</v>
      </c>
      <c r="AC558" s="36" t="n">
        <v>0.01558301912076741</v>
      </c>
      <c r="AD558" s="29" t="inlineStr">
        <is>
          <t>yfinance_download</t>
        </is>
      </c>
      <c r="AE558" s="29" t="inlineStr">
        <is>
          <t>317330.KQ</t>
        </is>
      </c>
    </row>
    <row r="559" ht="24" customHeight="1">
      <c r="A559" s="24" t="inlineStr">
        <is>
          <t>2025-09-19</t>
        </is>
      </c>
      <c r="B559" s="30" t="n">
        <v>19200</v>
      </c>
      <c r="C559" s="30" t="n">
        <v>19290</v>
      </c>
      <c r="D559" s="30" t="n">
        <v>18380</v>
      </c>
      <c r="E559" s="30" t="n">
        <v>18460</v>
      </c>
      <c r="F559" s="30" t="n">
        <v>18460</v>
      </c>
      <c r="G559" s="30" t="n">
        <v>180289</v>
      </c>
      <c r="H559" s="35" t="n">
        <v>-0.04894384337970115</v>
      </c>
      <c r="I559" s="35" t="n">
        <v>-0.6993485342019544</v>
      </c>
      <c r="J559" s="30" t="n">
        <v>18680</v>
      </c>
      <c r="K559" s="30" t="n">
        <v>17324.83333333333</v>
      </c>
      <c r="L559" s="30" t="n">
        <v>18491</v>
      </c>
      <c r="M559" s="35" t="n">
        <v>0.5183127757983342</v>
      </c>
      <c r="N559" s="35" t="n">
        <v>0.5736108009224165</v>
      </c>
      <c r="O559" s="35" t="n">
        <v>0.01317233809001106</v>
      </c>
      <c r="P559" s="35" t="n">
        <v>0.1353013530135301</v>
      </c>
      <c r="Q559" s="35" t="n">
        <v>-0.1433874709976798</v>
      </c>
      <c r="R559" s="35" t="n">
        <v>-0.01177730192719484</v>
      </c>
      <c r="S559" s="35" t="n">
        <v>0.06552251584911839</v>
      </c>
      <c r="T559" s="35" t="n">
        <v>-0.001676491266021318</v>
      </c>
      <c r="U559" s="30" t="n">
        <v>47150</v>
      </c>
      <c r="V559" s="30" t="n">
        <v>15050</v>
      </c>
      <c r="W559" s="35" t="n">
        <v>-0.6084835630965005</v>
      </c>
      <c r="X559" s="35" t="n">
        <v>0.2265780730897009</v>
      </c>
      <c r="Y559" s="30" t="n">
        <v>20476584</v>
      </c>
      <c r="Z559" s="30" t="n">
        <v>377997740640</v>
      </c>
      <c r="AA559" s="30" t="n">
        <v>3328134940</v>
      </c>
      <c r="AB559" s="30" t="n">
        <v>3173441011.5</v>
      </c>
      <c r="AC559" s="35" t="n">
        <v>0.008804642414965308</v>
      </c>
      <c r="AD559" s="24" t="inlineStr">
        <is>
          <t>yfinance_download</t>
        </is>
      </c>
      <c r="AE559" s="24" t="inlineStr">
        <is>
          <t>317330.KQ</t>
        </is>
      </c>
    </row>
    <row r="560" ht="24" customHeight="1">
      <c r="A560" s="29" t="inlineStr">
        <is>
          <t>2025-09-22</t>
        </is>
      </c>
      <c r="B560" s="31" t="n">
        <v>18460</v>
      </c>
      <c r="C560" s="31" t="n">
        <v>18690</v>
      </c>
      <c r="D560" s="31" t="n">
        <v>18100</v>
      </c>
      <c r="E560" s="31" t="n">
        <v>18120</v>
      </c>
      <c r="F560" s="31" t="n">
        <v>18120</v>
      </c>
      <c r="G560" s="31" t="n">
        <v>129410</v>
      </c>
      <c r="H560" s="36" t="n">
        <v>-0.01841820151679308</v>
      </c>
      <c r="I560" s="36" t="n">
        <v>-0.704885993485342</v>
      </c>
      <c r="J560" s="31" t="n">
        <v>18599.5</v>
      </c>
      <c r="K560" s="31" t="n">
        <v>17366.5</v>
      </c>
      <c r="L560" s="31" t="n">
        <v>18462.41666666667</v>
      </c>
      <c r="M560" s="36" t="n">
        <v>0.4223111114976524</v>
      </c>
      <c r="N560" s="36" t="n">
        <v>0.568628481285498</v>
      </c>
      <c r="O560" s="36" t="n">
        <v>-0.0816016218955905</v>
      </c>
      <c r="P560" s="36" t="n">
        <v>0.1600512163892445</v>
      </c>
      <c r="Q560" s="36" t="n">
        <v>-0.1591647331786543</v>
      </c>
      <c r="R560" s="36" t="n">
        <v>-0.02578026291029334</v>
      </c>
      <c r="S560" s="36" t="n">
        <v>0.04338813232372662</v>
      </c>
      <c r="T560" s="36" t="n">
        <v>-0.01854668718883867</v>
      </c>
      <c r="U560" s="31" t="n">
        <v>47150</v>
      </c>
      <c r="V560" s="31" t="n">
        <v>15050</v>
      </c>
      <c r="W560" s="36" t="n">
        <v>-0.6156945917285259</v>
      </c>
      <c r="X560" s="36" t="n">
        <v>0.2039867109634552</v>
      </c>
      <c r="Y560" s="31" t="n">
        <v>20476584</v>
      </c>
      <c r="Z560" s="31" t="n">
        <v>371035702080</v>
      </c>
      <c r="AA560" s="31" t="n">
        <v>2344909200</v>
      </c>
      <c r="AB560" s="31" t="n">
        <v>2869270442</v>
      </c>
      <c r="AC560" s="36" t="n">
        <v>0.006319901796119899</v>
      </c>
      <c r="AD560" s="29" t="inlineStr">
        <is>
          <t>yfinance_download</t>
        </is>
      </c>
      <c r="AE560" s="29" t="inlineStr">
        <is>
          <t>317330.KQ</t>
        </is>
      </c>
    </row>
    <row r="561" ht="24" customHeight="1">
      <c r="A561" s="24" t="inlineStr">
        <is>
          <t>2025-09-23</t>
        </is>
      </c>
      <c r="B561" s="30" t="n">
        <v>18220</v>
      </c>
      <c r="C561" s="30" t="n">
        <v>18220</v>
      </c>
      <c r="D561" s="30" t="n">
        <v>17690</v>
      </c>
      <c r="E561" s="30" t="n">
        <v>17840</v>
      </c>
      <c r="F561" s="30" t="n">
        <v>17840</v>
      </c>
      <c r="G561" s="30" t="n">
        <v>126120</v>
      </c>
      <c r="H561" s="35" t="n">
        <v>-0.01545253863134655</v>
      </c>
      <c r="I561" s="35" t="n">
        <v>-0.7094462540716613</v>
      </c>
      <c r="J561" s="30" t="n">
        <v>18479</v>
      </c>
      <c r="K561" s="30" t="n">
        <v>17409</v>
      </c>
      <c r="L561" s="30" t="n">
        <v>18447.16666666667</v>
      </c>
      <c r="M561" s="35" t="n">
        <v>0.4084169753305458</v>
      </c>
      <c r="N561" s="35" t="n">
        <v>0.5677142048931304</v>
      </c>
      <c r="O561" s="35" t="n">
        <v>-0.1190123456790123</v>
      </c>
      <c r="P561" s="35" t="n">
        <v>0.1667756703727927</v>
      </c>
      <c r="Q561" s="35" t="n">
        <v>-0.09303507880020334</v>
      </c>
      <c r="R561" s="35" t="n">
        <v>-0.03457979327885707</v>
      </c>
      <c r="S561" s="35" t="n">
        <v>0.0247573094376472</v>
      </c>
      <c r="T561" s="35" t="n">
        <v>-0.03291381693665696</v>
      </c>
      <c r="U561" s="30" t="n">
        <v>47150</v>
      </c>
      <c r="V561" s="30" t="n">
        <v>15050</v>
      </c>
      <c r="W561" s="35" t="n">
        <v>-0.6216330858960764</v>
      </c>
      <c r="X561" s="35" t="n">
        <v>0.1853820598006644</v>
      </c>
      <c r="Y561" s="30" t="n">
        <v>20476584</v>
      </c>
      <c r="Z561" s="30" t="n">
        <v>365302258560</v>
      </c>
      <c r="AA561" s="30" t="n">
        <v>2249980800</v>
      </c>
      <c r="AB561" s="30" t="n">
        <v>2726124369.5</v>
      </c>
      <c r="AC561" s="35" t="n">
        <v>0.006159230465394032</v>
      </c>
      <c r="AD561" s="24" t="inlineStr">
        <is>
          <t>yfinance_download</t>
        </is>
      </c>
      <c r="AE561" s="24" t="inlineStr">
        <is>
          <t>317330.KQ</t>
        </is>
      </c>
    </row>
    <row r="562" ht="24" customHeight="1">
      <c r="A562" s="29" t="inlineStr">
        <is>
          <t>2025-09-24</t>
        </is>
      </c>
      <c r="B562" s="31" t="n">
        <v>17960</v>
      </c>
      <c r="C562" s="31" t="n">
        <v>17980</v>
      </c>
      <c r="D562" s="31" t="n">
        <v>17160</v>
      </c>
      <c r="E562" s="31" t="n">
        <v>17360</v>
      </c>
      <c r="F562" s="31" t="n">
        <v>17360</v>
      </c>
      <c r="G562" s="31" t="n">
        <v>110126</v>
      </c>
      <c r="H562" s="36" t="n">
        <v>-0.02690582959641252</v>
      </c>
      <c r="I562" s="36" t="n">
        <v>-0.7172638436482084</v>
      </c>
      <c r="J562" s="31" t="n">
        <v>18322</v>
      </c>
      <c r="K562" s="31" t="n">
        <v>17444.16666666667</v>
      </c>
      <c r="L562" s="31" t="n">
        <v>18421</v>
      </c>
      <c r="M562" s="36" t="n">
        <v>0.4087961579839804</v>
      </c>
      <c r="N562" s="36" t="n">
        <v>0.570948707438003</v>
      </c>
      <c r="O562" s="36" t="n">
        <v>-0.1531707317073171</v>
      </c>
      <c r="P562" s="36" t="n">
        <v>0.1383606557377048</v>
      </c>
      <c r="Q562" s="36" t="n">
        <v>-0.1531707317073171</v>
      </c>
      <c r="R562" s="36" t="n">
        <v>-0.05250518502346901</v>
      </c>
      <c r="S562" s="36" t="n">
        <v>-0.004824917594229317</v>
      </c>
      <c r="T562" s="36" t="n">
        <v>-0.05759730742087832</v>
      </c>
      <c r="U562" s="31" t="n">
        <v>47150</v>
      </c>
      <c r="V562" s="31" t="n">
        <v>15050</v>
      </c>
      <c r="W562" s="36" t="n">
        <v>-0.6318133616118771</v>
      </c>
      <c r="X562" s="36" t="n">
        <v>0.1534883720930234</v>
      </c>
      <c r="Y562" s="31" t="n">
        <v>20476584</v>
      </c>
      <c r="Z562" s="31" t="n">
        <v>355473498240</v>
      </c>
      <c r="AA562" s="31" t="n">
        <v>1911787360</v>
      </c>
      <c r="AB562" s="31" t="n">
        <v>2679351487.5</v>
      </c>
      <c r="AC562" s="36" t="n">
        <v>0.005378143151220927</v>
      </c>
      <c r="AD562" s="29" t="inlineStr">
        <is>
          <t>yfinance_download</t>
        </is>
      </c>
      <c r="AE562" s="29" t="inlineStr">
        <is>
          <t>317330.KQ</t>
        </is>
      </c>
    </row>
    <row r="563" ht="24" customHeight="1">
      <c r="A563" s="24" t="inlineStr">
        <is>
          <t>2025-09-25</t>
        </is>
      </c>
      <c r="B563" s="30" t="n">
        <v>17310</v>
      </c>
      <c r="C563" s="30" t="n">
        <v>17490</v>
      </c>
      <c r="D563" s="30" t="n">
        <v>17200</v>
      </c>
      <c r="E563" s="30" t="n">
        <v>17290</v>
      </c>
      <c r="F563" s="30" t="n">
        <v>17290</v>
      </c>
      <c r="G563" s="30" t="n">
        <v>70760</v>
      </c>
      <c r="H563" s="35" t="n">
        <v>-0.004032258064516125</v>
      </c>
      <c r="I563" s="35" t="n">
        <v>-0.7184039087947882</v>
      </c>
      <c r="J563" s="30" t="n">
        <v>18224.5</v>
      </c>
      <c r="K563" s="30" t="n">
        <v>17481.5</v>
      </c>
      <c r="L563" s="30" t="n">
        <v>18396.75</v>
      </c>
      <c r="M563" s="35" t="n">
        <v>0.3566090120667857</v>
      </c>
      <c r="N563" s="35" t="n">
        <v>0.5701711646521458</v>
      </c>
      <c r="O563" s="35" t="n">
        <v>-0.1013513513513513</v>
      </c>
      <c r="P563" s="35" t="n">
        <v>0.1488372093023256</v>
      </c>
      <c r="Q563" s="35" t="n">
        <v>-0.1440594059405941</v>
      </c>
      <c r="R563" s="35" t="n">
        <v>-0.05127712694449782</v>
      </c>
      <c r="S563" s="35" t="n">
        <v>-0.01095443754826531</v>
      </c>
      <c r="T563" s="35" t="n">
        <v>-0.06016008262328942</v>
      </c>
      <c r="U563" s="30" t="n">
        <v>47150</v>
      </c>
      <c r="V563" s="30" t="n">
        <v>15050</v>
      </c>
      <c r="W563" s="35" t="n">
        <v>-0.6332979851537646</v>
      </c>
      <c r="X563" s="35" t="n">
        <v>0.1488372093023256</v>
      </c>
      <c r="Y563" s="30" t="n">
        <v>20476584</v>
      </c>
      <c r="Z563" s="30" t="n">
        <v>354040137360</v>
      </c>
      <c r="AA563" s="30" t="n">
        <v>1223440400</v>
      </c>
      <c r="AB563" s="30" t="n">
        <v>2573022953.5</v>
      </c>
      <c r="AC563" s="35" t="n">
        <v>0.003455654517374578</v>
      </c>
      <c r="AD563" s="24" t="inlineStr">
        <is>
          <t>yfinance_download</t>
        </is>
      </c>
      <c r="AE563" s="24" t="inlineStr">
        <is>
          <t>317330.KQ</t>
        </is>
      </c>
    </row>
    <row r="564" ht="24" customHeight="1">
      <c r="A564" s="29" t="inlineStr">
        <is>
          <t>2025-09-26</t>
        </is>
      </c>
      <c r="B564" s="31" t="n">
        <v>17180</v>
      </c>
      <c r="C564" s="31" t="n">
        <v>17300</v>
      </c>
      <c r="D564" s="31" t="n">
        <v>16350</v>
      </c>
      <c r="E564" s="31" t="n">
        <v>16480</v>
      </c>
      <c r="F564" s="31" t="n">
        <v>16480</v>
      </c>
      <c r="G564" s="31" t="n">
        <v>144747</v>
      </c>
      <c r="H564" s="36" t="n">
        <v>-0.04684788895315206</v>
      </c>
      <c r="I564" s="36" t="n">
        <v>-0.7315960912052117</v>
      </c>
      <c r="J564" s="31" t="n">
        <v>18114</v>
      </c>
      <c r="K564" s="31" t="n">
        <v>17483.33333333333</v>
      </c>
      <c r="L564" s="31" t="n">
        <v>18357.83333333333</v>
      </c>
      <c r="M564" s="36" t="n">
        <v>0.3778263654519172</v>
      </c>
      <c r="N564" s="36" t="n">
        <v>0.5510906253951553</v>
      </c>
      <c r="O564" s="36" t="n">
        <v>-0.1182450508293205</v>
      </c>
      <c r="P564" s="36" t="n">
        <v>0.006719609040928498</v>
      </c>
      <c r="Q564" s="36" t="n">
        <v>-0.2208037825059102</v>
      </c>
      <c r="R564" s="36" t="n">
        <v>-0.09020647013359828</v>
      </c>
      <c r="S564" s="36" t="n">
        <v>-0.05738798856053373</v>
      </c>
      <c r="T564" s="36" t="n">
        <v>-0.1022905753220695</v>
      </c>
      <c r="U564" s="31" t="n">
        <v>47150</v>
      </c>
      <c r="V564" s="31" t="n">
        <v>15050</v>
      </c>
      <c r="W564" s="36" t="n">
        <v>-0.6504772004241781</v>
      </c>
      <c r="X564" s="36" t="n">
        <v>0.09501661129568095</v>
      </c>
      <c r="Y564" s="31" t="n">
        <v>20476584</v>
      </c>
      <c r="Z564" s="31" t="n">
        <v>337454104320</v>
      </c>
      <c r="AA564" s="31" t="n">
        <v>2385430560</v>
      </c>
      <c r="AB564" s="31" t="n">
        <v>2539993409.5</v>
      </c>
      <c r="AC564" s="36" t="n">
        <v>0.00706890368041857</v>
      </c>
      <c r="AD564" s="29" t="inlineStr">
        <is>
          <t>yfinance_download</t>
        </is>
      </c>
      <c r="AE564" s="29" t="inlineStr">
        <is>
          <t>317330.KQ</t>
        </is>
      </c>
    </row>
    <row r="565" ht="24" customHeight="1">
      <c r="A565" s="24" t="inlineStr">
        <is>
          <t>2025-09-29</t>
        </is>
      </c>
      <c r="B565" s="30" t="n">
        <v>16640</v>
      </c>
      <c r="C565" s="30" t="n">
        <v>16850</v>
      </c>
      <c r="D565" s="30" t="n">
        <v>16610</v>
      </c>
      <c r="E565" s="30" t="n">
        <v>16800</v>
      </c>
      <c r="F565" s="30" t="n">
        <v>16800</v>
      </c>
      <c r="G565" s="30" t="n">
        <v>51858</v>
      </c>
      <c r="H565" s="35" t="n">
        <v>0.01941747572815533</v>
      </c>
      <c r="I565" s="35" t="n">
        <v>-0.7263843648208469</v>
      </c>
      <c r="J565" s="30" t="n">
        <v>18033.5</v>
      </c>
      <c r="K565" s="30" t="n">
        <v>17491.83333333333</v>
      </c>
      <c r="L565" s="30" t="n">
        <v>18321.58333333333</v>
      </c>
      <c r="M565" s="35" t="n">
        <v>0.3866156552821153</v>
      </c>
      <c r="N565" s="35" t="n">
        <v>0.5522887079662346</v>
      </c>
      <c r="O565" s="35" t="n">
        <v>-0.0874524714828897</v>
      </c>
      <c r="P565" s="35" t="n">
        <v>0.03130755064456725</v>
      </c>
      <c r="Q565" s="35" t="n">
        <v>-0.2056737588652482</v>
      </c>
      <c r="R565" s="35" t="n">
        <v>-0.0684004768902321</v>
      </c>
      <c r="S565" s="35" t="n">
        <v>-0.03955179083572324</v>
      </c>
      <c r="T565" s="35" t="n">
        <v>-0.08304868120022368</v>
      </c>
      <c r="U565" s="30" t="n">
        <v>47150</v>
      </c>
      <c r="V565" s="30" t="n">
        <v>15050</v>
      </c>
      <c r="W565" s="35" t="n">
        <v>-0.6436903499469777</v>
      </c>
      <c r="X565" s="35" t="n">
        <v>0.1162790697674418</v>
      </c>
      <c r="Y565" s="30" t="n">
        <v>20476584</v>
      </c>
      <c r="Z565" s="30" t="n">
        <v>344006611200</v>
      </c>
      <c r="AA565" s="30" t="n">
        <v>871214400</v>
      </c>
      <c r="AB565" s="30" t="n">
        <v>2451834261.5</v>
      </c>
      <c r="AC565" s="35" t="n">
        <v>0.00253255132789727</v>
      </c>
      <c r="AD565" s="24" t="inlineStr">
        <is>
          <t>yfinance_download</t>
        </is>
      </c>
      <c r="AE565" s="24" t="inlineStr">
        <is>
          <t>317330.KQ</t>
        </is>
      </c>
    </row>
    <row r="566" ht="24" customHeight="1">
      <c r="A566" s="29" t="inlineStr">
        <is>
          <t>2025-09-30</t>
        </is>
      </c>
      <c r="B566" s="31" t="n">
        <v>16900</v>
      </c>
      <c r="C566" s="31" t="n">
        <v>17100</v>
      </c>
      <c r="D566" s="31" t="n">
        <v>16560</v>
      </c>
      <c r="E566" s="31" t="n">
        <v>16580</v>
      </c>
      <c r="F566" s="31" t="n">
        <v>16580</v>
      </c>
      <c r="G566" s="31" t="n">
        <v>52489</v>
      </c>
      <c r="H566" s="36" t="n">
        <v>-0.01309523809523805</v>
      </c>
      <c r="I566" s="36" t="n">
        <v>-0.7299674267100977</v>
      </c>
      <c r="J566" s="31" t="n">
        <v>17942</v>
      </c>
      <c r="K566" s="31" t="n">
        <v>17501.5</v>
      </c>
      <c r="L566" s="31" t="n">
        <v>18295.91666666667</v>
      </c>
      <c r="M566" s="36" t="n">
        <v>0.3874839206064296</v>
      </c>
      <c r="N566" s="36" t="n">
        <v>0.5516845047817576</v>
      </c>
      <c r="O566" s="36" t="n">
        <v>-0.09940249864204231</v>
      </c>
      <c r="P566" s="36" t="n">
        <v>0.03624999999999989</v>
      </c>
      <c r="Q566" s="36" t="n">
        <v>-0.1566632756866735</v>
      </c>
      <c r="R566" s="36" t="n">
        <v>-0.07591126964663919</v>
      </c>
      <c r="S566" s="36" t="n">
        <v>-0.05265262977459073</v>
      </c>
      <c r="T566" s="36" t="n">
        <v>-0.09378686501086309</v>
      </c>
      <c r="U566" s="31" t="n">
        <v>47150</v>
      </c>
      <c r="V566" s="31" t="n">
        <v>15050</v>
      </c>
      <c r="W566" s="36" t="n">
        <v>-0.6483563096500531</v>
      </c>
      <c r="X566" s="36" t="n">
        <v>0.1016611295681062</v>
      </c>
      <c r="Y566" s="31" t="n">
        <v>20476584</v>
      </c>
      <c r="Z566" s="31" t="n">
        <v>339501762720</v>
      </c>
      <c r="AA566" s="31" t="n">
        <v>870267620</v>
      </c>
      <c r="AB566" s="31" t="n">
        <v>2422023374</v>
      </c>
      <c r="AC566" s="36" t="n">
        <v>0.002563367014732535</v>
      </c>
      <c r="AD566" s="29" t="inlineStr">
        <is>
          <t>yfinance_download</t>
        </is>
      </c>
      <c r="AE566" s="29" t="inlineStr">
        <is>
          <t>317330.KQ</t>
        </is>
      </c>
    </row>
    <row r="567" ht="24" customHeight="1">
      <c r="A567" s="24" t="inlineStr">
        <is>
          <t>2025-10-01</t>
        </is>
      </c>
      <c r="B567" s="30" t="n">
        <v>16610</v>
      </c>
      <c r="C567" s="30" t="n">
        <v>16900</v>
      </c>
      <c r="D567" s="30" t="n">
        <v>16510</v>
      </c>
      <c r="E567" s="30" t="n">
        <v>16610</v>
      </c>
      <c r="F567" s="30" t="n">
        <v>16610</v>
      </c>
      <c r="G567" s="30" t="n">
        <v>36253</v>
      </c>
      <c r="H567" s="35" t="n">
        <v>0.001809408926417344</v>
      </c>
      <c r="I567" s="35" t="n">
        <v>-0.7294788273615636</v>
      </c>
      <c r="J567" s="30" t="n">
        <v>17855</v>
      </c>
      <c r="K567" s="30" t="n">
        <v>17514.83333333333</v>
      </c>
      <c r="L567" s="30" t="n">
        <v>18276.83333333333</v>
      </c>
      <c r="M567" s="35" t="n">
        <v>0.3881925916590527</v>
      </c>
      <c r="N567" s="35" t="n">
        <v>0.5510138960491082</v>
      </c>
      <c r="O567" s="35" t="n">
        <v>-0.0948228882833787</v>
      </c>
      <c r="P567" s="35" t="n">
        <v>0.05060088551549646</v>
      </c>
      <c r="Q567" s="35" t="n">
        <v>-0.1211640211640211</v>
      </c>
      <c r="R567" s="35" t="n">
        <v>-0.0697283674040885</v>
      </c>
      <c r="S567" s="35" t="n">
        <v>-0.05166097307996076</v>
      </c>
      <c r="T567" s="35" t="n">
        <v>-0.09119924129818247</v>
      </c>
      <c r="U567" s="30" t="n">
        <v>47150</v>
      </c>
      <c r="V567" s="30" t="n">
        <v>15050</v>
      </c>
      <c r="W567" s="35" t="n">
        <v>-0.6477200424178156</v>
      </c>
      <c r="X567" s="35" t="n">
        <v>0.103654485049834</v>
      </c>
      <c r="Y567" s="30" t="n">
        <v>20476584</v>
      </c>
      <c r="Z567" s="30" t="n">
        <v>340116060240</v>
      </c>
      <c r="AA567" s="30" t="n">
        <v>602162330</v>
      </c>
      <c r="AB567" s="30" t="n">
        <v>2394894170.5</v>
      </c>
      <c r="AC567" s="35" t="n">
        <v>0.001770461323040992</v>
      </c>
      <c r="AD567" s="24" t="inlineStr">
        <is>
          <t>yfinance_download</t>
        </is>
      </c>
      <c r="AE567" s="24" t="inlineStr">
        <is>
          <t>317330.KQ</t>
        </is>
      </c>
    </row>
    <row r="568" ht="24" customHeight="1">
      <c r="A568" s="29" t="inlineStr">
        <is>
          <t>2025-10-02</t>
        </is>
      </c>
      <c r="B568" s="31" t="n">
        <v>16720</v>
      </c>
      <c r="C568" s="31" t="n">
        <v>17280</v>
      </c>
      <c r="D568" s="31" t="n">
        <v>16720</v>
      </c>
      <c r="E568" s="31" t="n">
        <v>16750</v>
      </c>
      <c r="F568" s="31" t="n">
        <v>16750</v>
      </c>
      <c r="G568" s="31" t="n">
        <v>71812</v>
      </c>
      <c r="H568" s="36" t="n">
        <v>0.008428657435279874</v>
      </c>
      <c r="I568" s="36" t="n">
        <v>-0.7271986970684039</v>
      </c>
      <c r="J568" s="31" t="n">
        <v>17780</v>
      </c>
      <c r="K568" s="31" t="n">
        <v>17533</v>
      </c>
      <c r="L568" s="31" t="n">
        <v>18270.66666666667</v>
      </c>
      <c r="M568" s="36" t="n">
        <v>0.3909468777417288</v>
      </c>
      <c r="N568" s="36" t="n">
        <v>0.5507241285014548</v>
      </c>
      <c r="O568" s="36" t="n">
        <v>-0.0821917808219178</v>
      </c>
      <c r="P568" s="36" t="n">
        <v>0.06960408684546615</v>
      </c>
      <c r="Q568" s="36" t="n">
        <v>-0.0423098913664951</v>
      </c>
      <c r="R568" s="36" t="n">
        <v>-0.05793025871766033</v>
      </c>
      <c r="S568" s="36" t="n">
        <v>-0.04465864370045058</v>
      </c>
      <c r="T568" s="36" t="n">
        <v>-0.08322994964606301</v>
      </c>
      <c r="U568" s="31" t="n">
        <v>47150</v>
      </c>
      <c r="V568" s="31" t="n">
        <v>15050</v>
      </c>
      <c r="W568" s="36" t="n">
        <v>-0.6447507953340403</v>
      </c>
      <c r="X568" s="36" t="n">
        <v>0.1129568106312293</v>
      </c>
      <c r="Y568" s="31" t="n">
        <v>20476584</v>
      </c>
      <c r="Z568" s="31" t="n">
        <v>342982782000</v>
      </c>
      <c r="AA568" s="31" t="n">
        <v>1202851000</v>
      </c>
      <c r="AB568" s="31" t="n">
        <v>2357401958</v>
      </c>
      <c r="AC568" s="36" t="n">
        <v>0.003507030274190266</v>
      </c>
      <c r="AD568" s="29" t="inlineStr">
        <is>
          <t>yfinance_download</t>
        </is>
      </c>
      <c r="AE568" s="29" t="inlineStr">
        <is>
          <t>317330.KQ</t>
        </is>
      </c>
    </row>
    <row r="569" ht="24" customHeight="1">
      <c r="A569" s="24" t="inlineStr">
        <is>
          <t>2025-10-10</t>
        </is>
      </c>
      <c r="B569" s="30" t="n">
        <v>17070</v>
      </c>
      <c r="C569" s="30" t="n">
        <v>17070</v>
      </c>
      <c r="D569" s="30" t="n">
        <v>16630</v>
      </c>
      <c r="E569" s="30" t="n">
        <v>16850</v>
      </c>
      <c r="F569" s="30" t="n">
        <v>16850</v>
      </c>
      <c r="G569" s="30" t="n">
        <v>70549</v>
      </c>
      <c r="H569" s="35" t="n">
        <v>0.005970149253731405</v>
      </c>
      <c r="I569" s="35" t="n">
        <v>-0.7255700325732899</v>
      </c>
      <c r="J569" s="30" t="n">
        <v>17710</v>
      </c>
      <c r="K569" s="30" t="n">
        <v>17549.5</v>
      </c>
      <c r="L569" s="30" t="n">
        <v>18238.58333333333</v>
      </c>
      <c r="M569" s="35" t="n">
        <v>0.3923275120930996</v>
      </c>
      <c r="N569" s="35" t="n">
        <v>0.5503166758492234</v>
      </c>
      <c r="O569" s="35" t="n">
        <v>-0.07671232876712331</v>
      </c>
      <c r="P569" s="35" t="n">
        <v>0.06242118537200514</v>
      </c>
      <c r="Q569" s="35" t="n">
        <v>-0.1859903381642513</v>
      </c>
      <c r="R569" s="35" t="n">
        <v>-0.04856013551665728</v>
      </c>
      <c r="S569" s="35" t="n">
        <v>-0.03985868543263338</v>
      </c>
      <c r="T569" s="35" t="n">
        <v>-0.07613438543746542</v>
      </c>
      <c r="U569" s="30" t="n">
        <v>47150</v>
      </c>
      <c r="V569" s="30" t="n">
        <v>15050</v>
      </c>
      <c r="W569" s="35" t="n">
        <v>-0.6426299045599151</v>
      </c>
      <c r="X569" s="35" t="n">
        <v>0.1196013289036544</v>
      </c>
      <c r="Y569" s="30" t="n">
        <v>20476584</v>
      </c>
      <c r="Z569" s="30" t="n">
        <v>345030440400</v>
      </c>
      <c r="AA569" s="30" t="n">
        <v>1188750650</v>
      </c>
      <c r="AB569" s="30" t="n">
        <v>2343999178</v>
      </c>
      <c r="AC569" s="35" t="n">
        <v>0.003445350064248998</v>
      </c>
      <c r="AD569" s="24" t="inlineStr">
        <is>
          <t>yfinance_download</t>
        </is>
      </c>
      <c r="AE569" s="24" t="inlineStr">
        <is>
          <t>317330.KQ</t>
        </is>
      </c>
    </row>
    <row r="570" ht="24" customHeight="1">
      <c r="A570" s="29" t="inlineStr">
        <is>
          <t>2025-10-13</t>
        </is>
      </c>
      <c r="B570" s="31" t="n">
        <v>16490</v>
      </c>
      <c r="C570" s="31" t="n">
        <v>17310</v>
      </c>
      <c r="D570" s="31" t="n">
        <v>16200</v>
      </c>
      <c r="E570" s="31" t="n">
        <v>17230</v>
      </c>
      <c r="F570" s="31" t="n">
        <v>17230</v>
      </c>
      <c r="G570" s="31" t="n">
        <v>91908</v>
      </c>
      <c r="H570" s="36" t="n">
        <v>0.02255192878338286</v>
      </c>
      <c r="I570" s="36" t="n">
        <v>-0.7193811074918567</v>
      </c>
      <c r="J570" s="31" t="n">
        <v>17662</v>
      </c>
      <c r="K570" s="31" t="n">
        <v>17567.16666666667</v>
      </c>
      <c r="L570" s="31" t="n">
        <v>18201.33333333333</v>
      </c>
      <c r="M570" s="36" t="n">
        <v>0.4032522657472239</v>
      </c>
      <c r="N570" s="36" t="n">
        <v>0.5507698229608804</v>
      </c>
      <c r="O570" s="36" t="n">
        <v>-0.05277625068719072</v>
      </c>
      <c r="P570" s="36" t="n">
        <v>0.06555349412492273</v>
      </c>
      <c r="Q570" s="36" t="n">
        <v>-0.2059907834101382</v>
      </c>
      <c r="R570" s="36" t="n">
        <v>-0.02445929113350698</v>
      </c>
      <c r="S570" s="36" t="n">
        <v>-0.0191930020967146</v>
      </c>
      <c r="T570" s="36" t="n">
        <v>-0.05336605376895465</v>
      </c>
      <c r="U570" s="31" t="n">
        <v>47150</v>
      </c>
      <c r="V570" s="31" t="n">
        <v>15050</v>
      </c>
      <c r="W570" s="36" t="n">
        <v>-0.6345705196182396</v>
      </c>
      <c r="X570" s="36" t="n">
        <v>0.1448504983388705</v>
      </c>
      <c r="Y570" s="31" t="n">
        <v>20476584</v>
      </c>
      <c r="Z570" s="31" t="n">
        <v>352811542320</v>
      </c>
      <c r="AA570" s="31" t="n">
        <v>1583574840</v>
      </c>
      <c r="AB570" s="31" t="n">
        <v>2344156922</v>
      </c>
      <c r="AC570" s="36" t="n">
        <v>0.004488443970927963</v>
      </c>
      <c r="AD570" s="29" t="inlineStr">
        <is>
          <t>yfinance_download</t>
        </is>
      </c>
      <c r="AE570" s="29" t="inlineStr">
        <is>
          <t>317330.KQ</t>
        </is>
      </c>
    </row>
    <row r="571" ht="24" customHeight="1">
      <c r="A571" s="24" t="inlineStr">
        <is>
          <t>2025-10-14</t>
        </is>
      </c>
      <c r="B571" s="30" t="n">
        <v>17250</v>
      </c>
      <c r="C571" s="30" t="n">
        <v>18060</v>
      </c>
      <c r="D571" s="30" t="n">
        <v>16850</v>
      </c>
      <c r="E571" s="30" t="n">
        <v>17600</v>
      </c>
      <c r="F571" s="30" t="n">
        <v>17600</v>
      </c>
      <c r="G571" s="30" t="n">
        <v>179425</v>
      </c>
      <c r="H571" s="35" t="n">
        <v>0.02147417295414966</v>
      </c>
      <c r="I571" s="35" t="n">
        <v>-0.7133550488599348</v>
      </c>
      <c r="J571" s="30" t="n">
        <v>17633.5</v>
      </c>
      <c r="K571" s="30" t="n">
        <v>17595</v>
      </c>
      <c r="L571" s="30" t="n">
        <v>18164.66666666667</v>
      </c>
      <c r="M571" s="35" t="n">
        <v>0.412083822131153</v>
      </c>
      <c r="N571" s="35" t="n">
        <v>0.5511557550691496</v>
      </c>
      <c r="O571" s="35" t="n">
        <v>-0.03137039075399006</v>
      </c>
      <c r="P571" s="35" t="n">
        <v>0.1048336472065285</v>
      </c>
      <c r="Q571" s="35" t="n">
        <v>-0.2</v>
      </c>
      <c r="R571" s="35" t="n">
        <v>-0.001899793007627548</v>
      </c>
      <c r="S571" s="35" t="n">
        <v>0.0002841716396704275</v>
      </c>
      <c r="T571" s="35" t="n">
        <v>-0.03108599111828836</v>
      </c>
      <c r="U571" s="30" t="n">
        <v>47150</v>
      </c>
      <c r="V571" s="30" t="n">
        <v>15050</v>
      </c>
      <c r="W571" s="35" t="n">
        <v>-0.6267232237539766</v>
      </c>
      <c r="X571" s="35" t="n">
        <v>0.169435215946844</v>
      </c>
      <c r="Y571" s="30" t="n">
        <v>20476584</v>
      </c>
      <c r="Z571" s="30" t="n">
        <v>360387878400</v>
      </c>
      <c r="AA571" s="30" t="n">
        <v>3157880000</v>
      </c>
      <c r="AB571" s="30" t="n">
        <v>2365392535</v>
      </c>
      <c r="AC571" s="35" t="n">
        <v>0.008762447877048243</v>
      </c>
      <c r="AD571" s="24" t="inlineStr">
        <is>
          <t>yfinance_download</t>
        </is>
      </c>
      <c r="AE571" s="24" t="inlineStr">
        <is>
          <t>317330.KQ</t>
        </is>
      </c>
    </row>
    <row r="572" ht="24" customHeight="1">
      <c r="A572" s="29" t="inlineStr">
        <is>
          <t>2025-10-15</t>
        </is>
      </c>
      <c r="B572" s="31" t="n">
        <v>17680</v>
      </c>
      <c r="C572" s="31" t="n">
        <v>17680</v>
      </c>
      <c r="D572" s="31" t="n">
        <v>17160</v>
      </c>
      <c r="E572" s="31" t="n">
        <v>17350</v>
      </c>
      <c r="F572" s="31" t="n">
        <v>17350</v>
      </c>
      <c r="G572" s="31" t="n">
        <v>71308</v>
      </c>
      <c r="H572" s="36" t="n">
        <v>-0.01420454545454541</v>
      </c>
      <c r="I572" s="36" t="n">
        <v>-0.7174267100977199</v>
      </c>
      <c r="J572" s="31" t="n">
        <v>17585</v>
      </c>
      <c r="K572" s="31" t="n">
        <v>17623.16666666667</v>
      </c>
      <c r="L572" s="31" t="n">
        <v>18117.16666666667</v>
      </c>
      <c r="M572" s="36" t="n">
        <v>0.4129067305035062</v>
      </c>
      <c r="N572" s="36" t="n">
        <v>0.5507760199888092</v>
      </c>
      <c r="O572" s="36" t="n">
        <v>-0.05294759825327511</v>
      </c>
      <c r="P572" s="36" t="n">
        <v>0.107918263090677</v>
      </c>
      <c r="Q572" s="36" t="n">
        <v>-0.2472885032537961</v>
      </c>
      <c r="R572" s="36" t="n">
        <v>-0.0133636622121126</v>
      </c>
      <c r="S572" s="36" t="n">
        <v>-0.01550043030480719</v>
      </c>
      <c r="T572" s="36" t="n">
        <v>-0.0423447374957453</v>
      </c>
      <c r="U572" s="31" t="n">
        <v>47150</v>
      </c>
      <c r="V572" s="31" t="n">
        <v>15050</v>
      </c>
      <c r="W572" s="36" t="n">
        <v>-0.6320254506892895</v>
      </c>
      <c r="X572" s="36" t="n">
        <v>0.1528239202657806</v>
      </c>
      <c r="Y572" s="31" t="n">
        <v>20476584</v>
      </c>
      <c r="Z572" s="31" t="n">
        <v>355268732400</v>
      </c>
      <c r="AA572" s="31" t="n">
        <v>1237193800</v>
      </c>
      <c r="AB572" s="31" t="n">
        <v>2284117149</v>
      </c>
      <c r="AC572" s="36" t="n">
        <v>0.003482416793738643</v>
      </c>
      <c r="AD572" s="29" t="inlineStr">
        <is>
          <t>yfinance_download</t>
        </is>
      </c>
      <c r="AE572" s="29" t="inlineStr">
        <is>
          <t>317330.KQ</t>
        </is>
      </c>
    </row>
    <row r="573" ht="24" customHeight="1">
      <c r="A573" s="24" t="inlineStr">
        <is>
          <t>2025-10-16</t>
        </is>
      </c>
      <c r="B573" s="30" t="n">
        <v>17360</v>
      </c>
      <c r="C573" s="30" t="n">
        <v>18350</v>
      </c>
      <c r="D573" s="30" t="n">
        <v>17310</v>
      </c>
      <c r="E573" s="30" t="n">
        <v>18280</v>
      </c>
      <c r="F573" s="30" t="n">
        <v>18280</v>
      </c>
      <c r="G573" s="30" t="n">
        <v>201493</v>
      </c>
      <c r="H573" s="35" t="n">
        <v>0.05360230547550437</v>
      </c>
      <c r="I573" s="35" t="n">
        <v>-0.7022801302931596</v>
      </c>
      <c r="J573" s="30" t="n">
        <v>17598</v>
      </c>
      <c r="K573" s="30" t="n">
        <v>17672.5</v>
      </c>
      <c r="L573" s="30" t="n">
        <v>18080.33333333333</v>
      </c>
      <c r="M573" s="35" t="n">
        <v>0.4541413799078744</v>
      </c>
      <c r="N573" s="35" t="n">
        <v>0.5583310341570519</v>
      </c>
      <c r="O573" s="35" t="n">
        <v>0.01442841287458374</v>
      </c>
      <c r="P573" s="35" t="n">
        <v>0.1932114882506528</v>
      </c>
      <c r="Q573" s="35" t="n">
        <v>-0.1947136563876652</v>
      </c>
      <c r="R573" s="35" t="n">
        <v>0.03875440390953511</v>
      </c>
      <c r="S573" s="35" t="n">
        <v>0.03437544207101428</v>
      </c>
      <c r="T573" s="35" t="n">
        <v>0.01104330672369613</v>
      </c>
      <c r="U573" s="30" t="n">
        <v>47150</v>
      </c>
      <c r="V573" s="30" t="n">
        <v>15050</v>
      </c>
      <c r="W573" s="35" t="n">
        <v>-0.6123011664899258</v>
      </c>
      <c r="X573" s="35" t="n">
        <v>0.2146179401993356</v>
      </c>
      <c r="Y573" s="30" t="n">
        <v>20476584</v>
      </c>
      <c r="Z573" s="30" t="n">
        <v>374311955520</v>
      </c>
      <c r="AA573" s="30" t="n">
        <v>3683292040</v>
      </c>
      <c r="AB573" s="30" t="n">
        <v>2103254215</v>
      </c>
      <c r="AC573" s="35" t="n">
        <v>0.009840166699679985</v>
      </c>
      <c r="AD573" s="24" t="inlineStr">
        <is>
          <t>yfinance_download</t>
        </is>
      </c>
      <c r="AE573" s="24" t="inlineStr">
        <is>
          <t>317330.KQ</t>
        </is>
      </c>
    </row>
    <row r="574" ht="24" customHeight="1">
      <c r="A574" s="29" t="inlineStr">
        <is>
          <t>2025-10-17</t>
        </is>
      </c>
      <c r="B574" s="31" t="n">
        <v>18560</v>
      </c>
      <c r="C574" s="31" t="n">
        <v>19250</v>
      </c>
      <c r="D574" s="31" t="n">
        <v>18000</v>
      </c>
      <c r="E574" s="31" t="n">
        <v>19000</v>
      </c>
      <c r="F574" s="31" t="n">
        <v>19000</v>
      </c>
      <c r="G574" s="31" t="n">
        <v>410952</v>
      </c>
      <c r="H574" s="36" t="n">
        <v>0.03938730853391692</v>
      </c>
      <c r="I574" s="36" t="n">
        <v>-0.6905537459283387</v>
      </c>
      <c r="J574" s="31" t="n">
        <v>17629.5</v>
      </c>
      <c r="K574" s="31" t="n">
        <v>17732.66666666667</v>
      </c>
      <c r="L574" s="31" t="n">
        <v>18046.58333333333</v>
      </c>
      <c r="M574" s="36" t="n">
        <v>0.4700731294843397</v>
      </c>
      <c r="N574" s="36" t="n">
        <v>0.5631418349834766</v>
      </c>
      <c r="O574" s="36" t="n">
        <v>0.03429504627109425</v>
      </c>
      <c r="P574" s="36" t="n">
        <v>0.2345679012345678</v>
      </c>
      <c r="Q574" s="36" t="n">
        <v>-0.175704989154013</v>
      </c>
      <c r="R574" s="36" t="n">
        <v>0.07773901698857033</v>
      </c>
      <c r="S574" s="36" t="n">
        <v>0.07146885221248911</v>
      </c>
      <c r="T574" s="36" t="n">
        <v>0.05283086826222894</v>
      </c>
      <c r="U574" s="31" t="n">
        <v>47150</v>
      </c>
      <c r="V574" s="31" t="n">
        <v>15050</v>
      </c>
      <c r="W574" s="36" t="n">
        <v>-0.5970307529162249</v>
      </c>
      <c r="X574" s="36" t="n">
        <v>0.2624584717607974</v>
      </c>
      <c r="Y574" s="31" t="n">
        <v>20476584</v>
      </c>
      <c r="Z574" s="31" t="n">
        <v>389055096000</v>
      </c>
      <c r="AA574" s="31" t="n">
        <v>7808088000</v>
      </c>
      <c r="AB574" s="31" t="n">
        <v>2361672920.5</v>
      </c>
      <c r="AC574" s="36" t="n">
        <v>0.02006936313205367</v>
      </c>
      <c r="AD574" s="29" t="inlineStr">
        <is>
          <t>yfinance_download</t>
        </is>
      </c>
      <c r="AE574" s="29" t="inlineStr">
        <is>
          <t>317330.KQ</t>
        </is>
      </c>
    </row>
    <row r="575" ht="24" customHeight="1">
      <c r="A575" s="24" t="inlineStr">
        <is>
          <t>2025-10-20</t>
        </is>
      </c>
      <c r="B575" s="30" t="n">
        <v>18840</v>
      </c>
      <c r="C575" s="30" t="n">
        <v>18990</v>
      </c>
      <c r="D575" s="30" t="n">
        <v>18130</v>
      </c>
      <c r="E575" s="30" t="n">
        <v>18810</v>
      </c>
      <c r="F575" s="30" t="n">
        <v>18810</v>
      </c>
      <c r="G575" s="30" t="n">
        <v>179793</v>
      </c>
      <c r="H575" s="35" t="n">
        <v>-0.01000000000000001</v>
      </c>
      <c r="I575" s="35" t="n">
        <v>-0.6936482084690554</v>
      </c>
      <c r="J575" s="30" t="n">
        <v>17662.5</v>
      </c>
      <c r="K575" s="30" t="n">
        <v>17784.5</v>
      </c>
      <c r="L575" s="30" t="n">
        <v>18003.75</v>
      </c>
      <c r="M575" s="35" t="n">
        <v>0.4693400593328493</v>
      </c>
      <c r="N575" s="35" t="n">
        <v>0.5628688771529533</v>
      </c>
      <c r="O575" s="35" t="n">
        <v>0.03636363636363638</v>
      </c>
      <c r="P575" s="35" t="n">
        <v>0.1980891719745224</v>
      </c>
      <c r="Q575" s="35" t="n">
        <v>-0.2146137787056367</v>
      </c>
      <c r="R575" s="35" t="n">
        <v>0.06496815286624202</v>
      </c>
      <c r="S575" s="35" t="n">
        <v>0.05766257134021191</v>
      </c>
      <c r="T575" s="35" t="n">
        <v>0.04478233701312218</v>
      </c>
      <c r="U575" s="30" t="n">
        <v>47150</v>
      </c>
      <c r="V575" s="30" t="n">
        <v>15050</v>
      </c>
      <c r="W575" s="35" t="n">
        <v>-0.6010604453870625</v>
      </c>
      <c r="X575" s="35" t="n">
        <v>0.2498338870431893</v>
      </c>
      <c r="Y575" s="30" t="n">
        <v>20476584</v>
      </c>
      <c r="Z575" s="30" t="n">
        <v>385164545040</v>
      </c>
      <c r="AA575" s="30" t="n">
        <v>3381906330</v>
      </c>
      <c r="AB575" s="30" t="n">
        <v>2418460574.5</v>
      </c>
      <c r="AC575" s="35" t="n">
        <v>0.008780419624679585</v>
      </c>
      <c r="AD575" s="24" t="inlineStr">
        <is>
          <t>yfinance_download</t>
        </is>
      </c>
      <c r="AE575" s="24" t="inlineStr">
        <is>
          <t>317330.KQ</t>
        </is>
      </c>
    </row>
    <row r="576" ht="24" customHeight="1">
      <c r="A576" s="29" t="inlineStr">
        <is>
          <t>2025-10-21</t>
        </is>
      </c>
      <c r="B576" s="31" t="n">
        <v>19020</v>
      </c>
      <c r="C576" s="31" t="n">
        <v>20600</v>
      </c>
      <c r="D576" s="31" t="n">
        <v>18580</v>
      </c>
      <c r="E576" s="31" t="n">
        <v>19650</v>
      </c>
      <c r="F576" s="31" t="n">
        <v>19650</v>
      </c>
      <c r="G576" s="31" t="n">
        <v>519586</v>
      </c>
      <c r="H576" s="36" t="n">
        <v>0.04465709728867617</v>
      </c>
      <c r="I576" s="36" t="n">
        <v>-0.6799674267100977</v>
      </c>
      <c r="J576" s="31" t="n">
        <v>17733.5</v>
      </c>
      <c r="K576" s="31" t="n">
        <v>17829.83333333333</v>
      </c>
      <c r="L576" s="31" t="n">
        <v>17974.58333333333</v>
      </c>
      <c r="M576" s="36" t="n">
        <v>0.4930010861773936</v>
      </c>
      <c r="N576" s="36" t="n">
        <v>0.5478014926917059</v>
      </c>
      <c r="O576" s="36" t="n">
        <v>0.0778935820076796</v>
      </c>
      <c r="P576" s="36" t="n">
        <v>0.1606615475487301</v>
      </c>
      <c r="Q576" s="36" t="n">
        <v>-0.1511879049676026</v>
      </c>
      <c r="R576" s="36" t="n">
        <v>0.1080722925536415</v>
      </c>
      <c r="S576" s="36" t="n">
        <v>0.1020854560240796</v>
      </c>
      <c r="T576" s="36" t="n">
        <v>0.0932103201279586</v>
      </c>
      <c r="U576" s="31" t="n">
        <v>47150</v>
      </c>
      <c r="V576" s="31" t="n">
        <v>15050</v>
      </c>
      <c r="W576" s="36" t="n">
        <v>-0.5832449628844114</v>
      </c>
      <c r="X576" s="36" t="n">
        <v>0.3056478405315615</v>
      </c>
      <c r="Y576" s="31" t="n">
        <v>20476584</v>
      </c>
      <c r="Z576" s="31" t="n">
        <v>402364875600</v>
      </c>
      <c r="AA576" s="31" t="n">
        <v>10209864900</v>
      </c>
      <c r="AB576" s="31" t="n">
        <v>2859292432</v>
      </c>
      <c r="AC576" s="36" t="n">
        <v>0.02537464256733447</v>
      </c>
      <c r="AD576" s="29" t="inlineStr">
        <is>
          <t>yfinance_download</t>
        </is>
      </c>
      <c r="AE576" s="29" t="inlineStr">
        <is>
          <t>317330.KQ</t>
        </is>
      </c>
    </row>
    <row r="577" ht="24" customHeight="1">
      <c r="A577" s="24" t="inlineStr">
        <is>
          <t>2025-10-22</t>
        </is>
      </c>
      <c r="B577" s="30" t="n">
        <v>21350</v>
      </c>
      <c r="C577" s="30" t="n">
        <v>22650</v>
      </c>
      <c r="D577" s="30" t="n">
        <v>20100</v>
      </c>
      <c r="E577" s="30" t="n">
        <v>22650</v>
      </c>
      <c r="F577" s="30" t="n">
        <v>22650</v>
      </c>
      <c r="G577" s="30" t="n">
        <v>806211</v>
      </c>
      <c r="H577" s="35" t="n">
        <v>0.1526717557251909</v>
      </c>
      <c r="I577" s="35" t="n">
        <v>-0.6311074918566775</v>
      </c>
      <c r="J577" s="30" t="n">
        <v>17956</v>
      </c>
      <c r="K577" s="30" t="n">
        <v>17927.66666666667</v>
      </c>
      <c r="L577" s="30" t="n">
        <v>17978.33333333333</v>
      </c>
      <c r="M577" s="35" t="n">
        <v>0.7205049727135342</v>
      </c>
      <c r="N577" s="35" t="n">
        <v>0.6270724478563642</v>
      </c>
      <c r="O577" s="35" t="n">
        <v>0.2445054945054945</v>
      </c>
      <c r="P577" s="35" t="n">
        <v>0.3498212157330154</v>
      </c>
      <c r="Q577" s="35" t="n">
        <v>0.02027027027027017</v>
      </c>
      <c r="R577" s="35" t="n">
        <v>0.2614167966139451</v>
      </c>
      <c r="S577" s="35" t="n">
        <v>0.2634103713069185</v>
      </c>
      <c r="T577" s="35" t="n">
        <v>0.2598498192268472</v>
      </c>
      <c r="U577" s="30" t="n">
        <v>47150</v>
      </c>
      <c r="V577" s="30" t="n">
        <v>15050</v>
      </c>
      <c r="W577" s="35" t="n">
        <v>-0.5196182396606575</v>
      </c>
      <c r="X577" s="35" t="n">
        <v>0.5049833887043189</v>
      </c>
      <c r="Y577" s="30" t="n">
        <v>20476584</v>
      </c>
      <c r="Z577" s="30" t="n">
        <v>463794627600</v>
      </c>
      <c r="AA577" s="30" t="n">
        <v>18260679150</v>
      </c>
      <c r="AB577" s="30" t="n">
        <v>3684744349.5</v>
      </c>
      <c r="AC577" s="35" t="n">
        <v>0.03937233866742617</v>
      </c>
      <c r="AD577" s="24" t="inlineStr">
        <is>
          <t>yfinance_download</t>
        </is>
      </c>
      <c r="AE577" s="24" t="inlineStr">
        <is>
          <t>317330.KQ</t>
        </is>
      </c>
    </row>
    <row r="578" ht="24" customHeight="1">
      <c r="A578" s="29" t="inlineStr">
        <is>
          <t>2025-10-23</t>
        </is>
      </c>
      <c r="B578" s="31" t="n">
        <v>23600</v>
      </c>
      <c r="C578" s="31" t="n">
        <v>24500</v>
      </c>
      <c r="D578" s="31" t="n">
        <v>22850</v>
      </c>
      <c r="E578" s="31" t="n">
        <v>23500</v>
      </c>
      <c r="F578" s="31" t="n">
        <v>23500</v>
      </c>
      <c r="G578" s="31" t="n">
        <v>882566</v>
      </c>
      <c r="H578" s="36" t="n">
        <v>0.03752759381898452</v>
      </c>
      <c r="I578" s="36" t="n">
        <v>-0.6172638436482085</v>
      </c>
      <c r="J578" s="31" t="n">
        <v>18160.5</v>
      </c>
      <c r="K578" s="31" t="n">
        <v>18046</v>
      </c>
      <c r="L578" s="31" t="n">
        <v>17972.91666666667</v>
      </c>
      <c r="M578" s="36" t="n">
        <v>0.6984180797971884</v>
      </c>
      <c r="N578" s="36" t="n">
        <v>0.6275566985955233</v>
      </c>
      <c r="O578" s="36" t="n">
        <v>0.2107161257083978</v>
      </c>
      <c r="P578" s="36" t="n">
        <v>0.4329268292682926</v>
      </c>
      <c r="Q578" s="36" t="n">
        <v>-0.02691511387163559</v>
      </c>
      <c r="R578" s="36" t="n">
        <v>0.2940172352082817</v>
      </c>
      <c r="S578" s="36" t="n">
        <v>0.3022276404743434</v>
      </c>
      <c r="T578" s="36" t="n">
        <v>0.3075228932421468</v>
      </c>
      <c r="U578" s="31" t="n">
        <v>47150</v>
      </c>
      <c r="V578" s="31" t="n">
        <v>15050</v>
      </c>
      <c r="W578" s="36" t="n">
        <v>-0.5015906680805938</v>
      </c>
      <c r="X578" s="36" t="n">
        <v>0.5614617940199336</v>
      </c>
      <c r="Y578" s="31" t="n">
        <v>20476584</v>
      </c>
      <c r="Z578" s="31" t="n">
        <v>481199724000</v>
      </c>
      <c r="AA578" s="31" t="n">
        <v>20740301000</v>
      </c>
      <c r="AB578" s="31" t="n">
        <v>4412085466</v>
      </c>
      <c r="AC578" s="36" t="n">
        <v>0.04310123211957619</v>
      </c>
      <c r="AD578" s="29" t="inlineStr">
        <is>
          <t>yfinance_download</t>
        </is>
      </c>
      <c r="AE578" s="29" t="inlineStr">
        <is>
          <t>317330.KQ</t>
        </is>
      </c>
    </row>
    <row r="579" ht="24" customHeight="1">
      <c r="A579" s="24" t="inlineStr">
        <is>
          <t>2025-10-24</t>
        </is>
      </c>
      <c r="B579" s="30" t="n">
        <v>24200</v>
      </c>
      <c r="C579" s="30" t="n">
        <v>24300</v>
      </c>
      <c r="D579" s="30" t="n">
        <v>23200</v>
      </c>
      <c r="E579" s="30" t="n">
        <v>24150</v>
      </c>
      <c r="F579" s="30" t="n">
        <v>24150</v>
      </c>
      <c r="G579" s="30" t="n">
        <v>452770</v>
      </c>
      <c r="H579" s="35" t="n">
        <v>0.0276595744680852</v>
      </c>
      <c r="I579" s="35" t="n">
        <v>-0.6066775244299674</v>
      </c>
      <c r="J579" s="30" t="n">
        <v>18445</v>
      </c>
      <c r="K579" s="30" t="n">
        <v>18165</v>
      </c>
      <c r="L579" s="30" t="n">
        <v>17977.08333333333</v>
      </c>
      <c r="M579" s="35" t="n">
        <v>0.6640604548254712</v>
      </c>
      <c r="N579" s="35" t="n">
        <v>0.6258835320346972</v>
      </c>
      <c r="O579" s="35" t="n">
        <v>0.3082340195016251</v>
      </c>
      <c r="P579" s="35" t="n">
        <v>0.4197530864197532</v>
      </c>
      <c r="Q579" s="35" t="n">
        <v>0.02114164904862581</v>
      </c>
      <c r="R579" s="35" t="n">
        <v>0.3092979127134725</v>
      </c>
      <c r="S579" s="35" t="n">
        <v>0.3294797687861271</v>
      </c>
      <c r="T579" s="35" t="n">
        <v>0.3433769845868584</v>
      </c>
      <c r="U579" s="30" t="n">
        <v>45150</v>
      </c>
      <c r="V579" s="30" t="n">
        <v>15050</v>
      </c>
      <c r="W579" s="35" t="n">
        <v>-0.4651162790697675</v>
      </c>
      <c r="X579" s="35" t="n">
        <v>0.6046511627906976</v>
      </c>
      <c r="Y579" s="30" t="n">
        <v>20476584</v>
      </c>
      <c r="Z579" s="30" t="n">
        <v>494509503600</v>
      </c>
      <c r="AA579" s="30" t="n">
        <v>10934395500</v>
      </c>
      <c r="AB579" s="30" t="n">
        <v>4792398494</v>
      </c>
      <c r="AC579" s="35" t="n">
        <v>0.02211159830174799</v>
      </c>
      <c r="AD579" s="24" t="inlineStr">
        <is>
          <t>yfinance_download</t>
        </is>
      </c>
      <c r="AE579" s="24" t="inlineStr">
        <is>
          <t>317330.KQ</t>
        </is>
      </c>
    </row>
    <row r="580" ht="24" customHeight="1">
      <c r="A580" s="29" t="inlineStr">
        <is>
          <t>2025-10-27</t>
        </is>
      </c>
      <c r="B580" s="31" t="n">
        <v>25000</v>
      </c>
      <c r="C580" s="31" t="n">
        <v>25050</v>
      </c>
      <c r="D580" s="31" t="n">
        <v>22750</v>
      </c>
      <c r="E580" s="31" t="n">
        <v>24250</v>
      </c>
      <c r="F580" s="31" t="n">
        <v>24250</v>
      </c>
      <c r="G580" s="31" t="n">
        <v>486435</v>
      </c>
      <c r="H580" s="36" t="n">
        <v>0.004140786749482483</v>
      </c>
      <c r="I580" s="36" t="n">
        <v>-0.6050488599348534</v>
      </c>
      <c r="J580" s="31" t="n">
        <v>18751.5</v>
      </c>
      <c r="K580" s="31" t="n">
        <v>18290</v>
      </c>
      <c r="L580" s="31" t="n">
        <v>17981.25</v>
      </c>
      <c r="M580" s="36" t="n">
        <v>0.6540670609492225</v>
      </c>
      <c r="N580" s="36" t="n">
        <v>0.62424611788096</v>
      </c>
      <c r="O580" s="36" t="n">
        <v>0.3383002207505519</v>
      </c>
      <c r="P580" s="36" t="n">
        <v>0.4477611940298507</v>
      </c>
      <c r="Q580" s="36" t="n">
        <v>0.02105263157894743</v>
      </c>
      <c r="R580" s="36" t="n">
        <v>0.293229874943338</v>
      </c>
      <c r="S580" s="36" t="n">
        <v>0.3258611262985238</v>
      </c>
      <c r="T580" s="36" t="n">
        <v>0.3486270420576989</v>
      </c>
      <c r="U580" s="31" t="n">
        <v>43050</v>
      </c>
      <c r="V580" s="31" t="n">
        <v>15050</v>
      </c>
      <c r="W580" s="36" t="n">
        <v>-0.4367015098722415</v>
      </c>
      <c r="X580" s="36" t="n">
        <v>0.6112956810631229</v>
      </c>
      <c r="Y580" s="31" t="n">
        <v>20476584</v>
      </c>
      <c r="Z580" s="31" t="n">
        <v>496557162000</v>
      </c>
      <c r="AA580" s="31" t="n">
        <v>11796048750</v>
      </c>
      <c r="AB580" s="31" t="n">
        <v>5264955471.5</v>
      </c>
      <c r="AC580" s="36" t="n">
        <v>0.02375567135612073</v>
      </c>
      <c r="AD580" s="29" t="inlineStr">
        <is>
          <t>yfinance_download</t>
        </is>
      </c>
      <c r="AE580" s="29" t="inlineStr">
        <is>
          <t>317330.KQ</t>
        </is>
      </c>
    </row>
    <row r="581" ht="24" customHeight="1">
      <c r="A581" s="24" t="inlineStr">
        <is>
          <t>2025-10-28</t>
        </is>
      </c>
      <c r="B581" s="30" t="n">
        <v>23900</v>
      </c>
      <c r="C581" s="30" t="n">
        <v>23950</v>
      </c>
      <c r="D581" s="30" t="n">
        <v>22950</v>
      </c>
      <c r="E581" s="30" t="n">
        <v>23800</v>
      </c>
      <c r="F581" s="30" t="n">
        <v>23800</v>
      </c>
      <c r="G581" s="30" t="n">
        <v>288566</v>
      </c>
      <c r="H581" s="35" t="n">
        <v>-0.01855670103092788</v>
      </c>
      <c r="I581" s="35" t="n">
        <v>-0.6123778501628665</v>
      </c>
      <c r="J581" s="30" t="n">
        <v>19049.5</v>
      </c>
      <c r="K581" s="30" t="n">
        <v>18404.5</v>
      </c>
      <c r="L581" s="30" t="n">
        <v>17987.5</v>
      </c>
      <c r="M581" s="35" t="n">
        <v>0.6561011505449557</v>
      </c>
      <c r="N581" s="35" t="n">
        <v>0.6263649954628699</v>
      </c>
      <c r="O581" s="35" t="n">
        <v>0.3340807174887892</v>
      </c>
      <c r="P581" s="35" t="n">
        <v>0.4057885410513882</v>
      </c>
      <c r="Q581" s="35" t="n">
        <v>0.03253796095444694</v>
      </c>
      <c r="R581" s="35" t="n">
        <v>0.2493766240583741</v>
      </c>
      <c r="S581" s="35" t="n">
        <v>0.2931619984242984</v>
      </c>
      <c r="T581" s="35" t="n">
        <v>0.3231410701876303</v>
      </c>
      <c r="U581" s="30" t="n">
        <v>42050</v>
      </c>
      <c r="V581" s="30" t="n">
        <v>15050</v>
      </c>
      <c r="W581" s="35" t="n">
        <v>-0.4340071343638525</v>
      </c>
      <c r="X581" s="35" t="n">
        <v>0.5813953488372092</v>
      </c>
      <c r="Y581" s="30" t="n">
        <v>20476584</v>
      </c>
      <c r="Z581" s="30" t="n">
        <v>487342699200</v>
      </c>
      <c r="AA581" s="30" t="n">
        <v>6867870800</v>
      </c>
      <c r="AB581" s="30" t="n">
        <v>5495849971.5</v>
      </c>
      <c r="AC581" s="35" t="n">
        <v>0.01409248730159288</v>
      </c>
      <c r="AD581" s="24" t="inlineStr">
        <is>
          <t>yfinance_download</t>
        </is>
      </c>
      <c r="AE581" s="24" t="inlineStr">
        <is>
          <t>317330.KQ</t>
        </is>
      </c>
    </row>
    <row r="582" ht="24" customHeight="1">
      <c r="A582" s="29" t="inlineStr">
        <is>
          <t>2025-10-29</t>
        </is>
      </c>
      <c r="B582" s="31" t="n">
        <v>23350</v>
      </c>
      <c r="C582" s="31" t="n">
        <v>23800</v>
      </c>
      <c r="D582" s="31" t="n">
        <v>22700</v>
      </c>
      <c r="E582" s="31" t="n">
        <v>22950</v>
      </c>
      <c r="F582" s="31" t="n">
        <v>22950</v>
      </c>
      <c r="G582" s="31" t="n">
        <v>266338</v>
      </c>
      <c r="H582" s="36" t="n">
        <v>-0.0357142857142857</v>
      </c>
      <c r="I582" s="36" t="n">
        <v>-0.6262214983713354</v>
      </c>
      <c r="J582" s="31" t="n">
        <v>19329</v>
      </c>
      <c r="K582" s="31" t="n">
        <v>18511.16666666667</v>
      </c>
      <c r="L582" s="31" t="n">
        <v>17987.91666666667</v>
      </c>
      <c r="M582" s="36" t="n">
        <v>0.6643071268161111</v>
      </c>
      <c r="N582" s="36" t="n">
        <v>0.629560409161189</v>
      </c>
      <c r="O582" s="36" t="n">
        <v>0.3220046082949308</v>
      </c>
      <c r="P582" s="36" t="n">
        <v>0.3867069486404835</v>
      </c>
      <c r="Q582" s="36" t="n">
        <v>0.002183406113537067</v>
      </c>
      <c r="R582" s="36" t="n">
        <v>0.187335092348285</v>
      </c>
      <c r="S582" s="36" t="n">
        <v>0.2397921975024084</v>
      </c>
      <c r="T582" s="36" t="n">
        <v>0.2758564777281045</v>
      </c>
      <c r="U582" s="31" t="n">
        <v>41200</v>
      </c>
      <c r="V582" s="31" t="n">
        <v>15050</v>
      </c>
      <c r="W582" s="36" t="n">
        <v>-0.4429611650485437</v>
      </c>
      <c r="X582" s="36" t="n">
        <v>0.5249169435215948</v>
      </c>
      <c r="Y582" s="31" t="n">
        <v>20476584</v>
      </c>
      <c r="Z582" s="31" t="n">
        <v>469937602800</v>
      </c>
      <c r="AA582" s="31" t="n">
        <v>6112457100</v>
      </c>
      <c r="AB582" s="31" t="n">
        <v>5705883458.5</v>
      </c>
      <c r="AC582" s="36" t="n">
        <v>0.01300695467564316</v>
      </c>
      <c r="AD582" s="29" t="inlineStr">
        <is>
          <t>yfinance_download</t>
        </is>
      </c>
      <c r="AE582" s="29" t="inlineStr">
        <is>
          <t>317330.KQ</t>
        </is>
      </c>
    </row>
    <row r="583" ht="24" customHeight="1">
      <c r="A583" s="24" t="inlineStr">
        <is>
          <t>2025-10-30</t>
        </is>
      </c>
      <c r="B583" s="30" t="n">
        <v>22450</v>
      </c>
      <c r="C583" s="30" t="n">
        <v>22800</v>
      </c>
      <c r="D583" s="30" t="n">
        <v>21250</v>
      </c>
      <c r="E583" s="30" t="n">
        <v>21250</v>
      </c>
      <c r="F583" s="30" t="n">
        <v>21250</v>
      </c>
      <c r="G583" s="30" t="n">
        <v>317108</v>
      </c>
      <c r="H583" s="35" t="n">
        <v>-0.07407407407407407</v>
      </c>
      <c r="I583" s="35" t="n">
        <v>-0.6539087947882736</v>
      </c>
      <c r="J583" s="30" t="n">
        <v>19527</v>
      </c>
      <c r="K583" s="30" t="n">
        <v>18584</v>
      </c>
      <c r="L583" s="30" t="n">
        <v>17979.58333333333</v>
      </c>
      <c r="M583" s="35" t="n">
        <v>0.7336115286953123</v>
      </c>
      <c r="N583" s="35" t="n">
        <v>0.6499588917843006</v>
      </c>
      <c r="O583" s="35" t="n">
        <v>0.2290341237709659</v>
      </c>
      <c r="P583" s="35" t="n">
        <v>0.2588862559241707</v>
      </c>
      <c r="Q583" s="35" t="n">
        <v>-0.0449438202247191</v>
      </c>
      <c r="R583" s="35" t="n">
        <v>0.08823680032775139</v>
      </c>
      <c r="S583" s="35" t="n">
        <v>0.1434567369780457</v>
      </c>
      <c r="T583" s="35" t="n">
        <v>0.1818961321869714</v>
      </c>
      <c r="U583" s="30" t="n">
        <v>40700</v>
      </c>
      <c r="V583" s="30" t="n">
        <v>15050</v>
      </c>
      <c r="W583" s="35" t="n">
        <v>-0.4778869778869779</v>
      </c>
      <c r="X583" s="35" t="n">
        <v>0.4119601328903655</v>
      </c>
      <c r="Y583" s="30" t="n">
        <v>20476584</v>
      </c>
      <c r="Z583" s="30" t="n">
        <v>435127410000</v>
      </c>
      <c r="AA583" s="30" t="n">
        <v>6738545000</v>
      </c>
      <c r="AB583" s="30" t="n">
        <v>5981638688.5</v>
      </c>
      <c r="AC583" s="35" t="n">
        <v>0.0154863721409782</v>
      </c>
      <c r="AD583" s="24" t="inlineStr">
        <is>
          <t>yfinance_download</t>
        </is>
      </c>
      <c r="AE583" s="24" t="inlineStr">
        <is>
          <t>317330.KQ</t>
        </is>
      </c>
    </row>
    <row r="584" ht="24" customHeight="1">
      <c r="A584" s="29" t="inlineStr">
        <is>
          <t>2025-10-31</t>
        </is>
      </c>
      <c r="B584" s="31" t="n">
        <v>21000</v>
      </c>
      <c r="C584" s="31" t="n">
        <v>21700</v>
      </c>
      <c r="D584" s="31" t="n">
        <v>20500</v>
      </c>
      <c r="E584" s="31" t="n">
        <v>20800</v>
      </c>
      <c r="F584" s="31" t="n">
        <v>20800</v>
      </c>
      <c r="G584" s="31" t="n">
        <v>196765</v>
      </c>
      <c r="H584" s="36" t="n">
        <v>-0.02117647058823524</v>
      </c>
      <c r="I584" s="36" t="n">
        <v>-0.6612377850162867</v>
      </c>
      <c r="J584" s="31" t="n">
        <v>19743</v>
      </c>
      <c r="K584" s="31" t="n">
        <v>18649.16666666667</v>
      </c>
      <c r="L584" s="31" t="n">
        <v>17965.83333333333</v>
      </c>
      <c r="M584" s="36" t="n">
        <v>0.7119447049872878</v>
      </c>
      <c r="N584" s="36" t="n">
        <v>0.6520668474363285</v>
      </c>
      <c r="O584" s="36" t="n">
        <v>0.2621359223300972</v>
      </c>
      <c r="P584" s="36" t="n">
        <v>0.2314979277679101</v>
      </c>
      <c r="Q584" s="36" t="n">
        <v>-0.07349665924276172</v>
      </c>
      <c r="R584" s="36" t="n">
        <v>0.05353796282226608</v>
      </c>
      <c r="S584" s="36" t="n">
        <v>0.1153313374145404</v>
      </c>
      <c r="T584" s="36" t="n">
        <v>0.1577531425390788</v>
      </c>
      <c r="U584" s="31" t="n">
        <v>40700</v>
      </c>
      <c r="V584" s="31" t="n">
        <v>15050</v>
      </c>
      <c r="W584" s="36" t="n">
        <v>-0.4889434889434889</v>
      </c>
      <c r="X584" s="36" t="n">
        <v>0.3820598006644518</v>
      </c>
      <c r="Y584" s="31" t="n">
        <v>20476584</v>
      </c>
      <c r="Z584" s="31" t="n">
        <v>425912947200</v>
      </c>
      <c r="AA584" s="31" t="n">
        <v>4092712000</v>
      </c>
      <c r="AB584" s="31" t="n">
        <v>6067002760.5</v>
      </c>
      <c r="AC584" s="36" t="n">
        <v>0.009609268811633815</v>
      </c>
      <c r="AD584" s="29" t="inlineStr">
        <is>
          <t>yfinance_download</t>
        </is>
      </c>
      <c r="AE584" s="29" t="inlineStr">
        <is>
          <t>317330.KQ</t>
        </is>
      </c>
    </row>
    <row r="585" ht="24" customHeight="1">
      <c r="A585" s="24" t="inlineStr">
        <is>
          <t>2025-11-03</t>
        </is>
      </c>
      <c r="B585" s="30" t="n">
        <v>21100</v>
      </c>
      <c r="C585" s="30" t="n">
        <v>21700</v>
      </c>
      <c r="D585" s="30" t="n">
        <v>20900</v>
      </c>
      <c r="E585" s="30" t="n">
        <v>21500</v>
      </c>
      <c r="F585" s="30" t="n">
        <v>21500</v>
      </c>
      <c r="G585" s="30" t="n">
        <v>185735</v>
      </c>
      <c r="H585" s="35" t="n">
        <v>0.03365384615384626</v>
      </c>
      <c r="I585" s="35" t="n">
        <v>-0.6498371335504887</v>
      </c>
      <c r="J585" s="30" t="n">
        <v>19978</v>
      </c>
      <c r="K585" s="30" t="n">
        <v>18744.5</v>
      </c>
      <c r="L585" s="30" t="n">
        <v>17964.58333333333</v>
      </c>
      <c r="M585" s="35" t="n">
        <v>0.7155309180225647</v>
      </c>
      <c r="N585" s="35" t="n">
        <v>0.6381536309414207</v>
      </c>
      <c r="O585" s="35" t="n">
        <v>0.2797619047619047</v>
      </c>
      <c r="P585" s="35" t="n">
        <v>0.3624841571609632</v>
      </c>
      <c r="Q585" s="35" t="n">
        <v>-0.006928406466512715</v>
      </c>
      <c r="R585" s="35" t="n">
        <v>0.07618380218240062</v>
      </c>
      <c r="S585" s="35" t="n">
        <v>0.1470031209154685</v>
      </c>
      <c r="T585" s="35" t="n">
        <v>0.1967992577989099</v>
      </c>
      <c r="U585" s="30" t="n">
        <v>40700</v>
      </c>
      <c r="V585" s="30" t="n">
        <v>15050</v>
      </c>
      <c r="W585" s="35" t="n">
        <v>-0.4717444717444718</v>
      </c>
      <c r="X585" s="35" t="n">
        <v>0.4285714285714286</v>
      </c>
      <c r="Y585" s="30" t="n">
        <v>20476584</v>
      </c>
      <c r="Z585" s="30" t="n">
        <v>440246556000</v>
      </c>
      <c r="AA585" s="30" t="n">
        <v>3993302500</v>
      </c>
      <c r="AB585" s="30" t="n">
        <v>6223107165.5</v>
      </c>
      <c r="AC585" s="35" t="n">
        <v>0.009070604745400893</v>
      </c>
      <c r="AD585" s="24" t="inlineStr">
        <is>
          <t>yfinance_download</t>
        </is>
      </c>
      <c r="AE585" s="24" t="inlineStr">
        <is>
          <t>317330.KQ</t>
        </is>
      </c>
    </row>
    <row r="586" ht="24" customHeight="1">
      <c r="A586" s="29" t="inlineStr">
        <is>
          <t>2025-11-04</t>
        </is>
      </c>
      <c r="B586" s="31" t="n">
        <v>22200</v>
      </c>
      <c r="C586" s="31" t="n">
        <v>22500</v>
      </c>
      <c r="D586" s="31" t="n">
        <v>21200</v>
      </c>
      <c r="E586" s="31" t="n">
        <v>21200</v>
      </c>
      <c r="F586" s="31" t="n">
        <v>21200</v>
      </c>
      <c r="G586" s="31" t="n">
        <v>209717</v>
      </c>
      <c r="H586" s="36" t="n">
        <v>-0.01395348837209298</v>
      </c>
      <c r="I586" s="36" t="n">
        <v>-0.6547231270358307</v>
      </c>
      <c r="J586" s="31" t="n">
        <v>20209</v>
      </c>
      <c r="K586" s="31" t="n">
        <v>18831</v>
      </c>
      <c r="L586" s="31" t="n">
        <v>17959.58333333333</v>
      </c>
      <c r="M586" s="36" t="n">
        <v>0.7159577553108198</v>
      </c>
      <c r="N586" s="36" t="n">
        <v>0.6391826442997351</v>
      </c>
      <c r="O586" s="36" t="n">
        <v>0.278648974668275</v>
      </c>
      <c r="P586" s="36" t="n">
        <v>0.3241723922548407</v>
      </c>
      <c r="Q586" s="36" t="n">
        <v>-0.02752293577981646</v>
      </c>
      <c r="R586" s="36" t="n">
        <v>0.04903755752387551</v>
      </c>
      <c r="S586" s="36" t="n">
        <v>0.1258031968562476</v>
      </c>
      <c r="T586" s="36" t="n">
        <v>0.1804282764540752</v>
      </c>
      <c r="U586" s="31" t="n">
        <v>40700</v>
      </c>
      <c r="V586" s="31" t="n">
        <v>15050</v>
      </c>
      <c r="W586" s="36" t="n">
        <v>-0.4791154791154791</v>
      </c>
      <c r="X586" s="36" t="n">
        <v>0.4086378737541527</v>
      </c>
      <c r="Y586" s="31" t="n">
        <v>20476584</v>
      </c>
      <c r="Z586" s="31" t="n">
        <v>434103580800</v>
      </c>
      <c r="AA586" s="31" t="n">
        <v>4446000400</v>
      </c>
      <c r="AB586" s="31" t="n">
        <v>6401893804.5</v>
      </c>
      <c r="AC586" s="36" t="n">
        <v>0.01024179619022392</v>
      </c>
      <c r="AD586" s="29" t="inlineStr">
        <is>
          <t>yfinance_download</t>
        </is>
      </c>
      <c r="AE586" s="29" t="inlineStr">
        <is>
          <t>317330.KQ</t>
        </is>
      </c>
    </row>
    <row r="587" ht="24" customHeight="1">
      <c r="A587" s="24" t="inlineStr">
        <is>
          <t>2025-11-05</t>
        </is>
      </c>
      <c r="B587" s="30" t="n">
        <v>20650</v>
      </c>
      <c r="C587" s="30" t="n">
        <v>21100</v>
      </c>
      <c r="D587" s="30" t="n">
        <v>19750</v>
      </c>
      <c r="E587" s="30" t="n">
        <v>20600</v>
      </c>
      <c r="F587" s="30" t="n">
        <v>20600</v>
      </c>
      <c r="G587" s="30" t="n">
        <v>194113</v>
      </c>
      <c r="H587" s="35" t="n">
        <v>-0.02830188679245282</v>
      </c>
      <c r="I587" s="35" t="n">
        <v>-0.6644951140065147</v>
      </c>
      <c r="J587" s="30" t="n">
        <v>20408.5</v>
      </c>
      <c r="K587" s="30" t="n">
        <v>18893.83333333333</v>
      </c>
      <c r="L587" s="30" t="n">
        <v>17956.66666666667</v>
      </c>
      <c r="M587" s="35" t="n">
        <v>0.7301999915485594</v>
      </c>
      <c r="N587" s="35" t="n">
        <v>0.6356370058342312</v>
      </c>
      <c r="O587" s="35" t="n">
        <v>0.2402167369054786</v>
      </c>
      <c r="P587" s="35" t="n">
        <v>0.2240047534165182</v>
      </c>
      <c r="Q587" s="35" t="n">
        <v>-0.01670644391408116</v>
      </c>
      <c r="R587" s="35" t="n">
        <v>0.009383345174804658</v>
      </c>
      <c r="S587" s="35" t="n">
        <v>0.0903028324938473</v>
      </c>
      <c r="T587" s="35" t="n">
        <v>0.1472062372377947</v>
      </c>
      <c r="U587" s="30" t="n">
        <v>40700</v>
      </c>
      <c r="V587" s="30" t="n">
        <v>15050</v>
      </c>
      <c r="W587" s="35" t="n">
        <v>-0.4938574938574939</v>
      </c>
      <c r="X587" s="35" t="n">
        <v>0.3687707641196014</v>
      </c>
      <c r="Y587" s="30" t="n">
        <v>20476584</v>
      </c>
      <c r="Z587" s="30" t="n">
        <v>421817630400</v>
      </c>
      <c r="AA587" s="30" t="n">
        <v>3998727800</v>
      </c>
      <c r="AB587" s="30" t="n">
        <v>6571722078</v>
      </c>
      <c r="AC587" s="35" t="n">
        <v>0.009479755021638375</v>
      </c>
      <c r="AD587" s="24" t="inlineStr">
        <is>
          <t>yfinance_download</t>
        </is>
      </c>
      <c r="AE587" s="24" t="inlineStr">
        <is>
          <t>317330.KQ</t>
        </is>
      </c>
    </row>
    <row r="588" ht="24" customHeight="1">
      <c r="A588" s="29" t="inlineStr">
        <is>
          <t>2025-11-06</t>
        </is>
      </c>
      <c r="B588" s="31" t="n">
        <v>21200</v>
      </c>
      <c r="C588" s="31" t="n">
        <v>21350</v>
      </c>
      <c r="D588" s="31" t="n">
        <v>20500</v>
      </c>
      <c r="E588" s="31" t="n">
        <v>20600</v>
      </c>
      <c r="F588" s="31" t="n">
        <v>20600</v>
      </c>
      <c r="G588" s="31" t="n">
        <v>92904</v>
      </c>
      <c r="H588" s="36" t="n">
        <v>0</v>
      </c>
      <c r="I588" s="36" t="n">
        <v>-0.6644951140065147</v>
      </c>
      <c r="J588" s="31" t="n">
        <v>20601</v>
      </c>
      <c r="K588" s="31" t="n">
        <v>18953.66666666667</v>
      </c>
      <c r="L588" s="31" t="n">
        <v>17950.83333333333</v>
      </c>
      <c r="M588" s="36" t="n">
        <v>0.7313262365088624</v>
      </c>
      <c r="N588" s="36" t="n">
        <v>0.6355439007579528</v>
      </c>
      <c r="O588" s="36" t="n">
        <v>0.2298507462686568</v>
      </c>
      <c r="P588" s="36" t="n">
        <v>0.2110523221634333</v>
      </c>
      <c r="Q588" s="36" t="n">
        <v>-0.03286384976525825</v>
      </c>
      <c r="R588" s="36" t="n">
        <v>-4.854133294496243e-05</v>
      </c>
      <c r="S588" s="36" t="n">
        <v>0.08686094159441438</v>
      </c>
      <c r="T588" s="36" t="n">
        <v>0.1475790353279793</v>
      </c>
      <c r="U588" s="31" t="n">
        <v>40700</v>
      </c>
      <c r="V588" s="31" t="n">
        <v>15050</v>
      </c>
      <c r="W588" s="36" t="n">
        <v>-0.4938574938574939</v>
      </c>
      <c r="X588" s="36" t="n">
        <v>0.3687707641196014</v>
      </c>
      <c r="Y588" s="31" t="n">
        <v>20476584</v>
      </c>
      <c r="Z588" s="31" t="n">
        <v>421817630400</v>
      </c>
      <c r="AA588" s="31" t="n">
        <v>1913822400</v>
      </c>
      <c r="AB588" s="31" t="n">
        <v>6607270648</v>
      </c>
      <c r="AC588" s="36" t="n">
        <v>0.00453708489658236</v>
      </c>
      <c r="AD588" s="29" t="inlineStr">
        <is>
          <t>yfinance_download</t>
        </is>
      </c>
      <c r="AE588" s="29" t="inlineStr">
        <is>
          <t>317330.KQ</t>
        </is>
      </c>
    </row>
    <row r="589" ht="24" customHeight="1">
      <c r="A589" s="24" t="inlineStr">
        <is>
          <t>2025-11-07</t>
        </is>
      </c>
      <c r="B589" s="30" t="n">
        <v>19960</v>
      </c>
      <c r="C589" s="30" t="n">
        <v>20400</v>
      </c>
      <c r="D589" s="30" t="n">
        <v>19200</v>
      </c>
      <c r="E589" s="30" t="n">
        <v>19630</v>
      </c>
      <c r="F589" s="30" t="n">
        <v>19630</v>
      </c>
      <c r="G589" s="30" t="n">
        <v>153469</v>
      </c>
      <c r="H589" s="35" t="n">
        <v>-0.04708737864077672</v>
      </c>
      <c r="I589" s="35" t="n">
        <v>-0.6802931596091205</v>
      </c>
      <c r="J589" s="30" t="n">
        <v>20740</v>
      </c>
      <c r="K589" s="30" t="n">
        <v>18995.5</v>
      </c>
      <c r="L589" s="30" t="n">
        <v>17938.16666666667</v>
      </c>
      <c r="M589" s="35" t="n">
        <v>0.7601988064206863</v>
      </c>
      <c r="N589" s="35" t="n">
        <v>0.6440624502006017</v>
      </c>
      <c r="O589" s="35" t="n">
        <v>0.1649851632047479</v>
      </c>
      <c r="P589" s="35" t="n">
        <v>0.1466121495327102</v>
      </c>
      <c r="Q589" s="35" t="n">
        <v>-0.0718676122931442</v>
      </c>
      <c r="R589" s="35" t="n">
        <v>-0.05351976856316298</v>
      </c>
      <c r="S589" s="35" t="n">
        <v>0.03340264799557779</v>
      </c>
      <c r="T589" s="35" t="n">
        <v>0.09431472930158225</v>
      </c>
      <c r="U589" s="30" t="n">
        <v>40700</v>
      </c>
      <c r="V589" s="30" t="n">
        <v>15050</v>
      </c>
      <c r="W589" s="35" t="n">
        <v>-0.5176904176904177</v>
      </c>
      <c r="X589" s="35" t="n">
        <v>0.3043189368770765</v>
      </c>
      <c r="Y589" s="30" t="n">
        <v>20476584</v>
      </c>
      <c r="Z589" s="30" t="n">
        <v>401955343920</v>
      </c>
      <c r="AA589" s="30" t="n">
        <v>3012596470</v>
      </c>
      <c r="AB589" s="30" t="n">
        <v>6698462939</v>
      </c>
      <c r="AC589" s="35" t="n">
        <v>0.007494853633789699</v>
      </c>
      <c r="AD589" s="24" t="inlineStr">
        <is>
          <t>yfinance_download</t>
        </is>
      </c>
      <c r="AE589" s="24" t="inlineStr">
        <is>
          <t>317330.KQ</t>
        </is>
      </c>
    </row>
    <row r="590" ht="24" customHeight="1">
      <c r="A590" s="29" t="inlineStr">
        <is>
          <t>2025-11-10</t>
        </is>
      </c>
      <c r="B590" s="31" t="n">
        <v>19600</v>
      </c>
      <c r="C590" s="31" t="n">
        <v>19880</v>
      </c>
      <c r="D590" s="31" t="n">
        <v>19210</v>
      </c>
      <c r="E590" s="31" t="n">
        <v>19820</v>
      </c>
      <c r="F590" s="31" t="n">
        <v>19820</v>
      </c>
      <c r="G590" s="31" t="n">
        <v>133954</v>
      </c>
      <c r="H590" s="36" t="n">
        <v>0.009679062659195159</v>
      </c>
      <c r="I590" s="36" t="n">
        <v>-0.6771986970684039</v>
      </c>
      <c r="J590" s="31" t="n">
        <v>20869.5</v>
      </c>
      <c r="K590" s="31" t="n">
        <v>19044.5</v>
      </c>
      <c r="L590" s="31" t="n">
        <v>17933.33333333333</v>
      </c>
      <c r="M590" s="36" t="n">
        <v>0.7584619719153861</v>
      </c>
      <c r="N590" s="36" t="n">
        <v>0.6432073116424555</v>
      </c>
      <c r="O590" s="36" t="n">
        <v>0.1503192106790481</v>
      </c>
      <c r="P590" s="36" t="n">
        <v>0.1741706161137442</v>
      </c>
      <c r="Q590" s="36" t="n">
        <v>-0.02843137254901962</v>
      </c>
      <c r="R590" s="36" t="n">
        <v>-0.05028869881885045</v>
      </c>
      <c r="S590" s="36" t="n">
        <v>0.04072041796844239</v>
      </c>
      <c r="T590" s="36" t="n">
        <v>0.1052044609665428</v>
      </c>
      <c r="U590" s="31" t="n">
        <v>40700</v>
      </c>
      <c r="V590" s="31" t="n">
        <v>15050</v>
      </c>
      <c r="W590" s="36" t="n">
        <v>-0.5130221130221131</v>
      </c>
      <c r="X590" s="36" t="n">
        <v>0.3169435215946843</v>
      </c>
      <c r="Y590" s="31" t="n">
        <v>20476584</v>
      </c>
      <c r="Z590" s="31" t="n">
        <v>405845894880</v>
      </c>
      <c r="AA590" s="31" t="n">
        <v>2654968280</v>
      </c>
      <c r="AB590" s="31" t="n">
        <v>6752032611</v>
      </c>
      <c r="AC590" s="36" t="n">
        <v>0.006541813810350398</v>
      </c>
      <c r="AD590" s="29" t="inlineStr">
        <is>
          <t>yfinance_download</t>
        </is>
      </c>
      <c r="AE590" s="29" t="inlineStr">
        <is>
          <t>317330.KQ</t>
        </is>
      </c>
    </row>
    <row r="591" ht="24" customHeight="1">
      <c r="A591" s="24" t="inlineStr">
        <is>
          <t>2025-11-11</t>
        </is>
      </c>
      <c r="B591" s="30" t="n">
        <v>20050</v>
      </c>
      <c r="C591" s="30" t="n">
        <v>20900</v>
      </c>
      <c r="D591" s="30" t="n">
        <v>19600</v>
      </c>
      <c r="E591" s="30" t="n">
        <v>19940</v>
      </c>
      <c r="F591" s="30" t="n">
        <v>19940</v>
      </c>
      <c r="G591" s="30" t="n">
        <v>156224</v>
      </c>
      <c r="H591" s="35" t="n">
        <v>0.006054490413723412</v>
      </c>
      <c r="I591" s="35" t="n">
        <v>-0.6752442996742671</v>
      </c>
      <c r="J591" s="30" t="n">
        <v>20986.5</v>
      </c>
      <c r="K591" s="30" t="n">
        <v>19071.66666666667</v>
      </c>
      <c r="L591" s="30" t="n">
        <v>17932.91666666667</v>
      </c>
      <c r="M591" s="35" t="n">
        <v>0.7568206095759517</v>
      </c>
      <c r="N591" s="35" t="n">
        <v>0.6205700246861544</v>
      </c>
      <c r="O591" s="35" t="n">
        <v>0.1329545454545455</v>
      </c>
      <c r="P591" s="35" t="n">
        <v>0.08902239213544516</v>
      </c>
      <c r="Q591" s="35" t="n">
        <v>-0.002501250625312701</v>
      </c>
      <c r="R591" s="35" t="n">
        <v>-0.04986538965525456</v>
      </c>
      <c r="S591" s="35" t="n">
        <v>0.04553001835183079</v>
      </c>
      <c r="T591" s="35" t="n">
        <v>0.1119217453937127</v>
      </c>
      <c r="U591" s="30" t="n">
        <v>40700</v>
      </c>
      <c r="V591" s="30" t="n">
        <v>15050</v>
      </c>
      <c r="W591" s="35" t="n">
        <v>-0.5100737100737101</v>
      </c>
      <c r="X591" s="35" t="n">
        <v>0.3249169435215946</v>
      </c>
      <c r="Y591" s="30" t="n">
        <v>20476584</v>
      </c>
      <c r="Z591" s="30" t="n">
        <v>408303084960</v>
      </c>
      <c r="AA591" s="30" t="n">
        <v>3115106560</v>
      </c>
      <c r="AB591" s="30" t="n">
        <v>6749893939</v>
      </c>
      <c r="AC591" s="35" t="n">
        <v>0.007629397559671086</v>
      </c>
      <c r="AD591" s="24" t="inlineStr">
        <is>
          <t>yfinance_download</t>
        </is>
      </c>
      <c r="AE591" s="24" t="inlineStr">
        <is>
          <t>317330.KQ</t>
        </is>
      </c>
    </row>
    <row r="592" ht="24" customHeight="1">
      <c r="A592" s="29" t="inlineStr">
        <is>
          <t>2025-11-12</t>
        </is>
      </c>
      <c r="B592" s="31" t="n">
        <v>20400</v>
      </c>
      <c r="C592" s="31" t="n">
        <v>20450</v>
      </c>
      <c r="D592" s="31" t="n">
        <v>19800</v>
      </c>
      <c r="E592" s="31" t="n">
        <v>20100</v>
      </c>
      <c r="F592" s="31" t="n">
        <v>20100</v>
      </c>
      <c r="G592" s="31" t="n">
        <v>80324</v>
      </c>
      <c r="H592" s="36" t="n">
        <v>0.008024072216650024</v>
      </c>
      <c r="I592" s="36" t="n">
        <v>-0.6726384364820848</v>
      </c>
      <c r="J592" s="31" t="n">
        <v>21124</v>
      </c>
      <c r="K592" s="31" t="n">
        <v>19109.83333333333</v>
      </c>
      <c r="L592" s="31" t="n">
        <v>17940.83333333333</v>
      </c>
      <c r="M592" s="36" t="n">
        <v>0.7525451877377872</v>
      </c>
      <c r="N592" s="36" t="n">
        <v>0.6176228975521504</v>
      </c>
      <c r="O592" s="36" t="n">
        <v>0.1585014409221901</v>
      </c>
      <c r="P592" s="36" t="n">
        <v>0.1285794497473329</v>
      </c>
      <c r="Q592" s="36" t="n">
        <v>0.04960835509138373</v>
      </c>
      <c r="R592" s="36" t="n">
        <v>-0.04847566748721832</v>
      </c>
      <c r="S592" s="36" t="n">
        <v>0.05181451085392341</v>
      </c>
      <c r="T592" s="36" t="n">
        <v>0.1203492962980166</v>
      </c>
      <c r="U592" s="31" t="n">
        <v>40700</v>
      </c>
      <c r="V592" s="31" t="n">
        <v>15050</v>
      </c>
      <c r="W592" s="36" t="n">
        <v>-0.5061425061425062</v>
      </c>
      <c r="X592" s="36" t="n">
        <v>0.3355481727574752</v>
      </c>
      <c r="Y592" s="31" t="n">
        <v>20476584</v>
      </c>
      <c r="Z592" s="31" t="n">
        <v>411579338400</v>
      </c>
      <c r="AA592" s="31" t="n">
        <v>1614512400</v>
      </c>
      <c r="AB592" s="31" t="n">
        <v>6768759869</v>
      </c>
      <c r="AC592" s="36" t="n">
        <v>0.003922724610706551</v>
      </c>
      <c r="AD592" s="29" t="inlineStr">
        <is>
          <t>yfinance_download</t>
        </is>
      </c>
      <c r="AE592" s="29" t="inlineStr">
        <is>
          <t>317330.KQ</t>
        </is>
      </c>
    </row>
    <row r="593" ht="24" customHeight="1">
      <c r="A593" s="24" t="inlineStr">
        <is>
          <t>2025-11-13</t>
        </is>
      </c>
      <c r="B593" s="30" t="n">
        <v>20100</v>
      </c>
      <c r="C593" s="30" t="n">
        <v>20750</v>
      </c>
      <c r="D593" s="30" t="n">
        <v>19870</v>
      </c>
      <c r="E593" s="30" t="n">
        <v>20300</v>
      </c>
      <c r="F593" s="30" t="n">
        <v>20300</v>
      </c>
      <c r="G593" s="30" t="n">
        <v>81975</v>
      </c>
      <c r="H593" s="35" t="n">
        <v>0.00995024875621886</v>
      </c>
      <c r="I593" s="35" t="n">
        <v>-0.6693811074918568</v>
      </c>
      <c r="J593" s="30" t="n">
        <v>21225</v>
      </c>
      <c r="K593" s="30" t="n">
        <v>19120.83333333333</v>
      </c>
      <c r="L593" s="30" t="n">
        <v>17947.83333333333</v>
      </c>
      <c r="M593" s="35" t="n">
        <v>0.7334874018207512</v>
      </c>
      <c r="N593" s="35" t="n">
        <v>0.5816770060519733</v>
      </c>
      <c r="O593" s="35" t="n">
        <v>0.1105032822757113</v>
      </c>
      <c r="P593" s="35" t="n">
        <v>0.03360488798370675</v>
      </c>
      <c r="Q593" s="35" t="n">
        <v>0.04316546762589923</v>
      </c>
      <c r="R593" s="35" t="n">
        <v>-0.04358068315665486</v>
      </c>
      <c r="S593" s="35" t="n">
        <v>0.06166920897799089</v>
      </c>
      <c r="T593" s="35" t="n">
        <v>0.131055744890284</v>
      </c>
      <c r="U593" s="30" t="n">
        <v>40700</v>
      </c>
      <c r="V593" s="30" t="n">
        <v>15050</v>
      </c>
      <c r="W593" s="35" t="n">
        <v>-0.5012285012285012</v>
      </c>
      <c r="X593" s="35" t="n">
        <v>0.3488372093023255</v>
      </c>
      <c r="Y593" s="30" t="n">
        <v>20476584</v>
      </c>
      <c r="Z593" s="30" t="n">
        <v>415674655200</v>
      </c>
      <c r="AA593" s="30" t="n">
        <v>1664092500</v>
      </c>
      <c r="AB593" s="30" t="n">
        <v>6667799892</v>
      </c>
      <c r="AC593" s="35" t="n">
        <v>0.004003353293693909</v>
      </c>
      <c r="AD593" s="24" t="inlineStr">
        <is>
          <t>yfinance_download</t>
        </is>
      </c>
      <c r="AE593" s="24" t="inlineStr">
        <is>
          <t>317330.KQ</t>
        </is>
      </c>
    </row>
    <row r="594" ht="24" customHeight="1">
      <c r="A594" s="29" t="inlineStr">
        <is>
          <t>2025-11-14</t>
        </is>
      </c>
      <c r="B594" s="31" t="n">
        <v>19820</v>
      </c>
      <c r="C594" s="31" t="n">
        <v>19960</v>
      </c>
      <c r="D594" s="31" t="n">
        <v>19200</v>
      </c>
      <c r="E594" s="31" t="n">
        <v>19260</v>
      </c>
      <c r="F594" s="31" t="n">
        <v>19260</v>
      </c>
      <c r="G594" s="31" t="n">
        <v>121121</v>
      </c>
      <c r="H594" s="36" t="n">
        <v>-0.05123152709359602</v>
      </c>
      <c r="I594" s="36" t="n">
        <v>-0.6863192182410424</v>
      </c>
      <c r="J594" s="31" t="n">
        <v>21238</v>
      </c>
      <c r="K594" s="31" t="n">
        <v>19121.83333333333</v>
      </c>
      <c r="L594" s="31" t="n">
        <v>17957.5</v>
      </c>
      <c r="M594" s="36" t="n">
        <v>0.7495078955249102</v>
      </c>
      <c r="N594" s="36" t="n">
        <v>0.5896188348166507</v>
      </c>
      <c r="O594" s="36" t="n">
        <v>0.01368421052631574</v>
      </c>
      <c r="P594" s="36" t="n">
        <v>0.003125000000000044</v>
      </c>
      <c r="Q594" s="36" t="n">
        <v>0.06408839779005526</v>
      </c>
      <c r="R594" s="36" t="n">
        <v>-0.09313494679348333</v>
      </c>
      <c r="S594" s="36" t="n">
        <v>0.007225597266649952</v>
      </c>
      <c r="T594" s="36" t="n">
        <v>0.07253236809132679</v>
      </c>
      <c r="U594" s="31" t="n">
        <v>40700</v>
      </c>
      <c r="V594" s="31" t="n">
        <v>15050</v>
      </c>
      <c r="W594" s="36" t="n">
        <v>-0.5267813267813268</v>
      </c>
      <c r="X594" s="36" t="n">
        <v>0.279734219269103</v>
      </c>
      <c r="Y594" s="31" t="n">
        <v>20476584</v>
      </c>
      <c r="Z594" s="31" t="n">
        <v>394379007840</v>
      </c>
      <c r="AA594" s="31" t="n">
        <v>2332790460</v>
      </c>
      <c r="AB594" s="31" t="n">
        <v>6394035015</v>
      </c>
      <c r="AC594" s="36" t="n">
        <v>0.005915097947978042</v>
      </c>
      <c r="AD594" s="29" t="inlineStr">
        <is>
          <t>yfinance_download</t>
        </is>
      </c>
      <c r="AE594" s="29" t="inlineStr">
        <is>
          <t>317330.KQ</t>
        </is>
      </c>
    </row>
    <row r="595" ht="24" customHeight="1">
      <c r="A595" s="24" t="inlineStr">
        <is>
          <t>2025-11-17</t>
        </is>
      </c>
      <c r="B595" s="30" t="n">
        <v>19380</v>
      </c>
      <c r="C595" s="30" t="n">
        <v>19410</v>
      </c>
      <c r="D595" s="30" t="n">
        <v>18610</v>
      </c>
      <c r="E595" s="30" t="n">
        <v>18620</v>
      </c>
      <c r="F595" s="30" t="n">
        <v>18620</v>
      </c>
      <c r="G595" s="30" t="n">
        <v>107552</v>
      </c>
      <c r="H595" s="35" t="n">
        <v>-0.03322949117341645</v>
      </c>
      <c r="I595" s="35" t="n">
        <v>-0.6967426710097719</v>
      </c>
      <c r="J595" s="30" t="n">
        <v>21228.5</v>
      </c>
      <c r="K595" s="30" t="n">
        <v>19138.5</v>
      </c>
      <c r="L595" s="30" t="n">
        <v>17964.91666666667</v>
      </c>
      <c r="M595" s="35" t="n">
        <v>0.7587939358052079</v>
      </c>
      <c r="N595" s="35" t="n">
        <v>0.5683053776596875</v>
      </c>
      <c r="O595" s="35" t="n">
        <v>-0.01010101010101006</v>
      </c>
      <c r="P595" s="35" t="n">
        <v>0.05675368898978439</v>
      </c>
      <c r="Q595" s="35" t="n">
        <v>0.05019740552735485</v>
      </c>
      <c r="R595" s="35" t="n">
        <v>-0.1228772640553972</v>
      </c>
      <c r="S595" s="35" t="n">
        <v>-0.02709198735533092</v>
      </c>
      <c r="T595" s="35" t="n">
        <v>0.03646459070688701</v>
      </c>
      <c r="U595" s="30" t="n">
        <v>40700</v>
      </c>
      <c r="V595" s="30" t="n">
        <v>15050</v>
      </c>
      <c r="W595" s="35" t="n">
        <v>-0.5425061425061425</v>
      </c>
      <c r="X595" s="35" t="n">
        <v>0.2372093023255815</v>
      </c>
      <c r="Y595" s="30" t="n">
        <v>20476584</v>
      </c>
      <c r="Z595" s="30" t="n">
        <v>381273994080</v>
      </c>
      <c r="AA595" s="30" t="n">
        <v>2002618240</v>
      </c>
      <c r="AB595" s="30" t="n">
        <v>6325070610.5</v>
      </c>
      <c r="AC595" s="35" t="n">
        <v>0.005252438590342998</v>
      </c>
      <c r="AD595" s="24" t="inlineStr">
        <is>
          <t>yfinance_download</t>
        </is>
      </c>
      <c r="AE595" s="24" t="inlineStr">
        <is>
          <t>317330.KQ</t>
        </is>
      </c>
    </row>
    <row r="596" ht="24" customHeight="1">
      <c r="A596" s="29" t="inlineStr">
        <is>
          <t>2025-11-18</t>
        </is>
      </c>
      <c r="B596" s="31" t="n">
        <v>19310</v>
      </c>
      <c r="C596" s="31" t="n">
        <v>19740</v>
      </c>
      <c r="D596" s="31" t="n">
        <v>18720</v>
      </c>
      <c r="E596" s="31" t="n">
        <v>19360</v>
      </c>
      <c r="F596" s="31" t="n">
        <v>19360</v>
      </c>
      <c r="G596" s="31" t="n">
        <v>198074</v>
      </c>
      <c r="H596" s="36" t="n">
        <v>0.03974221267454348</v>
      </c>
      <c r="I596" s="36" t="n">
        <v>-0.6846905537459284</v>
      </c>
      <c r="J596" s="31" t="n">
        <v>21214</v>
      </c>
      <c r="K596" s="31" t="n">
        <v>19174.83333333333</v>
      </c>
      <c r="L596" s="31" t="n">
        <v>17980.5</v>
      </c>
      <c r="M596" s="36" t="n">
        <v>0.7551954680270032</v>
      </c>
      <c r="N596" s="36" t="n">
        <v>0.5708832057950214</v>
      </c>
      <c r="O596" s="36" t="n">
        <v>-0.01475826972010175</v>
      </c>
      <c r="P596" s="36" t="n">
        <v>0.1268917345750873</v>
      </c>
      <c r="Q596" s="36" t="n">
        <v>0.1069182389937107</v>
      </c>
      <c r="R596" s="36" t="n">
        <v>-0.0873951164325445</v>
      </c>
      <c r="S596" s="36" t="n">
        <v>0.009656754947891866</v>
      </c>
      <c r="T596" s="36" t="n">
        <v>0.07672200439364874</v>
      </c>
      <c r="U596" s="31" t="n">
        <v>40100</v>
      </c>
      <c r="V596" s="31" t="n">
        <v>15050</v>
      </c>
      <c r="W596" s="36" t="n">
        <v>-0.5172069825436409</v>
      </c>
      <c r="X596" s="36" t="n">
        <v>0.2863787375415283</v>
      </c>
      <c r="Y596" s="31" t="n">
        <v>20476584</v>
      </c>
      <c r="Z596" s="31" t="n">
        <v>396426666240</v>
      </c>
      <c r="AA596" s="31" t="n">
        <v>3834712640</v>
      </c>
      <c r="AB596" s="31" t="n">
        <v>6006312997.5</v>
      </c>
      <c r="AC596" s="36" t="n">
        <v>0.009673195490029001</v>
      </c>
      <c r="AD596" s="29" t="inlineStr">
        <is>
          <t>yfinance_download</t>
        </is>
      </c>
      <c r="AE596" s="29" t="inlineStr">
        <is>
          <t>317330.KQ</t>
        </is>
      </c>
    </row>
    <row r="597" ht="24" customHeight="1">
      <c r="A597" s="24" t="inlineStr">
        <is>
          <t>2025-11-19</t>
        </is>
      </c>
      <c r="B597" s="30" t="n">
        <v>19850</v>
      </c>
      <c r="C597" s="30" t="n">
        <v>20300</v>
      </c>
      <c r="D597" s="30" t="n">
        <v>19270</v>
      </c>
      <c r="E597" s="30" t="n">
        <v>19680</v>
      </c>
      <c r="F597" s="30" t="n">
        <v>19680</v>
      </c>
      <c r="G597" s="30" t="n">
        <v>239374</v>
      </c>
      <c r="H597" s="35" t="n">
        <v>0.01652892561983466</v>
      </c>
      <c r="I597" s="35" t="n">
        <v>-0.6794788273615635</v>
      </c>
      <c r="J597" s="30" t="n">
        <v>21065.5</v>
      </c>
      <c r="K597" s="30" t="n">
        <v>19208.83333333333</v>
      </c>
      <c r="L597" s="30" t="n">
        <v>18003.83333333333</v>
      </c>
      <c r="M597" s="35" t="n">
        <v>0.5035365894814199</v>
      </c>
      <c r="N597" s="35" t="n">
        <v>0.5694151741726604</v>
      </c>
      <c r="O597" s="35" t="n">
        <v>-0.1311258278145695</v>
      </c>
      <c r="P597" s="35" t="n">
        <v>0.1156462585034013</v>
      </c>
      <c r="Q597" s="35" t="n">
        <v>0.1658767772511849</v>
      </c>
      <c r="R597" s="35" t="n">
        <v>-0.06577104744724782</v>
      </c>
      <c r="S597" s="35" t="n">
        <v>0.02452864567516677</v>
      </c>
      <c r="T597" s="35" t="n">
        <v>0.09310054340279383</v>
      </c>
      <c r="U597" s="30" t="n">
        <v>39600</v>
      </c>
      <c r="V597" s="30" t="n">
        <v>15050</v>
      </c>
      <c r="W597" s="35" t="n">
        <v>-0.503030303030303</v>
      </c>
      <c r="X597" s="35" t="n">
        <v>0.307641196013289</v>
      </c>
      <c r="Y597" s="30" t="n">
        <v>20476584</v>
      </c>
      <c r="Z597" s="30" t="n">
        <v>402979173120</v>
      </c>
      <c r="AA597" s="30" t="n">
        <v>4710880320</v>
      </c>
      <c r="AB597" s="30" t="n">
        <v>5328823056</v>
      </c>
      <c r="AC597" s="35" t="n">
        <v>0.01169013347148138</v>
      </c>
      <c r="AD597" s="24" t="inlineStr">
        <is>
          <t>yfinance_download</t>
        </is>
      </c>
      <c r="AE597" s="24" t="inlineStr">
        <is>
          <t>317330.KQ</t>
        </is>
      </c>
    </row>
    <row r="598" ht="24" customHeight="1">
      <c r="A598" s="29" t="inlineStr">
        <is>
          <t>2025-11-20</t>
        </is>
      </c>
      <c r="B598" s="31" t="n">
        <v>19770</v>
      </c>
      <c r="C598" s="31" t="n">
        <v>19940</v>
      </c>
      <c r="D598" s="31" t="n">
        <v>18810</v>
      </c>
      <c r="E598" s="31" t="n">
        <v>18990</v>
      </c>
      <c r="F598" s="31" t="n">
        <v>18990</v>
      </c>
      <c r="G598" s="31" t="n">
        <v>175540</v>
      </c>
      <c r="H598" s="36" t="n">
        <v>-0.03506097560975607</v>
      </c>
      <c r="I598" s="36" t="n">
        <v>-0.6907166123778501</v>
      </c>
      <c r="J598" s="31" t="n">
        <v>20840</v>
      </c>
      <c r="K598" s="31" t="n">
        <v>19222.83333333333</v>
      </c>
      <c r="L598" s="31" t="n">
        <v>18016.58333333333</v>
      </c>
      <c r="M598" s="36" t="n">
        <v>0.4849012443314935</v>
      </c>
      <c r="N598" s="36" t="n">
        <v>0.571801409601276</v>
      </c>
      <c r="O598" s="36" t="n">
        <v>-0.1919148936170213</v>
      </c>
      <c r="P598" s="36" t="n">
        <v>0.04628099173553712</v>
      </c>
      <c r="Q598" s="36" t="n">
        <v>0.08762886597938135</v>
      </c>
      <c r="R598" s="36" t="n">
        <v>-0.0887715930902111</v>
      </c>
      <c r="S598" s="36" t="n">
        <v>-0.01211233168887693</v>
      </c>
      <c r="T598" s="36" t="n">
        <v>0.05402892705331674</v>
      </c>
      <c r="U598" s="31" t="n">
        <v>39600</v>
      </c>
      <c r="V598" s="31" t="n">
        <v>15050</v>
      </c>
      <c r="W598" s="36" t="n">
        <v>-0.5204545454545455</v>
      </c>
      <c r="X598" s="36" t="n">
        <v>0.2617940199335549</v>
      </c>
      <c r="Y598" s="31" t="n">
        <v>20476584</v>
      </c>
      <c r="Z598" s="31" t="n">
        <v>388850330160</v>
      </c>
      <c r="AA598" s="31" t="n">
        <v>3333504600</v>
      </c>
      <c r="AB598" s="31" t="n">
        <v>4458483236</v>
      </c>
      <c r="AC598" s="36" t="n">
        <v>0.008572718965233653</v>
      </c>
      <c r="AD598" s="29" t="inlineStr">
        <is>
          <t>yfinance_download</t>
        </is>
      </c>
      <c r="AE598" s="29" t="inlineStr">
        <is>
          <t>317330.KQ</t>
        </is>
      </c>
    </row>
    <row r="599" ht="24" customHeight="1">
      <c r="A599" s="24" t="inlineStr">
        <is>
          <t>2025-11-21</t>
        </is>
      </c>
      <c r="B599" s="30" t="n">
        <v>18150</v>
      </c>
      <c r="C599" s="30" t="n">
        <v>18190</v>
      </c>
      <c r="D599" s="30" t="n">
        <v>17650</v>
      </c>
      <c r="E599" s="30" t="n">
        <v>17700</v>
      </c>
      <c r="F599" s="30" t="n">
        <v>17700</v>
      </c>
      <c r="G599" s="30" t="n">
        <v>118249</v>
      </c>
      <c r="H599" s="35" t="n">
        <v>-0.06793048973143756</v>
      </c>
      <c r="I599" s="35" t="n">
        <v>-0.7117263843648208</v>
      </c>
      <c r="J599" s="30" t="n">
        <v>20517.5</v>
      </c>
      <c r="K599" s="30" t="n">
        <v>19214.16666666667</v>
      </c>
      <c r="L599" s="30" t="n">
        <v>18023.5</v>
      </c>
      <c r="M599" s="35" t="n">
        <v>0.5043760867928715</v>
      </c>
      <c r="N599" s="35" t="n">
        <v>0.5891345504294692</v>
      </c>
      <c r="O599" s="35" t="n">
        <v>-0.2670807453416149</v>
      </c>
      <c r="P599" s="35" t="n">
        <v>-0.02854006586169044</v>
      </c>
      <c r="Q599" s="35" t="n">
        <v>0.049199762892709</v>
      </c>
      <c r="R599" s="35" t="n">
        <v>-0.1373217984647253</v>
      </c>
      <c r="S599" s="35" t="n">
        <v>-0.07880470139220197</v>
      </c>
      <c r="T599" s="35" t="n">
        <v>-0.01794878908092212</v>
      </c>
      <c r="U599" s="30" t="n">
        <v>39600</v>
      </c>
      <c r="V599" s="30" t="n">
        <v>15050</v>
      </c>
      <c r="W599" s="35" t="n">
        <v>-0.553030303030303</v>
      </c>
      <c r="X599" s="35" t="n">
        <v>0.176079734219269</v>
      </c>
      <c r="Y599" s="30" t="n">
        <v>20476584</v>
      </c>
      <c r="Z599" s="30" t="n">
        <v>362435536800</v>
      </c>
      <c r="AA599" s="30" t="n">
        <v>2093007300</v>
      </c>
      <c r="AB599" s="30" t="n">
        <v>4016413826</v>
      </c>
      <c r="AC599" s="35" t="n">
        <v>0.005774840178420385</v>
      </c>
      <c r="AD599" s="24" t="inlineStr">
        <is>
          <t>yfinance_download</t>
        </is>
      </c>
      <c r="AE599" s="24" t="inlineStr">
        <is>
          <t>317330.KQ</t>
        </is>
      </c>
    </row>
    <row r="600" ht="24" customHeight="1">
      <c r="A600" s="29" t="inlineStr">
        <is>
          <t>2025-11-24</t>
        </is>
      </c>
      <c r="B600" s="31" t="n">
        <v>17890</v>
      </c>
      <c r="C600" s="31" t="n">
        <v>18720</v>
      </c>
      <c r="D600" s="31" t="n">
        <v>17300</v>
      </c>
      <c r="E600" s="31" t="n">
        <v>17550</v>
      </c>
      <c r="F600" s="31" t="n">
        <v>17550</v>
      </c>
      <c r="G600" s="31" t="n">
        <v>56633</v>
      </c>
      <c r="H600" s="36" t="n">
        <v>-0.008474576271186418</v>
      </c>
      <c r="I600" s="36" t="n">
        <v>-0.7141693811074918</v>
      </c>
      <c r="J600" s="31" t="n">
        <v>20182.5</v>
      </c>
      <c r="K600" s="31" t="n">
        <v>19177.83333333333</v>
      </c>
      <c r="L600" s="31" t="n">
        <v>18021.5</v>
      </c>
      <c r="M600" s="36" t="n">
        <v>0.5000196142609379</v>
      </c>
      <c r="N600" s="36" t="n">
        <v>0.5635561563480964</v>
      </c>
      <c r="O600" s="36" t="n">
        <v>-0.2762886597938145</v>
      </c>
      <c r="P600" s="36" t="n">
        <v>-0.1104916371008616</v>
      </c>
      <c r="Q600" s="36" t="n">
        <v>-0.01349072512647553</v>
      </c>
      <c r="R600" s="36" t="n">
        <v>-0.1304347826086957</v>
      </c>
      <c r="S600" s="36" t="n">
        <v>-0.08488098238417607</v>
      </c>
      <c r="T600" s="36" t="n">
        <v>-0.02616319396276667</v>
      </c>
      <c r="U600" s="31" t="n">
        <v>37600</v>
      </c>
      <c r="V600" s="31" t="n">
        <v>15050</v>
      </c>
      <c r="W600" s="36" t="n">
        <v>-0.5332446808510638</v>
      </c>
      <c r="X600" s="36" t="n">
        <v>0.1661129568106312</v>
      </c>
      <c r="Y600" s="31" t="n">
        <v>20476584</v>
      </c>
      <c r="Z600" s="31" t="n">
        <v>359364049200</v>
      </c>
      <c r="AA600" s="31" t="n">
        <v>993909150</v>
      </c>
      <c r="AB600" s="31" t="n">
        <v>3476306846</v>
      </c>
      <c r="AC600" s="36" t="n">
        <v>0.002765744520668096</v>
      </c>
      <c r="AD600" s="29" t="inlineStr">
        <is>
          <t>yfinance_download</t>
        </is>
      </c>
      <c r="AE600" s="29" t="inlineStr">
        <is>
          <t>317330.KQ</t>
        </is>
      </c>
    </row>
    <row r="601" ht="24" customHeight="1">
      <c r="A601" s="24" t="inlineStr">
        <is>
          <t>2025-11-25</t>
        </is>
      </c>
      <c r="B601" s="30" t="n">
        <v>17810</v>
      </c>
      <c r="C601" s="30" t="n">
        <v>17980</v>
      </c>
      <c r="D601" s="30" t="n">
        <v>17210</v>
      </c>
      <c r="E601" s="30" t="n">
        <v>17300</v>
      </c>
      <c r="F601" s="30" t="n">
        <v>17300</v>
      </c>
      <c r="G601" s="30" t="n">
        <v>51314</v>
      </c>
      <c r="H601" s="35" t="n">
        <v>-0.01424501424501423</v>
      </c>
      <c r="I601" s="35" t="n">
        <v>-0.7182410423452769</v>
      </c>
      <c r="J601" s="30" t="n">
        <v>19857.5</v>
      </c>
      <c r="K601" s="30" t="n">
        <v>19128.66666666667</v>
      </c>
      <c r="L601" s="30" t="n">
        <v>18013.08333333333</v>
      </c>
      <c r="M601" s="35" t="n">
        <v>0.4999108692191744</v>
      </c>
      <c r="N601" s="35" t="n">
        <v>0.5611702374033479</v>
      </c>
      <c r="O601" s="35" t="n">
        <v>-0.273109243697479</v>
      </c>
      <c r="P601" s="35" t="n">
        <v>-0.145679012345679</v>
      </c>
      <c r="Q601" s="35" t="n">
        <v>-0.0551611141452758</v>
      </c>
      <c r="R601" s="35" t="n">
        <v>-0.1287926476142516</v>
      </c>
      <c r="S601" s="35" t="n">
        <v>-0.09559822953333574</v>
      </c>
      <c r="T601" s="35" t="n">
        <v>-0.0395869668805543</v>
      </c>
      <c r="U601" s="30" t="n">
        <v>37600</v>
      </c>
      <c r="V601" s="30" t="n">
        <v>15050</v>
      </c>
      <c r="W601" s="35" t="n">
        <v>-0.5398936170212766</v>
      </c>
      <c r="X601" s="35" t="n">
        <v>0.1495016611295681</v>
      </c>
      <c r="Y601" s="30" t="n">
        <v>20476584</v>
      </c>
      <c r="Z601" s="30" t="n">
        <v>354244903200</v>
      </c>
      <c r="AA601" s="30" t="n">
        <v>887732200</v>
      </c>
      <c r="AB601" s="30" t="n">
        <v>3177299916</v>
      </c>
      <c r="AC601" s="35" t="n">
        <v>0.002505984396616154</v>
      </c>
      <c r="AD601" s="24" t="inlineStr">
        <is>
          <t>yfinance_download</t>
        </is>
      </c>
      <c r="AE601" s="24" t="inlineStr">
        <is>
          <t>317330.KQ</t>
        </is>
      </c>
    </row>
    <row r="602" ht="24" customHeight="1">
      <c r="A602" s="29" t="inlineStr">
        <is>
          <t>2025-11-26</t>
        </is>
      </c>
      <c r="B602" s="31" t="n">
        <v>17500</v>
      </c>
      <c r="C602" s="31" t="n">
        <v>17940</v>
      </c>
      <c r="D602" s="31" t="n">
        <v>17430</v>
      </c>
      <c r="E602" s="31" t="n">
        <v>17890</v>
      </c>
      <c r="F602" s="31" t="n">
        <v>17890</v>
      </c>
      <c r="G602" s="31" t="n">
        <v>60336</v>
      </c>
      <c r="H602" s="36" t="n">
        <v>0.03410404624277463</v>
      </c>
      <c r="I602" s="36" t="n">
        <v>-0.7086319218241042</v>
      </c>
      <c r="J602" s="31" t="n">
        <v>19604.5</v>
      </c>
      <c r="K602" s="31" t="n">
        <v>19085.16666666667</v>
      </c>
      <c r="L602" s="31" t="n">
        <v>18011.66666666667</v>
      </c>
      <c r="M602" s="36" t="n">
        <v>0.5230693224316846</v>
      </c>
      <c r="N602" s="36" t="n">
        <v>0.5653057519536263</v>
      </c>
      <c r="O602" s="36" t="n">
        <v>-0.220479302832244</v>
      </c>
      <c r="P602" s="36" t="n">
        <v>-0.1273170731707317</v>
      </c>
      <c r="Q602" s="36" t="n">
        <v>-0.009413067552602405</v>
      </c>
      <c r="R602" s="36" t="n">
        <v>-0.08745441097707163</v>
      </c>
      <c r="S602" s="36" t="n">
        <v>-0.06262280479604587</v>
      </c>
      <c r="T602" s="36" t="n">
        <v>-0.006754881095586307</v>
      </c>
      <c r="U602" s="31" t="n">
        <v>37600</v>
      </c>
      <c r="V602" s="31" t="n">
        <v>15050</v>
      </c>
      <c r="W602" s="36" t="n">
        <v>-0.5242021276595745</v>
      </c>
      <c r="X602" s="36" t="n">
        <v>0.1887043189368771</v>
      </c>
      <c r="Y602" s="31" t="n">
        <v>20476584</v>
      </c>
      <c r="Z602" s="31" t="n">
        <v>366326087760</v>
      </c>
      <c r="AA602" s="31" t="n">
        <v>1079411040</v>
      </c>
      <c r="AB602" s="31" t="n">
        <v>2925647613</v>
      </c>
      <c r="AC602" s="36" t="n">
        <v>0.002946585231208487</v>
      </c>
      <c r="AD602" s="29" t="inlineStr">
        <is>
          <t>yfinance_download</t>
        </is>
      </c>
      <c r="AE602" s="29" t="inlineStr">
        <is>
          <t>317330.KQ</t>
        </is>
      </c>
    </row>
    <row r="603" ht="24" customHeight="1">
      <c r="A603" s="24" t="inlineStr">
        <is>
          <t>2025-11-27</t>
        </is>
      </c>
      <c r="B603" s="30" t="n">
        <v>18230</v>
      </c>
      <c r="C603" s="30" t="n">
        <v>18260</v>
      </c>
      <c r="D603" s="30" t="n">
        <v>17760</v>
      </c>
      <c r="E603" s="30" t="n">
        <v>17770</v>
      </c>
      <c r="F603" s="30" t="n">
        <v>17770</v>
      </c>
      <c r="G603" s="30" t="n">
        <v>46207</v>
      </c>
      <c r="H603" s="35" t="n">
        <v>-0.006707657909446607</v>
      </c>
      <c r="I603" s="35" t="n">
        <v>-0.7105863192182411</v>
      </c>
      <c r="J603" s="30" t="n">
        <v>19430.5</v>
      </c>
      <c r="K603" s="30" t="n">
        <v>19060.66666666667</v>
      </c>
      <c r="L603" s="30" t="n">
        <v>18011.66666666667</v>
      </c>
      <c r="M603" s="35" t="n">
        <v>0.4686069317439426</v>
      </c>
      <c r="N603" s="35" t="n">
        <v>0.5515334880136594</v>
      </c>
      <c r="O603" s="35" t="n">
        <v>-0.1637647058823529</v>
      </c>
      <c r="P603" s="35" t="n">
        <v>-0.07640332640332637</v>
      </c>
      <c r="Q603" s="35" t="n">
        <v>0</v>
      </c>
      <c r="R603" s="35" t="n">
        <v>-0.08545842875890997</v>
      </c>
      <c r="S603" s="35" t="n">
        <v>-0.0677136161729216</v>
      </c>
      <c r="T603" s="35" t="n">
        <v>-0.01341722957342473</v>
      </c>
      <c r="U603" s="30" t="n">
        <v>37600</v>
      </c>
      <c r="V603" s="30" t="n">
        <v>15050</v>
      </c>
      <c r="W603" s="35" t="n">
        <v>-0.5273936170212765</v>
      </c>
      <c r="X603" s="35" t="n">
        <v>0.1807308970099668</v>
      </c>
      <c r="Y603" s="30" t="n">
        <v>20476584</v>
      </c>
      <c r="Z603" s="30" t="n">
        <v>363868897680</v>
      </c>
      <c r="AA603" s="30" t="n">
        <v>821098390</v>
      </c>
      <c r="AB603" s="30" t="n">
        <v>2629775282.5</v>
      </c>
      <c r="AC603" s="35" t="n">
        <v>0.00225657756196053</v>
      </c>
      <c r="AD603" s="24" t="inlineStr">
        <is>
          <t>yfinance_download</t>
        </is>
      </c>
      <c r="AE603" s="24" t="inlineStr">
        <is>
          <t>317330.KQ</t>
        </is>
      </c>
    </row>
    <row r="604" ht="24" customHeight="1">
      <c r="A604" s="29" t="inlineStr">
        <is>
          <t>2025-11-28</t>
        </is>
      </c>
      <c r="B604" s="31" t="n">
        <v>18800</v>
      </c>
      <c r="C604" s="31" t="n">
        <v>21750</v>
      </c>
      <c r="D604" s="31" t="n">
        <v>18710</v>
      </c>
      <c r="E604" s="31" t="n">
        <v>21500</v>
      </c>
      <c r="F604" s="31" t="n">
        <v>21500</v>
      </c>
      <c r="G604" s="31" t="n">
        <v>751099</v>
      </c>
      <c r="H604" s="36" t="n">
        <v>0.2099043331457513</v>
      </c>
      <c r="I604" s="36" t="n">
        <v>-0.6498371335504887</v>
      </c>
      <c r="J604" s="31" t="n">
        <v>19465.5</v>
      </c>
      <c r="K604" s="31" t="n">
        <v>19107.5</v>
      </c>
      <c r="L604" s="31" t="n">
        <v>18040.25</v>
      </c>
      <c r="M604" s="36" t="n">
        <v>0.9025545366378603</v>
      </c>
      <c r="N604" s="36" t="n">
        <v>0.6973919154450928</v>
      </c>
      <c r="O604" s="36" t="n">
        <v>0.03365384615384626</v>
      </c>
      <c r="P604" s="36" t="n">
        <v>0.1503477795612627</v>
      </c>
      <c r="Q604" s="36" t="n">
        <v>0.1898173768677365</v>
      </c>
      <c r="R604" s="36" t="n">
        <v>0.1045182502375999</v>
      </c>
      <c r="S604" s="36" t="n">
        <v>0.1252126128483579</v>
      </c>
      <c r="T604" s="36" t="n">
        <v>0.1917794930779784</v>
      </c>
      <c r="U604" s="31" t="n">
        <v>37600</v>
      </c>
      <c r="V604" s="31" t="n">
        <v>15050</v>
      </c>
      <c r="W604" s="36" t="n">
        <v>-0.4281914893617021</v>
      </c>
      <c r="X604" s="36" t="n">
        <v>0.4285714285714286</v>
      </c>
      <c r="Y604" s="31" t="n">
        <v>20476584</v>
      </c>
      <c r="Z604" s="31" t="n">
        <v>440246556000</v>
      </c>
      <c r="AA604" s="31" t="n">
        <v>16148628500</v>
      </c>
      <c r="AB604" s="31" t="n">
        <v>3232571107.5</v>
      </c>
      <c r="AC604" s="36" t="n">
        <v>0.03668087411454957</v>
      </c>
      <c r="AD604" s="29" t="inlineStr">
        <is>
          <t>yfinance_download</t>
        </is>
      </c>
      <c r="AE604" s="29" t="inlineStr">
        <is>
          <t>317330.KQ</t>
        </is>
      </c>
    </row>
    <row r="605" ht="24" customHeight="1">
      <c r="A605" s="24" t="inlineStr">
        <is>
          <t>2025-12-01</t>
        </is>
      </c>
      <c r="B605" s="30" t="n">
        <v>21050</v>
      </c>
      <c r="C605" s="30" t="n">
        <v>21900</v>
      </c>
      <c r="D605" s="30" t="n">
        <v>20500</v>
      </c>
      <c r="E605" s="30" t="n">
        <v>21400</v>
      </c>
      <c r="F605" s="30" t="n">
        <v>21400</v>
      </c>
      <c r="G605" s="30" t="n">
        <v>297350</v>
      </c>
      <c r="H605" s="35" t="n">
        <v>-0.00465116279069766</v>
      </c>
      <c r="I605" s="35" t="n">
        <v>-0.6514657980456027</v>
      </c>
      <c r="J605" s="30" t="n">
        <v>19460.5</v>
      </c>
      <c r="K605" s="30" t="n">
        <v>19157.33333333333</v>
      </c>
      <c r="L605" s="30" t="n">
        <v>18063.16666666667</v>
      </c>
      <c r="M605" s="35" t="n">
        <v>0.8955542024086571</v>
      </c>
      <c r="N605" s="35" t="n">
        <v>0.6965605901784958</v>
      </c>
      <c r="O605" s="35" t="n">
        <v>-0.00465116279069766</v>
      </c>
      <c r="P605" s="35" t="n">
        <v>0.1624117327539381</v>
      </c>
      <c r="Q605" s="35" t="n">
        <v>0.1474530831099197</v>
      </c>
      <c r="R605" s="35" t="n">
        <v>0.09966342077541679</v>
      </c>
      <c r="S605" s="35" t="n">
        <v>0.1170657015590202</v>
      </c>
      <c r="T605" s="35" t="n">
        <v>0.184731359396193</v>
      </c>
      <c r="U605" s="30" t="n">
        <v>37600</v>
      </c>
      <c r="V605" s="30" t="n">
        <v>15050</v>
      </c>
      <c r="W605" s="35" t="n">
        <v>-0.4308510638297872</v>
      </c>
      <c r="X605" s="35" t="n">
        <v>0.4219269102990033</v>
      </c>
      <c r="Y605" s="30" t="n">
        <v>20476584</v>
      </c>
      <c r="Z605" s="30" t="n">
        <v>438198897600</v>
      </c>
      <c r="AA605" s="30" t="n">
        <v>6363290000</v>
      </c>
      <c r="AB605" s="30" t="n">
        <v>3351070482.5</v>
      </c>
      <c r="AC605" s="35" t="n">
        <v>0.01452146510374973</v>
      </c>
      <c r="AD605" s="24" t="inlineStr">
        <is>
          <t>yfinance_download</t>
        </is>
      </c>
      <c r="AE605" s="24" t="inlineStr">
        <is>
          <t>317330.KQ</t>
        </is>
      </c>
    </row>
    <row r="606" ht="24" customHeight="1">
      <c r="A606" s="29" t="inlineStr">
        <is>
          <t>2025-12-02</t>
        </is>
      </c>
      <c r="B606" s="31" t="n">
        <v>20950</v>
      </c>
      <c r="C606" s="31" t="n">
        <v>21400</v>
      </c>
      <c r="D606" s="31" t="n">
        <v>20400</v>
      </c>
      <c r="E606" s="31" t="n">
        <v>20900</v>
      </c>
      <c r="F606" s="31" t="n">
        <v>20900</v>
      </c>
      <c r="G606" s="31" t="n">
        <v>163803</v>
      </c>
      <c r="H606" s="36" t="n">
        <v>-0.02336448598130836</v>
      </c>
      <c r="I606" s="36" t="n">
        <v>-0.6596091205211727</v>
      </c>
      <c r="J606" s="31" t="n">
        <v>19445.5</v>
      </c>
      <c r="K606" s="31" t="n">
        <v>19198.83333333333</v>
      </c>
      <c r="L606" s="31" t="n">
        <v>18074.91666666667</v>
      </c>
      <c r="M606" s="36" t="n">
        <v>0.8982789728064786</v>
      </c>
      <c r="N606" s="36" t="n">
        <v>0.6986905125354157</v>
      </c>
      <c r="O606" s="36" t="n">
        <v>-0.01415094339622647</v>
      </c>
      <c r="P606" s="36" t="n">
        <v>0.1352525801195004</v>
      </c>
      <c r="Q606" s="36" t="n">
        <v>0.07234479220112888</v>
      </c>
      <c r="R606" s="36" t="n">
        <v>0.07479879663675404</v>
      </c>
      <c r="S606" s="36" t="n">
        <v>0.08860781471096346</v>
      </c>
      <c r="T606" s="36" t="n">
        <v>0.1562985537047197</v>
      </c>
      <c r="U606" s="31" t="n">
        <v>37600</v>
      </c>
      <c r="V606" s="31" t="n">
        <v>15050</v>
      </c>
      <c r="W606" s="36" t="n">
        <v>-0.4441489361702128</v>
      </c>
      <c r="X606" s="36" t="n">
        <v>0.3887043189368771</v>
      </c>
      <c r="Y606" s="31" t="n">
        <v>20476584</v>
      </c>
      <c r="Z606" s="31" t="n">
        <v>427960605600</v>
      </c>
      <c r="AA606" s="31" t="n">
        <v>3423482700</v>
      </c>
      <c r="AB606" s="31" t="n">
        <v>3299944597.5</v>
      </c>
      <c r="AC606" s="36" t="n">
        <v>0.007999527655589428</v>
      </c>
      <c r="AD606" s="29" t="inlineStr">
        <is>
          <t>yfinance_download</t>
        </is>
      </c>
      <c r="AE606" s="29" t="inlineStr">
        <is>
          <t>317330.KQ</t>
        </is>
      </c>
    </row>
    <row r="607" ht="24" customHeight="1">
      <c r="A607" s="24" t="inlineStr">
        <is>
          <t>2025-12-03</t>
        </is>
      </c>
      <c r="B607" s="30" t="n">
        <v>21850</v>
      </c>
      <c r="C607" s="30" t="n">
        <v>21900</v>
      </c>
      <c r="D607" s="30" t="n">
        <v>21000</v>
      </c>
      <c r="E607" s="30" t="n">
        <v>21150</v>
      </c>
      <c r="F607" s="30" t="n">
        <v>21150</v>
      </c>
      <c r="G607" s="30" t="n">
        <v>150696</v>
      </c>
      <c r="H607" s="35" t="n">
        <v>0.01196172248803817</v>
      </c>
      <c r="I607" s="35" t="n">
        <v>-0.6555374592833876</v>
      </c>
      <c r="J607" s="30" t="n">
        <v>19473</v>
      </c>
      <c r="K607" s="30" t="n">
        <v>19245.5</v>
      </c>
      <c r="L607" s="30" t="n">
        <v>18097.66666666667</v>
      </c>
      <c r="M607" s="35" t="n">
        <v>0.8923969152641716</v>
      </c>
      <c r="N607" s="35" t="n">
        <v>0.6988032646268493</v>
      </c>
      <c r="O607" s="35" t="n">
        <v>0.02669902912621369</v>
      </c>
      <c r="P607" s="35" t="n">
        <v>0.1525885558583107</v>
      </c>
      <c r="Q607" s="35" t="n">
        <v>0.1482084690553747</v>
      </c>
      <c r="R607" s="35" t="n">
        <v>0.0861192420274226</v>
      </c>
      <c r="S607" s="35" t="n">
        <v>0.09895819802031647</v>
      </c>
      <c r="T607" s="35" t="n">
        <v>0.1686589431418415</v>
      </c>
      <c r="U607" s="30" t="n">
        <v>37600</v>
      </c>
      <c r="V607" s="30" t="n">
        <v>15050</v>
      </c>
      <c r="W607" s="35" t="n">
        <v>-0.4375</v>
      </c>
      <c r="X607" s="35" t="n">
        <v>0.4053156146179402</v>
      </c>
      <c r="Y607" s="30" t="n">
        <v>20476584</v>
      </c>
      <c r="Z607" s="30" t="n">
        <v>433079751600</v>
      </c>
      <c r="AA607" s="30" t="n">
        <v>3187220400</v>
      </c>
      <c r="AB607" s="30" t="n">
        <v>3259369227.5</v>
      </c>
      <c r="AC607" s="35" t="n">
        <v>0.007359430655035039</v>
      </c>
      <c r="AD607" s="24" t="inlineStr">
        <is>
          <t>yfinance_download</t>
        </is>
      </c>
      <c r="AE607" s="24" t="inlineStr">
        <is>
          <t>317330.KQ</t>
        </is>
      </c>
    </row>
    <row r="608" ht="24" customHeight="1">
      <c r="A608" s="29" t="inlineStr">
        <is>
          <t>2025-12-04</t>
        </is>
      </c>
      <c r="B608" s="31" t="n">
        <v>21500</v>
      </c>
      <c r="C608" s="31" t="n">
        <v>21500</v>
      </c>
      <c r="D608" s="31" t="n">
        <v>20500</v>
      </c>
      <c r="E608" s="31" t="n">
        <v>20700</v>
      </c>
      <c r="F608" s="31" t="n">
        <v>20700</v>
      </c>
      <c r="G608" s="31" t="n">
        <v>111307</v>
      </c>
      <c r="H608" s="36" t="n">
        <v>-0.02127659574468088</v>
      </c>
      <c r="I608" s="36" t="n">
        <v>-0.6628664495114007</v>
      </c>
      <c r="J608" s="31" t="n">
        <v>19478</v>
      </c>
      <c r="K608" s="31" t="n">
        <v>19286.33333333333</v>
      </c>
      <c r="L608" s="31" t="n">
        <v>18116.75</v>
      </c>
      <c r="M608" s="36" t="n">
        <v>0.8964368887653406</v>
      </c>
      <c r="N608" s="36" t="n">
        <v>0.7003973619772932</v>
      </c>
      <c r="O608" s="36" t="n">
        <v>0.004854368932038833</v>
      </c>
      <c r="P608" s="36" t="n">
        <v>0.1342465753424658</v>
      </c>
      <c r="Q608" s="36" t="n">
        <v>0.1243889190657252</v>
      </c>
      <c r="R608" s="36" t="n">
        <v>0.06273744737652742</v>
      </c>
      <c r="S608" s="36" t="n">
        <v>0.07329888176428923</v>
      </c>
      <c r="T608" s="36" t="n">
        <v>0.1425890405287924</v>
      </c>
      <c r="U608" s="31" t="n">
        <v>37600</v>
      </c>
      <c r="V608" s="31" t="n">
        <v>15050</v>
      </c>
      <c r="W608" s="36" t="n">
        <v>-0.449468085106383</v>
      </c>
      <c r="X608" s="36" t="n">
        <v>0.3754152823920265</v>
      </c>
      <c r="Y608" s="31" t="n">
        <v>20476584</v>
      </c>
      <c r="Z608" s="31" t="n">
        <v>423865288800</v>
      </c>
      <c r="AA608" s="31" t="n">
        <v>2304054900</v>
      </c>
      <c r="AB608" s="31" t="n">
        <v>3278880852.5</v>
      </c>
      <c r="AC608" s="36" t="n">
        <v>0.005435818786961731</v>
      </c>
      <c r="AD608" s="29" t="inlineStr">
        <is>
          <t>yfinance_download</t>
        </is>
      </c>
      <c r="AE608" s="29" t="inlineStr">
        <is>
          <t>317330.KQ</t>
        </is>
      </c>
    </row>
    <row r="609" ht="24" customHeight="1">
      <c r="A609" s="24" t="inlineStr">
        <is>
          <t>2025-12-05</t>
        </is>
      </c>
      <c r="B609" s="30" t="n">
        <v>20600</v>
      </c>
      <c r="C609" s="30" t="n">
        <v>20900</v>
      </c>
      <c r="D609" s="30" t="n">
        <v>19930</v>
      </c>
      <c r="E609" s="30" t="n">
        <v>20100</v>
      </c>
      <c r="F609" s="30" t="n">
        <v>20100</v>
      </c>
      <c r="G609" s="30" t="n">
        <v>119443</v>
      </c>
      <c r="H609" s="35" t="n">
        <v>-0.02898550724637683</v>
      </c>
      <c r="I609" s="35" t="n">
        <v>-0.6726384364820848</v>
      </c>
      <c r="J609" s="30" t="n">
        <v>19501.5</v>
      </c>
      <c r="K609" s="30" t="n">
        <v>19317.16666666667</v>
      </c>
      <c r="L609" s="30" t="n">
        <v>18134.58333333333</v>
      </c>
      <c r="M609" s="35" t="n">
        <v>0.8856256354954568</v>
      </c>
      <c r="N609" s="35" t="n">
        <v>0.7034405217149963</v>
      </c>
      <c r="O609" s="35" t="n">
        <v>0.0239429444727457</v>
      </c>
      <c r="P609" s="35" t="n">
        <v>0.1013698630136985</v>
      </c>
      <c r="Q609" s="35" t="n">
        <v>0.1191536748329622</v>
      </c>
      <c r="R609" s="35" t="n">
        <v>0.03068994692715954</v>
      </c>
      <c r="S609" s="35" t="n">
        <v>0.04052526681794255</v>
      </c>
      <c r="T609" s="35" t="n">
        <v>0.1083794775176343</v>
      </c>
      <c r="U609" s="30" t="n">
        <v>37600</v>
      </c>
      <c r="V609" s="30" t="n">
        <v>15050</v>
      </c>
      <c r="W609" s="35" t="n">
        <v>-0.4654255319148937</v>
      </c>
      <c r="X609" s="35" t="n">
        <v>0.3355481727574752</v>
      </c>
      <c r="Y609" s="30" t="n">
        <v>20476584</v>
      </c>
      <c r="Z609" s="30" t="n">
        <v>411579338400</v>
      </c>
      <c r="AA609" s="30" t="n">
        <v>2400804300</v>
      </c>
      <c r="AB609" s="30" t="n">
        <v>3248291244</v>
      </c>
      <c r="AC609" s="35" t="n">
        <v>0.005833150685680776</v>
      </c>
      <c r="AD609" s="24" t="inlineStr">
        <is>
          <t>yfinance_download</t>
        </is>
      </c>
      <c r="AE609" s="24" t="inlineStr">
        <is>
          <t>317330.KQ</t>
        </is>
      </c>
    </row>
    <row r="610" ht="24" customHeight="1">
      <c r="A610" s="29" t="inlineStr">
        <is>
          <t>2025-12-08</t>
        </is>
      </c>
      <c r="B610" s="31" t="n">
        <v>20100</v>
      </c>
      <c r="C610" s="31" t="n">
        <v>20850</v>
      </c>
      <c r="D610" s="31" t="n">
        <v>19510</v>
      </c>
      <c r="E610" s="31" t="n">
        <v>20750</v>
      </c>
      <c r="F610" s="31" t="n">
        <v>20750</v>
      </c>
      <c r="G610" s="31" t="n">
        <v>177457</v>
      </c>
      <c r="H610" s="36" t="n">
        <v>0.03233830845771135</v>
      </c>
      <c r="I610" s="36" t="n">
        <v>-0.6620521172638436</v>
      </c>
      <c r="J610" s="31" t="n">
        <v>19548</v>
      </c>
      <c r="K610" s="31" t="n">
        <v>19359.83333333333</v>
      </c>
      <c r="L610" s="31" t="n">
        <v>18167.08333333333</v>
      </c>
      <c r="M610" s="36" t="n">
        <v>0.8916801162529845</v>
      </c>
      <c r="N610" s="36" t="n">
        <v>0.7059688254389753</v>
      </c>
      <c r="O610" s="36" t="n">
        <v>0.04692230070635728</v>
      </c>
      <c r="P610" s="36" t="n">
        <v>0.1407366684991753</v>
      </c>
      <c r="Q610" s="36" t="n">
        <v>0.2314540059347181</v>
      </c>
      <c r="R610" s="36" t="n">
        <v>0.06148966646204213</v>
      </c>
      <c r="S610" s="36" t="n">
        <v>0.07180674764762096</v>
      </c>
      <c r="T610" s="36" t="n">
        <v>0.1421756381734365</v>
      </c>
      <c r="U610" s="31" t="n">
        <v>37600</v>
      </c>
      <c r="V610" s="31" t="n">
        <v>15050</v>
      </c>
      <c r="W610" s="36" t="n">
        <v>-0.4481382978723404</v>
      </c>
      <c r="X610" s="36" t="n">
        <v>0.3787375415282392</v>
      </c>
      <c r="Y610" s="31" t="n">
        <v>20476584</v>
      </c>
      <c r="Z610" s="31" t="n">
        <v>424889118000</v>
      </c>
      <c r="AA610" s="31" t="n">
        <v>3682232750</v>
      </c>
      <c r="AB610" s="31" t="n">
        <v>3299654467.5</v>
      </c>
      <c r="AC610" s="36" t="n">
        <v>0.008666338096237146</v>
      </c>
      <c r="AD610" s="29" t="inlineStr">
        <is>
          <t>yfinance_download</t>
        </is>
      </c>
      <c r="AE610" s="29" t="inlineStr">
        <is>
          <t>317330.KQ</t>
        </is>
      </c>
    </row>
    <row r="611" ht="24" customHeight="1">
      <c r="A611" s="24" t="inlineStr">
        <is>
          <t>2025-12-09</t>
        </is>
      </c>
      <c r="B611" s="30" t="n">
        <v>20300</v>
      </c>
      <c r="C611" s="30" t="n">
        <v>20950</v>
      </c>
      <c r="D611" s="30" t="n">
        <v>20250</v>
      </c>
      <c r="E611" s="30" t="n">
        <v>20850</v>
      </c>
      <c r="F611" s="30" t="n">
        <v>20850</v>
      </c>
      <c r="G611" s="30" t="n">
        <v>126562</v>
      </c>
      <c r="H611" s="35" t="n">
        <v>0.004819277108433662</v>
      </c>
      <c r="I611" s="35" t="n">
        <v>-0.6604234527687296</v>
      </c>
      <c r="J611" s="30" t="n">
        <v>19593.5</v>
      </c>
      <c r="K611" s="30" t="n">
        <v>19404.5</v>
      </c>
      <c r="L611" s="30" t="n">
        <v>18206.5</v>
      </c>
      <c r="M611" s="35" t="n">
        <v>0.8916471320801465</v>
      </c>
      <c r="N611" s="35" t="n">
        <v>0.7059221785574944</v>
      </c>
      <c r="O611" s="35" t="n">
        <v>0.04563691073219656</v>
      </c>
      <c r="P611" s="35" t="n">
        <v>0.1474958723170061</v>
      </c>
      <c r="Q611" s="35" t="n">
        <v>0.2934243176178659</v>
      </c>
      <c r="R611" s="35" t="n">
        <v>0.06412840993186508</v>
      </c>
      <c r="S611" s="35" t="n">
        <v>0.07449302996727569</v>
      </c>
      <c r="T611" s="35" t="n">
        <v>0.1451953972482356</v>
      </c>
      <c r="U611" s="30" t="n">
        <v>37600</v>
      </c>
      <c r="V611" s="30" t="n">
        <v>15050</v>
      </c>
      <c r="W611" s="35" t="n">
        <v>-0.4454787234042553</v>
      </c>
      <c r="X611" s="35" t="n">
        <v>0.3853820598006645</v>
      </c>
      <c r="Y611" s="30" t="n">
        <v>20476584</v>
      </c>
      <c r="Z611" s="30" t="n">
        <v>426936776400</v>
      </c>
      <c r="AA611" s="30" t="n">
        <v>2638817700</v>
      </c>
      <c r="AB611" s="30" t="n">
        <v>3275840024.5</v>
      </c>
      <c r="AC611" s="35" t="n">
        <v>0.00618081609705994</v>
      </c>
      <c r="AD611" s="24" t="inlineStr">
        <is>
          <t>yfinance_download</t>
        </is>
      </c>
      <c r="AE611" s="24" t="inlineStr">
        <is>
          <t>317330.KQ</t>
        </is>
      </c>
    </row>
    <row r="612" ht="24" customHeight="1">
      <c r="A612" s="29" t="inlineStr">
        <is>
          <t>2025-12-10</t>
        </is>
      </c>
      <c r="B612" s="31" t="n">
        <v>21150</v>
      </c>
      <c r="C612" s="31" t="n">
        <v>21200</v>
      </c>
      <c r="D612" s="31" t="n">
        <v>20000</v>
      </c>
      <c r="E612" s="31" t="n">
        <v>20100</v>
      </c>
      <c r="F612" s="31" t="n">
        <v>20100</v>
      </c>
      <c r="G612" s="31" t="n">
        <v>113613</v>
      </c>
      <c r="H612" s="36" t="n">
        <v>-0.03597122302158273</v>
      </c>
      <c r="I612" s="36" t="n">
        <v>-0.6726384364820848</v>
      </c>
      <c r="J612" s="31" t="n">
        <v>19593.5</v>
      </c>
      <c r="K612" s="31" t="n">
        <v>19434.16666666667</v>
      </c>
      <c r="L612" s="31" t="n">
        <v>18244.58333333333</v>
      </c>
      <c r="M612" s="36" t="n">
        <v>0.902370510036365</v>
      </c>
      <c r="N612" s="36" t="n">
        <v>0.7103772457800072</v>
      </c>
      <c r="O612" s="36" t="n">
        <v>0</v>
      </c>
      <c r="P612" s="36" t="n">
        <v>0.09716157205240172</v>
      </c>
      <c r="Q612" s="36" t="n">
        <v>0.2942691564713458</v>
      </c>
      <c r="R612" s="36" t="n">
        <v>0.02585040957460372</v>
      </c>
      <c r="S612" s="36" t="n">
        <v>0.03426096651086996</v>
      </c>
      <c r="T612" s="36" t="n">
        <v>0.101696850663439</v>
      </c>
      <c r="U612" s="31" t="n">
        <v>37600</v>
      </c>
      <c r="V612" s="31" t="n">
        <v>15050</v>
      </c>
      <c r="W612" s="36" t="n">
        <v>-0.4654255319148937</v>
      </c>
      <c r="X612" s="36" t="n">
        <v>0.3355481727574752</v>
      </c>
      <c r="Y612" s="31" t="n">
        <v>20476584</v>
      </c>
      <c r="Z612" s="31" t="n">
        <v>411579338400</v>
      </c>
      <c r="AA612" s="31" t="n">
        <v>2283621300</v>
      </c>
      <c r="AB612" s="31" t="n">
        <v>3309295469.5</v>
      </c>
      <c r="AC612" s="36" t="n">
        <v>0.005548435227282051</v>
      </c>
      <c r="AD612" s="29" t="inlineStr">
        <is>
          <t>yfinance_download</t>
        </is>
      </c>
      <c r="AE612" s="29" t="inlineStr">
        <is>
          <t>317330.KQ</t>
        </is>
      </c>
    </row>
    <row r="613" ht="24" customHeight="1">
      <c r="A613" s="24" t="inlineStr">
        <is>
          <t>2025-12-11</t>
        </is>
      </c>
      <c r="B613" s="30" t="n">
        <v>20200</v>
      </c>
      <c r="C613" s="30" t="n">
        <v>20450</v>
      </c>
      <c r="D613" s="30" t="n">
        <v>19560</v>
      </c>
      <c r="E613" s="30" t="n">
        <v>19920</v>
      </c>
      <c r="F613" s="30" t="n">
        <v>19920</v>
      </c>
      <c r="G613" s="30" t="n">
        <v>390628</v>
      </c>
      <c r="H613" s="35" t="n">
        <v>-0.008955223880596996</v>
      </c>
      <c r="I613" s="35" t="n">
        <v>-0.6755700325732898</v>
      </c>
      <c r="J613" s="30" t="n">
        <v>19574.5</v>
      </c>
      <c r="K613" s="30" t="n">
        <v>19465.83333333333</v>
      </c>
      <c r="L613" s="30" t="n">
        <v>18281.66666666667</v>
      </c>
      <c r="M613" s="35" t="n">
        <v>0.9024930082620701</v>
      </c>
      <c r="N613" s="35" t="n">
        <v>0.7096986856909675</v>
      </c>
      <c r="O613" s="35" t="n">
        <v>-0.01871921182266012</v>
      </c>
      <c r="P613" s="35" t="n">
        <v>0.1054384017758048</v>
      </c>
      <c r="Q613" s="35" t="n">
        <v>0.2876535229476407</v>
      </c>
      <c r="R613" s="35" t="n">
        <v>0.0176505147002477</v>
      </c>
      <c r="S613" s="35" t="n">
        <v>0.02333147823108872</v>
      </c>
      <c r="T613" s="35" t="n">
        <v>0.0896161910839639</v>
      </c>
      <c r="U613" s="30" t="n">
        <v>37600</v>
      </c>
      <c r="V613" s="30" t="n">
        <v>15050</v>
      </c>
      <c r="W613" s="35" t="n">
        <v>-0.4702127659574468</v>
      </c>
      <c r="X613" s="35" t="n">
        <v>0.3235880398671096</v>
      </c>
      <c r="Y613" s="30" t="n">
        <v>20476584</v>
      </c>
      <c r="Z613" s="30" t="n">
        <v>407893553280</v>
      </c>
      <c r="AA613" s="30" t="n">
        <v>7781309760</v>
      </c>
      <c r="AB613" s="30" t="n">
        <v>3615156332.5</v>
      </c>
      <c r="AC613" s="35" t="n">
        <v>0.01907681476558785</v>
      </c>
      <c r="AD613" s="24" t="inlineStr">
        <is>
          <t>yfinance_download</t>
        </is>
      </c>
      <c r="AE613" s="24" t="inlineStr">
        <is>
          <t>317330.KQ</t>
        </is>
      </c>
    </row>
    <row r="614" ht="24" customHeight="1">
      <c r="A614" s="29" t="inlineStr">
        <is>
          <t>2025-12-12</t>
        </is>
      </c>
      <c r="B614" s="31" t="n">
        <v>19980</v>
      </c>
      <c r="C614" s="31" t="n">
        <v>20700</v>
      </c>
      <c r="D614" s="31" t="n">
        <v>19500</v>
      </c>
      <c r="E614" s="31" t="n">
        <v>20700</v>
      </c>
      <c r="F614" s="31" t="n">
        <v>20700</v>
      </c>
      <c r="G614" s="31" t="n">
        <v>130016</v>
      </c>
      <c r="H614" s="36" t="n">
        <v>0.03915662650602414</v>
      </c>
      <c r="I614" s="36" t="n">
        <v>-0.6628664495114007</v>
      </c>
      <c r="J614" s="31" t="n">
        <v>19646.5</v>
      </c>
      <c r="K614" s="31" t="n">
        <v>19504.66666666667</v>
      </c>
      <c r="L614" s="31" t="n">
        <v>18319.83333333333</v>
      </c>
      <c r="M614" s="36" t="n">
        <v>0.8907767041079333</v>
      </c>
      <c r="N614" s="36" t="n">
        <v>0.7128421643567677</v>
      </c>
      <c r="O614" s="36" t="n">
        <v>0.07476635514018692</v>
      </c>
      <c r="P614" s="36" t="n">
        <v>0.1268372346216657</v>
      </c>
      <c r="Q614" s="36" t="n">
        <v>0.2841191066997519</v>
      </c>
      <c r="R614" s="36" t="n">
        <v>0.05362278268393861</v>
      </c>
      <c r="S614" s="36" t="n">
        <v>0.06128447892811972</v>
      </c>
      <c r="T614" s="36" t="n">
        <v>0.1299229432582174</v>
      </c>
      <c r="U614" s="31" t="n">
        <v>37600</v>
      </c>
      <c r="V614" s="31" t="n">
        <v>15050</v>
      </c>
      <c r="W614" s="36" t="n">
        <v>-0.449468085106383</v>
      </c>
      <c r="X614" s="36" t="n">
        <v>0.3754152823920265</v>
      </c>
      <c r="Y614" s="31" t="n">
        <v>20476584</v>
      </c>
      <c r="Z614" s="31" t="n">
        <v>423865288800</v>
      </c>
      <c r="AA614" s="31" t="n">
        <v>2691331200</v>
      </c>
      <c r="AB614" s="31" t="n">
        <v>3633083369.5</v>
      </c>
      <c r="AC614" s="36" t="n">
        <v>0.006349496576186731</v>
      </c>
      <c r="AD614" s="29" t="inlineStr">
        <is>
          <t>yfinance_download</t>
        </is>
      </c>
      <c r="AE614" s="29" t="inlineStr">
        <is>
          <t>317330.KQ</t>
        </is>
      </c>
    </row>
    <row r="615" ht="24" customHeight="1">
      <c r="A615" s="24" t="inlineStr">
        <is>
          <t>2025-12-15</t>
        </is>
      </c>
      <c r="B615" s="30" t="n">
        <v>19700</v>
      </c>
      <c r="C615" s="30" t="n">
        <v>20050</v>
      </c>
      <c r="D615" s="30" t="n">
        <v>19250</v>
      </c>
      <c r="E615" s="30" t="n">
        <v>19550</v>
      </c>
      <c r="F615" s="30" t="n">
        <v>19550</v>
      </c>
      <c r="G615" s="30" t="n">
        <v>134780</v>
      </c>
      <c r="H615" s="35" t="n">
        <v>-0.05555555555555558</v>
      </c>
      <c r="I615" s="35" t="n">
        <v>-0.6815960912052117</v>
      </c>
      <c r="J615" s="30" t="n">
        <v>19693</v>
      </c>
      <c r="K615" s="30" t="n">
        <v>19528</v>
      </c>
      <c r="L615" s="30" t="n">
        <v>18347</v>
      </c>
      <c r="M615" s="35" t="n">
        <v>0.9068602081809218</v>
      </c>
      <c r="N615" s="35" t="n">
        <v>0.7222662770617834</v>
      </c>
      <c r="O615" s="35" t="n">
        <v>0.04994629430719666</v>
      </c>
      <c r="P615" s="35" t="n">
        <v>0.07713498622589521</v>
      </c>
      <c r="Q615" s="35" t="n">
        <v>0.20012277470841</v>
      </c>
      <c r="R615" s="35" t="n">
        <v>-0.007261463464175111</v>
      </c>
      <c r="S615" s="35" t="n">
        <v>0.00112658746415395</v>
      </c>
      <c r="T615" s="35" t="n">
        <v>0.06556930288330509</v>
      </c>
      <c r="U615" s="30" t="n">
        <v>37600</v>
      </c>
      <c r="V615" s="30" t="n">
        <v>15050</v>
      </c>
      <c r="W615" s="35" t="n">
        <v>-0.4800531914893617</v>
      </c>
      <c r="X615" s="35" t="n">
        <v>0.2990033222591362</v>
      </c>
      <c r="Y615" s="30" t="n">
        <v>20476584</v>
      </c>
      <c r="Z615" s="30" t="n">
        <v>400317217200</v>
      </c>
      <c r="AA615" s="30" t="n">
        <v>2634949000</v>
      </c>
      <c r="AB615" s="30" t="n">
        <v>3664699907.5</v>
      </c>
      <c r="AC615" s="35" t="n">
        <v>0.006582152569979446</v>
      </c>
      <c r="AD615" s="24" t="inlineStr">
        <is>
          <t>yfinance_download</t>
        </is>
      </c>
      <c r="AE615" s="24" t="inlineStr">
        <is>
          <t>317330.KQ</t>
        </is>
      </c>
    </row>
    <row r="616" ht="24" customHeight="1">
      <c r="A616" s="29" t="inlineStr">
        <is>
          <t>2025-12-16</t>
        </is>
      </c>
      <c r="B616" s="31" t="n">
        <v>19430</v>
      </c>
      <c r="C616" s="31" t="n">
        <v>19490</v>
      </c>
      <c r="D616" s="31" t="n">
        <v>18400</v>
      </c>
      <c r="E616" s="31" t="n">
        <v>18520</v>
      </c>
      <c r="F616" s="31" t="n">
        <v>18520</v>
      </c>
      <c r="G616" s="31" t="n">
        <v>146741</v>
      </c>
      <c r="H616" s="36" t="n">
        <v>-0.05268542199488491</v>
      </c>
      <c r="I616" s="36" t="n">
        <v>-0.6983713355048859</v>
      </c>
      <c r="J616" s="31" t="n">
        <v>19651</v>
      </c>
      <c r="K616" s="31" t="n">
        <v>19532.83333333333</v>
      </c>
      <c r="L616" s="31" t="n">
        <v>18372.33333333333</v>
      </c>
      <c r="M616" s="36" t="n">
        <v>0.9176505468134486</v>
      </c>
      <c r="N616" s="36" t="n">
        <v>0.730946469359483</v>
      </c>
      <c r="O616" s="36" t="n">
        <v>-0.04338842975206614</v>
      </c>
      <c r="P616" s="36" t="n">
        <v>0.01590784421283598</v>
      </c>
      <c r="Q616" s="36" t="n">
        <v>0.1963824289405685</v>
      </c>
      <c r="R616" s="36" t="n">
        <v>-0.05755432293521956</v>
      </c>
      <c r="S616" s="36" t="n">
        <v>-0.05185286312789572</v>
      </c>
      <c r="T616" s="36" t="n">
        <v>0.00803744761144487</v>
      </c>
      <c r="U616" s="31" t="n">
        <v>37600</v>
      </c>
      <c r="V616" s="31" t="n">
        <v>15050</v>
      </c>
      <c r="W616" s="36" t="n">
        <v>-0.5074468085106383</v>
      </c>
      <c r="X616" s="36" t="n">
        <v>0.2305647840531562</v>
      </c>
      <c r="Y616" s="31" t="n">
        <v>20476584</v>
      </c>
      <c r="Z616" s="31" t="n">
        <v>379226335680</v>
      </c>
      <c r="AA616" s="31" t="n">
        <v>2717643320</v>
      </c>
      <c r="AB616" s="31" t="n">
        <v>3608846441.5</v>
      </c>
      <c r="AC616" s="36" t="n">
        <v>0.007166283204268837</v>
      </c>
      <c r="AD616" s="29" t="inlineStr">
        <is>
          <t>yfinance_download</t>
        </is>
      </c>
      <c r="AE616" s="29" t="inlineStr">
        <is>
          <t>317330.KQ</t>
        </is>
      </c>
    </row>
    <row r="617" ht="24" customHeight="1">
      <c r="A617" s="24" t="inlineStr">
        <is>
          <t>2025-12-17</t>
        </is>
      </c>
      <c r="B617" s="30" t="n">
        <v>18680</v>
      </c>
      <c r="C617" s="30" t="n">
        <v>18800</v>
      </c>
      <c r="D617" s="30" t="n">
        <v>18150</v>
      </c>
      <c r="E617" s="30" t="n">
        <v>18240</v>
      </c>
      <c r="F617" s="30" t="n">
        <v>18240</v>
      </c>
      <c r="G617" s="30" t="n">
        <v>71742</v>
      </c>
      <c r="H617" s="35" t="n">
        <v>-0.01511879049676024</v>
      </c>
      <c r="I617" s="35" t="n">
        <v>-0.7029315960912053</v>
      </c>
      <c r="J617" s="30" t="n">
        <v>19579</v>
      </c>
      <c r="K617" s="30" t="n">
        <v>19533.5</v>
      </c>
      <c r="L617" s="30" t="n">
        <v>18387.58333333333</v>
      </c>
      <c r="M617" s="35" t="n">
        <v>0.9166213342495162</v>
      </c>
      <c r="N617" s="35" t="n">
        <v>0.7316955287288288</v>
      </c>
      <c r="O617" s="35" t="n">
        <v>-0.07317073170731703</v>
      </c>
      <c r="P617" s="35" t="n">
        <v>0.00219780219780219</v>
      </c>
      <c r="Q617" s="35" t="n">
        <v>0.1115173674588665</v>
      </c>
      <c r="R617" s="35" t="n">
        <v>-0.06838960110322279</v>
      </c>
      <c r="S617" s="35" t="n">
        <v>-0.06621957150536262</v>
      </c>
      <c r="T617" s="35" t="n">
        <v>-0.008026249597781088</v>
      </c>
      <c r="U617" s="30" t="n">
        <v>37600</v>
      </c>
      <c r="V617" s="30" t="n">
        <v>15050</v>
      </c>
      <c r="W617" s="35" t="n">
        <v>-0.5148936170212766</v>
      </c>
      <c r="X617" s="35" t="n">
        <v>0.2119601328903655</v>
      </c>
      <c r="Y617" s="30" t="n">
        <v>20476584</v>
      </c>
      <c r="Z617" s="30" t="n">
        <v>373492892160</v>
      </c>
      <c r="AA617" s="30" t="n">
        <v>1308574080</v>
      </c>
      <c r="AB617" s="30" t="n">
        <v>3438731129.5</v>
      </c>
      <c r="AC617" s="35" t="n">
        <v>0.003503611735238651</v>
      </c>
      <c r="AD617" s="24" t="inlineStr">
        <is>
          <t>yfinance_download</t>
        </is>
      </c>
      <c r="AE617" s="24" t="inlineStr">
        <is>
          <t>317330.KQ</t>
        </is>
      </c>
    </row>
    <row r="618" ht="24" customHeight="1">
      <c r="A618" s="29" t="inlineStr">
        <is>
          <t>2025-12-18</t>
        </is>
      </c>
      <c r="B618" s="31" t="n">
        <v>17630</v>
      </c>
      <c r="C618" s="31" t="n">
        <v>17900</v>
      </c>
      <c r="D618" s="31" t="n">
        <v>17410</v>
      </c>
      <c r="E618" s="31" t="n">
        <v>17410</v>
      </c>
      <c r="F618" s="31" t="n">
        <v>17410</v>
      </c>
      <c r="G618" s="31" t="n">
        <v>94372</v>
      </c>
      <c r="H618" s="36" t="n">
        <v>-0.04550438596491224</v>
      </c>
      <c r="I618" s="36" t="n">
        <v>-0.7164495114006515</v>
      </c>
      <c r="J618" s="31" t="n">
        <v>19500</v>
      </c>
      <c r="K618" s="31" t="n">
        <v>19500.16666666667</v>
      </c>
      <c r="L618" s="31" t="n">
        <v>18394.16666666667</v>
      </c>
      <c r="M618" s="36" t="n">
        <v>0.9222986662292463</v>
      </c>
      <c r="N618" s="36" t="n">
        <v>0.7248663477301153</v>
      </c>
      <c r="O618" s="36" t="n">
        <v>-0.08320168509741965</v>
      </c>
      <c r="P618" s="36" t="n">
        <v>-0.1030396702730552</v>
      </c>
      <c r="Q618" s="36" t="n">
        <v>0.04753309265944639</v>
      </c>
      <c r="R618" s="36" t="n">
        <v>-0.1071794871794872</v>
      </c>
      <c r="S618" s="36" t="n">
        <v>-0.1071871180588201</v>
      </c>
      <c r="T618" s="36" t="n">
        <v>-0.05350428124858431</v>
      </c>
      <c r="U618" s="31" t="n">
        <v>37600</v>
      </c>
      <c r="V618" s="31" t="n">
        <v>15050</v>
      </c>
      <c r="W618" s="36" t="n">
        <v>-0.5369680851063829</v>
      </c>
      <c r="X618" s="36" t="n">
        <v>0.1568106312292359</v>
      </c>
      <c r="Y618" s="31" t="n">
        <v>20476584</v>
      </c>
      <c r="Z618" s="31" t="n">
        <v>356497327440</v>
      </c>
      <c r="AA618" s="31" t="n">
        <v>1643016520</v>
      </c>
      <c r="AB618" s="31" t="n">
        <v>3354206725.5</v>
      </c>
      <c r="AC618" s="36" t="n">
        <v>0.004608776542024783</v>
      </c>
      <c r="AD618" s="29" t="inlineStr">
        <is>
          <t>yfinance_download</t>
        </is>
      </c>
      <c r="AE618" s="29" t="inlineStr">
        <is>
          <t>317330.KQ</t>
        </is>
      </c>
    </row>
    <row r="619" ht="24" customHeight="1">
      <c r="A619" s="24" t="inlineStr">
        <is>
          <t>2025-12-19</t>
        </is>
      </c>
      <c r="B619" s="30" t="n">
        <v>17610</v>
      </c>
      <c r="C619" s="30" t="n">
        <v>17640</v>
      </c>
      <c r="D619" s="30" t="n">
        <v>16990</v>
      </c>
      <c r="E619" s="30" t="n">
        <v>17410</v>
      </c>
      <c r="F619" s="30" t="n">
        <v>17410</v>
      </c>
      <c r="G619" s="30" t="n">
        <v>80317</v>
      </c>
      <c r="H619" s="35" t="n">
        <v>0</v>
      </c>
      <c r="I619" s="35" t="n">
        <v>-0.7164495114006515</v>
      </c>
      <c r="J619" s="30" t="n">
        <v>19485.5</v>
      </c>
      <c r="K619" s="30" t="n">
        <v>19482.66666666667</v>
      </c>
      <c r="L619" s="30" t="n">
        <v>18403.75</v>
      </c>
      <c r="M619" s="35" t="n">
        <v>0.8896737873800499</v>
      </c>
      <c r="N619" s="35" t="n">
        <v>0.7179003746951433</v>
      </c>
      <c r="O619" s="35" t="n">
        <v>-0.01638418079096049</v>
      </c>
      <c r="P619" s="35" t="n">
        <v>-0.05687973997833151</v>
      </c>
      <c r="Q619" s="35" t="n">
        <v>0.07072570725707261</v>
      </c>
      <c r="R619" s="35" t="n">
        <v>-0.106515100972518</v>
      </c>
      <c r="S619" s="35" t="n">
        <v>-0.1063851628798248</v>
      </c>
      <c r="T619" s="35" t="n">
        <v>-0.05399714732051897</v>
      </c>
      <c r="U619" s="30" t="n">
        <v>37600</v>
      </c>
      <c r="V619" s="30" t="n">
        <v>15050</v>
      </c>
      <c r="W619" s="35" t="n">
        <v>-0.5369680851063829</v>
      </c>
      <c r="X619" s="35" t="n">
        <v>0.1568106312292359</v>
      </c>
      <c r="Y619" s="30" t="n">
        <v>20476584</v>
      </c>
      <c r="Z619" s="30" t="n">
        <v>356497327440</v>
      </c>
      <c r="AA619" s="30" t="n">
        <v>1398318970</v>
      </c>
      <c r="AB619" s="30" t="n">
        <v>3319472309</v>
      </c>
      <c r="AC619" s="35" t="n">
        <v>0.00392238275681139</v>
      </c>
      <c r="AD619" s="24" t="inlineStr">
        <is>
          <t>yfinance_download</t>
        </is>
      </c>
      <c r="AE619" s="24" t="inlineStr">
        <is>
          <t>317330.KQ</t>
        </is>
      </c>
    </row>
    <row r="620" ht="24" customHeight="1">
      <c r="A620" s="29" t="inlineStr">
        <is>
          <t>2025-12-22</t>
        </is>
      </c>
      <c r="B620" s="31" t="n">
        <v>17610</v>
      </c>
      <c r="C620" s="31" t="n">
        <v>18510</v>
      </c>
      <c r="D620" s="31" t="n">
        <v>17500</v>
      </c>
      <c r="E620" s="31" t="n">
        <v>18200</v>
      </c>
      <c r="F620" s="31" t="n">
        <v>18200</v>
      </c>
      <c r="G620" s="31" t="n">
        <v>91118</v>
      </c>
      <c r="H620" s="36" t="n">
        <v>0.04537622056289492</v>
      </c>
      <c r="I620" s="36" t="n">
        <v>-0.7035830618892508</v>
      </c>
      <c r="J620" s="31" t="n">
        <v>19518</v>
      </c>
      <c r="K620" s="31" t="n">
        <v>19484</v>
      </c>
      <c r="L620" s="31" t="n">
        <v>18425.25</v>
      </c>
      <c r="M620" s="36" t="n">
        <v>0.9028743589750327</v>
      </c>
      <c r="N620" s="36" t="n">
        <v>0.7228075897467831</v>
      </c>
      <c r="O620" s="36" t="n">
        <v>0.03703703703703698</v>
      </c>
      <c r="P620" s="36" t="n">
        <v>0.004415011037527616</v>
      </c>
      <c r="Q620" s="36" t="n">
        <v>0.1651728553137004</v>
      </c>
      <c r="R620" s="36" t="n">
        <v>-0.06752741059534784</v>
      </c>
      <c r="S620" s="36" t="n">
        <v>-0.06590022582631905</v>
      </c>
      <c r="T620" s="36" t="n">
        <v>-0.01222507157297725</v>
      </c>
      <c r="U620" s="31" t="n">
        <v>37600</v>
      </c>
      <c r="V620" s="31" t="n">
        <v>15050</v>
      </c>
      <c r="W620" s="36" t="n">
        <v>-0.5159574468085106</v>
      </c>
      <c r="X620" s="36" t="n">
        <v>0.2093023255813953</v>
      </c>
      <c r="Y620" s="31" t="n">
        <v>20476584</v>
      </c>
      <c r="Z620" s="31" t="n">
        <v>372673828800</v>
      </c>
      <c r="AA620" s="31" t="n">
        <v>1658347600</v>
      </c>
      <c r="AB620" s="31" t="n">
        <v>3352694231.5</v>
      </c>
      <c r="AC620" s="36" t="n">
        <v>0.00444986331704546</v>
      </c>
      <c r="AD620" s="29" t="inlineStr">
        <is>
          <t>yfinance_download</t>
        </is>
      </c>
      <c r="AE620" s="29" t="inlineStr">
        <is>
          <t>317330.KQ</t>
        </is>
      </c>
    </row>
    <row r="621" ht="24" customHeight="1">
      <c r="A621" s="24" t="inlineStr">
        <is>
          <t>2025-12-23</t>
        </is>
      </c>
      <c r="B621" s="30" t="n">
        <v>18180</v>
      </c>
      <c r="C621" s="30" t="n">
        <v>18330</v>
      </c>
      <c r="D621" s="30" t="n">
        <v>17740</v>
      </c>
      <c r="E621" s="30" t="n">
        <v>17820</v>
      </c>
      <c r="F621" s="30" t="n">
        <v>17820</v>
      </c>
      <c r="G621" s="30" t="n">
        <v>54524</v>
      </c>
      <c r="H621" s="35" t="n">
        <v>-0.02087912087912092</v>
      </c>
      <c r="I621" s="35" t="n">
        <v>-0.709771986970684</v>
      </c>
      <c r="J621" s="30" t="n">
        <v>19544</v>
      </c>
      <c r="K621" s="30" t="n">
        <v>19483.66666666667</v>
      </c>
      <c r="L621" s="30" t="n">
        <v>18446.33333333333</v>
      </c>
      <c r="M621" s="35" t="n">
        <v>0.904882436667037</v>
      </c>
      <c r="N621" s="35" t="n">
        <v>0.7234216584640271</v>
      </c>
      <c r="O621" s="35" t="n">
        <v>0.03005780346820819</v>
      </c>
      <c r="P621" s="35" t="n">
        <v>-0.001121076233183804</v>
      </c>
      <c r="Q621" s="35" t="n">
        <v>0.1654676258992807</v>
      </c>
      <c r="R621" s="35" t="n">
        <v>-0.08821121571837909</v>
      </c>
      <c r="S621" s="35" t="n">
        <v>-0.0853877606884399</v>
      </c>
      <c r="T621" s="35" t="n">
        <v>-0.03395435407217329</v>
      </c>
      <c r="U621" s="30" t="n">
        <v>37600</v>
      </c>
      <c r="V621" s="30" t="n">
        <v>15050</v>
      </c>
      <c r="W621" s="35" t="n">
        <v>-0.526063829787234</v>
      </c>
      <c r="X621" s="35" t="n">
        <v>0.1840531561461793</v>
      </c>
      <c r="Y621" s="30" t="n">
        <v>20476584</v>
      </c>
      <c r="Z621" s="30" t="n">
        <v>364892726880</v>
      </c>
      <c r="AA621" s="30" t="n">
        <v>971617680</v>
      </c>
      <c r="AB621" s="30" t="n">
        <v>3356888505.5</v>
      </c>
      <c r="AC621" s="35" t="n">
        <v>0.002662748825683034</v>
      </c>
      <c r="AD621" s="24" t="inlineStr">
        <is>
          <t>yfinance_download</t>
        </is>
      </c>
      <c r="AE621" s="24" t="inlineStr">
        <is>
          <t>317330.KQ</t>
        </is>
      </c>
    </row>
    <row r="622" ht="24" customHeight="1">
      <c r="A622" s="29" t="inlineStr">
        <is>
          <t>2025-12-24</t>
        </is>
      </c>
      <c r="B622" s="31" t="n">
        <v>18150</v>
      </c>
      <c r="C622" s="31" t="n">
        <v>18270</v>
      </c>
      <c r="D622" s="31" t="n">
        <v>17660</v>
      </c>
      <c r="E622" s="31" t="n">
        <v>17840</v>
      </c>
      <c r="F622" s="31" t="n">
        <v>17840</v>
      </c>
      <c r="G622" s="31" t="n">
        <v>58535</v>
      </c>
      <c r="H622" s="36" t="n">
        <v>0.001122334455667895</v>
      </c>
      <c r="I622" s="36" t="n">
        <v>-0.7094462540716613</v>
      </c>
      <c r="J622" s="31" t="n">
        <v>19541.5</v>
      </c>
      <c r="K622" s="31" t="n">
        <v>19491.66666666667</v>
      </c>
      <c r="L622" s="31" t="n">
        <v>18467.91666666667</v>
      </c>
      <c r="M622" s="36" t="n">
        <v>0.8973398226198697</v>
      </c>
      <c r="N622" s="36" t="n">
        <v>0.7210891940272348</v>
      </c>
      <c r="O622" s="36" t="n">
        <v>-0.002794857462269373</v>
      </c>
      <c r="P622" s="36" t="n">
        <v>0.02764976958525356</v>
      </c>
      <c r="Q622" s="36" t="n">
        <v>0.1698360655737705</v>
      </c>
      <c r="R622" s="36" t="n">
        <v>-0.08707110508405191</v>
      </c>
      <c r="S622" s="36" t="n">
        <v>-0.08473706712270201</v>
      </c>
      <c r="T622" s="36" t="n">
        <v>-0.03400040610969479</v>
      </c>
      <c r="U622" s="31" t="n">
        <v>37600</v>
      </c>
      <c r="V622" s="31" t="n">
        <v>15050</v>
      </c>
      <c r="W622" s="36" t="n">
        <v>-0.5255319148936171</v>
      </c>
      <c r="X622" s="36" t="n">
        <v>0.1853820598006644</v>
      </c>
      <c r="Y622" s="31" t="n">
        <v>20476584</v>
      </c>
      <c r="Z622" s="31" t="n">
        <v>365302258560</v>
      </c>
      <c r="AA622" s="31" t="n">
        <v>1044264400</v>
      </c>
      <c r="AB622" s="31" t="n">
        <v>3355131173.5</v>
      </c>
      <c r="AC622" s="36" t="n">
        <v>0.002858631107610527</v>
      </c>
      <c r="AD622" s="29" t="inlineStr">
        <is>
          <t>yfinance_download</t>
        </is>
      </c>
      <c r="AE622" s="29" t="inlineStr">
        <is>
          <t>317330.KQ</t>
        </is>
      </c>
    </row>
    <row r="623" ht="24" customHeight="1">
      <c r="A623" s="24" t="inlineStr">
        <is>
          <t>2025-12-26</t>
        </is>
      </c>
      <c r="B623" s="30" t="n">
        <v>17920</v>
      </c>
      <c r="C623" s="30" t="n">
        <v>17920</v>
      </c>
      <c r="D623" s="30" t="n">
        <v>17410</v>
      </c>
      <c r="E623" s="30" t="n">
        <v>17460</v>
      </c>
      <c r="F623" s="30" t="n">
        <v>17460</v>
      </c>
      <c r="G623" s="30" t="n">
        <v>61207</v>
      </c>
      <c r="H623" s="35" t="n">
        <v>-0.02130044843049328</v>
      </c>
      <c r="I623" s="35" t="n">
        <v>-0.7156351791530944</v>
      </c>
      <c r="J623" s="30" t="n">
        <v>19526</v>
      </c>
      <c r="K623" s="30" t="n">
        <v>19494.5</v>
      </c>
      <c r="L623" s="30" t="n">
        <v>18488</v>
      </c>
      <c r="M623" s="35" t="n">
        <v>0.900545797486261</v>
      </c>
      <c r="N623" s="35" t="n">
        <v>0.722513263779443</v>
      </c>
      <c r="O623" s="35" t="n">
        <v>-0.01744513224535738</v>
      </c>
      <c r="P623" s="35" t="n">
        <v>0.009832272990167645</v>
      </c>
      <c r="Q623" s="35" t="n">
        <v>0.1601328903654484</v>
      </c>
      <c r="R623" s="35" t="n">
        <v>-0.105807641093926</v>
      </c>
      <c r="S623" s="35" t="n">
        <v>-0.1043627689861243</v>
      </c>
      <c r="T623" s="35" t="n">
        <v>-0.05560363479013419</v>
      </c>
      <c r="U623" s="30" t="n">
        <v>37600</v>
      </c>
      <c r="V623" s="30" t="n">
        <v>15050</v>
      </c>
      <c r="W623" s="35" t="n">
        <v>-0.5356382978723404</v>
      </c>
      <c r="X623" s="35" t="n">
        <v>0.1601328903654484</v>
      </c>
      <c r="Y623" s="30" t="n">
        <v>20476584</v>
      </c>
      <c r="Z623" s="30" t="n">
        <v>357521156640</v>
      </c>
      <c r="AA623" s="30" t="n">
        <v>1068674220</v>
      </c>
      <c r="AB623" s="30" t="n">
        <v>3367509965</v>
      </c>
      <c r="AC623" s="35" t="n">
        <v>0.002989121623020715</v>
      </c>
      <c r="AD623" s="24" t="inlineStr">
        <is>
          <t>yfinance_download</t>
        </is>
      </c>
      <c r="AE623" s="24" t="inlineStr">
        <is>
          <t>317330.KQ</t>
        </is>
      </c>
    </row>
    <row r="624" ht="24" customHeight="1">
      <c r="A624" s="29" t="inlineStr">
        <is>
          <t>2025-12-29</t>
        </is>
      </c>
      <c r="B624" s="31" t="n">
        <v>17220</v>
      </c>
      <c r="C624" s="31" t="n">
        <v>17350</v>
      </c>
      <c r="D624" s="31" t="n">
        <v>17110</v>
      </c>
      <c r="E624" s="31" t="n">
        <v>17190</v>
      </c>
      <c r="F624" s="31" t="n">
        <v>17190</v>
      </c>
      <c r="G624" s="31" t="n">
        <v>70117</v>
      </c>
      <c r="H624" s="36" t="n">
        <v>-0.01546391752577314</v>
      </c>
      <c r="I624" s="36" t="n">
        <v>-0.7200325732899022</v>
      </c>
      <c r="J624" s="31" t="n">
        <v>19310.5</v>
      </c>
      <c r="K624" s="31" t="n">
        <v>19506.33333333333</v>
      </c>
      <c r="L624" s="31" t="n">
        <v>18494.83333333333</v>
      </c>
      <c r="M624" s="36" t="n">
        <v>0.44633783372346</v>
      </c>
      <c r="N624" s="36" t="n">
        <v>0.7164500441356192</v>
      </c>
      <c r="O624" s="36" t="n">
        <v>-0.2004651162790698</v>
      </c>
      <c r="P624" s="36" t="n">
        <v>0.04308252427184467</v>
      </c>
      <c r="Q624" s="36" t="n">
        <v>0.05009163103237624</v>
      </c>
      <c r="R624" s="36" t="n">
        <v>-0.1098107247352477</v>
      </c>
      <c r="S624" s="36" t="n">
        <v>-0.118747757138707</v>
      </c>
      <c r="T624" s="36" t="n">
        <v>-0.07055123502960281</v>
      </c>
      <c r="U624" s="31" t="n">
        <v>37600</v>
      </c>
      <c r="V624" s="31" t="n">
        <v>15050</v>
      </c>
      <c r="W624" s="36" t="n">
        <v>-0.5428191489361702</v>
      </c>
      <c r="X624" s="36" t="n">
        <v>0.1421926910299003</v>
      </c>
      <c r="Y624" s="31" t="n">
        <v>20476584</v>
      </c>
      <c r="Z624" s="31" t="n">
        <v>351992478960</v>
      </c>
      <c r="AA624" s="31" t="n">
        <v>1205311230</v>
      </c>
      <c r="AB624" s="31" t="n">
        <v>2620344101.5</v>
      </c>
      <c r="AC624" s="36" t="n">
        <v>0.003424252795290465</v>
      </c>
      <c r="AD624" s="29" t="inlineStr">
        <is>
          <t>yfinance_download</t>
        </is>
      </c>
      <c r="AE624" s="29" t="inlineStr">
        <is>
          <t>317330.KQ</t>
        </is>
      </c>
    </row>
    <row r="625" ht="24" customHeight="1">
      <c r="A625" s="24" t="inlineStr">
        <is>
          <t>2025-12-30</t>
        </is>
      </c>
      <c r="B625" s="30" t="n">
        <v>17060</v>
      </c>
      <c r="C625" s="30" t="n">
        <v>17100</v>
      </c>
      <c r="D625" s="30" t="n">
        <v>16790</v>
      </c>
      <c r="E625" s="30" t="n">
        <v>16920</v>
      </c>
      <c r="F625" s="30" t="n">
        <v>16920</v>
      </c>
      <c r="G625" s="30" t="n">
        <v>88236</v>
      </c>
      <c r="H625" s="35" t="n">
        <v>-0.01570680628272247</v>
      </c>
      <c r="I625" s="35" t="n">
        <v>-0.7244299674267101</v>
      </c>
      <c r="J625" s="30" t="n">
        <v>19086.5</v>
      </c>
      <c r="K625" s="30" t="n">
        <v>19508.33333333333</v>
      </c>
      <c r="L625" s="30" t="n">
        <v>18500.08333333333</v>
      </c>
      <c r="M625" s="35" t="n">
        <v>0.4460603830988972</v>
      </c>
      <c r="N625" s="35" t="n">
        <v>0.7163456036238279</v>
      </c>
      <c r="O625" s="35" t="n">
        <v>-0.2093457943925233</v>
      </c>
      <c r="P625" s="35" t="n">
        <v>0.007142857142857117</v>
      </c>
      <c r="Q625" s="35" t="n">
        <v>0.03867403314917128</v>
      </c>
      <c r="R625" s="35" t="n">
        <v>-0.1135095486338511</v>
      </c>
      <c r="S625" s="35" t="n">
        <v>-0.1326783425886373</v>
      </c>
      <c r="T625" s="35" t="n">
        <v>-0.08540952518231892</v>
      </c>
      <c r="U625" s="30" t="n">
        <v>37600</v>
      </c>
      <c r="V625" s="30" t="n">
        <v>15050</v>
      </c>
      <c r="W625" s="35" t="n">
        <v>-0.55</v>
      </c>
      <c r="X625" s="35" t="n">
        <v>0.1242524916943522</v>
      </c>
      <c r="Y625" s="30" t="n">
        <v>20476584</v>
      </c>
      <c r="Z625" s="30" t="n">
        <v>346463801280</v>
      </c>
      <c r="AA625" s="30" t="n">
        <v>1492953120</v>
      </c>
      <c r="AB625" s="30" t="n">
        <v>2376827257.5</v>
      </c>
      <c r="AC625" s="35" t="n">
        <v>0.00430911718478043</v>
      </c>
      <c r="AD625" s="24" t="inlineStr">
        <is>
          <t>yfinance_download</t>
        </is>
      </c>
      <c r="AE625" s="24" t="inlineStr">
        <is>
          <t>317330.KQ</t>
        </is>
      </c>
    </row>
    <row r="626" ht="24" customHeight="1">
      <c r="A626" s="29" t="inlineStr">
        <is>
          <t>2026-01-02</t>
        </is>
      </c>
      <c r="B626" s="31" t="n">
        <v>16920</v>
      </c>
      <c r="C626" s="31" t="n">
        <v>16920</v>
      </c>
      <c r="D626" s="31" t="n">
        <v>16180</v>
      </c>
      <c r="E626" s="31" t="n">
        <v>16580</v>
      </c>
      <c r="F626" s="31" t="n">
        <v>16580</v>
      </c>
      <c r="G626" s="31" t="n">
        <v>102863</v>
      </c>
      <c r="H626" s="36" t="n">
        <v>-0.02009456264775411</v>
      </c>
      <c r="I626" s="36" t="n">
        <v>-0.7299674267100977</v>
      </c>
      <c r="J626" s="31" t="n">
        <v>18870.5</v>
      </c>
      <c r="K626" s="31" t="n">
        <v>19508.33333333333</v>
      </c>
      <c r="L626" s="31" t="n">
        <v>18504.91666666667</v>
      </c>
      <c r="M626" s="36" t="n">
        <v>0.4450371866792997</v>
      </c>
      <c r="N626" s="36" t="n">
        <v>0.7170797521202675</v>
      </c>
      <c r="O626" s="36" t="n">
        <v>-0.2066985645933014</v>
      </c>
      <c r="P626" s="36" t="n">
        <v>0</v>
      </c>
      <c r="Q626" s="36" t="n">
        <v>0.03624999999999989</v>
      </c>
      <c r="R626" s="36" t="n">
        <v>-0.1213799316393313</v>
      </c>
      <c r="S626" s="36" t="n">
        <v>-0.1501067919692438</v>
      </c>
      <c r="T626" s="36" t="n">
        <v>-0.1040219040885531</v>
      </c>
      <c r="U626" s="31" t="n">
        <v>37600</v>
      </c>
      <c r="V626" s="31" t="n">
        <v>15050</v>
      </c>
      <c r="W626" s="36" t="n">
        <v>-0.5590425531914893</v>
      </c>
      <c r="X626" s="36" t="n">
        <v>0.1016611295681062</v>
      </c>
      <c r="Y626" s="31" t="n">
        <v>20476584</v>
      </c>
      <c r="Z626" s="31" t="n">
        <v>339501762720</v>
      </c>
      <c r="AA626" s="31" t="n">
        <v>1705468540</v>
      </c>
      <c r="AB626" s="31" t="n">
        <v>2290926549.5</v>
      </c>
      <c r="AC626" s="36" t="n">
        <v>0.005023445316855585</v>
      </c>
      <c r="AD626" s="29" t="inlineStr">
        <is>
          <t>yfinance_download</t>
        </is>
      </c>
      <c r="AE626" s="29" t="inlineStr">
        <is>
          <t>317330.KQ</t>
        </is>
      </c>
    </row>
    <row r="627" ht="24" customHeight="1">
      <c r="A627" s="24" t="inlineStr">
        <is>
          <t>2026-01-05</t>
        </is>
      </c>
      <c r="B627" s="30" t="n">
        <v>16590</v>
      </c>
      <c r="C627" s="30" t="n">
        <v>17490</v>
      </c>
      <c r="D627" s="30" t="n">
        <v>16480</v>
      </c>
      <c r="E627" s="30" t="n">
        <v>17360</v>
      </c>
      <c r="F627" s="30" t="n">
        <v>17360</v>
      </c>
      <c r="G627" s="30" t="n">
        <v>135980</v>
      </c>
      <c r="H627" s="35" t="n">
        <v>0.04704463208685161</v>
      </c>
      <c r="I627" s="35" t="n">
        <v>-0.7172638436482084</v>
      </c>
      <c r="J627" s="30" t="n">
        <v>18681</v>
      </c>
      <c r="K627" s="30" t="n">
        <v>19520.83333333333</v>
      </c>
      <c r="L627" s="30" t="n">
        <v>18517.83333333333</v>
      </c>
      <c r="M627" s="35" t="n">
        <v>0.4848315827053565</v>
      </c>
      <c r="N627" s="35" t="n">
        <v>0.7232777279360554</v>
      </c>
      <c r="O627" s="35" t="n">
        <v>-0.1791962174940899</v>
      </c>
      <c r="P627" s="35" t="n">
        <v>0.04515352197471412</v>
      </c>
      <c r="Q627" s="35" t="n">
        <v>0.09803921568627461</v>
      </c>
      <c r="R627" s="35" t="n">
        <v>-0.07071355923130451</v>
      </c>
      <c r="S627" s="35" t="n">
        <v>-0.1106937033084311</v>
      </c>
      <c r="T627" s="35" t="n">
        <v>-0.06252531343659706</v>
      </c>
      <c r="U627" s="30" t="n">
        <v>37600</v>
      </c>
      <c r="V627" s="30" t="n">
        <v>15050</v>
      </c>
      <c r="W627" s="35" t="n">
        <v>-0.5382978723404255</v>
      </c>
      <c r="X627" s="35" t="n">
        <v>0.1534883720930234</v>
      </c>
      <c r="Y627" s="30" t="n">
        <v>20476584</v>
      </c>
      <c r="Z627" s="30" t="n">
        <v>355473498240</v>
      </c>
      <c r="AA627" s="30" t="n">
        <v>2360612800</v>
      </c>
      <c r="AB627" s="30" t="n">
        <v>2249596169.5</v>
      </c>
      <c r="AC627" s="35" t="n">
        <v>0.006640756094864261</v>
      </c>
      <c r="AD627" s="24" t="inlineStr">
        <is>
          <t>yfinance_download</t>
        </is>
      </c>
      <c r="AE627" s="24" t="inlineStr">
        <is>
          <t>317330.KQ</t>
        </is>
      </c>
    </row>
    <row r="628" ht="24" customHeight="1">
      <c r="A628" s="29" t="inlineStr">
        <is>
          <t>2026-01-06</t>
        </is>
      </c>
      <c r="B628" s="31" t="n">
        <v>17480</v>
      </c>
      <c r="C628" s="31" t="n">
        <v>17550</v>
      </c>
      <c r="D628" s="31" t="n">
        <v>17000</v>
      </c>
      <c r="E628" s="31" t="n">
        <v>17100</v>
      </c>
      <c r="F628" s="31" t="n">
        <v>17100</v>
      </c>
      <c r="G628" s="31" t="n">
        <v>84323</v>
      </c>
      <c r="H628" s="36" t="n">
        <v>-0.01497695852534564</v>
      </c>
      <c r="I628" s="36" t="n">
        <v>-0.7214983713355049</v>
      </c>
      <c r="J628" s="31" t="n">
        <v>18501</v>
      </c>
      <c r="K628" s="31" t="n">
        <v>19526.66666666667</v>
      </c>
      <c r="L628" s="31" t="n">
        <v>18529.83333333333</v>
      </c>
      <c r="M628" s="36" t="n">
        <v>0.4832949834648564</v>
      </c>
      <c r="N628" s="36" t="n">
        <v>0.7239381439940701</v>
      </c>
      <c r="O628" s="36" t="n">
        <v>-0.1739130434782609</v>
      </c>
      <c r="P628" s="36" t="n">
        <v>0.02089552238805981</v>
      </c>
      <c r="Q628" s="36" t="n">
        <v>0.09195402298850586</v>
      </c>
      <c r="R628" s="36" t="n">
        <v>-0.07572563645208363</v>
      </c>
      <c r="S628" s="36" t="n">
        <v>-0.1242744964151589</v>
      </c>
      <c r="T628" s="36" t="n">
        <v>-0.07716385288588667</v>
      </c>
      <c r="U628" s="31" t="n">
        <v>37600</v>
      </c>
      <c r="V628" s="31" t="n">
        <v>15050</v>
      </c>
      <c r="W628" s="36" t="n">
        <v>-0.5452127659574468</v>
      </c>
      <c r="X628" s="36" t="n">
        <v>0.1362126245847175</v>
      </c>
      <c r="Y628" s="31" t="n">
        <v>20476584</v>
      </c>
      <c r="Z628" s="31" t="n">
        <v>350149586400</v>
      </c>
      <c r="AA628" s="31" t="n">
        <v>1441923300</v>
      </c>
      <c r="AB628" s="31" t="n">
        <v>2206489589.5</v>
      </c>
      <c r="AC628" s="36" t="n">
        <v>0.004118020857385197</v>
      </c>
      <c r="AD628" s="29" t="inlineStr">
        <is>
          <t>yfinance_download</t>
        </is>
      </c>
      <c r="AE628" s="29" t="inlineStr">
        <is>
          <t>317330.KQ</t>
        </is>
      </c>
    </row>
    <row r="629" ht="24" customHeight="1">
      <c r="A629" s="24" t="inlineStr">
        <is>
          <t>2026-01-07</t>
        </is>
      </c>
      <c r="B629" s="30" t="n">
        <v>17210</v>
      </c>
      <c r="C629" s="30" t="n">
        <v>17300</v>
      </c>
      <c r="D629" s="30" t="n">
        <v>16450</v>
      </c>
      <c r="E629" s="30" t="n">
        <v>16560</v>
      </c>
      <c r="F629" s="30" t="n">
        <v>16560</v>
      </c>
      <c r="G629" s="30" t="n">
        <v>91129</v>
      </c>
      <c r="H629" s="35" t="n">
        <v>-0.03157894736842104</v>
      </c>
      <c r="I629" s="35" t="n">
        <v>-0.7302931596091204</v>
      </c>
      <c r="J629" s="30" t="n">
        <v>18324</v>
      </c>
      <c r="K629" s="30" t="n">
        <v>19521.83333333333</v>
      </c>
      <c r="L629" s="30" t="n">
        <v>18535.66666666667</v>
      </c>
      <c r="M629" s="35" t="n">
        <v>0.4847979661348703</v>
      </c>
      <c r="N629" s="35" t="n">
        <v>0.7269894935308121</v>
      </c>
      <c r="O629" s="35" t="n">
        <v>-0.1761194029850747</v>
      </c>
      <c r="P629" s="35" t="n">
        <v>-0.01721068249258162</v>
      </c>
      <c r="Q629" s="35" t="n">
        <v>0.0441361916771752</v>
      </c>
      <c r="R629" s="35" t="n">
        <v>-0.09626719056974464</v>
      </c>
      <c r="S629" s="35" t="n">
        <v>-0.151719015461321</v>
      </c>
      <c r="T629" s="35" t="n">
        <v>-0.1065873001600518</v>
      </c>
      <c r="U629" s="30" t="n">
        <v>37600</v>
      </c>
      <c r="V629" s="30" t="n">
        <v>15050</v>
      </c>
      <c r="W629" s="35" t="n">
        <v>-0.5595744680851064</v>
      </c>
      <c r="X629" s="35" t="n">
        <v>0.1003322259136212</v>
      </c>
      <c r="Y629" s="30" t="n">
        <v>20476584</v>
      </c>
      <c r="Z629" s="30" t="n">
        <v>339092231040</v>
      </c>
      <c r="AA629" s="30" t="n">
        <v>1509096240</v>
      </c>
      <c r="AB629" s="30" t="n">
        <v>2161904186.5</v>
      </c>
      <c r="AC629" s="35" t="n">
        <v>0.004450400516023571</v>
      </c>
      <c r="AD629" s="24" t="inlineStr">
        <is>
          <t>yfinance_download</t>
        </is>
      </c>
      <c r="AE629" s="24" t="inlineStr">
        <is>
          <t>317330.KQ</t>
        </is>
      </c>
    </row>
    <row r="630" ht="24" customHeight="1">
      <c r="A630" s="29" t="inlineStr">
        <is>
          <t>2026-01-08</t>
        </is>
      </c>
      <c r="B630" s="31" t="n">
        <v>16310</v>
      </c>
      <c r="C630" s="31" t="n">
        <v>16320</v>
      </c>
      <c r="D630" s="31" t="n">
        <v>15850</v>
      </c>
      <c r="E630" s="31" t="n">
        <v>15850</v>
      </c>
      <c r="F630" s="31" t="n">
        <v>15850</v>
      </c>
      <c r="G630" s="31" t="n">
        <v>181269</v>
      </c>
      <c r="H630" s="36" t="n">
        <v>-0.04287439613526567</v>
      </c>
      <c r="I630" s="36" t="n">
        <v>-0.74185667752443</v>
      </c>
      <c r="J630" s="31" t="n">
        <v>18079</v>
      </c>
      <c r="K630" s="31" t="n">
        <v>19498.83333333333</v>
      </c>
      <c r="L630" s="31" t="n">
        <v>18533</v>
      </c>
      <c r="M630" s="36" t="n">
        <v>0.4726938706672431</v>
      </c>
      <c r="N630" s="36" t="n">
        <v>0.7309384801030495</v>
      </c>
      <c r="O630" s="36" t="n">
        <v>-0.236144578313253</v>
      </c>
      <c r="P630" s="36" t="n">
        <v>-0.08009286128845039</v>
      </c>
      <c r="Q630" s="36" t="n">
        <v>-0.01978973407544837</v>
      </c>
      <c r="R630" s="36" t="n">
        <v>-0.1232922174899054</v>
      </c>
      <c r="S630" s="36" t="n">
        <v>-0.1871308539827169</v>
      </c>
      <c r="T630" s="36" t="n">
        <v>-0.14476879080559</v>
      </c>
      <c r="U630" s="31" t="n">
        <v>37600</v>
      </c>
      <c r="V630" s="31" t="n">
        <v>15050</v>
      </c>
      <c r="W630" s="36" t="n">
        <v>-0.5784574468085106</v>
      </c>
      <c r="X630" s="36" t="n">
        <v>0.0531561461794019</v>
      </c>
      <c r="Y630" s="31" t="n">
        <v>20476584</v>
      </c>
      <c r="Z630" s="31" t="n">
        <v>324553856400</v>
      </c>
      <c r="AA630" s="31" t="n">
        <v>2873113650</v>
      </c>
      <c r="AB630" s="31" t="n">
        <v>2121448231.5</v>
      </c>
      <c r="AC630" s="36" t="n">
        <v>0.008852501960287907</v>
      </c>
      <c r="AD630" s="29" t="inlineStr">
        <is>
          <t>yfinance_download</t>
        </is>
      </c>
      <c r="AE630" s="29" t="inlineStr">
        <is>
          <t>317330.KQ</t>
        </is>
      </c>
    </row>
    <row r="631" ht="24" customHeight="1">
      <c r="A631" s="24" t="inlineStr">
        <is>
          <t>2026-01-09</t>
        </is>
      </c>
      <c r="B631" s="30" t="n">
        <v>15860</v>
      </c>
      <c r="C631" s="30" t="n">
        <v>15950</v>
      </c>
      <c r="D631" s="30" t="n">
        <v>15180</v>
      </c>
      <c r="E631" s="30" t="n">
        <v>15250</v>
      </c>
      <c r="F631" s="30" t="n">
        <v>15250</v>
      </c>
      <c r="G631" s="30" t="n">
        <v>143050</v>
      </c>
      <c r="H631" s="35" t="n">
        <v>-0.03785488958990535</v>
      </c>
      <c r="I631" s="35" t="n">
        <v>-0.751628664495114</v>
      </c>
      <c r="J631" s="30" t="n">
        <v>17799</v>
      </c>
      <c r="K631" s="30" t="n">
        <v>19459.66666666667</v>
      </c>
      <c r="L631" s="30" t="n">
        <v>18527.33333333333</v>
      </c>
      <c r="M631" s="35" t="n">
        <v>0.47567030896804</v>
      </c>
      <c r="N631" s="35" t="n">
        <v>0.7334617242801196</v>
      </c>
      <c r="O631" s="35" t="n">
        <v>-0.2685851318944844</v>
      </c>
      <c r="P631" s="35" t="n">
        <v>-0.1335227272727273</v>
      </c>
      <c r="Q631" s="35" t="n">
        <v>-0.04268675455116133</v>
      </c>
      <c r="R631" s="35" t="n">
        <v>-0.1432102927130737</v>
      </c>
      <c r="S631" s="35" t="n">
        <v>-0.2163277891022457</v>
      </c>
      <c r="T631" s="35" t="n">
        <v>-0.1768917995034364</v>
      </c>
      <c r="U631" s="30" t="n">
        <v>37600</v>
      </c>
      <c r="V631" s="30" t="n">
        <v>15050</v>
      </c>
      <c r="W631" s="35" t="n">
        <v>-0.5944148936170213</v>
      </c>
      <c r="X631" s="35" t="n">
        <v>0.01328903654485059</v>
      </c>
      <c r="Y631" s="30" t="n">
        <v>20476584</v>
      </c>
      <c r="Z631" s="30" t="n">
        <v>312267906000</v>
      </c>
      <c r="AA631" s="30" t="n">
        <v>2181512500</v>
      </c>
      <c r="AB631" s="30" t="n">
        <v>2098582971.5</v>
      </c>
      <c r="AC631" s="35" t="n">
        <v>0.006986028528977294</v>
      </c>
      <c r="AD631" s="24" t="inlineStr">
        <is>
          <t>yfinance_download</t>
        </is>
      </c>
      <c r="AE631" s="24" t="inlineStr">
        <is>
          <t>317330.KQ</t>
        </is>
      </c>
    </row>
    <row r="632" ht="24" customHeight="1">
      <c r="A632" s="29" t="inlineStr">
        <is>
          <t>2026-01-12</t>
        </is>
      </c>
      <c r="B632" s="31" t="n">
        <v>15540</v>
      </c>
      <c r="C632" s="31" t="n">
        <v>15940</v>
      </c>
      <c r="D632" s="31" t="n">
        <v>15370</v>
      </c>
      <c r="E632" s="31" t="n">
        <v>15580</v>
      </c>
      <c r="F632" s="31" t="n">
        <v>15580</v>
      </c>
      <c r="G632" s="31" t="n">
        <v>96843</v>
      </c>
      <c r="H632" s="36" t="n">
        <v>0.02163934426229508</v>
      </c>
      <c r="I632" s="36" t="n">
        <v>-0.7462540716612378</v>
      </c>
      <c r="J632" s="31" t="n">
        <v>17573</v>
      </c>
      <c r="K632" s="31" t="n">
        <v>19430.16666666667</v>
      </c>
      <c r="L632" s="31" t="n">
        <v>18526.66666666667</v>
      </c>
      <c r="M632" s="36" t="n">
        <v>0.4859756652776897</v>
      </c>
      <c r="N632" s="36" t="n">
        <v>0.7344655959452266</v>
      </c>
      <c r="O632" s="36" t="n">
        <v>-0.2248756218905472</v>
      </c>
      <c r="P632" s="36" t="n">
        <v>-0.1020172910662824</v>
      </c>
      <c r="Q632" s="36" t="n">
        <v>-0.005108556832694733</v>
      </c>
      <c r="R632" s="36" t="n">
        <v>-0.1134126216354635</v>
      </c>
      <c r="S632" s="36" t="n">
        <v>-0.198154073133701</v>
      </c>
      <c r="T632" s="36" t="n">
        <v>-0.1590500179920835</v>
      </c>
      <c r="U632" s="31" t="n">
        <v>37600</v>
      </c>
      <c r="V632" s="31" t="n">
        <v>15050</v>
      </c>
      <c r="W632" s="36" t="n">
        <v>-0.5856382978723405</v>
      </c>
      <c r="X632" s="36" t="n">
        <v>0.03521594684385376</v>
      </c>
      <c r="Y632" s="31" t="n">
        <v>20476584</v>
      </c>
      <c r="Z632" s="31" t="n">
        <v>319025178720</v>
      </c>
      <c r="AA632" s="31" t="n">
        <v>1508813940</v>
      </c>
      <c r="AB632" s="31" t="n">
        <v>2059842603.5</v>
      </c>
      <c r="AC632" s="36" t="n">
        <v>0.004729450967016764</v>
      </c>
      <c r="AD632" s="29" t="inlineStr">
        <is>
          <t>yfinance_download</t>
        </is>
      </c>
      <c r="AE632" s="29" t="inlineStr">
        <is>
          <t>317330.KQ</t>
        </is>
      </c>
    </row>
    <row r="633" ht="24" customHeight="1">
      <c r="A633" s="24" t="inlineStr">
        <is>
          <t>2026-01-13</t>
        </is>
      </c>
      <c r="B633" s="30" t="n">
        <v>15730</v>
      </c>
      <c r="C633" s="30" t="n">
        <v>15980</v>
      </c>
      <c r="D633" s="30" t="n">
        <v>15460</v>
      </c>
      <c r="E633" s="30" t="n">
        <v>15980</v>
      </c>
      <c r="F633" s="30" t="n">
        <v>15980</v>
      </c>
      <c r="G633" s="30" t="n">
        <v>97590</v>
      </c>
      <c r="H633" s="35" t="n">
        <v>0.0256739409499358</v>
      </c>
      <c r="I633" s="35" t="n">
        <v>-0.7397394136807818</v>
      </c>
      <c r="J633" s="30" t="n">
        <v>17376</v>
      </c>
      <c r="K633" s="30" t="n">
        <v>19391.83333333333</v>
      </c>
      <c r="L633" s="30" t="n">
        <v>18532.16666666667</v>
      </c>
      <c r="M633" s="35" t="n">
        <v>0.5042541628244742</v>
      </c>
      <c r="N633" s="35" t="n">
        <v>0.7278306750059569</v>
      </c>
      <c r="O633" s="35" t="n">
        <v>-0.1977911646586346</v>
      </c>
      <c r="P633" s="35" t="n">
        <v>-0.1258205689277899</v>
      </c>
      <c r="Q633" s="35" t="n">
        <v>0.04308093994778073</v>
      </c>
      <c r="R633" s="35" t="n">
        <v>-0.08034069981583791</v>
      </c>
      <c r="S633" s="35" t="n">
        <v>-0.1759417624257634</v>
      </c>
      <c r="T633" s="35" t="n">
        <v>-0.1377155036737925</v>
      </c>
      <c r="U633" s="30" t="n">
        <v>37600</v>
      </c>
      <c r="V633" s="30" t="n">
        <v>15050</v>
      </c>
      <c r="W633" s="35" t="n">
        <v>-0.575</v>
      </c>
      <c r="X633" s="35" t="n">
        <v>0.06179401993355471</v>
      </c>
      <c r="Y633" s="30" t="n">
        <v>20476584</v>
      </c>
      <c r="Z633" s="30" t="n">
        <v>327215812320</v>
      </c>
      <c r="AA633" s="30" t="n">
        <v>1559488200</v>
      </c>
      <c r="AB633" s="30" t="n">
        <v>1748751525.5</v>
      </c>
      <c r="AC633" s="35" t="n">
        <v>0.004765931661257561</v>
      </c>
      <c r="AD633" s="24" t="inlineStr">
        <is>
          <t>yfinance_download</t>
        </is>
      </c>
      <c r="AE633" s="24" t="inlineStr">
        <is>
          <t>317330.KQ</t>
        </is>
      </c>
    </row>
    <row r="634" ht="24" customHeight="1">
      <c r="A634" s="29" t="inlineStr">
        <is>
          <t>2026-01-14</t>
        </is>
      </c>
      <c r="B634" s="31" t="n">
        <v>16180</v>
      </c>
      <c r="C634" s="31" t="n">
        <v>16180</v>
      </c>
      <c r="D634" s="31" t="n">
        <v>15460</v>
      </c>
      <c r="E634" s="31" t="n">
        <v>15550</v>
      </c>
      <c r="F634" s="31" t="n">
        <v>15550</v>
      </c>
      <c r="G634" s="31" t="n">
        <v>94072</v>
      </c>
      <c r="H634" s="36" t="n">
        <v>-0.02690863579474345</v>
      </c>
      <c r="I634" s="36" t="n">
        <v>-0.746742671009772</v>
      </c>
      <c r="J634" s="31" t="n">
        <v>17118.5</v>
      </c>
      <c r="K634" s="31" t="n">
        <v>19334.33333333333</v>
      </c>
      <c r="L634" s="31" t="n">
        <v>18533.5</v>
      </c>
      <c r="M634" s="36" t="n">
        <v>0.4714674054540636</v>
      </c>
      <c r="N634" s="36" t="n">
        <v>0.7246905411228723</v>
      </c>
      <c r="O634" s="36" t="n">
        <v>-0.248792270531401</v>
      </c>
      <c r="P634" s="36" t="n">
        <v>-0.1815789473684211</v>
      </c>
      <c r="Q634" s="36" t="n">
        <v>0.01039636127355426</v>
      </c>
      <c r="R634" s="36" t="n">
        <v>-0.09162601863481035</v>
      </c>
      <c r="S634" s="36" t="n">
        <v>-0.1957312552798993</v>
      </c>
      <c r="T634" s="36" t="n">
        <v>-0.1609787681765452</v>
      </c>
      <c r="U634" s="31" t="n">
        <v>37600</v>
      </c>
      <c r="V634" s="31" t="n">
        <v>15050</v>
      </c>
      <c r="W634" s="36" t="n">
        <v>-0.586436170212766</v>
      </c>
      <c r="X634" s="36" t="n">
        <v>0.03322259136212624</v>
      </c>
      <c r="Y634" s="31" t="n">
        <v>20476584</v>
      </c>
      <c r="Z634" s="31" t="n">
        <v>318410881200</v>
      </c>
      <c r="AA634" s="31" t="n">
        <v>1462819600</v>
      </c>
      <c r="AB634" s="31" t="n">
        <v>1687325945.5</v>
      </c>
      <c r="AC634" s="36" t="n">
        <v>0.00459412566080358</v>
      </c>
      <c r="AD634" s="29" t="inlineStr">
        <is>
          <t>yfinance_download</t>
        </is>
      </c>
      <c r="AE634" s="29" t="inlineStr">
        <is>
          <t>317330.KQ</t>
        </is>
      </c>
    </row>
    <row r="635" ht="24" customHeight="1">
      <c r="A635" s="24" t="inlineStr">
        <is>
          <t>2026-01-15</t>
        </is>
      </c>
      <c r="B635" s="30" t="n">
        <v>15500</v>
      </c>
      <c r="C635" s="30" t="n">
        <v>15570</v>
      </c>
      <c r="D635" s="30" t="n">
        <v>15230</v>
      </c>
      <c r="E635" s="30" t="n">
        <v>15570</v>
      </c>
      <c r="F635" s="30" t="n">
        <v>15570</v>
      </c>
      <c r="G635" s="30" t="n">
        <v>101639</v>
      </c>
      <c r="H635" s="35" t="n">
        <v>0.001286173633440413</v>
      </c>
      <c r="I635" s="35" t="n">
        <v>-0.7464169381107492</v>
      </c>
      <c r="J635" s="30" t="n">
        <v>16919.5</v>
      </c>
      <c r="K635" s="30" t="n">
        <v>19280.33333333333</v>
      </c>
      <c r="L635" s="30" t="n">
        <v>18532.41666666667</v>
      </c>
      <c r="M635" s="35" t="n">
        <v>0.4472204527289169</v>
      </c>
      <c r="N635" s="35" t="n">
        <v>0.7245519062574481</v>
      </c>
      <c r="O635" s="35" t="n">
        <v>-0.2035805626598466</v>
      </c>
      <c r="P635" s="35" t="n">
        <v>-0.1722488038277512</v>
      </c>
      <c r="Q635" s="35" t="n">
        <v>-0.008280254777070062</v>
      </c>
      <c r="R635" s="35" t="n">
        <v>-0.07976004019031291</v>
      </c>
      <c r="S635" s="35" t="n">
        <v>-0.192441347832852</v>
      </c>
      <c r="T635" s="35" t="n">
        <v>-0.1598505321756023</v>
      </c>
      <c r="U635" s="30" t="n">
        <v>37600</v>
      </c>
      <c r="V635" s="30" t="n">
        <v>15050</v>
      </c>
      <c r="W635" s="35" t="n">
        <v>-0.5859042553191489</v>
      </c>
      <c r="X635" s="35" t="n">
        <v>0.03455149501661126</v>
      </c>
      <c r="Y635" s="30" t="n">
        <v>20476584</v>
      </c>
      <c r="Z635" s="30" t="n">
        <v>318820412880</v>
      </c>
      <c r="AA635" s="30" t="n">
        <v>1582519230</v>
      </c>
      <c r="AB635" s="30" t="n">
        <v>1634704457</v>
      </c>
      <c r="AC635" s="35" t="n">
        <v>0.004963669721473074</v>
      </c>
      <c r="AD635" s="24" t="inlineStr">
        <is>
          <t>yfinance_download</t>
        </is>
      </c>
      <c r="AE635" s="24" t="inlineStr">
        <is>
          <t>317330.KQ</t>
        </is>
      </c>
    </row>
    <row r="636" ht="24" customHeight="1">
      <c r="A636" s="29" t="inlineStr">
        <is>
          <t>2026-01-16</t>
        </is>
      </c>
      <c r="B636" s="31" t="n">
        <v>15600</v>
      </c>
      <c r="C636" s="31" t="n">
        <v>15650</v>
      </c>
      <c r="D636" s="31" t="n">
        <v>15130</v>
      </c>
      <c r="E636" s="31" t="n">
        <v>15160</v>
      </c>
      <c r="F636" s="31" t="n">
        <v>15160</v>
      </c>
      <c r="G636" s="31" t="n">
        <v>116651</v>
      </c>
      <c r="H636" s="36" t="n">
        <v>-0.02633269107257552</v>
      </c>
      <c r="I636" s="36" t="n">
        <v>-0.7530944625407165</v>
      </c>
      <c r="J636" s="31" t="n">
        <v>16751.5</v>
      </c>
      <c r="K636" s="31" t="n">
        <v>19205.5</v>
      </c>
      <c r="L636" s="31" t="n">
        <v>18517.66666666667</v>
      </c>
      <c r="M636" s="36" t="n">
        <v>0.423762688961436</v>
      </c>
      <c r="N636" s="36" t="n">
        <v>0.7195409835965182</v>
      </c>
      <c r="O636" s="36" t="n">
        <v>-0.1814254859611231</v>
      </c>
      <c r="P636" s="36" t="n">
        <v>-0.2284987277353689</v>
      </c>
      <c r="Q636" s="36" t="n">
        <v>-0.1045481393975192</v>
      </c>
      <c r="R636" s="36" t="n">
        <v>-0.09500641733576098</v>
      </c>
      <c r="S636" s="36" t="n">
        <v>-0.2106427846189893</v>
      </c>
      <c r="T636" s="36" t="n">
        <v>-0.1813223408276782</v>
      </c>
      <c r="U636" s="31" t="n">
        <v>37600</v>
      </c>
      <c r="V636" s="31" t="n">
        <v>15050</v>
      </c>
      <c r="W636" s="36" t="n">
        <v>-0.5968085106382979</v>
      </c>
      <c r="X636" s="36" t="n">
        <v>0.0073089700996678</v>
      </c>
      <c r="Y636" s="31" t="n">
        <v>20476584</v>
      </c>
      <c r="Z636" s="31" t="n">
        <v>310425013440</v>
      </c>
      <c r="AA636" s="31" t="n">
        <v>1768429160</v>
      </c>
      <c r="AB636" s="31" t="n">
        <v>1587243749</v>
      </c>
      <c r="AC636" s="36" t="n">
        <v>0.005696799817782107</v>
      </c>
      <c r="AD636" s="29" t="inlineStr">
        <is>
          <t>yfinance_download</t>
        </is>
      </c>
      <c r="AE636" s="29" t="inlineStr">
        <is>
          <t>317330.KQ</t>
        </is>
      </c>
    </row>
    <row r="637" ht="24" customHeight="1">
      <c r="A637" s="24" t="inlineStr">
        <is>
          <t>2026-01-19</t>
        </is>
      </c>
      <c r="B637" s="30" t="n">
        <v>15030</v>
      </c>
      <c r="C637" s="30" t="n">
        <v>16380</v>
      </c>
      <c r="D637" s="30" t="n">
        <v>14920</v>
      </c>
      <c r="E637" s="30" t="n">
        <v>16360</v>
      </c>
      <c r="F637" s="30" t="n">
        <v>16360</v>
      </c>
      <c r="G637" s="30" t="n">
        <v>236530</v>
      </c>
      <c r="H637" s="35" t="n">
        <v>0.079155672823219</v>
      </c>
      <c r="I637" s="35" t="n">
        <v>-0.7335504885993485</v>
      </c>
      <c r="J637" s="30" t="n">
        <v>16657.5</v>
      </c>
      <c r="K637" s="30" t="n">
        <v>19100.66666666667</v>
      </c>
      <c r="L637" s="30" t="n">
        <v>18514.16666666667</v>
      </c>
      <c r="M637" s="35" t="n">
        <v>0.5270814748533167</v>
      </c>
      <c r="N637" s="35" t="n">
        <v>0.6651684638311264</v>
      </c>
      <c r="O637" s="35" t="n">
        <v>-0.1030701754385965</v>
      </c>
      <c r="P637" s="35" t="n">
        <v>-0.2777041942604856</v>
      </c>
      <c r="Q637" s="35" t="n">
        <v>-0.02502979737783073</v>
      </c>
      <c r="R637" s="35" t="n">
        <v>-0.01785982290259647</v>
      </c>
      <c r="S637" s="35" t="n">
        <v>-0.1434853931799938</v>
      </c>
      <c r="T637" s="35" t="n">
        <v>-0.1163523428005582</v>
      </c>
      <c r="U637" s="30" t="n">
        <v>37600</v>
      </c>
      <c r="V637" s="30" t="n">
        <v>15050</v>
      </c>
      <c r="W637" s="35" t="n">
        <v>-0.5648936170212766</v>
      </c>
      <c r="X637" s="35" t="n">
        <v>0.08704318936877087</v>
      </c>
      <c r="Y637" s="30" t="n">
        <v>20476584</v>
      </c>
      <c r="Z637" s="30" t="n">
        <v>334996914240</v>
      </c>
      <c r="AA637" s="30" t="n">
        <v>3869630800</v>
      </c>
      <c r="AB637" s="30" t="n">
        <v>1715296585</v>
      </c>
      <c r="AC637" s="35" t="n">
        <v>0.01155124311750436</v>
      </c>
      <c r="AD637" s="24" t="inlineStr">
        <is>
          <t>yfinance_download</t>
        </is>
      </c>
      <c r="AE637" s="24" t="inlineStr">
        <is>
          <t>317330.KQ</t>
        </is>
      </c>
    </row>
    <row r="638" ht="24" customHeight="1">
      <c r="A638" s="29" t="inlineStr">
        <is>
          <t>2026-01-20</t>
        </is>
      </c>
      <c r="B638" s="31" t="n">
        <v>16850</v>
      </c>
      <c r="C638" s="31" t="n">
        <v>17300</v>
      </c>
      <c r="D638" s="31" t="n">
        <v>16440</v>
      </c>
      <c r="E638" s="31" t="n">
        <v>17010</v>
      </c>
      <c r="F638" s="31" t="n">
        <v>17010</v>
      </c>
      <c r="G638" s="31" t="n">
        <v>247866</v>
      </c>
      <c r="H638" s="36" t="n">
        <v>0.03973105134474331</v>
      </c>
      <c r="I638" s="36" t="n">
        <v>-0.7229641693811075</v>
      </c>
      <c r="J638" s="31" t="n">
        <v>16637.5</v>
      </c>
      <c r="K638" s="31" t="n">
        <v>18992.5</v>
      </c>
      <c r="L638" s="31" t="n">
        <v>18519.25</v>
      </c>
      <c r="M638" s="36" t="n">
        <v>0.526848322526634</v>
      </c>
      <c r="N638" s="36" t="n">
        <v>0.6657793901166427</v>
      </c>
      <c r="O638" s="36" t="n">
        <v>-0.02297530155083283</v>
      </c>
      <c r="P638" s="36" t="n">
        <v>-0.2761702127659574</v>
      </c>
      <c r="Q638" s="36" t="n">
        <v>0.03719512195121943</v>
      </c>
      <c r="R638" s="36" t="n">
        <v>0.02238918106686705</v>
      </c>
      <c r="S638" s="36" t="n">
        <v>-0.1043833092010004</v>
      </c>
      <c r="T638" s="36" t="n">
        <v>-0.08149628089690453</v>
      </c>
      <c r="U638" s="31" t="n">
        <v>37600</v>
      </c>
      <c r="V638" s="31" t="n">
        <v>15050</v>
      </c>
      <c r="W638" s="36" t="n">
        <v>-0.5476063829787234</v>
      </c>
      <c r="X638" s="36" t="n">
        <v>0.1302325581395349</v>
      </c>
      <c r="Y638" s="31" t="n">
        <v>20476584</v>
      </c>
      <c r="Z638" s="31" t="n">
        <v>348306693840</v>
      </c>
      <c r="AA638" s="31" t="n">
        <v>4216200660</v>
      </c>
      <c r="AB638" s="31" t="n">
        <v>1843955792</v>
      </c>
      <c r="AC638" s="36" t="n">
        <v>0.01210485108258292</v>
      </c>
      <c r="AD638" s="29" t="inlineStr">
        <is>
          <t>yfinance_download</t>
        </is>
      </c>
      <c r="AE638" s="29" t="inlineStr">
        <is>
          <t>317330.KQ</t>
        </is>
      </c>
    </row>
    <row r="639" ht="24" customHeight="1">
      <c r="A639" s="24" t="inlineStr">
        <is>
          <t>2026-01-21</t>
        </is>
      </c>
      <c r="B639" s="30" t="n">
        <v>16520</v>
      </c>
      <c r="C639" s="30" t="n">
        <v>16930</v>
      </c>
      <c r="D639" s="30" t="n">
        <v>16140</v>
      </c>
      <c r="E639" s="30" t="n">
        <v>16890</v>
      </c>
      <c r="F639" s="30" t="n">
        <v>16890</v>
      </c>
      <c r="G639" s="30" t="n">
        <v>131534</v>
      </c>
      <c r="H639" s="35" t="n">
        <v>-0.007054673721340388</v>
      </c>
      <c r="I639" s="35" t="n">
        <v>-0.7249185667752442</v>
      </c>
      <c r="J639" s="30" t="n">
        <v>16611.5</v>
      </c>
      <c r="K639" s="30" t="n">
        <v>18871.5</v>
      </c>
      <c r="L639" s="30" t="n">
        <v>18518.25</v>
      </c>
      <c r="M639" s="35" t="n">
        <v>0.5273283059747292</v>
      </c>
      <c r="N639" s="35" t="n">
        <v>0.6623985604020927</v>
      </c>
      <c r="O639" s="35" t="n">
        <v>-0.02986789201608275</v>
      </c>
      <c r="P639" s="35" t="n">
        <v>-0.3006211180124223</v>
      </c>
      <c r="Q639" s="35" t="n">
        <v>-0.007054673721340388</v>
      </c>
      <c r="R639" s="35" t="n">
        <v>0.01676549378442638</v>
      </c>
      <c r="S639" s="35" t="n">
        <v>-0.1049996025753119</v>
      </c>
      <c r="T639" s="35" t="n">
        <v>-0.08792677493823664</v>
      </c>
      <c r="U639" s="30" t="n">
        <v>37600</v>
      </c>
      <c r="V639" s="30" t="n">
        <v>15050</v>
      </c>
      <c r="W639" s="35" t="n">
        <v>-0.5507978723404255</v>
      </c>
      <c r="X639" s="35" t="n">
        <v>0.1222591362126246</v>
      </c>
      <c r="Y639" s="30" t="n">
        <v>20476584</v>
      </c>
      <c r="Z639" s="30" t="n">
        <v>345849503760</v>
      </c>
      <c r="AA639" s="30" t="n">
        <v>2221609260</v>
      </c>
      <c r="AB639" s="30" t="n">
        <v>1885120306.5</v>
      </c>
      <c r="AC639" s="35" t="n">
        <v>0.006423630035166022</v>
      </c>
      <c r="AD639" s="24" t="inlineStr">
        <is>
          <t>yfinance_download</t>
        </is>
      </c>
      <c r="AE639" s="24" t="inlineStr">
        <is>
          <t>317330.KQ</t>
        </is>
      </c>
    </row>
    <row r="640" ht="24" customHeight="1">
      <c r="A640" s="29" t="inlineStr">
        <is>
          <t>2026-01-22</t>
        </is>
      </c>
      <c r="B640" s="31" t="n">
        <v>17050</v>
      </c>
      <c r="C640" s="31" t="n">
        <v>18110</v>
      </c>
      <c r="D640" s="31" t="n">
        <v>16830</v>
      </c>
      <c r="E640" s="31" t="n">
        <v>18100</v>
      </c>
      <c r="F640" s="31" t="n">
        <v>18100</v>
      </c>
      <c r="G640" s="31" t="n">
        <v>436667</v>
      </c>
      <c r="H640" s="36" t="n">
        <v>0.07164002368265243</v>
      </c>
      <c r="I640" s="36" t="n">
        <v>-0.7052117263843648</v>
      </c>
      <c r="J640" s="31" t="n">
        <v>16606.5</v>
      </c>
      <c r="K640" s="31" t="n">
        <v>18769</v>
      </c>
      <c r="L640" s="31" t="n">
        <v>18529.5</v>
      </c>
      <c r="M640" s="36" t="n">
        <v>0.5648679689275089</v>
      </c>
      <c r="N640" s="36" t="n">
        <v>0.6806267476472584</v>
      </c>
      <c r="O640" s="36" t="n">
        <v>-0.005494505494505475</v>
      </c>
      <c r="P640" s="36" t="n">
        <v>-0.2536082474226804</v>
      </c>
      <c r="Q640" s="36" t="n">
        <v>0.08059701492537319</v>
      </c>
      <c r="R640" s="36" t="n">
        <v>0.08993466413753648</v>
      </c>
      <c r="S640" s="36" t="n">
        <v>-0.03564388086738768</v>
      </c>
      <c r="T640" s="36" t="n">
        <v>-0.02317925470196169</v>
      </c>
      <c r="U640" s="31" t="n">
        <v>37600</v>
      </c>
      <c r="V640" s="31" t="n">
        <v>15050</v>
      </c>
      <c r="W640" s="36" t="n">
        <v>-0.5186170212765957</v>
      </c>
      <c r="X640" s="36" t="n">
        <v>0.2026578073089702</v>
      </c>
      <c r="Y640" s="31" t="n">
        <v>20476584</v>
      </c>
      <c r="Z640" s="31" t="n">
        <v>370626170400</v>
      </c>
      <c r="AA640" s="31" t="n">
        <v>7903672700</v>
      </c>
      <c r="AB640" s="31" t="n">
        <v>2197386561.5</v>
      </c>
      <c r="AC640" s="36" t="n">
        <v>0.02132518783406451</v>
      </c>
      <c r="AD640" s="29" t="inlineStr">
        <is>
          <t>yfinance_download</t>
        </is>
      </c>
      <c r="AE640" s="29" t="inlineStr">
        <is>
          <t>317330.KQ</t>
        </is>
      </c>
    </row>
    <row r="641" ht="24" customHeight="1">
      <c r="A641" s="24" t="inlineStr">
        <is>
          <t>2026-01-23</t>
        </is>
      </c>
      <c r="B641" s="30" t="n">
        <v>19010</v>
      </c>
      <c r="C641" s="30" t="n">
        <v>19040</v>
      </c>
      <c r="D641" s="30" t="n">
        <v>17850</v>
      </c>
      <c r="E641" s="30" t="n">
        <v>18130</v>
      </c>
      <c r="F641" s="30" t="n">
        <v>18130</v>
      </c>
      <c r="G641" s="30" t="n">
        <v>265303</v>
      </c>
      <c r="H641" s="35" t="n">
        <v>0.00165745856353583</v>
      </c>
      <c r="I641" s="35" t="n">
        <v>-0.7047231270358306</v>
      </c>
      <c r="J641" s="30" t="n">
        <v>16622</v>
      </c>
      <c r="K641" s="30" t="n">
        <v>18674.5</v>
      </c>
      <c r="L641" s="30" t="n">
        <v>18539.5</v>
      </c>
      <c r="M641" s="35" t="n">
        <v>0.5592908041543075</v>
      </c>
      <c r="N641" s="35" t="n">
        <v>0.680041219358518</v>
      </c>
      <c r="O641" s="35" t="n">
        <v>0.01739618406285071</v>
      </c>
      <c r="P641" s="35" t="n">
        <v>-0.2382352941176471</v>
      </c>
      <c r="Q641" s="35" t="n">
        <v>0.07088009450679267</v>
      </c>
      <c r="R641" s="35" t="n">
        <v>0.09072313800986653</v>
      </c>
      <c r="S641" s="35" t="n">
        <v>-0.02915740715949555</v>
      </c>
      <c r="T641" s="35" t="n">
        <v>-0.02208797432508969</v>
      </c>
      <c r="U641" s="30" t="n">
        <v>37600</v>
      </c>
      <c r="V641" s="30" t="n">
        <v>15050</v>
      </c>
      <c r="W641" s="35" t="n">
        <v>-0.5178191489361702</v>
      </c>
      <c r="X641" s="35" t="n">
        <v>0.2046511627906977</v>
      </c>
      <c r="Y641" s="30" t="n">
        <v>20476584</v>
      </c>
      <c r="Z641" s="30" t="n">
        <v>371240467920</v>
      </c>
      <c r="AA641" s="30" t="n">
        <v>4809943390</v>
      </c>
      <c r="AB641" s="30" t="n">
        <v>2389302847</v>
      </c>
      <c r="AC641" s="35" t="n">
        <v>0.01295640913543001</v>
      </c>
      <c r="AD641" s="24" t="inlineStr">
        <is>
          <t>yfinance_download</t>
        </is>
      </c>
      <c r="AE641" s="24" t="inlineStr">
        <is>
          <t>317330.KQ</t>
        </is>
      </c>
    </row>
    <row r="642" ht="24" customHeight="1">
      <c r="A642" s="29" t="inlineStr">
        <is>
          <t>2026-01-26</t>
        </is>
      </c>
      <c r="B642" s="31" t="n">
        <v>18570</v>
      </c>
      <c r="C642" s="31" t="n">
        <v>19480</v>
      </c>
      <c r="D642" s="31" t="n">
        <v>18150</v>
      </c>
      <c r="E642" s="31" t="n">
        <v>19270</v>
      </c>
      <c r="F642" s="31" t="n">
        <v>19270</v>
      </c>
      <c r="G642" s="31" t="n">
        <v>406216</v>
      </c>
      <c r="H642" s="36" t="n">
        <v>0.06287920573634853</v>
      </c>
      <c r="I642" s="36" t="n">
        <v>-0.686156351791531</v>
      </c>
      <c r="J642" s="31" t="n">
        <v>16693.5</v>
      </c>
      <c r="K642" s="31" t="n">
        <v>18613.16666666667</v>
      </c>
      <c r="L642" s="31" t="n">
        <v>18562.16666666667</v>
      </c>
      <c r="M642" s="36" t="n">
        <v>0.6002839216525417</v>
      </c>
      <c r="N642" s="36" t="n">
        <v>0.690139267870492</v>
      </c>
      <c r="O642" s="36" t="n">
        <v>0.08015695067264583</v>
      </c>
      <c r="P642" s="36" t="n">
        <v>-0.1603485838779957</v>
      </c>
      <c r="Q642" s="36" t="n">
        <v>0.1643504531722055</v>
      </c>
      <c r="R642" s="36" t="n">
        <v>0.1543415101686285</v>
      </c>
      <c r="S642" s="36" t="n">
        <v>0.03528863976217544</v>
      </c>
      <c r="T642" s="36" t="n">
        <v>0.03813312023560456</v>
      </c>
      <c r="U642" s="31" t="n">
        <v>37600</v>
      </c>
      <c r="V642" s="31" t="n">
        <v>15050</v>
      </c>
      <c r="W642" s="36" t="n">
        <v>-0.4875</v>
      </c>
      <c r="X642" s="36" t="n">
        <v>0.2803986710963455</v>
      </c>
      <c r="Y642" s="31" t="n">
        <v>20476584</v>
      </c>
      <c r="Z642" s="31" t="n">
        <v>394583773680</v>
      </c>
      <c r="AA642" s="31" t="n">
        <v>7827782320</v>
      </c>
      <c r="AB642" s="31" t="n">
        <v>2728478743</v>
      </c>
      <c r="AC642" s="36" t="n">
        <v>0.0198380745538416</v>
      </c>
      <c r="AD642" s="29" t="inlineStr">
        <is>
          <t>yfinance_download</t>
        </is>
      </c>
      <c r="AE642" s="29" t="inlineStr">
        <is>
          <t>317330.KQ</t>
        </is>
      </c>
    </row>
    <row r="643" ht="24" customHeight="1">
      <c r="A643" s="24" t="inlineStr">
        <is>
          <t>2026-01-27</t>
        </is>
      </c>
      <c r="B643" s="30" t="n">
        <v>18860</v>
      </c>
      <c r="C643" s="30" t="n">
        <v>19160</v>
      </c>
      <c r="D643" s="30" t="n">
        <v>18630</v>
      </c>
      <c r="E643" s="30" t="n">
        <v>18980</v>
      </c>
      <c r="F643" s="30" t="n">
        <v>18980</v>
      </c>
      <c r="G643" s="30" t="n">
        <v>217569</v>
      </c>
      <c r="H643" s="35" t="n">
        <v>-0.01504929942916455</v>
      </c>
      <c r="I643" s="35" t="n">
        <v>-0.6908794788273616</v>
      </c>
      <c r="J643" s="30" t="n">
        <v>16769.5</v>
      </c>
      <c r="K643" s="30" t="n">
        <v>18575.33333333333</v>
      </c>
      <c r="L643" s="30" t="n">
        <v>18579.66666666667</v>
      </c>
      <c r="M643" s="35" t="n">
        <v>0.5971183117378109</v>
      </c>
      <c r="N643" s="35" t="n">
        <v>0.6742375246540185</v>
      </c>
      <c r="O643" s="35" t="n">
        <v>0.08705612829324161</v>
      </c>
      <c r="P643" s="35" t="n">
        <v>-0.1068235294117647</v>
      </c>
      <c r="Q643" s="35" t="n">
        <v>0.1244075829383886</v>
      </c>
      <c r="R643" s="35" t="n">
        <v>0.1318166910164287</v>
      </c>
      <c r="S643" s="35" t="n">
        <v>0.02178516311954937</v>
      </c>
      <c r="T643" s="35" t="n">
        <v>0.0215468522937261</v>
      </c>
      <c r="U643" s="30" t="n">
        <v>37600</v>
      </c>
      <c r="V643" s="30" t="n">
        <v>15050</v>
      </c>
      <c r="W643" s="35" t="n">
        <v>-0.4952127659574468</v>
      </c>
      <c r="X643" s="35" t="n">
        <v>0.2611295681063124</v>
      </c>
      <c r="Y643" s="30" t="n">
        <v>20476584</v>
      </c>
      <c r="Z643" s="30" t="n">
        <v>388645564320</v>
      </c>
      <c r="AA643" s="30" t="n">
        <v>4129459620</v>
      </c>
      <c r="AB643" s="30" t="n">
        <v>2881518013</v>
      </c>
      <c r="AC643" s="35" t="n">
        <v>0.01062525858805355</v>
      </c>
      <c r="AD643" s="24" t="inlineStr">
        <is>
          <t>yfinance_download</t>
        </is>
      </c>
      <c r="AE643" s="24" t="inlineStr">
        <is>
          <t>317330.KQ</t>
        </is>
      </c>
    </row>
    <row r="644" ht="24" customHeight="1">
      <c r="A644" s="29" t="inlineStr">
        <is>
          <t>2026-01-28</t>
        </is>
      </c>
      <c r="B644" s="31" t="n">
        <v>19200</v>
      </c>
      <c r="C644" s="31" t="n">
        <v>20100</v>
      </c>
      <c r="D644" s="31" t="n">
        <v>18810</v>
      </c>
      <c r="E644" s="31" t="n">
        <v>19860</v>
      </c>
      <c r="F644" s="31" t="n">
        <v>19860</v>
      </c>
      <c r="G644" s="31" t="n">
        <v>496728</v>
      </c>
      <c r="H644" s="36" t="n">
        <v>0.04636459430979989</v>
      </c>
      <c r="I644" s="36" t="n">
        <v>-0.6765472312703583</v>
      </c>
      <c r="J644" s="31" t="n">
        <v>16903</v>
      </c>
      <c r="K644" s="31" t="n">
        <v>18559.66666666667</v>
      </c>
      <c r="L644" s="31" t="n">
        <v>18604.41666666667</v>
      </c>
      <c r="M644" s="36" t="n">
        <v>0.6094391287900077</v>
      </c>
      <c r="N644" s="36" t="n">
        <v>0.6798073329309479</v>
      </c>
      <c r="O644" s="36" t="n">
        <v>0.1553228621291449</v>
      </c>
      <c r="P644" s="36" t="n">
        <v>-0.04519230769230764</v>
      </c>
      <c r="Q644" s="36" t="n">
        <v>0.1758436944937833</v>
      </c>
      <c r="R644" s="36" t="n">
        <v>0.1749393598769449</v>
      </c>
      <c r="S644" s="36" t="n">
        <v>0.07006232152157899</v>
      </c>
      <c r="T644" s="36" t="n">
        <v>0.06748845480239907</v>
      </c>
      <c r="U644" s="31" t="n">
        <v>37600</v>
      </c>
      <c r="V644" s="31" t="n">
        <v>15050</v>
      </c>
      <c r="W644" s="36" t="n">
        <v>-0.4718085106382979</v>
      </c>
      <c r="X644" s="36" t="n">
        <v>0.3196013289036546</v>
      </c>
      <c r="Y644" s="31" t="n">
        <v>20476584</v>
      </c>
      <c r="Z644" s="31" t="n">
        <v>406664958240</v>
      </c>
      <c r="AA644" s="31" t="n">
        <v>9865018080</v>
      </c>
      <c r="AB644" s="31" t="n">
        <v>3314503355.5</v>
      </c>
      <c r="AC644" s="36" t="n">
        <v>0.02425834309082023</v>
      </c>
      <c r="AD644" s="29" t="inlineStr">
        <is>
          <t>yfinance_download</t>
        </is>
      </c>
      <c r="AE644" s="29" t="inlineStr">
        <is>
          <t>317330.KQ</t>
        </is>
      </c>
    </row>
    <row r="645" ht="24" customHeight="1">
      <c r="A645" s="24" t="inlineStr">
        <is>
          <t>2026-01-29</t>
        </is>
      </c>
      <c r="B645" s="30" t="n">
        <v>20600</v>
      </c>
      <c r="C645" s="30" t="n">
        <v>20600</v>
      </c>
      <c r="D645" s="30" t="n">
        <v>18860</v>
      </c>
      <c r="E645" s="30" t="n">
        <v>19970</v>
      </c>
      <c r="F645" s="30" t="n">
        <v>19970</v>
      </c>
      <c r="G645" s="30" t="n">
        <v>392120</v>
      </c>
      <c r="H645" s="35" t="n">
        <v>0.005538771399798526</v>
      </c>
      <c r="I645" s="35" t="n">
        <v>-0.674755700325733</v>
      </c>
      <c r="J645" s="30" t="n">
        <v>17055.5</v>
      </c>
      <c r="K645" s="30" t="n">
        <v>18534.16666666667</v>
      </c>
      <c r="L645" s="30" t="n">
        <v>18639.33333333333</v>
      </c>
      <c r="M645" s="35" t="n">
        <v>0.603142865149907</v>
      </c>
      <c r="N645" s="35" t="n">
        <v>0.6763104363628534</v>
      </c>
      <c r="O645" s="35" t="n">
        <v>0.1802600472813238</v>
      </c>
      <c r="P645" s="35" t="n">
        <v>-0.07116279069767439</v>
      </c>
      <c r="Q645" s="35" t="n">
        <v>0.2655259822560203</v>
      </c>
      <c r="R645" s="35" t="n">
        <v>0.1708832927794552</v>
      </c>
      <c r="S645" s="35" t="n">
        <v>0.07746953824018687</v>
      </c>
      <c r="T645" s="35" t="n">
        <v>0.07139025000894184</v>
      </c>
      <c r="U645" s="30" t="n">
        <v>37600</v>
      </c>
      <c r="V645" s="30" t="n">
        <v>15050</v>
      </c>
      <c r="W645" s="35" t="n">
        <v>-0.4688829787234042</v>
      </c>
      <c r="X645" s="35" t="n">
        <v>0.3269102990033224</v>
      </c>
      <c r="Y645" s="30" t="n">
        <v>20476584</v>
      </c>
      <c r="Z645" s="30" t="n">
        <v>408917382480</v>
      </c>
      <c r="AA645" s="30" t="n">
        <v>7830636400</v>
      </c>
      <c r="AB645" s="30" t="n">
        <v>3631387519.5</v>
      </c>
      <c r="AC645" s="35" t="n">
        <v>0.01914967848152797</v>
      </c>
      <c r="AD645" s="24" t="inlineStr">
        <is>
          <t>yfinance_download</t>
        </is>
      </c>
      <c r="AE645" s="24" t="inlineStr">
        <is>
          <t>317330.KQ</t>
        </is>
      </c>
    </row>
    <row r="646" ht="24" customHeight="1">
      <c r="A646" s="29" t="inlineStr">
        <is>
          <t>2026-01-30</t>
        </is>
      </c>
      <c r="B646" s="31" t="n">
        <v>19900</v>
      </c>
      <c r="C646" s="31" t="n">
        <v>20900</v>
      </c>
      <c r="D646" s="31" t="n">
        <v>19650</v>
      </c>
      <c r="E646" s="31" t="n">
        <v>19670</v>
      </c>
      <c r="F646" s="31" t="n">
        <v>19670</v>
      </c>
      <c r="G646" s="31" t="n">
        <v>551848</v>
      </c>
      <c r="H646" s="36" t="n">
        <v>-0.01502253380070107</v>
      </c>
      <c r="I646" s="36" t="n">
        <v>-0.679641693811075</v>
      </c>
      <c r="J646" s="31" t="n">
        <v>17210</v>
      </c>
      <c r="K646" s="31" t="n">
        <v>18508.66666666667</v>
      </c>
      <c r="L646" s="31" t="n">
        <v>18669.83333333333</v>
      </c>
      <c r="M646" s="36" t="n">
        <v>0.600159793161074</v>
      </c>
      <c r="N646" s="36" t="n">
        <v>0.6764055976250254</v>
      </c>
      <c r="O646" s="36" t="n">
        <v>0.1863691194209891</v>
      </c>
      <c r="P646" s="36" t="n">
        <v>-0.07216981132075473</v>
      </c>
      <c r="Q646" s="36" t="n">
        <v>0.2286071205496565</v>
      </c>
      <c r="R646" s="36" t="n">
        <v>0.1429401510749564</v>
      </c>
      <c r="S646" s="36" t="n">
        <v>0.06274538054244849</v>
      </c>
      <c r="T646" s="36" t="n">
        <v>0.05357126915969612</v>
      </c>
      <c r="U646" s="31" t="n">
        <v>37600</v>
      </c>
      <c r="V646" s="31" t="n">
        <v>15050</v>
      </c>
      <c r="W646" s="36" t="n">
        <v>-0.4768617021276595</v>
      </c>
      <c r="X646" s="36" t="n">
        <v>0.3069767441860465</v>
      </c>
      <c r="Y646" s="31" t="n">
        <v>20476584</v>
      </c>
      <c r="Z646" s="31" t="n">
        <v>402774407280</v>
      </c>
      <c r="AA646" s="31" t="n">
        <v>10854850160</v>
      </c>
      <c r="AB646" s="31" t="n">
        <v>4088856600.5</v>
      </c>
      <c r="AC646" s="36" t="n">
        <v>0.02695019833386272</v>
      </c>
      <c r="AD646" s="29" t="inlineStr">
        <is>
          <t>yfinance_download</t>
        </is>
      </c>
      <c r="AE646" s="29" t="inlineStr">
        <is>
          <t>317330.KQ</t>
        </is>
      </c>
    </row>
    <row r="647" ht="24" customHeight="1">
      <c r="A647" s="24" t="inlineStr">
        <is>
          <t>2026-02-02</t>
        </is>
      </c>
      <c r="B647" s="30" t="n">
        <v>18970</v>
      </c>
      <c r="C647" s="30" t="n">
        <v>20050</v>
      </c>
      <c r="D647" s="30" t="n">
        <v>18320</v>
      </c>
      <c r="E647" s="30" t="n">
        <v>18520</v>
      </c>
      <c r="F647" s="30" t="n">
        <v>18520</v>
      </c>
      <c r="G647" s="30" t="n">
        <v>262012</v>
      </c>
      <c r="H647" s="35" t="n">
        <v>-0.05846466700559227</v>
      </c>
      <c r="I647" s="35" t="n">
        <v>-0.6983713355048859</v>
      </c>
      <c r="J647" s="30" t="n">
        <v>17268</v>
      </c>
      <c r="K647" s="30" t="n">
        <v>18474</v>
      </c>
      <c r="L647" s="30" t="n">
        <v>18683.91666666667</v>
      </c>
      <c r="M647" s="35" t="n">
        <v>0.6282301778188922</v>
      </c>
      <c r="N647" s="35" t="n">
        <v>0.6844959051060129</v>
      </c>
      <c r="O647" s="35" t="n">
        <v>0.06682027649769595</v>
      </c>
      <c r="P647" s="35" t="n">
        <v>-0.1009708737864078</v>
      </c>
      <c r="Q647" s="35" t="n">
        <v>0.1004159239453357</v>
      </c>
      <c r="R647" s="35" t="n">
        <v>0.07250405374102376</v>
      </c>
      <c r="S647" s="35" t="n">
        <v>0.002489985926166449</v>
      </c>
      <c r="T647" s="35" t="n">
        <v>-0.008773142676187673</v>
      </c>
      <c r="U647" s="30" t="n">
        <v>37600</v>
      </c>
      <c r="V647" s="30" t="n">
        <v>15050</v>
      </c>
      <c r="W647" s="35" t="n">
        <v>-0.5074468085106383</v>
      </c>
      <c r="X647" s="35" t="n">
        <v>0.2305647840531562</v>
      </c>
      <c r="Y647" s="30" t="n">
        <v>20476584</v>
      </c>
      <c r="Z647" s="30" t="n">
        <v>379226335680</v>
      </c>
      <c r="AA647" s="30" t="n">
        <v>4852462240</v>
      </c>
      <c r="AB647" s="30" t="n">
        <v>4213449072.5</v>
      </c>
      <c r="AC647" s="35" t="n">
        <v>0.01279568896843341</v>
      </c>
      <c r="AD647" s="24" t="inlineStr">
        <is>
          <t>yfinance_download</t>
        </is>
      </c>
      <c r="AE647" s="24" t="inlineStr">
        <is>
          <t>317330.KQ</t>
        </is>
      </c>
    </row>
    <row r="648" ht="24" customHeight="1">
      <c r="A648" s="29" t="inlineStr">
        <is>
          <t>2026-02-03</t>
        </is>
      </c>
      <c r="B648" s="31" t="n">
        <v>19030</v>
      </c>
      <c r="C648" s="31" t="n">
        <v>20100</v>
      </c>
      <c r="D648" s="31" t="n">
        <v>19030</v>
      </c>
      <c r="E648" s="31" t="n">
        <v>19980</v>
      </c>
      <c r="F648" s="31" t="n">
        <v>19980</v>
      </c>
      <c r="G648" s="31" t="n">
        <v>311569</v>
      </c>
      <c r="H648" s="36" t="n">
        <v>0.07883369330453571</v>
      </c>
      <c r="I648" s="36" t="n">
        <v>-0.6745928338762215</v>
      </c>
      <c r="J648" s="31" t="n">
        <v>17412</v>
      </c>
      <c r="K648" s="31" t="n">
        <v>18463.66666666667</v>
      </c>
      <c r="L648" s="31" t="n">
        <v>18708.66666666667</v>
      </c>
      <c r="M648" s="36" t="n">
        <v>0.6770554354759508</v>
      </c>
      <c r="N648" s="36" t="n">
        <v>0.7037366066615928</v>
      </c>
      <c r="O648" s="36" t="n">
        <v>0.168421052631579</v>
      </c>
      <c r="P648" s="36" t="n">
        <v>-0.03009708737864081</v>
      </c>
      <c r="Q648" s="36" t="n">
        <v>0.1746031746031746</v>
      </c>
      <c r="R648" s="36" t="n">
        <v>0.1474844934527912</v>
      </c>
      <c r="S648" s="36" t="n">
        <v>0.08212525500532575</v>
      </c>
      <c r="T648" s="36" t="n">
        <v>0.0679542458040836</v>
      </c>
      <c r="U648" s="31" t="n">
        <v>37600</v>
      </c>
      <c r="V648" s="31" t="n">
        <v>15050</v>
      </c>
      <c r="W648" s="36" t="n">
        <v>-0.4686170212765958</v>
      </c>
      <c r="X648" s="36" t="n">
        <v>0.3275747508305649</v>
      </c>
      <c r="Y648" s="31" t="n">
        <v>20476584</v>
      </c>
      <c r="Z648" s="31" t="n">
        <v>409122148320</v>
      </c>
      <c r="AA648" s="31" t="n">
        <v>6225148620</v>
      </c>
      <c r="AB648" s="31" t="n">
        <v>4452610338.5</v>
      </c>
      <c r="AC648" s="36" t="n">
        <v>0.01521586803736404</v>
      </c>
      <c r="AD648" s="29" t="inlineStr">
        <is>
          <t>yfinance_download</t>
        </is>
      </c>
      <c r="AE648" s="29" t="inlineStr">
        <is>
          <t>317330.KQ</t>
        </is>
      </c>
    </row>
    <row r="649" ht="24" customHeight="1">
      <c r="A649" s="24" t="inlineStr">
        <is>
          <t>2026-02-04</t>
        </is>
      </c>
      <c r="B649" s="30" t="n">
        <v>19910</v>
      </c>
      <c r="C649" s="30" t="n">
        <v>20400</v>
      </c>
      <c r="D649" s="30" t="n">
        <v>19610</v>
      </c>
      <c r="E649" s="30" t="n">
        <v>20000</v>
      </c>
      <c r="F649" s="30" t="n">
        <v>20000</v>
      </c>
      <c r="G649" s="30" t="n">
        <v>239259</v>
      </c>
      <c r="H649" s="35" t="n">
        <v>0.001001001001001089</v>
      </c>
      <c r="I649" s="35" t="n">
        <v>-0.6742671009771988</v>
      </c>
      <c r="J649" s="30" t="n">
        <v>17584</v>
      </c>
      <c r="K649" s="30" t="n">
        <v>18469.83333333333</v>
      </c>
      <c r="L649" s="30" t="n">
        <v>18732.66666666667</v>
      </c>
      <c r="M649" s="35" t="n">
        <v>0.6610599583515036</v>
      </c>
      <c r="N649" s="35" t="n">
        <v>0.6967397123727743</v>
      </c>
      <c r="O649" s="35" t="n">
        <v>0.2077294685990339</v>
      </c>
      <c r="P649" s="35" t="n">
        <v>0.01884870096790636</v>
      </c>
      <c r="Q649" s="35" t="n">
        <v>0.1682242990654206</v>
      </c>
      <c r="R649" s="35" t="n">
        <v>0.1373976342129208</v>
      </c>
      <c r="S649" s="35" t="n">
        <v>0.08284680424836899</v>
      </c>
      <c r="T649" s="35" t="n">
        <v>0.06765365315491656</v>
      </c>
      <c r="U649" s="30" t="n">
        <v>37600</v>
      </c>
      <c r="V649" s="30" t="n">
        <v>15050</v>
      </c>
      <c r="W649" s="35" t="n">
        <v>-0.4680851063829787</v>
      </c>
      <c r="X649" s="35" t="n">
        <v>0.3289036544850499</v>
      </c>
      <c r="Y649" s="30" t="n">
        <v>20476584</v>
      </c>
      <c r="Z649" s="30" t="n">
        <v>409531680000</v>
      </c>
      <c r="AA649" s="30" t="n">
        <v>4785180000</v>
      </c>
      <c r="AB649" s="30" t="n">
        <v>4616414526.5</v>
      </c>
      <c r="AC649" s="35" t="n">
        <v>0.01168451730034658</v>
      </c>
      <c r="AD649" s="24" t="inlineStr">
        <is>
          <t>yfinance_download</t>
        </is>
      </c>
      <c r="AE649" s="24" t="inlineStr">
        <is>
          <t>317330.KQ</t>
        </is>
      </c>
    </row>
    <row r="650" ht="24" customHeight="1">
      <c r="A650" s="29" t="inlineStr">
        <is>
          <t>2026-02-05</t>
        </is>
      </c>
      <c r="B650" s="31" t="n">
        <v>19670</v>
      </c>
      <c r="C650" s="31" t="n">
        <v>19740</v>
      </c>
      <c r="D650" s="31" t="n">
        <v>18770</v>
      </c>
      <c r="E650" s="31" t="n">
        <v>18890</v>
      </c>
      <c r="F650" s="31" t="n">
        <v>18890</v>
      </c>
      <c r="G650" s="31" t="n">
        <v>227734</v>
      </c>
      <c r="H650" s="36" t="n">
        <v>-0.05549999999999999</v>
      </c>
      <c r="I650" s="36" t="n">
        <v>-0.6923452768729641</v>
      </c>
      <c r="J650" s="31" t="n">
        <v>17736</v>
      </c>
      <c r="K650" s="31" t="n">
        <v>18454.33333333333</v>
      </c>
      <c r="L650" s="31" t="n">
        <v>18749.41666666667</v>
      </c>
      <c r="M650" s="36" t="n">
        <v>0.6758807336258423</v>
      </c>
      <c r="N650" s="36" t="n">
        <v>0.7060981452214353</v>
      </c>
      <c r="O650" s="36" t="n">
        <v>0.1917981072555206</v>
      </c>
      <c r="P650" s="36" t="n">
        <v>-0.04692230070635717</v>
      </c>
      <c r="Q650" s="36" t="n">
        <v>0.1190758293838863</v>
      </c>
      <c r="R650" s="36" t="n">
        <v>0.06506540369869196</v>
      </c>
      <c r="S650" s="36" t="n">
        <v>0.02360782472048117</v>
      </c>
      <c r="T650" s="36" t="n">
        <v>0.007498011049232645</v>
      </c>
      <c r="U650" s="31" t="n">
        <v>37600</v>
      </c>
      <c r="V650" s="31" t="n">
        <v>15050</v>
      </c>
      <c r="W650" s="36" t="n">
        <v>-0.4976063829787234</v>
      </c>
      <c r="X650" s="36" t="n">
        <v>0.2551495016611296</v>
      </c>
      <c r="Y650" s="31" t="n">
        <v>20476584</v>
      </c>
      <c r="Z650" s="31" t="n">
        <v>386802671760</v>
      </c>
      <c r="AA650" s="31" t="n">
        <v>4301895260</v>
      </c>
      <c r="AB650" s="31" t="n">
        <v>4687853607</v>
      </c>
      <c r="AC650" s="36" t="n">
        <v>0.01112167928009867</v>
      </c>
      <c r="AD650" s="29" t="inlineStr">
        <is>
          <t>yfinance_download</t>
        </is>
      </c>
      <c r="AE650" s="29" t="inlineStr">
        <is>
          <t>317330.KQ</t>
        </is>
      </c>
    </row>
    <row r="651" ht="24" customHeight="1">
      <c r="A651" s="24" t="inlineStr">
        <is>
          <t>2026-02-06</t>
        </is>
      </c>
      <c r="B651" s="30" t="n">
        <v>18150</v>
      </c>
      <c r="C651" s="30" t="n">
        <v>18600</v>
      </c>
      <c r="D651" s="30" t="n">
        <v>17700</v>
      </c>
      <c r="E651" s="30" t="n">
        <v>18220</v>
      </c>
      <c r="F651" s="30" t="n">
        <v>18220</v>
      </c>
      <c r="G651" s="30" t="n">
        <v>167017</v>
      </c>
      <c r="H651" s="35" t="n">
        <v>-0.03546850185283223</v>
      </c>
      <c r="I651" s="35" t="n">
        <v>-0.703257328990228</v>
      </c>
      <c r="J651" s="30" t="n">
        <v>17884.5</v>
      </c>
      <c r="K651" s="30" t="n">
        <v>18425.66666666667</v>
      </c>
      <c r="L651" s="30" t="n">
        <v>18748.66666666667</v>
      </c>
      <c r="M651" s="35" t="n">
        <v>0.6737051930953226</v>
      </c>
      <c r="N651" s="35" t="n">
        <v>0.7097273728215514</v>
      </c>
      <c r="O651" s="35" t="n">
        <v>0.1947540983606557</v>
      </c>
      <c r="P651" s="35" t="n">
        <v>-0.08625877632898693</v>
      </c>
      <c r="Q651" s="35" t="n">
        <v>-0.00491534680502459</v>
      </c>
      <c r="R651" s="35" t="n">
        <v>0.0187592608124354</v>
      </c>
      <c r="S651" s="35" t="n">
        <v>-0.01116196609801556</v>
      </c>
      <c r="T651" s="35" t="n">
        <v>-0.02819756071542867</v>
      </c>
      <c r="U651" s="30" t="n">
        <v>37600</v>
      </c>
      <c r="V651" s="30" t="n">
        <v>15050</v>
      </c>
      <c r="W651" s="35" t="n">
        <v>-0.5154255319148936</v>
      </c>
      <c r="X651" s="35" t="n">
        <v>0.2106312292358803</v>
      </c>
      <c r="Y651" s="30" t="n">
        <v>20476584</v>
      </c>
      <c r="Z651" s="30" t="n">
        <v>373083360480</v>
      </c>
      <c r="AA651" s="30" t="n">
        <v>3043049740</v>
      </c>
      <c r="AB651" s="30" t="n">
        <v>4730930469</v>
      </c>
      <c r="AC651" s="35" t="n">
        <v>0.008156487429739257</v>
      </c>
      <c r="AD651" s="24" t="inlineStr">
        <is>
          <t>yfinance_download</t>
        </is>
      </c>
      <c r="AE651" s="24" t="inlineStr">
        <is>
          <t>317330.KQ</t>
        </is>
      </c>
    </row>
    <row r="652" ht="24" customHeight="1">
      <c r="A652" s="29" t="inlineStr">
        <is>
          <t>2026-02-09</t>
        </is>
      </c>
      <c r="B652" s="31" t="n">
        <v>18840</v>
      </c>
      <c r="C652" s="31" t="n">
        <v>19630</v>
      </c>
      <c r="D652" s="31" t="n">
        <v>18690</v>
      </c>
      <c r="E652" s="31" t="n">
        <v>19560</v>
      </c>
      <c r="F652" s="31" t="n">
        <v>19560</v>
      </c>
      <c r="G652" s="31" t="n">
        <v>212285</v>
      </c>
      <c r="H652" s="36" t="n">
        <v>0.07354555433589471</v>
      </c>
      <c r="I652" s="36" t="n">
        <v>-0.6814332247557003</v>
      </c>
      <c r="J652" s="31" t="n">
        <v>18083.5</v>
      </c>
      <c r="K652" s="31" t="n">
        <v>18416.66666666667</v>
      </c>
      <c r="L652" s="31" t="n">
        <v>18763.25</v>
      </c>
      <c r="M652" s="36" t="n">
        <v>0.7100388727015234</v>
      </c>
      <c r="N652" s="36" t="n">
        <v>0.7256391509085198</v>
      </c>
      <c r="O652" s="36" t="n">
        <v>0.2554557124518613</v>
      </c>
      <c r="P652" s="36" t="n">
        <v>-0.0268656716417911</v>
      </c>
      <c r="Q652" s="36" t="n">
        <v>0.09825940482874795</v>
      </c>
      <c r="R652" s="36" t="n">
        <v>0.08164901705975058</v>
      </c>
      <c r="S652" s="36" t="n">
        <v>0.06208144796380077</v>
      </c>
      <c r="T652" s="36" t="n">
        <v>0.04246332591635249</v>
      </c>
      <c r="U652" s="31" t="n">
        <v>37600</v>
      </c>
      <c r="V652" s="31" t="n">
        <v>15050</v>
      </c>
      <c r="W652" s="36" t="n">
        <v>-0.4797872340425532</v>
      </c>
      <c r="X652" s="36" t="n">
        <v>0.2996677740863787</v>
      </c>
      <c r="Y652" s="31" t="n">
        <v>20476584</v>
      </c>
      <c r="Z652" s="31" t="n">
        <v>400521983040</v>
      </c>
      <c r="AA652" s="31" t="n">
        <v>4152294600</v>
      </c>
      <c r="AB652" s="31" t="n">
        <v>4863104502</v>
      </c>
      <c r="AC652" s="36" t="n">
        <v>0.01036720773347742</v>
      </c>
      <c r="AD652" s="29" t="inlineStr">
        <is>
          <t>yfinance_download</t>
        </is>
      </c>
      <c r="AE652" s="29" t="inlineStr">
        <is>
          <t>317330.KQ</t>
        </is>
      </c>
    </row>
    <row r="653" ht="24" customHeight="1">
      <c r="A653" s="24" t="inlineStr">
        <is>
          <t>2026-02-10</t>
        </is>
      </c>
      <c r="B653" s="30" t="n">
        <v>19580</v>
      </c>
      <c r="C653" s="30" t="n">
        <v>20150</v>
      </c>
      <c r="D653" s="30" t="n">
        <v>19100</v>
      </c>
      <c r="E653" s="30" t="n">
        <v>19160</v>
      </c>
      <c r="F653" s="30" t="n">
        <v>19160</v>
      </c>
      <c r="G653" s="30" t="n">
        <v>169090</v>
      </c>
      <c r="H653" s="35" t="n">
        <v>-0.0204498977505112</v>
      </c>
      <c r="I653" s="35" t="n">
        <v>-0.6879478827361564</v>
      </c>
      <c r="J653" s="30" t="n">
        <v>18242.5</v>
      </c>
      <c r="K653" s="30" t="n">
        <v>18397.66666666667</v>
      </c>
      <c r="L653" s="30" t="n">
        <v>18759.25</v>
      </c>
      <c r="M653" s="35" t="n">
        <v>0.7174187959399431</v>
      </c>
      <c r="N653" s="35" t="n">
        <v>0.7266265340283022</v>
      </c>
      <c r="O653" s="35" t="n">
        <v>0.1989987484355444</v>
      </c>
      <c r="P653" s="35" t="n">
        <v>-0.05615763546798025</v>
      </c>
      <c r="Q653" s="35" t="n">
        <v>-0.02443991853360494</v>
      </c>
      <c r="R653" s="35" t="n">
        <v>0.05029464163354813</v>
      </c>
      <c r="S653" s="35" t="n">
        <v>0.0414364140380119</v>
      </c>
      <c r="T653" s="35" t="n">
        <v>0.02136279435478494</v>
      </c>
      <c r="U653" s="30" t="n">
        <v>37600</v>
      </c>
      <c r="V653" s="30" t="n">
        <v>15050</v>
      </c>
      <c r="W653" s="35" t="n">
        <v>-0.4904255319148936</v>
      </c>
      <c r="X653" s="35" t="n">
        <v>0.2730897009966777</v>
      </c>
      <c r="Y653" s="30" t="n">
        <v>20476584</v>
      </c>
      <c r="Z653" s="30" t="n">
        <v>392331349440</v>
      </c>
      <c r="AA653" s="30" t="n">
        <v>3239764400</v>
      </c>
      <c r="AB653" s="30" t="n">
        <v>4947118312</v>
      </c>
      <c r="AC653" s="35" t="n">
        <v>0.008257725018977775</v>
      </c>
      <c r="AD653" s="24" t="inlineStr">
        <is>
          <t>yfinance_download</t>
        </is>
      </c>
      <c r="AE653" s="24" t="inlineStr">
        <is>
          <t>317330.KQ</t>
        </is>
      </c>
    </row>
    <row r="654" ht="24" customHeight="1">
      <c r="A654" s="29" t="inlineStr">
        <is>
          <t>2026-02-11</t>
        </is>
      </c>
      <c r="B654" s="31" t="n">
        <v>19340</v>
      </c>
      <c r="C654" s="31" t="n">
        <v>19750</v>
      </c>
      <c r="D654" s="31" t="n">
        <v>19010</v>
      </c>
      <c r="E654" s="31" t="n">
        <v>19210</v>
      </c>
      <c r="F654" s="31" t="n">
        <v>19210</v>
      </c>
      <c r="G654" s="31" t="n">
        <v>132006</v>
      </c>
      <c r="H654" s="36" t="n">
        <v>0.002609603340292255</v>
      </c>
      <c r="I654" s="36" t="n">
        <v>-0.6871335504885994</v>
      </c>
      <c r="J654" s="31" t="n">
        <v>18425.5</v>
      </c>
      <c r="K654" s="31" t="n">
        <v>18396.83333333333</v>
      </c>
      <c r="L654" s="31" t="n">
        <v>18759.33333333333</v>
      </c>
      <c r="M654" s="36" t="n">
        <v>0.704779744588222</v>
      </c>
      <c r="N654" s="36" t="n">
        <v>0.718741844595384</v>
      </c>
      <c r="O654" s="36" t="n">
        <v>0.2353697749196142</v>
      </c>
      <c r="P654" s="36" t="n">
        <v>-0.002596053997923176</v>
      </c>
      <c r="Q654" s="36" t="n">
        <v>0.0005208333333333037</v>
      </c>
      <c r="R654" s="36" t="n">
        <v>0.04257686358579149</v>
      </c>
      <c r="S654" s="36" t="n">
        <v>0.04420144771292178</v>
      </c>
      <c r="T654" s="36" t="n">
        <v>0.02402359714275559</v>
      </c>
      <c r="U654" s="31" t="n">
        <v>37600</v>
      </c>
      <c r="V654" s="31" t="n">
        <v>15050</v>
      </c>
      <c r="W654" s="36" t="n">
        <v>-0.489095744680851</v>
      </c>
      <c r="X654" s="36" t="n">
        <v>0.2764119601328903</v>
      </c>
      <c r="Y654" s="31" t="n">
        <v>20476584</v>
      </c>
      <c r="Z654" s="31" t="n">
        <v>393355178640</v>
      </c>
      <c r="AA654" s="31" t="n">
        <v>2535835260</v>
      </c>
      <c r="AB654" s="31" t="n">
        <v>5000769095</v>
      </c>
      <c r="AC654" s="36" t="n">
        <v>0.006446680754954049</v>
      </c>
      <c r="AD654" s="29" t="inlineStr">
        <is>
          <t>yfinance_download</t>
        </is>
      </c>
      <c r="AE654" s="29" t="inlineStr">
        <is>
          <t>317330.KQ</t>
        </is>
      </c>
    </row>
    <row r="655" ht="24" customHeight="1">
      <c r="A655" s="24" t="inlineStr">
        <is>
          <t>2026-02-12</t>
        </is>
      </c>
      <c r="B655" s="30" t="n">
        <v>19500</v>
      </c>
      <c r="C655" s="30" t="n">
        <v>19880</v>
      </c>
      <c r="D655" s="30" t="n">
        <v>19260</v>
      </c>
      <c r="E655" s="30" t="n">
        <v>19420</v>
      </c>
      <c r="F655" s="30" t="n">
        <v>19420</v>
      </c>
      <c r="G655" s="30" t="n">
        <v>115892</v>
      </c>
      <c r="H655" s="35" t="n">
        <v>0.010931806350859</v>
      </c>
      <c r="I655" s="35" t="n">
        <v>-0.6837133550488599</v>
      </c>
      <c r="J655" s="30" t="n">
        <v>18618</v>
      </c>
      <c r="K655" s="30" t="n">
        <v>18410.16666666667</v>
      </c>
      <c r="L655" s="30" t="n">
        <v>18774.33333333333</v>
      </c>
      <c r="M655" s="35" t="n">
        <v>0.7037484693283559</v>
      </c>
      <c r="N655" s="35" t="n">
        <v>0.7154716338593755</v>
      </c>
      <c r="O655" s="35" t="n">
        <v>0.2472703917790624</v>
      </c>
      <c r="P655" s="35" t="n">
        <v>0.0429645542427497</v>
      </c>
      <c r="Q655" s="35" t="n">
        <v>0.1021566401816119</v>
      </c>
      <c r="R655" s="35" t="n">
        <v>0.04307659254484908</v>
      </c>
      <c r="S655" s="35" t="n">
        <v>0.05485193869329441</v>
      </c>
      <c r="T655" s="35" t="n">
        <v>0.03439092377891817</v>
      </c>
      <c r="U655" s="30" t="n">
        <v>37600</v>
      </c>
      <c r="V655" s="30" t="n">
        <v>15050</v>
      </c>
      <c r="W655" s="35" t="n">
        <v>-0.4835106382978723</v>
      </c>
      <c r="X655" s="35" t="n">
        <v>0.2903654485049834</v>
      </c>
      <c r="Y655" s="30" t="n">
        <v>20476584</v>
      </c>
      <c r="Z655" s="30" t="n">
        <v>397655261280</v>
      </c>
      <c r="AA655" s="30" t="n">
        <v>2250622640</v>
      </c>
      <c r="AB655" s="30" t="n">
        <v>5034174265.5</v>
      </c>
      <c r="AC655" s="35" t="n">
        <v>0.005659733088292461</v>
      </c>
      <c r="AD655" s="24" t="inlineStr">
        <is>
          <t>yfinance_download</t>
        </is>
      </c>
      <c r="AE655" s="24" t="inlineStr">
        <is>
          <t>317330.KQ</t>
        </is>
      </c>
    </row>
    <row r="656" ht="24" customHeight="1">
      <c r="A656" s="29" t="inlineStr">
        <is>
          <t>2026-02-13</t>
        </is>
      </c>
      <c r="B656" s="31" t="n">
        <v>19190</v>
      </c>
      <c r="C656" s="31" t="n">
        <v>19250</v>
      </c>
      <c r="D656" s="31" t="n">
        <v>18800</v>
      </c>
      <c r="E656" s="31" t="n">
        <v>18890</v>
      </c>
      <c r="F656" s="31" t="n">
        <v>18890</v>
      </c>
      <c r="G656" s="31" t="n">
        <v>89736</v>
      </c>
      <c r="H656" s="36" t="n">
        <v>-0.02729145211122552</v>
      </c>
      <c r="I656" s="36" t="n">
        <v>-0.6923452768729641</v>
      </c>
      <c r="J656" s="31" t="n">
        <v>18804.5</v>
      </c>
      <c r="K656" s="31" t="n">
        <v>18402.33333333333</v>
      </c>
      <c r="L656" s="31" t="n">
        <v>18788.58333333333</v>
      </c>
      <c r="M656" s="36" t="n">
        <v>0.7044494851086008</v>
      </c>
      <c r="N656" s="36" t="n">
        <v>0.7134149764155284</v>
      </c>
      <c r="O656" s="36" t="n">
        <v>0.2460422163588392</v>
      </c>
      <c r="P656" s="36" t="n">
        <v>-0.02427685950413228</v>
      </c>
      <c r="Q656" s="36" t="n">
        <v>0.09953434225844005</v>
      </c>
      <c r="R656" s="36" t="n">
        <v>0.004546784014464622</v>
      </c>
      <c r="S656" s="36" t="n">
        <v>0.02650026264785277</v>
      </c>
      <c r="T656" s="36" t="n">
        <v>0.005397781454163253</v>
      </c>
      <c r="U656" s="31" t="n">
        <v>37600</v>
      </c>
      <c r="V656" s="31" t="n">
        <v>15050</v>
      </c>
      <c r="W656" s="36" t="n">
        <v>-0.4976063829787234</v>
      </c>
      <c r="X656" s="36" t="n">
        <v>0.2551495016611296</v>
      </c>
      <c r="Y656" s="31" t="n">
        <v>20476584</v>
      </c>
      <c r="Z656" s="31" t="n">
        <v>386802671760</v>
      </c>
      <c r="AA656" s="31" t="n">
        <v>1695113040</v>
      </c>
      <c r="AB656" s="31" t="n">
        <v>5030508459.5</v>
      </c>
      <c r="AC656" s="36" t="n">
        <v>0.004382371590886449</v>
      </c>
      <c r="AD656" s="29" t="inlineStr">
        <is>
          <t>yfinance_download</t>
        </is>
      </c>
      <c r="AE656" s="29" t="inlineStr">
        <is>
          <t>317330.KQ</t>
        </is>
      </c>
    </row>
    <row r="657" ht="24" customHeight="1">
      <c r="A657" s="24" t="inlineStr">
        <is>
          <t>2026-02-19</t>
        </is>
      </c>
      <c r="B657" s="30" t="n">
        <v>19170</v>
      </c>
      <c r="C657" s="30" t="n">
        <v>19780</v>
      </c>
      <c r="D657" s="30" t="n">
        <v>19170</v>
      </c>
      <c r="E657" s="30" t="n">
        <v>19690</v>
      </c>
      <c r="F657" s="30" t="n">
        <v>19690</v>
      </c>
      <c r="G657" s="30" t="n">
        <v>181632</v>
      </c>
      <c r="H657" s="35" t="n">
        <v>0.04235044997353099</v>
      </c>
      <c r="I657" s="35" t="n">
        <v>-0.679315960912052</v>
      </c>
      <c r="J657" s="30" t="n">
        <v>18971</v>
      </c>
      <c r="K657" s="30" t="n">
        <v>18402.5</v>
      </c>
      <c r="L657" s="30" t="n">
        <v>18805.66666666667</v>
      </c>
      <c r="M657" s="35" t="n">
        <v>0.6691282785281355</v>
      </c>
      <c r="N657" s="35" t="n">
        <v>0.7178364942763994</v>
      </c>
      <c r="O657" s="35" t="n">
        <v>0.2035452322738387</v>
      </c>
      <c r="P657" s="35" t="n">
        <v>0.000508130081300795</v>
      </c>
      <c r="Q657" s="35" t="n">
        <v>0.1162131519274376</v>
      </c>
      <c r="R657" s="35" t="n">
        <v>0.03789995255916923</v>
      </c>
      <c r="S657" s="35" t="n">
        <v>0.06996332020105966</v>
      </c>
      <c r="T657" s="35" t="n">
        <v>0.0470248329404257</v>
      </c>
      <c r="U657" s="30" t="n">
        <v>37600</v>
      </c>
      <c r="V657" s="30" t="n">
        <v>15050</v>
      </c>
      <c r="W657" s="35" t="n">
        <v>-0.4763297872340425</v>
      </c>
      <c r="X657" s="35" t="n">
        <v>0.3083056478405315</v>
      </c>
      <c r="Y657" s="30" t="n">
        <v>20476584</v>
      </c>
      <c r="Z657" s="30" t="n">
        <v>403183938960</v>
      </c>
      <c r="AA657" s="30" t="n">
        <v>3576334080</v>
      </c>
      <c r="AB657" s="30" t="n">
        <v>5015843623.5</v>
      </c>
      <c r="AC657" s="35" t="n">
        <v>0.008870229526565564</v>
      </c>
      <c r="AD657" s="24" t="inlineStr">
        <is>
          <t>yfinance_download</t>
        </is>
      </c>
      <c r="AE657" s="24" t="inlineStr">
        <is>
          <t>317330.KQ</t>
        </is>
      </c>
    </row>
    <row r="658" ht="24" customHeight="1">
      <c r="A658" s="29" t="inlineStr">
        <is>
          <t>2026-02-20</t>
        </is>
      </c>
      <c r="B658" s="31" t="n">
        <v>19620</v>
      </c>
      <c r="C658" s="31" t="n">
        <v>19630</v>
      </c>
      <c r="D658" s="31" t="n">
        <v>19150</v>
      </c>
      <c r="E658" s="31" t="n">
        <v>19160</v>
      </c>
      <c r="F658" s="31" t="n">
        <v>19160</v>
      </c>
      <c r="G658" s="31" t="n">
        <v>123051</v>
      </c>
      <c r="H658" s="36" t="n">
        <v>-0.02691721686135096</v>
      </c>
      <c r="I658" s="36" t="n">
        <v>-0.6879478827361564</v>
      </c>
      <c r="J658" s="31" t="n">
        <v>19078.5</v>
      </c>
      <c r="K658" s="31" t="n">
        <v>18405.33333333333</v>
      </c>
      <c r="L658" s="31" t="n">
        <v>18814.08333333333</v>
      </c>
      <c r="M658" s="36" t="n">
        <v>0.6718520499159534</v>
      </c>
      <c r="N658" s="36" t="n">
        <v>0.7162831511350061</v>
      </c>
      <c r="O658" s="36" t="n">
        <v>0.1263962375073486</v>
      </c>
      <c r="P658" s="36" t="n">
        <v>0.008952080042127442</v>
      </c>
      <c r="Q658" s="36" t="n">
        <v>0.05564738292011029</v>
      </c>
      <c r="R658" s="36" t="n">
        <v>0.00427182430484585</v>
      </c>
      <c r="S658" s="36" t="n">
        <v>0.04100260793972765</v>
      </c>
      <c r="T658" s="36" t="n">
        <v>0.01838604945763156</v>
      </c>
      <c r="U658" s="31" t="n">
        <v>37600</v>
      </c>
      <c r="V658" s="31" t="n">
        <v>15050</v>
      </c>
      <c r="W658" s="36" t="n">
        <v>-0.4904255319148936</v>
      </c>
      <c r="X658" s="36" t="n">
        <v>0.2730897009966777</v>
      </c>
      <c r="Y658" s="31" t="n">
        <v>20476584</v>
      </c>
      <c r="Z658" s="31" t="n">
        <v>392331349440</v>
      </c>
      <c r="AA658" s="31" t="n">
        <v>2357657160</v>
      </c>
      <c r="AB658" s="31" t="n">
        <v>4922916448.5</v>
      </c>
      <c r="AC658" s="36" t="n">
        <v>0.006009351950501118</v>
      </c>
      <c r="AD658" s="29" t="inlineStr">
        <is>
          <t>yfinance_download</t>
        </is>
      </c>
      <c r="AE658" s="29" t="inlineStr">
        <is>
          <t>317330.KQ</t>
        </is>
      </c>
    </row>
    <row r="659" ht="24" customHeight="1">
      <c r="A659" s="24" t="inlineStr">
        <is>
          <t>2026-02-23</t>
        </is>
      </c>
      <c r="B659" s="30" t="n">
        <v>19580</v>
      </c>
      <c r="C659" s="30" t="n">
        <v>19900</v>
      </c>
      <c r="D659" s="30" t="n">
        <v>19260</v>
      </c>
      <c r="E659" s="30" t="n">
        <v>19280</v>
      </c>
      <c r="F659" s="30" t="n">
        <v>19280</v>
      </c>
      <c r="G659" s="30" t="n">
        <v>183892</v>
      </c>
      <c r="H659" s="35" t="n">
        <v>0.006263048016701411</v>
      </c>
      <c r="I659" s="35" t="n">
        <v>-0.6859934853420195</v>
      </c>
      <c r="J659" s="30" t="n">
        <v>19198</v>
      </c>
      <c r="K659" s="30" t="n">
        <v>18431.66666666667</v>
      </c>
      <c r="L659" s="30" t="n">
        <v>18822.91666666667</v>
      </c>
      <c r="M659" s="35" t="n">
        <v>0.6698679923672026</v>
      </c>
      <c r="N659" s="35" t="n">
        <v>0.7017335161138262</v>
      </c>
      <c r="O659" s="35" t="n">
        <v>0.1415038484310243</v>
      </c>
      <c r="P659" s="35" t="n">
        <v>0.08926553672316384</v>
      </c>
      <c r="Q659" s="35" t="n">
        <v>0.05817782656421522</v>
      </c>
      <c r="R659" s="35" t="n">
        <v>0.004271278258151989</v>
      </c>
      <c r="S659" s="35" t="n">
        <v>0.04602586128944752</v>
      </c>
      <c r="T659" s="35" t="n">
        <v>0.02428334255672371</v>
      </c>
      <c r="U659" s="30" t="n">
        <v>37600</v>
      </c>
      <c r="V659" s="30" t="n">
        <v>15050</v>
      </c>
      <c r="W659" s="35" t="n">
        <v>-0.4872340425531915</v>
      </c>
      <c r="X659" s="35" t="n">
        <v>0.281063122923588</v>
      </c>
      <c r="Y659" s="30" t="n">
        <v>20476584</v>
      </c>
      <c r="Z659" s="30" t="n">
        <v>394788539520</v>
      </c>
      <c r="AA659" s="30" t="n">
        <v>3545437760</v>
      </c>
      <c r="AB659" s="30" t="n">
        <v>4989107873.5</v>
      </c>
      <c r="AC659" s="35" t="n">
        <v>0.008980599498431965</v>
      </c>
      <c r="AD659" s="24" t="inlineStr">
        <is>
          <t>yfinance_download</t>
        </is>
      </c>
      <c r="AE659" s="24" t="inlineStr">
        <is>
          <t>317330.KQ</t>
        </is>
      </c>
    </row>
    <row r="660" ht="24" customHeight="1">
      <c r="A660" s="29" t="inlineStr">
        <is>
          <t>2026-02-24</t>
        </is>
      </c>
      <c r="B660" s="31" t="n">
        <v>19360</v>
      </c>
      <c r="C660" s="31" t="n">
        <v>20300</v>
      </c>
      <c r="D660" s="31" t="n">
        <v>19330</v>
      </c>
      <c r="E660" s="31" t="n">
        <v>19820</v>
      </c>
      <c r="F660" s="31" t="n">
        <v>19820</v>
      </c>
      <c r="G660" s="31" t="n">
        <v>253281</v>
      </c>
      <c r="H660" s="36" t="n">
        <v>0.02800829875518662</v>
      </c>
      <c r="I660" s="36" t="n">
        <v>-0.6771986970684039</v>
      </c>
      <c r="J660" s="31" t="n">
        <v>19284</v>
      </c>
      <c r="K660" s="31" t="n">
        <v>18469.5</v>
      </c>
      <c r="L660" s="31" t="n">
        <v>18823.66666666667</v>
      </c>
      <c r="M660" s="36" t="n">
        <v>0.6312237377720755</v>
      </c>
      <c r="N660" s="36" t="n">
        <v>0.7033139939920128</v>
      </c>
      <c r="O660" s="36" t="n">
        <v>0.09502762430939216</v>
      </c>
      <c r="P660" s="36" t="n">
        <v>0.1293447293447294</v>
      </c>
      <c r="Q660" s="36" t="n">
        <v>0.004561581348200727</v>
      </c>
      <c r="R660" s="36" t="n">
        <v>0.0277950632648829</v>
      </c>
      <c r="S660" s="36" t="n">
        <v>0.0731205500961043</v>
      </c>
      <c r="T660" s="36" t="n">
        <v>0.05292982238671162</v>
      </c>
      <c r="U660" s="31" t="n">
        <v>37600</v>
      </c>
      <c r="V660" s="31" t="n">
        <v>15050</v>
      </c>
      <c r="W660" s="36" t="n">
        <v>-0.4728723404255319</v>
      </c>
      <c r="X660" s="36" t="n">
        <v>0.3169435215946843</v>
      </c>
      <c r="Y660" s="31" t="n">
        <v>20476584</v>
      </c>
      <c r="Z660" s="31" t="n">
        <v>405845894880</v>
      </c>
      <c r="AA660" s="31" t="n">
        <v>5020029420</v>
      </c>
      <c r="AB660" s="31" t="n">
        <v>4844925709.5</v>
      </c>
      <c r="AC660" s="36" t="n">
        <v>0.01236929948862564</v>
      </c>
      <c r="AD660" s="29" t="inlineStr">
        <is>
          <t>yfinance_download</t>
        </is>
      </c>
      <c r="AE660" s="29" t="inlineStr">
        <is>
          <t>317330.KQ</t>
        </is>
      </c>
    </row>
    <row r="661" ht="24" customHeight="1">
      <c r="A661" s="24" t="inlineStr">
        <is>
          <t>2026-02-25</t>
        </is>
      </c>
      <c r="B661" s="30" t="n">
        <v>20100</v>
      </c>
      <c r="C661" s="30" t="n">
        <v>20200</v>
      </c>
      <c r="D661" s="30" t="n">
        <v>19630</v>
      </c>
      <c r="E661" s="30" t="n">
        <v>19640</v>
      </c>
      <c r="F661" s="30" t="n">
        <v>19640</v>
      </c>
      <c r="G661" s="30" t="n">
        <v>171853</v>
      </c>
      <c r="H661" s="35" t="n">
        <v>-0.00908173562058523</v>
      </c>
      <c r="I661" s="35" t="n">
        <v>-0.6801302931596092</v>
      </c>
      <c r="J661" s="30" t="n">
        <v>19359.5</v>
      </c>
      <c r="K661" s="30" t="n">
        <v>18508.5</v>
      </c>
      <c r="L661" s="30" t="n">
        <v>18818.58333333333</v>
      </c>
      <c r="M661" s="35" t="n">
        <v>0.633191644862596</v>
      </c>
      <c r="N661" s="35" t="n">
        <v>0.7028544161749291</v>
      </c>
      <c r="O661" s="35" t="n">
        <v>0.08328736900165468</v>
      </c>
      <c r="P661" s="35" t="n">
        <v>0.1352601156069364</v>
      </c>
      <c r="Q661" s="35" t="n">
        <v>-0.0301234567901234</v>
      </c>
      <c r="R661" s="35" t="n">
        <v>0.01448901056328933</v>
      </c>
      <c r="S661" s="35" t="n">
        <v>0.06113407353378175</v>
      </c>
      <c r="T661" s="35" t="n">
        <v>0.04364922970645169</v>
      </c>
      <c r="U661" s="30" t="n">
        <v>37600</v>
      </c>
      <c r="V661" s="30" t="n">
        <v>15050</v>
      </c>
      <c r="W661" s="35" t="n">
        <v>-0.4776595744680852</v>
      </c>
      <c r="X661" s="35" t="n">
        <v>0.304983388704319</v>
      </c>
      <c r="Y661" s="30" t="n">
        <v>20476584</v>
      </c>
      <c r="Z661" s="30" t="n">
        <v>402160109760</v>
      </c>
      <c r="AA661" s="30" t="n">
        <v>3375192920</v>
      </c>
      <c r="AB661" s="30" t="n">
        <v>4773188186</v>
      </c>
      <c r="AC661" s="35" t="n">
        <v>0.008392659635025061</v>
      </c>
      <c r="AD661" s="24" t="inlineStr">
        <is>
          <t>yfinance_download</t>
        </is>
      </c>
      <c r="AE661" s="24" t="inlineStr">
        <is>
          <t>317330.KQ</t>
        </is>
      </c>
    </row>
    <row r="662" ht="24" customHeight="1">
      <c r="A662" s="29" t="inlineStr">
        <is>
          <t>2026-02-26</t>
        </is>
      </c>
      <c r="B662" s="31" t="n">
        <v>19910</v>
      </c>
      <c r="C662" s="31" t="n">
        <v>20300</v>
      </c>
      <c r="D662" s="31" t="n">
        <v>19310</v>
      </c>
      <c r="E662" s="31" t="n">
        <v>19370</v>
      </c>
      <c r="F662" s="31" t="n">
        <v>19370</v>
      </c>
      <c r="G662" s="31" t="n">
        <v>196822</v>
      </c>
      <c r="H662" s="36" t="n">
        <v>-0.01374745417515277</v>
      </c>
      <c r="I662" s="36" t="n">
        <v>-0.684527687296417</v>
      </c>
      <c r="J662" s="31" t="n">
        <v>19364.5</v>
      </c>
      <c r="K662" s="31" t="n">
        <v>18533.16666666667</v>
      </c>
      <c r="L662" s="31" t="n">
        <v>18809.16666666667</v>
      </c>
      <c r="M662" s="36" t="n">
        <v>0.5973004527078525</v>
      </c>
      <c r="N662" s="36" t="n">
        <v>0.7006568105922029</v>
      </c>
      <c r="O662" s="36" t="n">
        <v>0.00518941359626357</v>
      </c>
      <c r="P662" s="36" t="n">
        <v>0.08272778088317501</v>
      </c>
      <c r="Q662" s="36" t="n">
        <v>-0.05512195121951224</v>
      </c>
      <c r="R662" s="36" t="n">
        <v>0.0002840248909086185</v>
      </c>
      <c r="S662" s="36" t="n">
        <v>0.04515328375255168</v>
      </c>
      <c r="T662" s="36" t="n">
        <v>0.02981702184218671</v>
      </c>
      <c r="U662" s="31" t="n">
        <v>37600</v>
      </c>
      <c r="V662" s="31" t="n">
        <v>15050</v>
      </c>
      <c r="W662" s="36" t="n">
        <v>-0.4848404255319149</v>
      </c>
      <c r="X662" s="36" t="n">
        <v>0.2870431893687708</v>
      </c>
      <c r="Y662" s="31" t="n">
        <v>20476584</v>
      </c>
      <c r="Z662" s="31" t="n">
        <v>396631432080</v>
      </c>
      <c r="AA662" s="31" t="n">
        <v>3812442140</v>
      </c>
      <c r="AB662" s="31" t="n">
        <v>4572421177</v>
      </c>
      <c r="AC662" s="36" t="n">
        <v>0.009612052479065844</v>
      </c>
      <c r="AD662" s="29" t="inlineStr">
        <is>
          <t>yfinance_download</t>
        </is>
      </c>
      <c r="AE662" s="29" t="inlineStr">
        <is>
          <t>317330.KQ</t>
        </is>
      </c>
    </row>
    <row r="663" ht="24" customHeight="1">
      <c r="A663" s="24" t="inlineStr">
        <is>
          <t>2026-02-27</t>
        </is>
      </c>
      <c r="B663" s="30" t="n">
        <v>19140</v>
      </c>
      <c r="C663" s="30" t="n">
        <v>19350</v>
      </c>
      <c r="D663" s="30" t="n">
        <v>18900</v>
      </c>
      <c r="E663" s="30" t="n">
        <v>19030</v>
      </c>
      <c r="F663" s="30" t="n">
        <v>19030</v>
      </c>
      <c r="G663" s="30" t="n">
        <v>120438</v>
      </c>
      <c r="H663" s="35" t="n">
        <v>-0.01755291688177596</v>
      </c>
      <c r="I663" s="35" t="n">
        <v>-0.6900651465798046</v>
      </c>
      <c r="J663" s="30" t="n">
        <v>19367</v>
      </c>
      <c r="K663" s="30" t="n">
        <v>18554.16666666667</v>
      </c>
      <c r="L663" s="30" t="n">
        <v>18807.41666666667</v>
      </c>
      <c r="M663" s="35" t="n">
        <v>0.5982537400331672</v>
      </c>
      <c r="N663" s="35" t="n">
        <v>0.7015998569719998</v>
      </c>
      <c r="O663" s="35" t="n">
        <v>0.002634351949420521</v>
      </c>
      <c r="P663" s="35" t="n">
        <v>0.07090602138435576</v>
      </c>
      <c r="Q663" s="35" t="n">
        <v>-0.01091476091476096</v>
      </c>
      <c r="R663" s="35" t="n">
        <v>-0.01740073320596891</v>
      </c>
      <c r="S663" s="35" t="n">
        <v>0.02564563215809557</v>
      </c>
      <c r="T663" s="35" t="n">
        <v>0.01183487010886664</v>
      </c>
      <c r="U663" s="30" t="n">
        <v>37600</v>
      </c>
      <c r="V663" s="30" t="n">
        <v>15050</v>
      </c>
      <c r="W663" s="35" t="n">
        <v>-0.4938829787234043</v>
      </c>
      <c r="X663" s="35" t="n">
        <v>0.2644518272425249</v>
      </c>
      <c r="Y663" s="30" t="n">
        <v>20476584</v>
      </c>
      <c r="Z663" s="30" t="n">
        <v>389669393520</v>
      </c>
      <c r="AA663" s="30" t="n">
        <v>2291935140</v>
      </c>
      <c r="AB663" s="30" t="n">
        <v>4480544953</v>
      </c>
      <c r="AC663" s="35" t="n">
        <v>0.005881742775064434</v>
      </c>
      <c r="AD663" s="24" t="inlineStr">
        <is>
          <t>yfinance_download</t>
        </is>
      </c>
      <c r="AE663" s="24" t="inlineStr">
        <is>
          <t>317330.KQ</t>
        </is>
      </c>
    </row>
    <row r="664" ht="24" customHeight="1">
      <c r="A664" s="29" t="inlineStr">
        <is>
          <t>2026-03-03</t>
        </is>
      </c>
      <c r="B664" s="31" t="n">
        <v>18650</v>
      </c>
      <c r="C664" s="31" t="n">
        <v>18840</v>
      </c>
      <c r="D664" s="31" t="n">
        <v>17530</v>
      </c>
      <c r="E664" s="31" t="n">
        <v>17530</v>
      </c>
      <c r="F664" s="31" t="n">
        <v>17530</v>
      </c>
      <c r="G664" s="31" t="n">
        <v>240878</v>
      </c>
      <c r="H664" s="36" t="n">
        <v>-0.07882291119285334</v>
      </c>
      <c r="I664" s="36" t="n">
        <v>-0.7144951140065147</v>
      </c>
      <c r="J664" s="31" t="n">
        <v>19250.5</v>
      </c>
      <c r="K664" s="31" t="n">
        <v>18488</v>
      </c>
      <c r="L664" s="31" t="n">
        <v>18797.75</v>
      </c>
      <c r="M664" s="36" t="n">
        <v>0.6356541213475108</v>
      </c>
      <c r="N664" s="36" t="n">
        <v>0.5742137746489853</v>
      </c>
      <c r="O664" s="36" t="n">
        <v>-0.1173212487411883</v>
      </c>
      <c r="P664" s="36" t="n">
        <v>-0.1846511627906977</v>
      </c>
      <c r="Q664" s="36" t="n">
        <v>-0.06206527554842156</v>
      </c>
      <c r="R664" s="36" t="n">
        <v>-0.08937430196618268</v>
      </c>
      <c r="S664" s="36" t="n">
        <v>-0.0518173950670705</v>
      </c>
      <c r="T664" s="36" t="n">
        <v>-0.06744158210424123</v>
      </c>
      <c r="U664" s="31" t="n">
        <v>37600</v>
      </c>
      <c r="V664" s="31" t="n">
        <v>15050</v>
      </c>
      <c r="W664" s="36" t="n">
        <v>-0.5337765957446808</v>
      </c>
      <c r="X664" s="36" t="n">
        <v>0.1647840531561462</v>
      </c>
      <c r="Y664" s="31" t="n">
        <v>20476584</v>
      </c>
      <c r="Z664" s="31" t="n">
        <v>358954517520</v>
      </c>
      <c r="AA664" s="31" t="n">
        <v>4222591340</v>
      </c>
      <c r="AB664" s="31" t="n">
        <v>4198423616</v>
      </c>
      <c r="AC664" s="36" t="n">
        <v>0.01176358322267034</v>
      </c>
      <c r="AD664" s="29" t="inlineStr">
        <is>
          <t>yfinance_download</t>
        </is>
      </c>
      <c r="AE664" s="29" t="inlineStr">
        <is>
          <t>317330.KQ</t>
        </is>
      </c>
    </row>
    <row r="665" ht="24" customHeight="1">
      <c r="A665" s="24" t="inlineStr">
        <is>
          <t>2026-03-04</t>
        </is>
      </c>
      <c r="B665" s="30" t="n">
        <v>16330</v>
      </c>
      <c r="C665" s="30" t="n">
        <v>17000</v>
      </c>
      <c r="D665" s="30" t="n">
        <v>14100</v>
      </c>
      <c r="E665" s="30" t="n">
        <v>14330</v>
      </c>
      <c r="F665" s="30" t="n">
        <v>14330</v>
      </c>
      <c r="G665" s="30" t="n">
        <v>361611</v>
      </c>
      <c r="H665" s="35" t="n">
        <v>-0.1825442099258414</v>
      </c>
      <c r="I665" s="35" t="n">
        <v>-0.7666123778501629</v>
      </c>
      <c r="J665" s="30" t="n">
        <v>18968.5</v>
      </c>
      <c r="K665" s="30" t="n">
        <v>18370.16666666667</v>
      </c>
      <c r="L665" s="30" t="n">
        <v>18763.75</v>
      </c>
      <c r="M665" s="35" t="n">
        <v>0.8915716637097539</v>
      </c>
      <c r="N665" s="35" t="n">
        <v>0.6822828765519781</v>
      </c>
      <c r="O665" s="35" t="n">
        <v>-0.2824236354531797</v>
      </c>
      <c r="P665" s="35" t="n">
        <v>-0.3303738317757009</v>
      </c>
      <c r="Q665" s="35" t="n">
        <v>-0.2216186854970125</v>
      </c>
      <c r="R665" s="35" t="n">
        <v>-0.2445369955452461</v>
      </c>
      <c r="S665" s="35" t="n">
        <v>-0.2199308661688789</v>
      </c>
      <c r="T665" s="35" t="n">
        <v>-0.2362933848511092</v>
      </c>
      <c r="U665" s="30" t="n">
        <v>37600</v>
      </c>
      <c r="V665" s="30" t="n">
        <v>14330</v>
      </c>
      <c r="W665" s="35" t="n">
        <v>-0.6188829787234043</v>
      </c>
      <c r="X665" s="35" t="n">
        <v>0</v>
      </c>
      <c r="Y665" s="30" t="n">
        <v>20476584</v>
      </c>
      <c r="Z665" s="30" t="n">
        <v>293429448720</v>
      </c>
      <c r="AA665" s="30" t="n">
        <v>5181885630</v>
      </c>
      <c r="AB665" s="30" t="n">
        <v>4065986077.5</v>
      </c>
      <c r="AC665" s="35" t="n">
        <v>0.0176597326976023</v>
      </c>
      <c r="AD665" s="24" t="inlineStr">
        <is>
          <t>yfinance_download</t>
        </is>
      </c>
      <c r="AE665" s="24" t="inlineStr">
        <is>
          <t>317330.KQ</t>
        </is>
      </c>
    </row>
    <row r="666" ht="24" customHeight="1">
      <c r="A666" s="29" t="inlineStr">
        <is>
          <t>2026-03-05</t>
        </is>
      </c>
      <c r="B666" s="31" t="n">
        <v>15790</v>
      </c>
      <c r="C666" s="31" t="n">
        <v>16860</v>
      </c>
      <c r="D666" s="31" t="n">
        <v>15500</v>
      </c>
      <c r="E666" s="31" t="n">
        <v>16550</v>
      </c>
      <c r="F666" s="31" t="n">
        <v>16550</v>
      </c>
      <c r="G666" s="31" t="n">
        <v>164447</v>
      </c>
      <c r="H666" s="36" t="n">
        <v>0.1549197487787857</v>
      </c>
      <c r="I666" s="36" t="n">
        <v>-0.7304560260586319</v>
      </c>
      <c r="J666" s="31" t="n">
        <v>18812.5</v>
      </c>
      <c r="K666" s="31" t="n">
        <v>18297.66666666667</v>
      </c>
      <c r="L666" s="31" t="n">
        <v>18748.25</v>
      </c>
      <c r="M666" s="36" t="n">
        <v>1.076144588876178</v>
      </c>
      <c r="N666" s="36" t="n">
        <v>0.7564005474560492</v>
      </c>
      <c r="O666" s="36" t="n">
        <v>-0.1586171835282155</v>
      </c>
      <c r="P666" s="36" t="n">
        <v>-0.2081339712918661</v>
      </c>
      <c r="Q666" s="36" t="n">
        <v>-0.1010320478001087</v>
      </c>
      <c r="R666" s="36" t="n">
        <v>-0.120265780730897</v>
      </c>
      <c r="S666" s="36" t="n">
        <v>-0.09551308910061396</v>
      </c>
      <c r="T666" s="36" t="n">
        <v>-0.117250943421386</v>
      </c>
      <c r="U666" s="31" t="n">
        <v>37600</v>
      </c>
      <c r="V666" s="31" t="n">
        <v>14330</v>
      </c>
      <c r="W666" s="36" t="n">
        <v>-0.5598404255319149</v>
      </c>
      <c r="X666" s="36" t="n">
        <v>0.1549197487787857</v>
      </c>
      <c r="Y666" s="31" t="n">
        <v>20476584</v>
      </c>
      <c r="Z666" s="31" t="n">
        <v>338887465200</v>
      </c>
      <c r="AA666" s="31" t="n">
        <v>2721597850</v>
      </c>
      <c r="AB666" s="31" t="n">
        <v>3659323462</v>
      </c>
      <c r="AC666" s="36" t="n">
        <v>0.008030978213944278</v>
      </c>
      <c r="AD666" s="29" t="inlineStr">
        <is>
          <t>yfinance_download</t>
        </is>
      </c>
      <c r="AE666" s="29" t="inlineStr">
        <is>
          <t>317330.KQ</t>
        </is>
      </c>
    </row>
    <row r="667" ht="24" customHeight="1">
      <c r="A667" s="24" t="inlineStr">
        <is>
          <t>2026-03-06</t>
        </is>
      </c>
      <c r="B667" s="30" t="n">
        <v>16390</v>
      </c>
      <c r="C667" s="30" t="n">
        <v>17860</v>
      </c>
      <c r="D667" s="30" t="n">
        <v>16210</v>
      </c>
      <c r="E667" s="30" t="n">
        <v>17790</v>
      </c>
      <c r="F667" s="30" t="n">
        <v>17790</v>
      </c>
      <c r="G667" s="30" t="n">
        <v>140541</v>
      </c>
      <c r="H667" s="35" t="n">
        <v>0.07492447129909374</v>
      </c>
      <c r="I667" s="35" t="n">
        <v>-0.7102605863192182</v>
      </c>
      <c r="J667" s="30" t="n">
        <v>18776</v>
      </c>
      <c r="K667" s="30" t="n">
        <v>18241.66666666667</v>
      </c>
      <c r="L667" s="30" t="n">
        <v>18743.58333333333</v>
      </c>
      <c r="M667" s="35" t="n">
        <v>1.094505851028193</v>
      </c>
      <c r="N667" s="35" t="n">
        <v>0.7724673981391822</v>
      </c>
      <c r="O667" s="35" t="n">
        <v>-0.03941684665226786</v>
      </c>
      <c r="P667" s="35" t="n">
        <v>-0.1588652482269504</v>
      </c>
      <c r="Q667" s="35" t="n">
        <v>-0.03051771117166213</v>
      </c>
      <c r="R667" s="35" t="n">
        <v>-0.05251384746484877</v>
      </c>
      <c r="S667" s="35" t="n">
        <v>-0.02476016445865703</v>
      </c>
      <c r="T667" s="35" t="n">
        <v>-0.05087518839780714</v>
      </c>
      <c r="U667" s="30" t="n">
        <v>37600</v>
      </c>
      <c r="V667" s="30" t="n">
        <v>14330</v>
      </c>
      <c r="W667" s="35" t="n">
        <v>-0.5268617021276596</v>
      </c>
      <c r="X667" s="35" t="n">
        <v>0.2414515003489184</v>
      </c>
      <c r="Y667" s="30" t="n">
        <v>20476584</v>
      </c>
      <c r="Z667" s="30" t="n">
        <v>364278429360</v>
      </c>
      <c r="AA667" s="30" t="n">
        <v>2500224390</v>
      </c>
      <c r="AB667" s="30" t="n">
        <v>3541711569.5</v>
      </c>
      <c r="AC667" s="35" t="n">
        <v>0.006863498325697294</v>
      </c>
      <c r="AD667" s="24" t="inlineStr">
        <is>
          <t>yfinance_download</t>
        </is>
      </c>
      <c r="AE667" s="24" t="inlineStr">
        <is>
          <t>317330.KQ</t>
        </is>
      </c>
    </row>
    <row r="668" ht="24" customHeight="1">
      <c r="A668" s="29" t="inlineStr">
        <is>
          <t>2026-03-09</t>
        </is>
      </c>
      <c r="B668" s="31" t="n">
        <v>16710</v>
      </c>
      <c r="C668" s="31" t="n">
        <v>17380</v>
      </c>
      <c r="D668" s="31" t="n">
        <v>16020</v>
      </c>
      <c r="E668" s="31" t="n">
        <v>16500</v>
      </c>
      <c r="F668" s="31" t="n">
        <v>16500</v>
      </c>
      <c r="G668" s="31" t="n">
        <v>164733</v>
      </c>
      <c r="H668" s="36" t="n">
        <v>-0.07251264755480602</v>
      </c>
      <c r="I668" s="36" t="n">
        <v>-0.7312703583061889</v>
      </c>
      <c r="J668" s="31" t="n">
        <v>18602</v>
      </c>
      <c r="K668" s="31" t="n">
        <v>18171.66666666667</v>
      </c>
      <c r="L668" s="31" t="n">
        <v>18729</v>
      </c>
      <c r="M668" s="36" t="n">
        <v>1.082252838862252</v>
      </c>
      <c r="N668" s="36" t="n">
        <v>0.785046724556327</v>
      </c>
      <c r="O668" s="36" t="n">
        <v>-0.1741741741741741</v>
      </c>
      <c r="P668" s="36" t="n">
        <v>-0.2028985507246377</v>
      </c>
      <c r="Q668" s="36" t="n">
        <v>-0.09589041095890416</v>
      </c>
      <c r="R668" s="36" t="n">
        <v>-0.1129986023008279</v>
      </c>
      <c r="S668" s="36" t="n">
        <v>-0.09199302944143817</v>
      </c>
      <c r="T668" s="36" t="n">
        <v>-0.1190132948902771</v>
      </c>
      <c r="U668" s="31" t="n">
        <v>36850</v>
      </c>
      <c r="V668" s="31" t="n">
        <v>14330</v>
      </c>
      <c r="W668" s="36" t="n">
        <v>-0.5522388059701493</v>
      </c>
      <c r="X668" s="36" t="n">
        <v>0.1514305652477321</v>
      </c>
      <c r="Y668" s="31" t="n">
        <v>20476584</v>
      </c>
      <c r="Z668" s="31" t="n">
        <v>337863636000</v>
      </c>
      <c r="AA668" s="31" t="n">
        <v>2718094500</v>
      </c>
      <c r="AB668" s="31" t="n">
        <v>3366358863.5</v>
      </c>
      <c r="AC668" s="36" t="n">
        <v>0.008044945387375159</v>
      </c>
      <c r="AD668" s="29" t="inlineStr">
        <is>
          <t>yfinance_download</t>
        </is>
      </c>
      <c r="AE668" s="29" t="inlineStr">
        <is>
          <t>317330.KQ</t>
        </is>
      </c>
    </row>
    <row r="669" ht="24" customHeight="1">
      <c r="A669" s="24" t="inlineStr">
        <is>
          <t>2026-03-10</t>
        </is>
      </c>
      <c r="B669" s="30" t="n">
        <v>17250</v>
      </c>
      <c r="C669" s="30" t="n">
        <v>17680</v>
      </c>
      <c r="D669" s="30" t="n">
        <v>16880</v>
      </c>
      <c r="E669" s="30" t="n">
        <v>17600</v>
      </c>
      <c r="F669" s="30" t="n">
        <v>17600</v>
      </c>
      <c r="G669" s="30" t="n">
        <v>107620</v>
      </c>
      <c r="H669" s="35" t="n">
        <v>0.06666666666666665</v>
      </c>
      <c r="I669" s="35" t="n">
        <v>-0.7133550488599348</v>
      </c>
      <c r="J669" s="30" t="n">
        <v>18482</v>
      </c>
      <c r="K669" s="30" t="n">
        <v>18130</v>
      </c>
      <c r="L669" s="30" t="n">
        <v>18723.58333333333</v>
      </c>
      <c r="M669" s="35" t="n">
        <v>1.113554435086253</v>
      </c>
      <c r="N669" s="35" t="n">
        <v>0.7956952234614943</v>
      </c>
      <c r="O669" s="35" t="n">
        <v>-0.12</v>
      </c>
      <c r="P669" s="35" t="n">
        <v>-0.1243781094527363</v>
      </c>
      <c r="Q669" s="35" t="n">
        <v>-0.03561643835616435</v>
      </c>
      <c r="R669" s="35" t="n">
        <v>-0.04772210799697008</v>
      </c>
      <c r="S669" s="35" t="n">
        <v>-0.02923331494760062</v>
      </c>
      <c r="T669" s="35" t="n">
        <v>-0.06000899044431485</v>
      </c>
      <c r="U669" s="30" t="n">
        <v>34750</v>
      </c>
      <c r="V669" s="30" t="n">
        <v>14330</v>
      </c>
      <c r="W669" s="35" t="n">
        <v>-0.4935251798561151</v>
      </c>
      <c r="X669" s="35" t="n">
        <v>0.2281926029309143</v>
      </c>
      <c r="Y669" s="30" t="n">
        <v>20476584</v>
      </c>
      <c r="Z669" s="30" t="n">
        <v>360387878400</v>
      </c>
      <c r="AA669" s="30" t="n">
        <v>1894112000</v>
      </c>
      <c r="AB669" s="30" t="n">
        <v>3221805463.5</v>
      </c>
      <c r="AC669" s="35" t="n">
        <v>0.005255759456753138</v>
      </c>
      <c r="AD669" s="24" t="inlineStr">
        <is>
          <t>yfinance_download</t>
        </is>
      </c>
      <c r="AE669" s="24" t="inlineStr">
        <is>
          <t>317330.KQ</t>
        </is>
      </c>
    </row>
    <row r="670" ht="24" customHeight="1">
      <c r="A670" s="29" t="inlineStr">
        <is>
          <t>2026-03-11</t>
        </is>
      </c>
      <c r="B670" s="31" t="n">
        <v>17640</v>
      </c>
      <c r="C670" s="31" t="n">
        <v>17950</v>
      </c>
      <c r="D670" s="31" t="n">
        <v>17010</v>
      </c>
      <c r="E670" s="31" t="n">
        <v>17330</v>
      </c>
      <c r="F670" s="31" t="n">
        <v>17330</v>
      </c>
      <c r="G670" s="31" t="n">
        <v>88347</v>
      </c>
      <c r="H670" s="36" t="n">
        <v>-0.01534090909090913</v>
      </c>
      <c r="I670" s="36" t="n">
        <v>-0.7177524429967427</v>
      </c>
      <c r="J670" s="31" t="n">
        <v>18404</v>
      </c>
      <c r="K670" s="31" t="n">
        <v>18073</v>
      </c>
      <c r="L670" s="31" t="n">
        <v>18716.41666666667</v>
      </c>
      <c r="M670" s="36" t="n">
        <v>1.097927594384655</v>
      </c>
      <c r="N670" s="36" t="n">
        <v>0.7931680008243879</v>
      </c>
      <c r="O670" s="36" t="n">
        <v>-0.0825833774483854</v>
      </c>
      <c r="P670" s="36" t="n">
        <v>-0.1648192771084337</v>
      </c>
      <c r="Q670" s="36" t="n">
        <v>-0.04727872457394178</v>
      </c>
      <c r="R670" s="36" t="n">
        <v>-0.05835687893936103</v>
      </c>
      <c r="S670" s="36" t="n">
        <v>-0.04111104963204781</v>
      </c>
      <c r="T670" s="36" t="n">
        <v>-0.07407489859615224</v>
      </c>
      <c r="U670" s="31" t="n">
        <v>33950</v>
      </c>
      <c r="V670" s="31" t="n">
        <v>14330</v>
      </c>
      <c r="W670" s="36" t="n">
        <v>-0.4895434462444772</v>
      </c>
      <c r="X670" s="36" t="n">
        <v>0.209351011863224</v>
      </c>
      <c r="Y670" s="31" t="n">
        <v>20476584</v>
      </c>
      <c r="Z670" s="31" t="n">
        <v>354859200720</v>
      </c>
      <c r="AA670" s="31" t="n">
        <v>1531053510</v>
      </c>
      <c r="AB670" s="31" t="n">
        <v>3083263376</v>
      </c>
      <c r="AC670" s="36" t="n">
        <v>0.004314538010832276</v>
      </c>
      <c r="AD670" s="29" t="inlineStr">
        <is>
          <t>yfinance_download</t>
        </is>
      </c>
      <c r="AE670" s="29" t="inlineStr">
        <is>
          <t>317330.KQ</t>
        </is>
      </c>
    </row>
    <row r="671" ht="24" customHeight="1">
      <c r="A671" s="24" t="inlineStr">
        <is>
          <t>2026-03-12</t>
        </is>
      </c>
      <c r="B671" s="30" t="n">
        <v>17100</v>
      </c>
      <c r="C671" s="30" t="n">
        <v>17400</v>
      </c>
      <c r="D671" s="30" t="n">
        <v>16850</v>
      </c>
      <c r="E671" s="30" t="n">
        <v>17100</v>
      </c>
      <c r="F671" s="30" t="n">
        <v>17100</v>
      </c>
      <c r="G671" s="30" t="n">
        <v>58123</v>
      </c>
      <c r="H671" s="35" t="n">
        <v>-0.01327178303519905</v>
      </c>
      <c r="I671" s="35" t="n">
        <v>-0.7214983713355049</v>
      </c>
      <c r="J671" s="30" t="n">
        <v>18348</v>
      </c>
      <c r="K671" s="30" t="n">
        <v>18010.5</v>
      </c>
      <c r="L671" s="30" t="n">
        <v>18707.5</v>
      </c>
      <c r="M671" s="35" t="n">
        <v>1.091756553573683</v>
      </c>
      <c r="N671" s="35" t="n">
        <v>0.7933937981007955</v>
      </c>
      <c r="O671" s="35" t="n">
        <v>-0.06147091108671787</v>
      </c>
      <c r="P671" s="35" t="n">
        <v>-0.1798561151079137</v>
      </c>
      <c r="Q671" s="35" t="n">
        <v>-0.05888827738029723</v>
      </c>
      <c r="R671" s="35" t="n">
        <v>-0.06801831262262914</v>
      </c>
      <c r="S671" s="35" t="n">
        <v>-0.05055384359123849</v>
      </c>
      <c r="T671" s="35" t="n">
        <v>-0.08592810370172388</v>
      </c>
      <c r="U671" s="30" t="n">
        <v>33550</v>
      </c>
      <c r="V671" s="30" t="n">
        <v>14330</v>
      </c>
      <c r="W671" s="35" t="n">
        <v>-0.4903129657228018</v>
      </c>
      <c r="X671" s="35" t="n">
        <v>0.1933007676203768</v>
      </c>
      <c r="Y671" s="30" t="n">
        <v>20476584</v>
      </c>
      <c r="Z671" s="30" t="n">
        <v>350149586400</v>
      </c>
      <c r="AA671" s="30" t="n">
        <v>993903300</v>
      </c>
      <c r="AB671" s="30" t="n">
        <v>2980806054</v>
      </c>
      <c r="AC671" s="35" t="n">
        <v>0.002838510564066741</v>
      </c>
      <c r="AD671" s="24" t="inlineStr">
        <is>
          <t>yfinance_download</t>
        </is>
      </c>
      <c r="AE671" s="24" t="inlineStr">
        <is>
          <t>317330.KQ</t>
        </is>
      </c>
    </row>
    <row r="672" ht="24" customHeight="1">
      <c r="A672" s="29" t="inlineStr">
        <is>
          <t>2026-03-13</t>
        </is>
      </c>
      <c r="B672" s="31" t="n">
        <v>16390</v>
      </c>
      <c r="C672" s="31" t="n">
        <v>16810</v>
      </c>
      <c r="D672" s="31" t="n">
        <v>16280</v>
      </c>
      <c r="E672" s="31" t="n">
        <v>16650</v>
      </c>
      <c r="F672" s="31" t="n">
        <v>16650</v>
      </c>
      <c r="G672" s="31" t="n">
        <v>59646</v>
      </c>
      <c r="H672" s="36" t="n">
        <v>-0.02631578947368418</v>
      </c>
      <c r="I672" s="36" t="n">
        <v>-0.7288273615635179</v>
      </c>
      <c r="J672" s="31" t="n">
        <v>18202.5</v>
      </c>
      <c r="K672" s="31" t="n">
        <v>17953</v>
      </c>
      <c r="L672" s="31" t="n">
        <v>18693.58333333333</v>
      </c>
      <c r="M672" s="36" t="n">
        <v>1.058523175576846</v>
      </c>
      <c r="N672" s="36" t="n">
        <v>0.7918763637282455</v>
      </c>
      <c r="O672" s="36" t="n">
        <v>-0.1487730061349694</v>
      </c>
      <c r="P672" s="36" t="n">
        <v>-0.1716417910447762</v>
      </c>
      <c r="Q672" s="36" t="n">
        <v>-0.09115720524017468</v>
      </c>
      <c r="R672" s="36" t="n">
        <v>-0.08529048207663781</v>
      </c>
      <c r="S672" s="36" t="n">
        <v>-0.07257839915334485</v>
      </c>
      <c r="T672" s="36" t="n">
        <v>-0.1093200429737476</v>
      </c>
      <c r="U672" s="31" t="n">
        <v>32500</v>
      </c>
      <c r="V672" s="31" t="n">
        <v>14330</v>
      </c>
      <c r="W672" s="36" t="n">
        <v>-0.4876923076923076</v>
      </c>
      <c r="X672" s="36" t="n">
        <v>0.1618981158408932</v>
      </c>
      <c r="Y672" s="31" t="n">
        <v>20476584</v>
      </c>
      <c r="Z672" s="31" t="n">
        <v>340935123600</v>
      </c>
      <c r="AA672" s="31" t="n">
        <v>993105900</v>
      </c>
      <c r="AB672" s="31" t="n">
        <v>2822846619</v>
      </c>
      <c r="AC672" s="36" t="n">
        <v>0.002912888204399718</v>
      </c>
      <c r="AD672" s="29" t="inlineStr">
        <is>
          <t>yfinance_download</t>
        </is>
      </c>
      <c r="AE672" s="29" t="inlineStr">
        <is>
          <t>317330.KQ</t>
        </is>
      </c>
    </row>
    <row r="673" ht="24" customHeight="1">
      <c r="A673" s="24" t="inlineStr">
        <is>
          <t>2026-03-16</t>
        </is>
      </c>
      <c r="B673" s="30" t="n">
        <v>16650</v>
      </c>
      <c r="C673" s="30" t="n">
        <v>16720</v>
      </c>
      <c r="D673" s="30" t="n">
        <v>16070</v>
      </c>
      <c r="E673" s="30" t="n">
        <v>16130</v>
      </c>
      <c r="F673" s="30" t="n">
        <v>16130</v>
      </c>
      <c r="G673" s="30" t="n">
        <v>71868</v>
      </c>
      <c r="H673" s="35" t="n">
        <v>-0.03123123123123128</v>
      </c>
      <c r="I673" s="35" t="n">
        <v>-0.7372964169381108</v>
      </c>
      <c r="J673" s="30" t="n">
        <v>18051</v>
      </c>
      <c r="K673" s="30" t="n">
        <v>17889.83333333333</v>
      </c>
      <c r="L673" s="30" t="n">
        <v>18677.83333333333</v>
      </c>
      <c r="M673" s="35" t="n">
        <v>1.061182742201651</v>
      </c>
      <c r="N673" s="35" t="n">
        <v>0.7940372936479623</v>
      </c>
      <c r="O673" s="35" t="n">
        <v>-0.1581419624217119</v>
      </c>
      <c r="P673" s="35" t="n">
        <v>-0.1902610441767069</v>
      </c>
      <c r="Q673" s="35" t="n">
        <v>-0.1048834628190899</v>
      </c>
      <c r="R673" s="35" t="n">
        <v>-0.1064206969142983</v>
      </c>
      <c r="S673" s="35" t="n">
        <v>-0.09837058291953527</v>
      </c>
      <c r="T673" s="35" t="n">
        <v>-0.1364094693353083</v>
      </c>
      <c r="U673" s="30" t="n">
        <v>30550</v>
      </c>
      <c r="V673" s="30" t="n">
        <v>14330</v>
      </c>
      <c r="W673" s="35" t="n">
        <v>-0.472013093289689</v>
      </c>
      <c r="X673" s="35" t="n">
        <v>0.1256106071179344</v>
      </c>
      <c r="Y673" s="30" t="n">
        <v>20476584</v>
      </c>
      <c r="Z673" s="30" t="n">
        <v>330287299920</v>
      </c>
      <c r="AA673" s="30" t="n">
        <v>1159230840</v>
      </c>
      <c r="AB673" s="30" t="n">
        <v>2718819941</v>
      </c>
      <c r="AC673" s="35" t="n">
        <v>0.003509765105351557</v>
      </c>
      <c r="AD673" s="24" t="inlineStr">
        <is>
          <t>yfinance_download</t>
        </is>
      </c>
      <c r="AE673" s="24" t="inlineStr">
        <is>
          <t>317330.KQ</t>
        </is>
      </c>
    </row>
    <row r="674" ht="24" customHeight="1">
      <c r="A674" s="29" t="inlineStr">
        <is>
          <t>2026-03-17</t>
        </is>
      </c>
      <c r="B674" s="31" t="n">
        <v>16490</v>
      </c>
      <c r="C674" s="31" t="n">
        <v>16690</v>
      </c>
      <c r="D674" s="31" t="n">
        <v>16230</v>
      </c>
      <c r="E674" s="31" t="n">
        <v>16240</v>
      </c>
      <c r="F674" s="31" t="n">
        <v>16240</v>
      </c>
      <c r="G674" s="31" t="n">
        <v>77743</v>
      </c>
      <c r="H674" s="36" t="n">
        <v>0.006819590824550525</v>
      </c>
      <c r="I674" s="36" t="n">
        <v>-0.7355048859934854</v>
      </c>
      <c r="J674" s="31" t="n">
        <v>17902.5</v>
      </c>
      <c r="K674" s="31" t="n">
        <v>17815.5</v>
      </c>
      <c r="L674" s="31" t="n">
        <v>18660.08333333333</v>
      </c>
      <c r="M674" s="36" t="n">
        <v>1.061761763053792</v>
      </c>
      <c r="N674" s="36" t="n">
        <v>0.7895845860015749</v>
      </c>
      <c r="O674" s="36" t="n">
        <v>-0.1546069755335763</v>
      </c>
      <c r="P674" s="36" t="n">
        <v>-0.2154589371980676</v>
      </c>
      <c r="Q674" s="36" t="n">
        <v>-0.1159499183451279</v>
      </c>
      <c r="R674" s="36" t="n">
        <v>-0.09286412512218967</v>
      </c>
      <c r="S674" s="36" t="n">
        <v>-0.08843422862114447</v>
      </c>
      <c r="T674" s="36" t="n">
        <v>-0.1296930613921874</v>
      </c>
      <c r="U674" s="31" t="n">
        <v>30050</v>
      </c>
      <c r="V674" s="31" t="n">
        <v>14330</v>
      </c>
      <c r="W674" s="36" t="n">
        <v>-0.459567387687188</v>
      </c>
      <c r="X674" s="36" t="n">
        <v>0.1332868108862526</v>
      </c>
      <c r="Y674" s="31" t="n">
        <v>20476584</v>
      </c>
      <c r="Z674" s="31" t="n">
        <v>332539724160</v>
      </c>
      <c r="AA674" s="31" t="n">
        <v>1262546320</v>
      </c>
      <c r="AB674" s="31" t="n">
        <v>2655155494</v>
      </c>
      <c r="AC674" s="36" t="n">
        <v>0.003796678195933463</v>
      </c>
      <c r="AD674" s="29" t="inlineStr">
        <is>
          <t>yfinance_download</t>
        </is>
      </c>
      <c r="AE674" s="29" t="inlineStr">
        <is>
          <t>317330.KQ</t>
        </is>
      </c>
    </row>
    <row r="675" ht="24" customHeight="1">
      <c r="A675" s="24" t="inlineStr">
        <is>
          <t>2026-03-18</t>
        </is>
      </c>
      <c r="B675" s="30" t="n">
        <v>16490</v>
      </c>
      <c r="C675" s="30" t="n">
        <v>16620</v>
      </c>
      <c r="D675" s="30" t="n">
        <v>16250</v>
      </c>
      <c r="E675" s="30" t="n">
        <v>16390</v>
      </c>
      <c r="F675" s="30" t="n">
        <v>16390</v>
      </c>
      <c r="G675" s="30" t="n">
        <v>61279</v>
      </c>
      <c r="H675" s="35" t="n">
        <v>0.009236453201970418</v>
      </c>
      <c r="I675" s="35" t="n">
        <v>-0.7330618892508143</v>
      </c>
      <c r="J675" s="30" t="n">
        <v>17751</v>
      </c>
      <c r="K675" s="30" t="n">
        <v>17762.83333333333</v>
      </c>
      <c r="L675" s="30" t="n">
        <v>18645.41666666667</v>
      </c>
      <c r="M675" s="35" t="n">
        <v>1.061416216598438</v>
      </c>
      <c r="N675" s="35" t="n">
        <v>0.7822282036223256</v>
      </c>
      <c r="O675" s="35" t="n">
        <v>-0.1560247167868177</v>
      </c>
      <c r="P675" s="35" t="n">
        <v>-0.1616368286445012</v>
      </c>
      <c r="Q675" s="35" t="n">
        <v>-0.09696969696969693</v>
      </c>
      <c r="R675" s="35" t="n">
        <v>-0.07667173680356032</v>
      </c>
      <c r="S675" s="35" t="n">
        <v>-0.07728684425345045</v>
      </c>
      <c r="T675" s="35" t="n">
        <v>-0.1209635969518873</v>
      </c>
      <c r="U675" s="30" t="n">
        <v>28700</v>
      </c>
      <c r="V675" s="30" t="n">
        <v>14330</v>
      </c>
      <c r="W675" s="35" t="n">
        <v>-0.4289198606271777</v>
      </c>
      <c r="X675" s="35" t="n">
        <v>0.1437543614794139</v>
      </c>
      <c r="Y675" s="30" t="n">
        <v>20476584</v>
      </c>
      <c r="Z675" s="30" t="n">
        <v>335611211760</v>
      </c>
      <c r="AA675" s="30" t="n">
        <v>1004362810</v>
      </c>
      <c r="AB675" s="30" t="n">
        <v>2592842502.5</v>
      </c>
      <c r="AC675" s="35" t="n">
        <v>0.002992637834513804</v>
      </c>
      <c r="AD675" s="24" t="inlineStr">
        <is>
          <t>yfinance_download</t>
        </is>
      </c>
      <c r="AE675" s="24" t="inlineStr">
        <is>
          <t>317330.KQ</t>
        </is>
      </c>
    </row>
    <row r="676" ht="24" customHeight="1">
      <c r="A676" s="29" t="inlineStr">
        <is>
          <t>2026-03-19</t>
        </is>
      </c>
      <c r="B676" s="31" t="n">
        <v>15890</v>
      </c>
      <c r="C676" s="31" t="n">
        <v>16090</v>
      </c>
      <c r="D676" s="31" t="n">
        <v>15830</v>
      </c>
      <c r="E676" s="31" t="n">
        <v>15920</v>
      </c>
      <c r="F676" s="31" t="n">
        <v>15920</v>
      </c>
      <c r="G676" s="31" t="n">
        <v>57049</v>
      </c>
      <c r="H676" s="36" t="n">
        <v>-0.02867602196461261</v>
      </c>
      <c r="I676" s="36" t="n">
        <v>-0.7407166123778501</v>
      </c>
      <c r="J676" s="31" t="n">
        <v>17602.5</v>
      </c>
      <c r="K676" s="31" t="n">
        <v>17719.5</v>
      </c>
      <c r="L676" s="31" t="n">
        <v>18626.16666666667</v>
      </c>
      <c r="M676" s="36" t="n">
        <v>1.061791189162011</v>
      </c>
      <c r="N676" s="36" t="n">
        <v>0.7770784383200917</v>
      </c>
      <c r="O676" s="36" t="n">
        <v>-0.1572260455267337</v>
      </c>
      <c r="P676" s="36" t="n">
        <v>-0.1403887688984882</v>
      </c>
      <c r="Q676" s="36" t="n">
        <v>-0.1267142073505211</v>
      </c>
      <c r="R676" s="36" t="n">
        <v>-0.09558301377645217</v>
      </c>
      <c r="S676" s="36" t="n">
        <v>-0.1015547842772088</v>
      </c>
      <c r="T676" s="36" t="n">
        <v>-0.145288438308115</v>
      </c>
      <c r="U676" s="31" t="n">
        <v>28700</v>
      </c>
      <c r="V676" s="31" t="n">
        <v>14330</v>
      </c>
      <c r="W676" s="36" t="n">
        <v>-0.4452961672473867</v>
      </c>
      <c r="X676" s="36" t="n">
        <v>0.1109560362875088</v>
      </c>
      <c r="Y676" s="31" t="n">
        <v>20476584</v>
      </c>
      <c r="Z676" s="31" t="n">
        <v>325987217280</v>
      </c>
      <c r="AA676" s="31" t="n">
        <v>908220080</v>
      </c>
      <c r="AB676" s="31" t="n">
        <v>2553497854.5</v>
      </c>
      <c r="AC676" s="36" t="n">
        <v>0.002786060409294831</v>
      </c>
      <c r="AD676" s="29" t="inlineStr">
        <is>
          <t>yfinance_download</t>
        </is>
      </c>
      <c r="AE676" s="29" t="inlineStr">
        <is>
          <t>317330.KQ</t>
        </is>
      </c>
    </row>
    <row r="677" ht="24" customHeight="1">
      <c r="A677" s="24" t="inlineStr">
        <is>
          <t>2026-03-20</t>
        </is>
      </c>
      <c r="B677" s="30" t="n">
        <v>15920</v>
      </c>
      <c r="C677" s="30" t="n">
        <v>16150</v>
      </c>
      <c r="D677" s="30" t="n">
        <v>15820</v>
      </c>
      <c r="E677" s="30" t="n">
        <v>15860</v>
      </c>
      <c r="F677" s="30" t="n">
        <v>15860</v>
      </c>
      <c r="G677" s="30" t="n">
        <v>63993</v>
      </c>
      <c r="H677" s="35" t="n">
        <v>-0.003768844221105572</v>
      </c>
      <c r="I677" s="35" t="n">
        <v>-0.7416938110749185</v>
      </c>
      <c r="J677" s="30" t="n">
        <v>17411</v>
      </c>
      <c r="K677" s="30" t="n">
        <v>17679.83333333333</v>
      </c>
      <c r="L677" s="30" t="n">
        <v>18606.66666666667</v>
      </c>
      <c r="M677" s="35" t="n">
        <v>1.046246778095432</v>
      </c>
      <c r="N677" s="35" t="n">
        <v>0.7765660777932667</v>
      </c>
      <c r="O677" s="35" t="n">
        <v>-0.1945149822244794</v>
      </c>
      <c r="P677" s="35" t="n">
        <v>-0.1304824561403509</v>
      </c>
      <c r="Q677" s="35" t="n">
        <v>-0.1285714285714286</v>
      </c>
      <c r="R677" s="35" t="n">
        <v>-0.08908161507093215</v>
      </c>
      <c r="S677" s="35" t="n">
        <v>-0.1029327199539964</v>
      </c>
      <c r="T677" s="35" t="n">
        <v>-0.1476173414546758</v>
      </c>
      <c r="U677" s="30" t="n">
        <v>27650</v>
      </c>
      <c r="V677" s="30" t="n">
        <v>14330</v>
      </c>
      <c r="W677" s="35" t="n">
        <v>-0.4264014466546112</v>
      </c>
      <c r="X677" s="35" t="n">
        <v>0.1067690160502441</v>
      </c>
      <c r="Y677" s="30" t="n">
        <v>20476584</v>
      </c>
      <c r="Z677" s="30" t="n">
        <v>324758622240</v>
      </c>
      <c r="AA677" s="30" t="n">
        <v>1014928980</v>
      </c>
      <c r="AB677" s="30" t="n">
        <v>2425427599.5</v>
      </c>
      <c r="AC677" s="35" t="n">
        <v>0.00312517947329496</v>
      </c>
      <c r="AD677" s="24" t="inlineStr">
        <is>
          <t>yfinance_download</t>
        </is>
      </c>
      <c r="AE677" s="24" t="inlineStr">
        <is>
          <t>317330.KQ</t>
        </is>
      </c>
    </row>
    <row r="678" ht="24" customHeight="1">
      <c r="A678" s="29" t="inlineStr">
        <is>
          <t>2026-03-23</t>
        </is>
      </c>
      <c r="B678" s="31" t="n">
        <v>15440</v>
      </c>
      <c r="C678" s="31" t="n">
        <v>15450</v>
      </c>
      <c r="D678" s="31" t="n">
        <v>14970</v>
      </c>
      <c r="E678" s="31" t="n">
        <v>15180</v>
      </c>
      <c r="F678" s="31" t="n">
        <v>15180</v>
      </c>
      <c r="G678" s="31" t="n">
        <v>93855</v>
      </c>
      <c r="H678" s="36" t="n">
        <v>-0.04287515762925598</v>
      </c>
      <c r="I678" s="36" t="n">
        <v>-0.7527687296416938</v>
      </c>
      <c r="J678" s="31" t="n">
        <v>17212</v>
      </c>
      <c r="K678" s="31" t="n">
        <v>17642.66666666667</v>
      </c>
      <c r="L678" s="31" t="n">
        <v>18571.41666666667</v>
      </c>
      <c r="M678" s="36" t="n">
        <v>1.051463147972392</v>
      </c>
      <c r="N678" s="36" t="n">
        <v>0.7759429537628819</v>
      </c>
      <c r="O678" s="36" t="n">
        <v>-0.2077244258872651</v>
      </c>
      <c r="P678" s="36" t="n">
        <v>-0.1280873061458931</v>
      </c>
      <c r="Q678" s="36" t="n">
        <v>-0.2179289026275116</v>
      </c>
      <c r="R678" s="36" t="n">
        <v>-0.118057169416686</v>
      </c>
      <c r="S678" s="36" t="n">
        <v>-0.1395858524788393</v>
      </c>
      <c r="T678" s="36" t="n">
        <v>-0.1826148606505518</v>
      </c>
      <c r="U678" s="31" t="n">
        <v>26900</v>
      </c>
      <c r="V678" s="31" t="n">
        <v>14330</v>
      </c>
      <c r="W678" s="36" t="n">
        <v>-0.4356877323420074</v>
      </c>
      <c r="X678" s="36" t="n">
        <v>0.05931612002791353</v>
      </c>
      <c r="Y678" s="31" t="n">
        <v>20476584</v>
      </c>
      <c r="Z678" s="31" t="n">
        <v>310834545120</v>
      </c>
      <c r="AA678" s="31" t="n">
        <v>1424718900</v>
      </c>
      <c r="AB678" s="31" t="n">
        <v>2378780686.5</v>
      </c>
      <c r="AC678" s="36" t="n">
        <v>0.004583528190053575</v>
      </c>
      <c r="AD678" s="29" t="inlineStr">
        <is>
          <t>yfinance_download</t>
        </is>
      </c>
      <c r="AE678" s="29" t="inlineStr">
        <is>
          <t>317330.KQ</t>
        </is>
      </c>
    </row>
    <row r="679" ht="24" customHeight="1">
      <c r="A679" s="24" t="inlineStr">
        <is>
          <t>2026-03-24</t>
        </is>
      </c>
      <c r="B679" s="30" t="n">
        <v>15610</v>
      </c>
      <c r="C679" s="30" t="n">
        <v>15710</v>
      </c>
      <c r="D679" s="30" t="n">
        <v>15010</v>
      </c>
      <c r="E679" s="30" t="n">
        <v>15090</v>
      </c>
      <c r="F679" s="30" t="n">
        <v>15090</v>
      </c>
      <c r="G679" s="30" t="n">
        <v>69164</v>
      </c>
      <c r="H679" s="35" t="n">
        <v>-0.005928853754940677</v>
      </c>
      <c r="I679" s="35" t="n">
        <v>-0.7542345276872964</v>
      </c>
      <c r="J679" s="30" t="n">
        <v>17002.5</v>
      </c>
      <c r="K679" s="30" t="n">
        <v>17604</v>
      </c>
      <c r="L679" s="30" t="n">
        <v>18543.33333333333</v>
      </c>
      <c r="M679" s="35" t="n">
        <v>1.049936908599986</v>
      </c>
      <c r="N679" s="35" t="n">
        <v>0.7760023424249208</v>
      </c>
      <c r="O679" s="35" t="n">
        <v>-0.2173236514522822</v>
      </c>
      <c r="P679" s="35" t="n">
        <v>-0.1332567489948305</v>
      </c>
      <c r="Q679" s="35" t="n">
        <v>-0.1825568797399784</v>
      </c>
      <c r="R679" s="35" t="n">
        <v>-0.1124834583149537</v>
      </c>
      <c r="S679" s="35" t="n">
        <v>-0.1428084526244036</v>
      </c>
      <c r="T679" s="35" t="n">
        <v>-0.1862304511953982</v>
      </c>
      <c r="U679" s="30" t="n">
        <v>26800</v>
      </c>
      <c r="V679" s="30" t="n">
        <v>14330</v>
      </c>
      <c r="W679" s="35" t="n">
        <v>-0.4369402985074626</v>
      </c>
      <c r="X679" s="35" t="n">
        <v>0.05303558967201671</v>
      </c>
      <c r="Y679" s="30" t="n">
        <v>20476584</v>
      </c>
      <c r="Z679" s="30" t="n">
        <v>308991652560</v>
      </c>
      <c r="AA679" s="30" t="n">
        <v>1043684760</v>
      </c>
      <c r="AB679" s="30" t="n">
        <v>2253693036.5</v>
      </c>
      <c r="AC679" s="35" t="n">
        <v>0.003377711829277774</v>
      </c>
      <c r="AD679" s="24" t="inlineStr">
        <is>
          <t>yfinance_download</t>
        </is>
      </c>
      <c r="AE679" s="24" t="inlineStr">
        <is>
          <t>317330.KQ</t>
        </is>
      </c>
    </row>
    <row r="680" ht="24" customHeight="1">
      <c r="A680" s="29" t="inlineStr">
        <is>
          <t>2026-03-25</t>
        </is>
      </c>
      <c r="B680" s="31" t="n">
        <v>15310</v>
      </c>
      <c r="C680" s="31" t="n">
        <v>16440</v>
      </c>
      <c r="D680" s="31" t="n">
        <v>15280</v>
      </c>
      <c r="E680" s="31" t="n">
        <v>16100</v>
      </c>
      <c r="F680" s="31" t="n">
        <v>16100</v>
      </c>
      <c r="G680" s="31" t="n">
        <v>95832</v>
      </c>
      <c r="H680" s="36" t="n">
        <v>0.06693174287607695</v>
      </c>
      <c r="I680" s="36" t="n">
        <v>-0.7377850162866449</v>
      </c>
      <c r="J680" s="31" t="n">
        <v>16816.5</v>
      </c>
      <c r="K680" s="31" t="n">
        <v>17569</v>
      </c>
      <c r="L680" s="31" t="n">
        <v>18526.5</v>
      </c>
      <c r="M680" s="36" t="n">
        <v>1.077384280652926</v>
      </c>
      <c r="N680" s="36" t="n">
        <v>0.7827556122627799</v>
      </c>
      <c r="O680" s="36" t="n">
        <v>-0.1876892028254289</v>
      </c>
      <c r="P680" s="36" t="n">
        <v>-0.1153846153846154</v>
      </c>
      <c r="Q680" s="36" t="n">
        <v>-0.1114790286975718</v>
      </c>
      <c r="R680" s="36" t="n">
        <v>-0.04260696339904257</v>
      </c>
      <c r="S680" s="36" t="n">
        <v>-0.08361318230975012</v>
      </c>
      <c r="T680" s="36" t="n">
        <v>-0.1309745499689634</v>
      </c>
      <c r="U680" s="31" t="n">
        <v>26250</v>
      </c>
      <c r="V680" s="31" t="n">
        <v>14330</v>
      </c>
      <c r="W680" s="36" t="n">
        <v>-0.3866666666666667</v>
      </c>
      <c r="X680" s="36" t="n">
        <v>0.1235170969993022</v>
      </c>
      <c r="Y680" s="31" t="n">
        <v>20476584</v>
      </c>
      <c r="Z680" s="31" t="n">
        <v>329673002400</v>
      </c>
      <c r="AA680" s="31" t="n">
        <v>1542895200</v>
      </c>
      <c r="AB680" s="31" t="n">
        <v>2079836325.5</v>
      </c>
      <c r="AC680" s="36" t="n">
        <v>0.004680077497301307</v>
      </c>
      <c r="AD680" s="29" t="inlineStr">
        <is>
          <t>yfinance_download</t>
        </is>
      </c>
      <c r="AE680" s="29" t="inlineStr">
        <is>
          <t>317330.KQ</t>
        </is>
      </c>
    </row>
    <row r="681" ht="24" customHeight="1">
      <c r="A681" s="24" t="inlineStr">
        <is>
          <t>2026-03-26</t>
        </is>
      </c>
      <c r="B681" s="30" t="n">
        <v>15720</v>
      </c>
      <c r="C681" s="30" t="n">
        <v>16240</v>
      </c>
      <c r="D681" s="30" t="n">
        <v>15540</v>
      </c>
      <c r="E681" s="30" t="n">
        <v>15610</v>
      </c>
      <c r="F681" s="30" t="n">
        <v>15610</v>
      </c>
      <c r="G681" s="30" t="n">
        <v>72370</v>
      </c>
      <c r="H681" s="35" t="n">
        <v>-0.0304347826086957</v>
      </c>
      <c r="I681" s="35" t="n">
        <v>-0.7457654723127036</v>
      </c>
      <c r="J681" s="30" t="n">
        <v>16615</v>
      </c>
      <c r="K681" s="30" t="n">
        <v>17532.16666666667</v>
      </c>
      <c r="L681" s="30" t="n">
        <v>18507.91666666667</v>
      </c>
      <c r="M681" s="35" t="n">
        <v>1.080302317988659</v>
      </c>
      <c r="N681" s="35" t="n">
        <v>0.7840446646119775</v>
      </c>
      <c r="O681" s="35" t="n">
        <v>-0.205193482688391</v>
      </c>
      <c r="P681" s="35" t="n">
        <v>-0.1240179573512907</v>
      </c>
      <c r="Q681" s="35" t="n">
        <v>-0.125</v>
      </c>
      <c r="R681" s="35" t="n">
        <v>-0.06048751128498342</v>
      </c>
      <c r="S681" s="35" t="n">
        <v>-0.1096365727757551</v>
      </c>
      <c r="T681" s="35" t="n">
        <v>-0.1565771404128864</v>
      </c>
      <c r="U681" s="30" t="n">
        <v>26250</v>
      </c>
      <c r="V681" s="30" t="n">
        <v>14330</v>
      </c>
      <c r="W681" s="35" t="n">
        <v>-0.4053333333333333</v>
      </c>
      <c r="X681" s="35" t="n">
        <v>0.08932309839497554</v>
      </c>
      <c r="Y681" s="30" t="n">
        <v>20476584</v>
      </c>
      <c r="Z681" s="30" t="n">
        <v>319639476240</v>
      </c>
      <c r="AA681" s="30" t="n">
        <v>1129695700</v>
      </c>
      <c r="AB681" s="30" t="n">
        <v>1967561464.5</v>
      </c>
      <c r="AC681" s="35" t="n">
        <v>0.003534280913261704</v>
      </c>
      <c r="AD681" s="24" t="inlineStr">
        <is>
          <t>yfinance_download</t>
        </is>
      </c>
      <c r="AE681" s="24" t="inlineStr">
        <is>
          <t>317330.KQ</t>
        </is>
      </c>
    </row>
    <row r="682" ht="24" customHeight="1">
      <c r="A682" s="29" t="inlineStr">
        <is>
          <t>2026-03-27</t>
        </is>
      </c>
      <c r="B682" s="31" t="n">
        <v>15250</v>
      </c>
      <c r="C682" s="31" t="n">
        <v>16170</v>
      </c>
      <c r="D682" s="31" t="n">
        <v>15060</v>
      </c>
      <c r="E682" s="31" t="n">
        <v>15880</v>
      </c>
      <c r="F682" s="31" t="n">
        <v>15880</v>
      </c>
      <c r="G682" s="31" t="n">
        <v>71742</v>
      </c>
      <c r="H682" s="36" t="n">
        <v>0.01729660474055095</v>
      </c>
      <c r="I682" s="36" t="n">
        <v>-0.7413680781758958</v>
      </c>
      <c r="J682" s="31" t="n">
        <v>16440.5</v>
      </c>
      <c r="K682" s="31" t="n">
        <v>17499.5</v>
      </c>
      <c r="L682" s="31" t="n">
        <v>18495.58333333333</v>
      </c>
      <c r="M682" s="36" t="n">
        <v>1.084173334425465</v>
      </c>
      <c r="N682" s="36" t="n">
        <v>0.7849313303558823</v>
      </c>
      <c r="O682" s="36" t="n">
        <v>-0.1801755291688177</v>
      </c>
      <c r="P682" s="36" t="n">
        <v>-0.1098654708520179</v>
      </c>
      <c r="Q682" s="36" t="n">
        <v>-0.08525345622119818</v>
      </c>
      <c r="R682" s="36" t="n">
        <v>-0.03409263708524679</v>
      </c>
      <c r="S682" s="36" t="n">
        <v>-0.09254550130003714</v>
      </c>
      <c r="T682" s="36" t="n">
        <v>-0.1414166445142309</v>
      </c>
      <c r="U682" s="31" t="n">
        <v>26250</v>
      </c>
      <c r="V682" s="31" t="n">
        <v>14330</v>
      </c>
      <c r="W682" s="36" t="n">
        <v>-0.3950476190476191</v>
      </c>
      <c r="X682" s="36" t="n">
        <v>0.1081646894626658</v>
      </c>
      <c r="Y682" s="31" t="n">
        <v>20476584</v>
      </c>
      <c r="Z682" s="31" t="n">
        <v>325168153920</v>
      </c>
      <c r="AA682" s="31" t="n">
        <v>1139262960</v>
      </c>
      <c r="AB682" s="31" t="n">
        <v>1833902505.5</v>
      </c>
      <c r="AC682" s="36" t="n">
        <v>0.003503611735238651</v>
      </c>
      <c r="AD682" s="29" t="inlineStr">
        <is>
          <t>yfinance_download</t>
        </is>
      </c>
      <c r="AE682" s="29" t="inlineStr">
        <is>
          <t>317330.KQ</t>
        </is>
      </c>
    </row>
    <row r="683" ht="24" customHeight="1">
      <c r="A683" s="24" t="inlineStr">
        <is>
          <t>2026-03-30</t>
        </is>
      </c>
      <c r="B683" s="30" t="n">
        <v>15580</v>
      </c>
      <c r="C683" s="30" t="n">
        <v>18880</v>
      </c>
      <c r="D683" s="30" t="n">
        <v>15410</v>
      </c>
      <c r="E683" s="30" t="n">
        <v>18120</v>
      </c>
      <c r="F683" s="30" t="n">
        <v>18120</v>
      </c>
      <c r="G683" s="30" t="n">
        <v>862337</v>
      </c>
      <c r="H683" s="35" t="n">
        <v>0.1410579345088161</v>
      </c>
      <c r="I683" s="35" t="n">
        <v>-0.704885993485342</v>
      </c>
      <c r="J683" s="30" t="n">
        <v>16395</v>
      </c>
      <c r="K683" s="30" t="n">
        <v>17510.5</v>
      </c>
      <c r="L683" s="30" t="n">
        <v>18502.5</v>
      </c>
      <c r="M683" s="35" t="n">
        <v>1.204425467896634</v>
      </c>
      <c r="N683" s="35" t="n">
        <v>0.8356391664021103</v>
      </c>
      <c r="O683" s="35" t="n">
        <v>-0.04781923279033107</v>
      </c>
      <c r="P683" s="35" t="n">
        <v>0.03780068728522346</v>
      </c>
      <c r="Q683" s="35" t="n">
        <v>0.04800462695199537</v>
      </c>
      <c r="R683" s="35" t="n">
        <v>0.1052150045745655</v>
      </c>
      <c r="S683" s="35" t="n">
        <v>0.0348076868164815</v>
      </c>
      <c r="T683" s="35" t="n">
        <v>-0.02067288204296713</v>
      </c>
      <c r="U683" s="30" t="n">
        <v>25600</v>
      </c>
      <c r="V683" s="30" t="n">
        <v>14330</v>
      </c>
      <c r="W683" s="35" t="n">
        <v>-0.2921875</v>
      </c>
      <c r="X683" s="35" t="n">
        <v>0.2644801116538731</v>
      </c>
      <c r="Y683" s="30" t="n">
        <v>20476584</v>
      </c>
      <c r="Z683" s="30" t="n">
        <v>371035702080</v>
      </c>
      <c r="AA683" s="30" t="n">
        <v>15625546440</v>
      </c>
      <c r="AB683" s="30" t="n">
        <v>2500583070.5</v>
      </c>
      <c r="AC683" s="35" t="n">
        <v>0.04211332319883043</v>
      </c>
      <c r="AD683" s="24" t="inlineStr">
        <is>
          <t>yfinance_download</t>
        </is>
      </c>
      <c r="AE683" s="24" t="inlineStr">
        <is>
          <t>317330.KQ</t>
        </is>
      </c>
    </row>
    <row r="684" ht="24" customHeight="1">
      <c r="A684" s="29" t="inlineStr">
        <is>
          <t>2026-03-31</t>
        </is>
      </c>
      <c r="B684" s="31" t="n">
        <v>18820</v>
      </c>
      <c r="C684" s="31" t="n">
        <v>19220</v>
      </c>
      <c r="D684" s="31" t="n">
        <v>18250</v>
      </c>
      <c r="E684" s="31" t="n">
        <v>18580</v>
      </c>
      <c r="F684" s="31" t="n">
        <v>18580</v>
      </c>
      <c r="G684" s="31" t="n">
        <v>704417</v>
      </c>
      <c r="H684" s="36" t="n">
        <v>0.02538631346578368</v>
      </c>
      <c r="I684" s="36" t="n">
        <v>-0.6973941368078176</v>
      </c>
      <c r="J684" s="31" t="n">
        <v>16447.5</v>
      </c>
      <c r="K684" s="31" t="n">
        <v>17533.66666666667</v>
      </c>
      <c r="L684" s="31" t="n">
        <v>18520</v>
      </c>
      <c r="M684" s="36" t="n">
        <v>1.169929398919673</v>
      </c>
      <c r="N684" s="36" t="n">
        <v>0.8361900506438367</v>
      </c>
      <c r="O684" s="36" t="n">
        <v>0.05989731888191674</v>
      </c>
      <c r="P684" s="36" t="n">
        <v>0.0808609656777195</v>
      </c>
      <c r="Q684" s="36" t="n">
        <v>0.1274271844660195</v>
      </c>
      <c r="R684" s="36" t="n">
        <v>0.1296549627602979</v>
      </c>
      <c r="S684" s="36" t="n">
        <v>0.05967567156517939</v>
      </c>
      <c r="T684" s="36" t="n">
        <v>0.003239740820734305</v>
      </c>
      <c r="U684" s="31" t="n">
        <v>24850</v>
      </c>
      <c r="V684" s="31" t="n">
        <v>14330</v>
      </c>
      <c r="W684" s="36" t="n">
        <v>-0.2523138832997988</v>
      </c>
      <c r="X684" s="36" t="n">
        <v>0.2965806001395674</v>
      </c>
      <c r="Y684" s="31" t="n">
        <v>20476584</v>
      </c>
      <c r="Z684" s="31" t="n">
        <v>380454930720</v>
      </c>
      <c r="AA684" s="31" t="n">
        <v>13088067860</v>
      </c>
      <c r="AB684" s="31" t="n">
        <v>2943856896.5</v>
      </c>
      <c r="AC684" s="36" t="n">
        <v>0.03440109932398881</v>
      </c>
      <c r="AD684" s="29" t="inlineStr">
        <is>
          <t>yfinance_download</t>
        </is>
      </c>
      <c r="AE684" s="29" t="inlineStr">
        <is>
          <t>317330.KQ</t>
        </is>
      </c>
    </row>
    <row r="685" ht="24" customHeight="1">
      <c r="A685" s="24" t="inlineStr">
        <is>
          <t>2026-04-01</t>
        </is>
      </c>
      <c r="B685" s="30" t="n">
        <v>18450</v>
      </c>
      <c r="C685" s="30" t="n">
        <v>18920</v>
      </c>
      <c r="D685" s="30" t="n">
        <v>17710</v>
      </c>
      <c r="E685" s="30" t="n">
        <v>18760</v>
      </c>
      <c r="F685" s="30" t="n">
        <v>18760</v>
      </c>
      <c r="G685" s="30" t="n">
        <v>326178</v>
      </c>
      <c r="H685" s="35" t="n">
        <v>0.009687836383207804</v>
      </c>
      <c r="I685" s="35" t="n">
        <v>-0.6944625407166124</v>
      </c>
      <c r="J685" s="30" t="n">
        <v>16669</v>
      </c>
      <c r="K685" s="30" t="n">
        <v>17564.33333333333</v>
      </c>
      <c r="L685" s="30" t="n">
        <v>18536.33333333333</v>
      </c>
      <c r="M685" s="35" t="n">
        <v>0.9356182820400961</v>
      </c>
      <c r="N685" s="35" t="n">
        <v>0.8354265342752074</v>
      </c>
      <c r="O685" s="35" t="n">
        <v>0.3091416608513609</v>
      </c>
      <c r="P685" s="35" t="n">
        <v>0.1087470449172576</v>
      </c>
      <c r="Q685" s="35" t="n">
        <v>0.1166666666666667</v>
      </c>
      <c r="R685" s="35" t="n">
        <v>0.1254424380586718</v>
      </c>
      <c r="S685" s="35" t="n">
        <v>0.06807355815763017</v>
      </c>
      <c r="T685" s="35" t="n">
        <v>0.01206639213077021</v>
      </c>
      <c r="U685" s="30" t="n">
        <v>24800</v>
      </c>
      <c r="V685" s="30" t="n">
        <v>14330</v>
      </c>
      <c r="W685" s="35" t="n">
        <v>-0.2435483870967742</v>
      </c>
      <c r="X685" s="35" t="n">
        <v>0.3091416608513609</v>
      </c>
      <c r="Y685" s="30" t="n">
        <v>20476584</v>
      </c>
      <c r="Z685" s="30" t="n">
        <v>384140715840</v>
      </c>
      <c r="AA685" s="30" t="n">
        <v>6119099280</v>
      </c>
      <c r="AB685" s="30" t="n">
        <v>2990717579</v>
      </c>
      <c r="AC685" s="35" t="n">
        <v>0.01592931711656593</v>
      </c>
      <c r="AD685" s="24" t="inlineStr">
        <is>
          <t>yfinance_download</t>
        </is>
      </c>
      <c r="AE685" s="24" t="inlineStr">
        <is>
          <t>317330.KQ</t>
        </is>
      </c>
    </row>
    <row r="686" ht="24" customHeight="1">
      <c r="A686" s="29" t="inlineStr">
        <is>
          <t>2026-04-02</t>
        </is>
      </c>
      <c r="B686" s="31" t="n">
        <v>18500</v>
      </c>
      <c r="C686" s="31" t="n">
        <v>19570</v>
      </c>
      <c r="D686" s="31" t="n">
        <v>17700</v>
      </c>
      <c r="E686" s="31" t="n">
        <v>17880</v>
      </c>
      <c r="F686" s="31" t="n">
        <v>17880</v>
      </c>
      <c r="G686" s="31" t="n">
        <v>435439</v>
      </c>
      <c r="H686" s="36" t="n">
        <v>-0.04690831556503194</v>
      </c>
      <c r="I686" s="36" t="n">
        <v>-0.7087947882736156</v>
      </c>
      <c r="J686" s="31" t="n">
        <v>16735.5</v>
      </c>
      <c r="K686" s="31" t="n">
        <v>17586</v>
      </c>
      <c r="L686" s="31" t="n">
        <v>18547.16666666667</v>
      </c>
      <c r="M686" s="36" t="n">
        <v>0.8001433542070783</v>
      </c>
      <c r="N686" s="36" t="n">
        <v>0.8403967460839494</v>
      </c>
      <c r="O686" s="36" t="n">
        <v>0.08036253776435043</v>
      </c>
      <c r="P686" s="36" t="n">
        <v>0.07840772014475261</v>
      </c>
      <c r="Q686" s="36" t="n">
        <v>0.07840772014475261</v>
      </c>
      <c r="R686" s="36" t="n">
        <v>0.0683875593797616</v>
      </c>
      <c r="S686" s="36" t="n">
        <v>0.01671784373933805</v>
      </c>
      <c r="T686" s="36" t="n">
        <v>-0.03597135231796422</v>
      </c>
      <c r="U686" s="31" t="n">
        <v>24800</v>
      </c>
      <c r="V686" s="31" t="n">
        <v>14330</v>
      </c>
      <c r="W686" s="36" t="n">
        <v>-0.2790322580645161</v>
      </c>
      <c r="X686" s="36" t="n">
        <v>0.247732030704815</v>
      </c>
      <c r="Y686" s="31" t="n">
        <v>20476584</v>
      </c>
      <c r="Z686" s="31" t="n">
        <v>366121321920</v>
      </c>
      <c r="AA686" s="31" t="n">
        <v>7785649320</v>
      </c>
      <c r="AB686" s="31" t="n">
        <v>3243920152.5</v>
      </c>
      <c r="AC686" s="36" t="n">
        <v>0.02126521689359905</v>
      </c>
      <c r="AD686" s="29" t="inlineStr">
        <is>
          <t>yfinance_download</t>
        </is>
      </c>
      <c r="AE686" s="29" t="inlineStr">
        <is>
          <t>317330.KQ</t>
        </is>
      </c>
    </row>
    <row r="687" ht="24" customHeight="1">
      <c r="A687" s="24" t="inlineStr">
        <is>
          <t>2026-04-03</t>
        </is>
      </c>
      <c r="B687" s="30" t="n">
        <v>18440</v>
      </c>
      <c r="C687" s="30" t="n">
        <v>18650</v>
      </c>
      <c r="D687" s="30" t="n">
        <v>17750</v>
      </c>
      <c r="E687" s="30" t="n">
        <v>17930</v>
      </c>
      <c r="F687" s="30" t="n">
        <v>17930</v>
      </c>
      <c r="G687" s="30" t="n">
        <v>188257</v>
      </c>
      <c r="H687" s="35" t="n">
        <v>0.002796420581655523</v>
      </c>
      <c r="I687" s="35" t="n">
        <v>-0.7079804560260586</v>
      </c>
      <c r="J687" s="30" t="n">
        <v>16742.5</v>
      </c>
      <c r="K687" s="30" t="n">
        <v>17595.5</v>
      </c>
      <c r="L687" s="30" t="n">
        <v>18558.16666666667</v>
      </c>
      <c r="M687" s="35" t="n">
        <v>0.7563501446665399</v>
      </c>
      <c r="N687" s="35" t="n">
        <v>0.8352874554553805</v>
      </c>
      <c r="O687" s="35" t="n">
        <v>0.00786958965711082</v>
      </c>
      <c r="P687" s="35" t="n">
        <v>0.03283410138248843</v>
      </c>
      <c r="Q687" s="35" t="n">
        <v>0.07947019867549665</v>
      </c>
      <c r="R687" s="35" t="n">
        <v>0.07092728087203226</v>
      </c>
      <c r="S687" s="35" t="n">
        <v>0.01901054246824474</v>
      </c>
      <c r="T687" s="35" t="n">
        <v>-0.03384853029663493</v>
      </c>
      <c r="U687" s="30" t="n">
        <v>24250</v>
      </c>
      <c r="V687" s="30" t="n">
        <v>14330</v>
      </c>
      <c r="W687" s="35" t="n">
        <v>-0.260618556701031</v>
      </c>
      <c r="X687" s="35" t="n">
        <v>0.2512212142358687</v>
      </c>
      <c r="Y687" s="30" t="n">
        <v>20476584</v>
      </c>
      <c r="Z687" s="30" t="n">
        <v>367145151120</v>
      </c>
      <c r="AA687" s="30" t="n">
        <v>3375448010</v>
      </c>
      <c r="AB687" s="30" t="n">
        <v>3287681333.5</v>
      </c>
      <c r="AC687" s="35" t="n">
        <v>0.009193769820200478</v>
      </c>
      <c r="AD687" s="24" t="inlineStr">
        <is>
          <t>yfinance_download</t>
        </is>
      </c>
      <c r="AE687" s="24" t="inlineStr">
        <is>
          <t>317330.KQ</t>
        </is>
      </c>
    </row>
    <row r="688" ht="24" customHeight="1">
      <c r="A688" s="29" t="inlineStr">
        <is>
          <t>2026-04-06</t>
        </is>
      </c>
      <c r="B688" s="31" t="n">
        <v>18110</v>
      </c>
      <c r="C688" s="31" t="n">
        <v>18880</v>
      </c>
      <c r="D688" s="31" t="n">
        <v>18000</v>
      </c>
      <c r="E688" s="31" t="n">
        <v>18090</v>
      </c>
      <c r="F688" s="31" t="n">
        <v>18090</v>
      </c>
      <c r="G688" s="31" t="n">
        <v>179403</v>
      </c>
      <c r="H688" s="36" t="n">
        <v>0.008923591745677584</v>
      </c>
      <c r="I688" s="36" t="n">
        <v>-0.7053745928338762</v>
      </c>
      <c r="J688" s="31" t="n">
        <v>16822</v>
      </c>
      <c r="K688" s="31" t="n">
        <v>17612</v>
      </c>
      <c r="L688" s="31" t="n">
        <v>18569.33333333333</v>
      </c>
      <c r="M688" s="36" t="n">
        <v>0.7041975486119963</v>
      </c>
      <c r="N688" s="36" t="n">
        <v>0.8346606166831079</v>
      </c>
      <c r="O688" s="36" t="n">
        <v>0.09636363636363643</v>
      </c>
      <c r="P688" s="36" t="n">
        <v>0.05789473684210522</v>
      </c>
      <c r="Q688" s="36" t="n">
        <v>0.08000000000000007</v>
      </c>
      <c r="R688" s="36" t="n">
        <v>0.07537748186898119</v>
      </c>
      <c r="S688" s="36" t="n">
        <v>0.02714058596411539</v>
      </c>
      <c r="T688" s="36" t="n">
        <v>-0.02581316866518268</v>
      </c>
      <c r="U688" s="31" t="n">
        <v>24250</v>
      </c>
      <c r="V688" s="31" t="n">
        <v>14330</v>
      </c>
      <c r="W688" s="36" t="n">
        <v>-0.254020618556701</v>
      </c>
      <c r="X688" s="36" t="n">
        <v>0.2623866015352407</v>
      </c>
      <c r="Y688" s="31" t="n">
        <v>20476584</v>
      </c>
      <c r="Z688" s="31" t="n">
        <v>370421404560</v>
      </c>
      <c r="AA688" s="31" t="n">
        <v>3245400270</v>
      </c>
      <c r="AB688" s="31" t="n">
        <v>3314046622</v>
      </c>
      <c r="AC688" s="36" t="n">
        <v>0.008761373479092021</v>
      </c>
      <c r="AD688" s="29" t="inlineStr">
        <is>
          <t>yfinance_download</t>
        </is>
      </c>
      <c r="AE688" s="29" t="inlineStr">
        <is>
          <t>317330.KQ</t>
        </is>
      </c>
    </row>
    <row r="689" ht="24" customHeight="1">
      <c r="A689" s="24" t="inlineStr">
        <is>
          <t>2026-04-07</t>
        </is>
      </c>
      <c r="B689" s="30" t="n">
        <v>18320</v>
      </c>
      <c r="C689" s="30" t="n">
        <v>18320</v>
      </c>
      <c r="D689" s="30" t="n">
        <v>16660</v>
      </c>
      <c r="E689" s="30" t="n">
        <v>16690</v>
      </c>
      <c r="F689" s="30" t="n">
        <v>16690</v>
      </c>
      <c r="G689" s="30" t="n">
        <v>260269</v>
      </c>
      <c r="H689" s="35" t="n">
        <v>-0.07739082365948036</v>
      </c>
      <c r="I689" s="35" t="n">
        <v>-0.7281758957654723</v>
      </c>
      <c r="J689" s="30" t="n">
        <v>16776.5</v>
      </c>
      <c r="K689" s="30" t="n">
        <v>17614.16666666667</v>
      </c>
      <c r="L689" s="30" t="n">
        <v>18568</v>
      </c>
      <c r="M689" s="35" t="n">
        <v>0.7236361063680384</v>
      </c>
      <c r="N689" s="35" t="n">
        <v>0.8477801033313037</v>
      </c>
      <c r="O689" s="35" t="n">
        <v>-0.0517045454545455</v>
      </c>
      <c r="P689" s="35" t="n">
        <v>0.007850241545893644</v>
      </c>
      <c r="Q689" s="35" t="n">
        <v>-0.009495548961424349</v>
      </c>
      <c r="R689" s="35" t="n">
        <v>-0.005156021816230982</v>
      </c>
      <c r="S689" s="35" t="n">
        <v>-0.05246723754553628</v>
      </c>
      <c r="T689" s="35" t="n">
        <v>-0.1011417492460146</v>
      </c>
      <c r="U689" s="30" t="n">
        <v>24250</v>
      </c>
      <c r="V689" s="30" t="n">
        <v>14330</v>
      </c>
      <c r="W689" s="35" t="n">
        <v>-0.3117525773195876</v>
      </c>
      <c r="X689" s="35" t="n">
        <v>0.1646894626657363</v>
      </c>
      <c r="Y689" s="30" t="n">
        <v>20476584</v>
      </c>
      <c r="Z689" s="30" t="n">
        <v>341754186960</v>
      </c>
      <c r="AA689" s="30" t="n">
        <v>4343889610</v>
      </c>
      <c r="AB689" s="30" t="n">
        <v>3436535502.5</v>
      </c>
      <c r="AC689" s="35" t="n">
        <v>0.01271056734853821</v>
      </c>
      <c r="AD689" s="24" t="inlineStr">
        <is>
          <t>yfinance_download</t>
        </is>
      </c>
      <c r="AE689" s="24" t="inlineStr">
        <is>
          <t>317330.KQ</t>
        </is>
      </c>
    </row>
    <row r="690" ht="24" customHeight="1">
      <c r="A690" s="29" t="inlineStr">
        <is>
          <t>2026-04-08</t>
        </is>
      </c>
      <c r="B690" s="31" t="n">
        <v>17700</v>
      </c>
      <c r="C690" s="31" t="n">
        <v>17700</v>
      </c>
      <c r="D690" s="31" t="n">
        <v>16660</v>
      </c>
      <c r="E690" s="31" t="n">
        <v>17030</v>
      </c>
      <c r="F690" s="31" t="n">
        <v>17030</v>
      </c>
      <c r="G690" s="31" t="n">
        <v>261723</v>
      </c>
      <c r="H690" s="36" t="n">
        <v>0.02037147992810073</v>
      </c>
      <c r="I690" s="36" t="n">
        <v>-0.7226384364820847</v>
      </c>
      <c r="J690" s="31" t="n">
        <v>16761.5</v>
      </c>
      <c r="K690" s="31" t="n">
        <v>17633.83333333333</v>
      </c>
      <c r="L690" s="31" t="n">
        <v>18566.33333333333</v>
      </c>
      <c r="M690" s="36" t="n">
        <v>0.7258077852690119</v>
      </c>
      <c r="N690" s="36" t="n">
        <v>0.8435269067106712</v>
      </c>
      <c r="O690" s="36" t="n">
        <v>-0.01731102135025964</v>
      </c>
      <c r="P690" s="36" t="n">
        <v>0.07444794952681377</v>
      </c>
      <c r="Q690" s="36" t="n">
        <v>-0.01160766105629718</v>
      </c>
      <c r="R690" s="36" t="n">
        <v>0.01601885272797787</v>
      </c>
      <c r="S690" s="36" t="n">
        <v>-0.03424288536241882</v>
      </c>
      <c r="T690" s="36" t="n">
        <v>-0.0827483437763693</v>
      </c>
      <c r="U690" s="31" t="n">
        <v>24250</v>
      </c>
      <c r="V690" s="31" t="n">
        <v>14330</v>
      </c>
      <c r="W690" s="36" t="n">
        <v>-0.2977319587628866</v>
      </c>
      <c r="X690" s="36" t="n">
        <v>0.1884159106769017</v>
      </c>
      <c r="Y690" s="31" t="n">
        <v>20476584</v>
      </c>
      <c r="Z690" s="31" t="n">
        <v>348716225520</v>
      </c>
      <c r="AA690" s="31" t="n">
        <v>4457142690</v>
      </c>
      <c r="AB690" s="31" t="n">
        <v>3582839961.5</v>
      </c>
      <c r="AC690" s="36" t="n">
        <v>0.01278157528619031</v>
      </c>
      <c r="AD690" s="29" t="inlineStr">
        <is>
          <t>yfinance_download</t>
        </is>
      </c>
      <c r="AE690" s="29" t="inlineStr">
        <is>
          <t>317330.KQ</t>
        </is>
      </c>
    </row>
    <row r="691" ht="24" customHeight="1">
      <c r="A691" s="24" t="inlineStr">
        <is>
          <t>2026-04-09</t>
        </is>
      </c>
      <c r="B691" s="30" t="n">
        <v>17190</v>
      </c>
      <c r="C691" s="30" t="n">
        <v>17400</v>
      </c>
      <c r="D691" s="30" t="n">
        <v>16500</v>
      </c>
      <c r="E691" s="30" t="n">
        <v>16730</v>
      </c>
      <c r="F691" s="30" t="n">
        <v>16730</v>
      </c>
      <c r="G691" s="30" t="n">
        <v>161008</v>
      </c>
      <c r="H691" s="35" t="n">
        <v>-0.01761597181444507</v>
      </c>
      <c r="I691" s="35" t="n">
        <v>-0.7275244299674267</v>
      </c>
      <c r="J691" s="30" t="n">
        <v>16743</v>
      </c>
      <c r="K691" s="30" t="n">
        <v>17658.5</v>
      </c>
      <c r="L691" s="30" t="n">
        <v>18559.08333333333</v>
      </c>
      <c r="M691" s="35" t="n">
        <v>0.727030905769233</v>
      </c>
      <c r="N691" s="35" t="n">
        <v>0.8403960618587911</v>
      </c>
      <c r="O691" s="35" t="n">
        <v>-0.02163742690058479</v>
      </c>
      <c r="P691" s="35" t="n">
        <v>0.0970491803278688</v>
      </c>
      <c r="Q691" s="35" t="n">
        <v>-0.04943181818181819</v>
      </c>
      <c r="R691" s="35" t="n">
        <v>-0.000776443886997602</v>
      </c>
      <c r="S691" s="35" t="n">
        <v>-0.05258091004332188</v>
      </c>
      <c r="T691" s="35" t="n">
        <v>-0.09855461611340355</v>
      </c>
      <c r="U691" s="30" t="n">
        <v>24250</v>
      </c>
      <c r="V691" s="30" t="n">
        <v>14330</v>
      </c>
      <c r="W691" s="35" t="n">
        <v>-0.3101030927835051</v>
      </c>
      <c r="X691" s="35" t="n">
        <v>0.1674808094905793</v>
      </c>
      <c r="Y691" s="30" t="n">
        <v>20476584</v>
      </c>
      <c r="Z691" s="30" t="n">
        <v>342573250320</v>
      </c>
      <c r="AA691" s="30" t="n">
        <v>2693663840</v>
      </c>
      <c r="AB691" s="30" t="n">
        <v>3667827988.5</v>
      </c>
      <c r="AC691" s="35" t="n">
        <v>0.007863030278878547</v>
      </c>
      <c r="AD691" s="24" t="inlineStr">
        <is>
          <t>yfinance_download</t>
        </is>
      </c>
      <c r="AE691" s="24" t="inlineStr">
        <is>
          <t>317330.KQ</t>
        </is>
      </c>
    </row>
    <row r="692" ht="24" customHeight="1">
      <c r="A692" s="29" t="inlineStr">
        <is>
          <t>2026-04-10</t>
        </is>
      </c>
      <c r="B692" s="31" t="n">
        <v>17010</v>
      </c>
      <c r="C692" s="31" t="n">
        <v>17800</v>
      </c>
      <c r="D692" s="31" t="n">
        <v>16960</v>
      </c>
      <c r="E692" s="31" t="n">
        <v>17500</v>
      </c>
      <c r="F692" s="31" t="n">
        <v>17500</v>
      </c>
      <c r="G692" s="31" t="n">
        <v>259462</v>
      </c>
      <c r="H692" s="36" t="n">
        <v>0.04602510460251041</v>
      </c>
      <c r="I692" s="36" t="n">
        <v>-0.7149837133550488</v>
      </c>
      <c r="J692" s="31" t="n">
        <v>16785.5</v>
      </c>
      <c r="K692" s="31" t="n">
        <v>17690.5</v>
      </c>
      <c r="L692" s="31" t="n">
        <v>18560.33333333333</v>
      </c>
      <c r="M692" s="36" t="n">
        <v>0.737744575485949</v>
      </c>
      <c r="N692" s="36" t="n">
        <v>0.8441925410729363</v>
      </c>
      <c r="O692" s="36" t="n">
        <v>0.05105105105105112</v>
      </c>
      <c r="P692" s="36" t="n">
        <v>0.123234916559692</v>
      </c>
      <c r="Q692" s="36" t="n">
        <v>0.008645533141210304</v>
      </c>
      <c r="R692" s="36" t="n">
        <v>0.04256650084894709</v>
      </c>
      <c r="S692" s="36" t="n">
        <v>-0.01076849156326842</v>
      </c>
      <c r="T692" s="36" t="n">
        <v>-0.05712900271187649</v>
      </c>
      <c r="U692" s="31" t="n">
        <v>24250</v>
      </c>
      <c r="V692" s="31" t="n">
        <v>14330</v>
      </c>
      <c r="W692" s="36" t="n">
        <v>-0.2783505154639175</v>
      </c>
      <c r="X692" s="36" t="n">
        <v>0.2212142358688067</v>
      </c>
      <c r="Y692" s="31" t="n">
        <v>20476584</v>
      </c>
      <c r="Z692" s="31" t="n">
        <v>358340220000</v>
      </c>
      <c r="AA692" s="31" t="n">
        <v>4540585000</v>
      </c>
      <c r="AB692" s="31" t="n">
        <v>3845201943.5</v>
      </c>
      <c r="AC692" s="36" t="n">
        <v>0.01267115647805317</v>
      </c>
      <c r="AD692" s="29" t="inlineStr">
        <is>
          <t>yfinance_download</t>
        </is>
      </c>
      <c r="AE692" s="29" t="inlineStr">
        <is>
          <t>317330.KQ</t>
        </is>
      </c>
    </row>
    <row r="693" ht="24" customHeight="1">
      <c r="A693" s="24" t="inlineStr">
        <is>
          <t>2026-04-13</t>
        </is>
      </c>
      <c r="B693" s="30" t="n">
        <v>17510</v>
      </c>
      <c r="C693" s="30" t="n">
        <v>19510</v>
      </c>
      <c r="D693" s="30" t="n">
        <v>17510</v>
      </c>
      <c r="E693" s="30" t="n">
        <v>19230</v>
      </c>
      <c r="F693" s="30" t="n">
        <v>19230</v>
      </c>
      <c r="G693" s="30" t="n">
        <v>576011</v>
      </c>
      <c r="H693" s="35" t="n">
        <v>0.09885714285714275</v>
      </c>
      <c r="I693" s="35" t="n">
        <v>-0.6868078175895765</v>
      </c>
      <c r="J693" s="30" t="n">
        <v>16940.5</v>
      </c>
      <c r="K693" s="30" t="n">
        <v>17744.66666666667</v>
      </c>
      <c r="L693" s="30" t="n">
        <v>18568.25</v>
      </c>
      <c r="M693" s="35" t="n">
        <v>0.7985603139568219</v>
      </c>
      <c r="N693" s="35" t="n">
        <v>0.8655179851445299</v>
      </c>
      <c r="O693" s="35" t="n">
        <v>0.1921884686918784</v>
      </c>
      <c r="P693" s="35" t="n">
        <v>0.2033792240300376</v>
      </c>
      <c r="Q693" s="35" t="n">
        <v>0.05196936542669595</v>
      </c>
      <c r="R693" s="35" t="n">
        <v>0.1351494938165934</v>
      </c>
      <c r="S693" s="35" t="n">
        <v>0.0837059022429274</v>
      </c>
      <c r="T693" s="35" t="n">
        <v>0.03563879202401954</v>
      </c>
      <c r="U693" s="30" t="n">
        <v>24250</v>
      </c>
      <c r="V693" s="30" t="n">
        <v>14330</v>
      </c>
      <c r="W693" s="35" t="n">
        <v>-0.2070103092783505</v>
      </c>
      <c r="X693" s="35" t="n">
        <v>0.3419399860432659</v>
      </c>
      <c r="Y693" s="30" t="n">
        <v>20476584</v>
      </c>
      <c r="Z693" s="30" t="n">
        <v>393764710320</v>
      </c>
      <c r="AA693" s="30" t="n">
        <v>11076691530</v>
      </c>
      <c r="AB693" s="30" t="n">
        <v>4341074978</v>
      </c>
      <c r="AC693" s="35" t="n">
        <v>0.0281302291436892</v>
      </c>
      <c r="AD693" s="24" t="inlineStr">
        <is>
          <t>yfinance_download</t>
        </is>
      </c>
      <c r="AE693" s="24" t="inlineStr">
        <is>
          <t>317330.KQ</t>
        </is>
      </c>
    </row>
    <row r="694" ht="24" customHeight="1">
      <c r="A694" s="29" t="inlineStr">
        <is>
          <t>2026-04-14</t>
        </is>
      </c>
      <c r="B694" s="31" t="n">
        <v>19500</v>
      </c>
      <c r="C694" s="31" t="n">
        <v>19570</v>
      </c>
      <c r="D694" s="31" t="n">
        <v>18890</v>
      </c>
      <c r="E694" s="31" t="n">
        <v>19190</v>
      </c>
      <c r="F694" s="31" t="n">
        <v>19190</v>
      </c>
      <c r="G694" s="31" t="n">
        <v>234041</v>
      </c>
      <c r="H694" s="36" t="n">
        <v>-0.002080083203328087</v>
      </c>
      <c r="I694" s="36" t="n">
        <v>-0.6874592833876221</v>
      </c>
      <c r="J694" s="31" t="n">
        <v>17088</v>
      </c>
      <c r="K694" s="31" t="n">
        <v>17805.33333333333</v>
      </c>
      <c r="L694" s="31" t="n">
        <v>18569.83333333333</v>
      </c>
      <c r="M694" s="36" t="n">
        <v>0.7996529891553582</v>
      </c>
      <c r="N694" s="36" t="n">
        <v>0.8631555603427915</v>
      </c>
      <c r="O694" s="36" t="n">
        <v>0.1816502463054188</v>
      </c>
      <c r="P694" s="36" t="n">
        <v>0.2340836012861736</v>
      </c>
      <c r="Q694" s="36" t="n">
        <v>0.01000000000000001</v>
      </c>
      <c r="R694" s="36" t="n">
        <v>0.1230102996254681</v>
      </c>
      <c r="S694" s="36" t="n">
        <v>0.07776696121012439</v>
      </c>
      <c r="T694" s="36" t="n">
        <v>0.03339645841373562</v>
      </c>
      <c r="U694" s="31" t="n">
        <v>24250</v>
      </c>
      <c r="V694" s="31" t="n">
        <v>14330</v>
      </c>
      <c r="W694" s="36" t="n">
        <v>-0.208659793814433</v>
      </c>
      <c r="X694" s="36" t="n">
        <v>0.3391486392184229</v>
      </c>
      <c r="Y694" s="31" t="n">
        <v>20476584</v>
      </c>
      <c r="Z694" s="31" t="n">
        <v>392945646960</v>
      </c>
      <c r="AA694" s="31" t="n">
        <v>4491246790</v>
      </c>
      <c r="AB694" s="31" t="n">
        <v>4502510001.5</v>
      </c>
      <c r="AC694" s="36" t="n">
        <v>0.01142968963963911</v>
      </c>
      <c r="AD694" s="29" t="inlineStr">
        <is>
          <t>yfinance_download</t>
        </is>
      </c>
      <c r="AE694" s="29" t="inlineStr">
        <is>
          <t>317330.KQ</t>
        </is>
      </c>
    </row>
    <row r="695" ht="24" customHeight="1">
      <c r="A695" s="24" t="inlineStr">
        <is>
          <t>2026-04-15</t>
        </is>
      </c>
      <c r="B695" s="30" t="n">
        <v>19430</v>
      </c>
      <c r="C695" s="30" t="n">
        <v>22250</v>
      </c>
      <c r="D695" s="30" t="n">
        <v>19000</v>
      </c>
      <c r="E695" s="30" t="n">
        <v>21800</v>
      </c>
      <c r="F695" s="30" t="n">
        <v>21800</v>
      </c>
      <c r="G695" s="30" t="n">
        <v>1008824</v>
      </c>
      <c r="H695" s="35" t="n">
        <v>0.1360083376758729</v>
      </c>
      <c r="I695" s="35" t="n">
        <v>-0.6449511400651466</v>
      </c>
      <c r="J695" s="30" t="n">
        <v>17358.5</v>
      </c>
      <c r="K695" s="30" t="n">
        <v>17909.16666666667</v>
      </c>
      <c r="L695" s="30" t="n">
        <v>18594.75</v>
      </c>
      <c r="M695" s="35" t="n">
        <v>0.9170085621732349</v>
      </c>
      <c r="N695" s="35" t="n">
        <v>0.9038977876397567</v>
      </c>
      <c r="O695" s="35" t="n">
        <v>0.3300793166564979</v>
      </c>
      <c r="P695" s="35" t="n">
        <v>0.4001284521515736</v>
      </c>
      <c r="Q695" s="35" t="n">
        <v>0.1589580010632643</v>
      </c>
      <c r="R695" s="35" t="n">
        <v>0.2558688826799551</v>
      </c>
      <c r="S695" s="35" t="n">
        <v>0.2172537341212599</v>
      </c>
      <c r="T695" s="35" t="n">
        <v>0.172373922747012</v>
      </c>
      <c r="U695" s="30" t="n">
        <v>24250</v>
      </c>
      <c r="V695" s="30" t="n">
        <v>14330</v>
      </c>
      <c r="W695" s="35" t="n">
        <v>-0.1010309278350515</v>
      </c>
      <c r="X695" s="35" t="n">
        <v>0.5212840195394277</v>
      </c>
      <c r="Y695" s="30" t="n">
        <v>20476584</v>
      </c>
      <c r="Z695" s="30" t="n">
        <v>446389531200</v>
      </c>
      <c r="AA695" s="30" t="n">
        <v>21992363200</v>
      </c>
      <c r="AB695" s="30" t="n">
        <v>5551910021</v>
      </c>
      <c r="AC695" s="35" t="n">
        <v>0.04926720199033198</v>
      </c>
      <c r="AD695" s="24" t="inlineStr">
        <is>
          <t>yfinance_download</t>
        </is>
      </c>
      <c r="AE695" s="24" t="inlineStr">
        <is>
          <t>317330.KQ</t>
        </is>
      </c>
    </row>
    <row r="696" ht="24" customHeight="1">
      <c r="A696" s="29" t="inlineStr">
        <is>
          <t>2026-04-16</t>
        </is>
      </c>
      <c r="B696" s="31" t="n">
        <v>21900</v>
      </c>
      <c r="C696" s="31" t="n">
        <v>24200</v>
      </c>
      <c r="D696" s="31" t="n">
        <v>21350</v>
      </c>
      <c r="E696" s="31" t="n">
        <v>24100</v>
      </c>
      <c r="F696" s="31" t="n">
        <v>24100</v>
      </c>
      <c r="G696" s="31" t="n">
        <v>673647</v>
      </c>
      <c r="H696" s="36" t="n">
        <v>0.1055045871559632</v>
      </c>
      <c r="I696" s="36" t="n">
        <v>-0.6074918566775245</v>
      </c>
      <c r="J696" s="31" t="n">
        <v>17767.5</v>
      </c>
      <c r="K696" s="31" t="n">
        <v>18058.16666666667</v>
      </c>
      <c r="L696" s="31" t="n">
        <v>18631.83333333333</v>
      </c>
      <c r="M696" s="36" t="n">
        <v>0.9534989516378064</v>
      </c>
      <c r="N696" s="36" t="n">
        <v>0.9231753090128695</v>
      </c>
      <c r="O696" s="36" t="n">
        <v>0.5138190954773869</v>
      </c>
      <c r="P696" s="36" t="n">
        <v>0.5897097625329815</v>
      </c>
      <c r="Q696" s="36" t="n">
        <v>0.2264631043256997</v>
      </c>
      <c r="R696" s="36" t="n">
        <v>0.3564091740537498</v>
      </c>
      <c r="S696" s="36" t="n">
        <v>0.3345762305143563</v>
      </c>
      <c r="T696" s="36" t="n">
        <v>0.2934851642797722</v>
      </c>
      <c r="U696" s="31" t="n">
        <v>24250</v>
      </c>
      <c r="V696" s="31" t="n">
        <v>14330</v>
      </c>
      <c r="W696" s="36" t="n">
        <v>-0.006185567010309256</v>
      </c>
      <c r="X696" s="36" t="n">
        <v>0.6817864619678995</v>
      </c>
      <c r="Y696" s="31" t="n">
        <v>20476584</v>
      </c>
      <c r="Z696" s="31" t="n">
        <v>493485674400</v>
      </c>
      <c r="AA696" s="31" t="n">
        <v>16234892700</v>
      </c>
      <c r="AB696" s="31" t="n">
        <v>6318243652</v>
      </c>
      <c r="AC696" s="36" t="n">
        <v>0.03289840727340068</v>
      </c>
      <c r="AD696" s="29" t="inlineStr">
        <is>
          <t>yfinance_download</t>
        </is>
      </c>
      <c r="AE696" s="29" t="inlineStr">
        <is>
          <t>317330.KQ</t>
        </is>
      </c>
    </row>
    <row r="697" ht="24" customHeight="1">
      <c r="A697" s="24" t="inlineStr">
        <is>
          <t>2026-04-17</t>
        </is>
      </c>
      <c r="B697" s="30" t="n">
        <v>23950</v>
      </c>
      <c r="C697" s="30" t="n">
        <v>26300</v>
      </c>
      <c r="D697" s="30" t="n">
        <v>23900</v>
      </c>
      <c r="E697" s="30" t="n">
        <v>25650</v>
      </c>
      <c r="F697" s="30" t="n">
        <v>25650</v>
      </c>
      <c r="G697" s="30" t="n">
        <v>945812</v>
      </c>
      <c r="H697" s="35" t="n">
        <v>0.06431535269709543</v>
      </c>
      <c r="I697" s="35" t="n">
        <v>-0.5822475570032573</v>
      </c>
      <c r="J697" s="30" t="n">
        <v>18257</v>
      </c>
      <c r="K697" s="30" t="n">
        <v>18213</v>
      </c>
      <c r="L697" s="30" t="n">
        <v>18656.83333333333</v>
      </c>
      <c r="M697" s="35" t="n">
        <v>0.9591445909538902</v>
      </c>
      <c r="N697" s="35" t="n">
        <v>0.9188775127582</v>
      </c>
      <c r="O697" s="35" t="n">
        <v>0.6172761664564943</v>
      </c>
      <c r="P697" s="35" t="n">
        <v>0.5678484107579462</v>
      </c>
      <c r="Q697" s="35" t="n">
        <v>0.1324503311258278</v>
      </c>
      <c r="R697" s="35" t="n">
        <v>0.4049405707399902</v>
      </c>
      <c r="S697" s="35" t="n">
        <v>0.4083347059792457</v>
      </c>
      <c r="T697" s="35" t="n">
        <v>0.3748313843899913</v>
      </c>
      <c r="U697" s="30" t="n">
        <v>25650</v>
      </c>
      <c r="V697" s="30" t="n">
        <v>14330</v>
      </c>
      <c r="W697" s="35" t="n">
        <v>0</v>
      </c>
      <c r="X697" s="35" t="n">
        <v>0.7899511514305653</v>
      </c>
      <c r="Y697" s="30" t="n">
        <v>20476584</v>
      </c>
      <c r="Z697" s="30" t="n">
        <v>525224379600</v>
      </c>
      <c r="AA697" s="30" t="n">
        <v>24260077800</v>
      </c>
      <c r="AB697" s="30" t="n">
        <v>7480501093</v>
      </c>
      <c r="AC697" s="35" t="n">
        <v>0.04618993089863035</v>
      </c>
      <c r="AD697" s="24" t="inlineStr">
        <is>
          <t>yfinance_download</t>
        </is>
      </c>
      <c r="AE697" s="24" t="inlineStr">
        <is>
          <t>317330.KQ</t>
        </is>
      </c>
    </row>
    <row r="698" ht="24" customHeight="1">
      <c r="A698" s="29" t="inlineStr">
        <is>
          <t>2026-04-20</t>
        </is>
      </c>
      <c r="B698" s="31" t="n">
        <v>25000</v>
      </c>
      <c r="C698" s="31" t="n">
        <v>25000</v>
      </c>
      <c r="D698" s="31" t="n">
        <v>23850</v>
      </c>
      <c r="E698" s="31" t="n">
        <v>25000</v>
      </c>
      <c r="F698" s="31" t="n">
        <v>25000</v>
      </c>
      <c r="G698" s="31" t="n">
        <v>413842</v>
      </c>
      <c r="H698" s="36" t="n">
        <v>-0.02534113060428855</v>
      </c>
      <c r="I698" s="36" t="n">
        <v>-0.5928338762214984</v>
      </c>
      <c r="J698" s="31" t="n">
        <v>18748</v>
      </c>
      <c r="K698" s="31" t="n">
        <v>18346.16666666667</v>
      </c>
      <c r="L698" s="31" t="n">
        <v>18669.33333333333</v>
      </c>
      <c r="M698" s="36" t="n">
        <v>0.9443511210665524</v>
      </c>
      <c r="N698" s="36" t="n">
        <v>0.919308594337289</v>
      </c>
      <c r="O698" s="36" t="n">
        <v>0.6469038208168643</v>
      </c>
      <c r="P698" s="36" t="n">
        <v>0.4697236919459142</v>
      </c>
      <c r="Q698" s="36" t="n">
        <v>0.06382978723404253</v>
      </c>
      <c r="R698" s="36" t="n">
        <v>0.3334755707275443</v>
      </c>
      <c r="S698" s="36" t="n">
        <v>0.3626824858962361</v>
      </c>
      <c r="T698" s="36" t="n">
        <v>0.3390944150835595</v>
      </c>
      <c r="U698" s="31" t="n">
        <v>25650</v>
      </c>
      <c r="V698" s="31" t="n">
        <v>14330</v>
      </c>
      <c r="W698" s="36" t="n">
        <v>-0.02534113060428855</v>
      </c>
      <c r="X698" s="36" t="n">
        <v>0.7445917655268668</v>
      </c>
      <c r="Y698" s="31" t="n">
        <v>20476584</v>
      </c>
      <c r="Z698" s="31" t="n">
        <v>511914600000</v>
      </c>
      <c r="AA698" s="31" t="n">
        <v>10346050000</v>
      </c>
      <c r="AB698" s="31" t="n">
        <v>7926567648</v>
      </c>
      <c r="AC698" s="36" t="n">
        <v>0.0202104999544846</v>
      </c>
      <c r="AD698" s="29" t="inlineStr">
        <is>
          <t>yfinance_download</t>
        </is>
      </c>
      <c r="AE698" s="29" t="inlineStr">
        <is>
          <t>317330.KQ</t>
        </is>
      </c>
    </row>
    <row r="699" ht="24" customHeight="1">
      <c r="A699" s="24" t="inlineStr">
        <is>
          <t>2026-04-21</t>
        </is>
      </c>
      <c r="B699" s="30" t="n">
        <v>25900</v>
      </c>
      <c r="C699" s="30" t="n">
        <v>26900</v>
      </c>
      <c r="D699" s="30" t="n">
        <v>24600</v>
      </c>
      <c r="E699" s="30" t="n">
        <v>25300</v>
      </c>
      <c r="F699" s="30" t="n">
        <v>25300</v>
      </c>
      <c r="G699" s="30" t="n">
        <v>532021</v>
      </c>
      <c r="H699" s="35" t="n">
        <v>0.01200000000000001</v>
      </c>
      <c r="I699" s="35" t="n">
        <v>-0.5879478827361564</v>
      </c>
      <c r="J699" s="30" t="n">
        <v>19258.5</v>
      </c>
      <c r="K699" s="30" t="n">
        <v>18486.33333333333</v>
      </c>
      <c r="L699" s="30" t="n">
        <v>18678.91666666667</v>
      </c>
      <c r="M699" s="35" t="n">
        <v>0.9382158897621138</v>
      </c>
      <c r="N699" s="35" t="n">
        <v>0.9187981373146024</v>
      </c>
      <c r="O699" s="35" t="n">
        <v>0.6766070245195495</v>
      </c>
      <c r="P699" s="35" t="n">
        <v>0.4979277679100058</v>
      </c>
      <c r="Q699" s="35" t="n">
        <v>0.04761904761904767</v>
      </c>
      <c r="R699" s="35" t="n">
        <v>0.3137056364722071</v>
      </c>
      <c r="S699" s="35" t="n">
        <v>0.3685785895887053</v>
      </c>
      <c r="T699" s="35" t="n">
        <v>0.3544682730529518</v>
      </c>
      <c r="U699" s="30" t="n">
        <v>25650</v>
      </c>
      <c r="V699" s="30" t="n">
        <v>14330</v>
      </c>
      <c r="W699" s="35" t="n">
        <v>-0.01364522417154002</v>
      </c>
      <c r="X699" s="35" t="n">
        <v>0.7655268667131891</v>
      </c>
      <c r="Y699" s="30" t="n">
        <v>20476584</v>
      </c>
      <c r="Z699" s="30" t="n">
        <v>518057575200</v>
      </c>
      <c r="AA699" s="30" t="n">
        <v>13460131300</v>
      </c>
      <c r="AB699" s="30" t="n">
        <v>8547389975</v>
      </c>
      <c r="AC699" s="35" t="n">
        <v>0.02598192159395337</v>
      </c>
      <c r="AD699" s="24" t="inlineStr">
        <is>
          <t>yfinance_download</t>
        </is>
      </c>
      <c r="AE699" s="24" t="inlineStr">
        <is>
          <t>317330.KQ</t>
        </is>
      </c>
    </row>
    <row r="700" ht="24" customHeight="1">
      <c r="A700" s="29" t="inlineStr">
        <is>
          <t>2026-04-22</t>
        </is>
      </c>
      <c r="B700" s="31" t="n">
        <v>26150</v>
      </c>
      <c r="C700" s="31" t="n">
        <v>26550</v>
      </c>
      <c r="D700" s="31" t="n">
        <v>24500</v>
      </c>
      <c r="E700" s="31" t="n">
        <v>25350</v>
      </c>
      <c r="F700" s="31" t="n">
        <v>25350</v>
      </c>
      <c r="G700" s="31" t="n">
        <v>409112</v>
      </c>
      <c r="H700" s="36" t="n">
        <v>0.001976284584980226</v>
      </c>
      <c r="I700" s="36" t="n">
        <v>-0.5871335504885993</v>
      </c>
      <c r="J700" s="31" t="n">
        <v>19721</v>
      </c>
      <c r="K700" s="31" t="n">
        <v>18607.16666666667</v>
      </c>
      <c r="L700" s="31" t="n">
        <v>18688.08333333333</v>
      </c>
      <c r="M700" s="36" t="n">
        <v>0.9305555098644422</v>
      </c>
      <c r="N700" s="36" t="n">
        <v>0.9093605077762107</v>
      </c>
      <c r="O700" s="36" t="n">
        <v>0.5745341614906831</v>
      </c>
      <c r="P700" s="36" t="n">
        <v>0.4005524861878453</v>
      </c>
      <c r="Q700" s="36" t="n">
        <v>0.0453608247422681</v>
      </c>
      <c r="R700" s="36" t="n">
        <v>0.2854317732366514</v>
      </c>
      <c r="S700" s="36" t="n">
        <v>0.3623782951013497</v>
      </c>
      <c r="T700" s="36" t="n">
        <v>0.3564793964068012</v>
      </c>
      <c r="U700" s="31" t="n">
        <v>25650</v>
      </c>
      <c r="V700" s="31" t="n">
        <v>14330</v>
      </c>
      <c r="W700" s="36" t="n">
        <v>-0.01169590643274854</v>
      </c>
      <c r="X700" s="36" t="n">
        <v>0.7690160502442429</v>
      </c>
      <c r="Y700" s="31" t="n">
        <v>20476584</v>
      </c>
      <c r="Z700" s="31" t="n">
        <v>519081404400</v>
      </c>
      <c r="AA700" s="31" t="n">
        <v>10370989200</v>
      </c>
      <c r="AB700" s="31" t="n">
        <v>8988794675</v>
      </c>
      <c r="AC700" s="36" t="n">
        <v>0.01997950439389695</v>
      </c>
      <c r="AD700" s="29" t="inlineStr">
        <is>
          <t>yfinance_download</t>
        </is>
      </c>
      <c r="AE700" s="29" t="inlineStr">
        <is>
          <t>317330.KQ</t>
        </is>
      </c>
    </row>
    <row r="701" ht="24" customHeight="1">
      <c r="A701" s="24" t="inlineStr">
        <is>
          <t>2026-04-23</t>
        </is>
      </c>
      <c r="B701" s="30" t="n">
        <v>24950</v>
      </c>
      <c r="C701" s="30" t="n">
        <v>25000</v>
      </c>
      <c r="D701" s="30" t="n">
        <v>22850</v>
      </c>
      <c r="E701" s="30" t="n">
        <v>23200</v>
      </c>
      <c r="F701" s="30" t="n">
        <v>23200</v>
      </c>
      <c r="G701" s="30" t="n">
        <v>549580</v>
      </c>
      <c r="H701" s="35" t="n">
        <v>-0.08481262327416172</v>
      </c>
      <c r="I701" s="35" t="n">
        <v>-0.6221498371335505</v>
      </c>
      <c r="J701" s="30" t="n">
        <v>20100.5</v>
      </c>
      <c r="K701" s="30" t="n">
        <v>18691.66666666667</v>
      </c>
      <c r="L701" s="30" t="n">
        <v>18683.08333333333</v>
      </c>
      <c r="M701" s="35" t="n">
        <v>0.991192662062683</v>
      </c>
      <c r="N701" s="35" t="n">
        <v>0.9286872220658804</v>
      </c>
      <c r="O701" s="35" t="n">
        <v>0.4862267777065983</v>
      </c>
      <c r="P701" s="35" t="n">
        <v>0.2796469939327082</v>
      </c>
      <c r="Q701" s="35" t="n">
        <v>-0.02521008403361347</v>
      </c>
      <c r="R701" s="35" t="n">
        <v>0.154200144275018</v>
      </c>
      <c r="S701" s="35" t="n">
        <v>0.2411948283548817</v>
      </c>
      <c r="T701" s="35" t="n">
        <v>0.2417650548401629</v>
      </c>
      <c r="U701" s="30" t="n">
        <v>25650</v>
      </c>
      <c r="V701" s="30" t="n">
        <v>14330</v>
      </c>
      <c r="W701" s="35" t="n">
        <v>-0.09551656920077978</v>
      </c>
      <c r="X701" s="35" t="n">
        <v>0.6189811584089324</v>
      </c>
      <c r="Y701" s="30" t="n">
        <v>20476584</v>
      </c>
      <c r="Z701" s="30" t="n">
        <v>475056748800</v>
      </c>
      <c r="AA701" s="30" t="n">
        <v>12750256000</v>
      </c>
      <c r="AB701" s="30" t="n">
        <v>9569822690</v>
      </c>
      <c r="AC701" s="35" t="n">
        <v>0.02683943767183042</v>
      </c>
      <c r="AD701" s="24" t="inlineStr">
        <is>
          <t>yfinance_download</t>
        </is>
      </c>
      <c r="AE701" s="24" t="inlineStr">
        <is>
          <t>317330.KQ</t>
        </is>
      </c>
    </row>
    <row r="702" ht="24" customHeight="1">
      <c r="A702" s="29" t="inlineStr">
        <is>
          <t>2026-04-24</t>
        </is>
      </c>
      <c r="B702" s="31" t="n">
        <v>23500</v>
      </c>
      <c r="C702" s="31" t="n">
        <v>23650</v>
      </c>
      <c r="D702" s="31" t="n">
        <v>22300</v>
      </c>
      <c r="E702" s="31" t="n">
        <v>23200</v>
      </c>
      <c r="F702" s="31" t="n">
        <v>23200</v>
      </c>
      <c r="G702" s="31" t="n">
        <v>318681</v>
      </c>
      <c r="H702" s="36" t="n">
        <v>0</v>
      </c>
      <c r="I702" s="36" t="n">
        <v>-0.6221498371335505</v>
      </c>
      <c r="J702" s="31" t="n">
        <v>20466.5</v>
      </c>
      <c r="K702" s="31" t="n">
        <v>18757.16666666667</v>
      </c>
      <c r="L702" s="31" t="n">
        <v>18685.16666666667</v>
      </c>
      <c r="M702" s="36" t="n">
        <v>0.9941328004924873</v>
      </c>
      <c r="N702" s="36" t="n">
        <v>0.9210879699081915</v>
      </c>
      <c r="O702" s="36" t="n">
        <v>0.4609571788413098</v>
      </c>
      <c r="P702" s="36" t="n">
        <v>0.2039439543331603</v>
      </c>
      <c r="Q702" s="36" t="n">
        <v>0.01089324618736387</v>
      </c>
      <c r="R702" s="36" t="n">
        <v>0.13355971954169</v>
      </c>
      <c r="S702" s="36" t="n">
        <v>0.2368605777347323</v>
      </c>
      <c r="T702" s="36" t="n">
        <v>0.2416266022067415</v>
      </c>
      <c r="U702" s="31" t="n">
        <v>25650</v>
      </c>
      <c r="V702" s="31" t="n">
        <v>14330</v>
      </c>
      <c r="W702" s="36" t="n">
        <v>-0.09551656920077978</v>
      </c>
      <c r="X702" s="36" t="n">
        <v>0.6189811584089324</v>
      </c>
      <c r="Y702" s="31" t="n">
        <v>20476584</v>
      </c>
      <c r="Z702" s="31" t="n">
        <v>475056748800</v>
      </c>
      <c r="AA702" s="31" t="n">
        <v>7393399200</v>
      </c>
      <c r="AB702" s="31" t="n">
        <v>9882529502</v>
      </c>
      <c r="AC702" s="36" t="n">
        <v>0.01556319159484805</v>
      </c>
      <c r="AD702" s="29" t="inlineStr">
        <is>
          <t>yfinance_download</t>
        </is>
      </c>
      <c r="AE702" s="29" t="inlineStr">
        <is>
          <t>317330.KQ</t>
        </is>
      </c>
    </row>
    <row r="703" ht="24" customHeight="1">
      <c r="A703" s="24" t="inlineStr">
        <is>
          <t>2026-04-27</t>
        </is>
      </c>
      <c r="B703" s="30" t="n">
        <v>23800</v>
      </c>
      <c r="C703" s="30" t="n">
        <v>23800</v>
      </c>
      <c r="D703" s="30" t="n">
        <v>21750</v>
      </c>
      <c r="E703" s="30" t="n">
        <v>22950</v>
      </c>
      <c r="F703" s="30" t="n">
        <v>22950</v>
      </c>
      <c r="G703" s="30" t="n">
        <v>261779</v>
      </c>
      <c r="H703" s="35" t="n">
        <v>-0.01077586206896552</v>
      </c>
      <c r="I703" s="35" t="n">
        <v>-0.6262214983713354</v>
      </c>
      <c r="J703" s="30" t="n">
        <v>20708</v>
      </c>
      <c r="K703" s="30" t="n">
        <v>18823.33333333333</v>
      </c>
      <c r="L703" s="30" t="n">
        <v>18699.33333333333</v>
      </c>
      <c r="M703" s="35" t="n">
        <v>0.8916167571551039</v>
      </c>
      <c r="N703" s="35" t="n">
        <v>0.9207372762942754</v>
      </c>
      <c r="O703" s="35" t="n">
        <v>0.2665562913907285</v>
      </c>
      <c r="P703" s="35" t="n">
        <v>0.2091675447839831</v>
      </c>
      <c r="Q703" s="35" t="n">
        <v>0.08000000000000007</v>
      </c>
      <c r="R703" s="35" t="n">
        <v>0.1082673362951516</v>
      </c>
      <c r="S703" s="35" t="n">
        <v>0.2192314503276076</v>
      </c>
      <c r="T703" s="35" t="n">
        <v>0.2273164818710116</v>
      </c>
      <c r="U703" s="30" t="n">
        <v>25650</v>
      </c>
      <c r="V703" s="30" t="n">
        <v>14330</v>
      </c>
      <c r="W703" s="35" t="n">
        <v>-0.1052631578947368</v>
      </c>
      <c r="X703" s="35" t="n">
        <v>0.6015352407536636</v>
      </c>
      <c r="Y703" s="30" t="n">
        <v>20476584</v>
      </c>
      <c r="Z703" s="30" t="n">
        <v>469937602800</v>
      </c>
      <c r="AA703" s="30" t="n">
        <v>6007828050</v>
      </c>
      <c r="AB703" s="30" t="n">
        <v>9401643582.5</v>
      </c>
      <c r="AC703" s="35" t="n">
        <v>0.01278431011735161</v>
      </c>
      <c r="AD703" s="24" t="inlineStr">
        <is>
          <t>yfinance_download</t>
        </is>
      </c>
      <c r="AE703" s="24" t="inlineStr">
        <is>
          <t>317330.KQ</t>
        </is>
      </c>
    </row>
    <row r="704" ht="24" customHeight="1">
      <c r="A704" s="29" t="inlineStr">
        <is>
          <t>2026-04-28</t>
        </is>
      </c>
      <c r="B704" s="31" t="n">
        <v>23350</v>
      </c>
      <c r="C704" s="31" t="n">
        <v>25200</v>
      </c>
      <c r="D704" s="31" t="n">
        <v>22800</v>
      </c>
      <c r="E704" s="31" t="n">
        <v>24950</v>
      </c>
      <c r="F704" s="31" t="n">
        <v>24950</v>
      </c>
      <c r="G704" s="31" t="n">
        <v>620653</v>
      </c>
      <c r="H704" s="36" t="n">
        <v>0.08714596949891074</v>
      </c>
      <c r="I704" s="36" t="n">
        <v>-0.5936482084690553</v>
      </c>
      <c r="J704" s="31" t="n">
        <v>21026.5</v>
      </c>
      <c r="K704" s="31" t="n">
        <v>18908.16666666667</v>
      </c>
      <c r="L704" s="31" t="n">
        <v>18733.91666666667</v>
      </c>
      <c r="M704" s="36" t="n">
        <v>0.9288511977612993</v>
      </c>
      <c r="N704" s="36" t="n">
        <v>0.9323176661443715</v>
      </c>
      <c r="O704" s="36" t="n">
        <v>0.3428417653390743</v>
      </c>
      <c r="P704" s="36" t="n">
        <v>0.256294058408862</v>
      </c>
      <c r="Q704" s="36" t="n">
        <v>0.1995192307692308</v>
      </c>
      <c r="R704" s="36" t="n">
        <v>0.1865978645994339</v>
      </c>
      <c r="S704" s="36" t="n">
        <v>0.319535650380347</v>
      </c>
      <c r="T704" s="36" t="n">
        <v>0.3318090628850525</v>
      </c>
      <c r="U704" s="31" t="n">
        <v>25650</v>
      </c>
      <c r="V704" s="31" t="n">
        <v>14330</v>
      </c>
      <c r="W704" s="36" t="n">
        <v>-0.02729044834307992</v>
      </c>
      <c r="X704" s="36" t="n">
        <v>0.741102581995813</v>
      </c>
      <c r="Y704" s="31" t="n">
        <v>20476584</v>
      </c>
      <c r="Z704" s="31" t="n">
        <v>510890770800</v>
      </c>
      <c r="AA704" s="31" t="n">
        <v>15485292350</v>
      </c>
      <c r="AB704" s="31" t="n">
        <v>9521504807</v>
      </c>
      <c r="AC704" s="36" t="n">
        <v>0.03031037794194578</v>
      </c>
      <c r="AD704" s="29" t="inlineStr">
        <is>
          <t>yfinance_download</t>
        </is>
      </c>
      <c r="AE704" s="29" t="inlineStr">
        <is>
          <t>317330.KQ</t>
        </is>
      </c>
    </row>
    <row r="705" ht="24" customHeight="1">
      <c r="A705" s="24" t="inlineStr">
        <is>
          <t>2026-04-29</t>
        </is>
      </c>
      <c r="B705" s="30" t="n">
        <v>25550</v>
      </c>
      <c r="C705" s="30" t="n">
        <v>25550</v>
      </c>
      <c r="D705" s="30" t="n">
        <v>24250</v>
      </c>
      <c r="E705" s="30" t="n">
        <v>25200</v>
      </c>
      <c r="F705" s="30" t="n">
        <v>25200</v>
      </c>
      <c r="G705" s="30" t="n">
        <v>424897</v>
      </c>
      <c r="H705" s="35" t="n">
        <v>0.01002004008016022</v>
      </c>
      <c r="I705" s="35" t="n">
        <v>-0.5895765472312704</v>
      </c>
      <c r="J705" s="30" t="n">
        <v>21348.5</v>
      </c>
      <c r="K705" s="30" t="n">
        <v>18995.33333333333</v>
      </c>
      <c r="L705" s="30" t="n">
        <v>18764.75</v>
      </c>
      <c r="M705" s="35" t="n">
        <v>0.9288199431294428</v>
      </c>
      <c r="N705" s="35" t="n">
        <v>0.9323637661933487</v>
      </c>
      <c r="O705" s="35" t="n">
        <v>0.3432835820895523</v>
      </c>
      <c r="P705" s="35" t="n">
        <v>0.2618928392588884</v>
      </c>
      <c r="Q705" s="35" t="n">
        <v>0.172093023255814</v>
      </c>
      <c r="R705" s="35" t="n">
        <v>0.1804108016956696</v>
      </c>
      <c r="S705" s="35" t="n">
        <v>0.3266416312778577</v>
      </c>
      <c r="T705" s="35" t="n">
        <v>0.3429435510731558</v>
      </c>
      <c r="U705" s="30" t="n">
        <v>25650</v>
      </c>
      <c r="V705" s="30" t="n">
        <v>14330</v>
      </c>
      <c r="W705" s="35" t="n">
        <v>-0.01754385964912286</v>
      </c>
      <c r="X705" s="35" t="n">
        <v>0.7585484996510816</v>
      </c>
      <c r="Y705" s="30" t="n">
        <v>20476584</v>
      </c>
      <c r="Z705" s="30" t="n">
        <v>516009916800</v>
      </c>
      <c r="AA705" s="30" t="n">
        <v>10707404400</v>
      </c>
      <c r="AB705" s="30" t="n">
        <v>9750920063</v>
      </c>
      <c r="AC705" s="35" t="n">
        <v>0.02075038492748595</v>
      </c>
      <c r="AD705" s="24" t="inlineStr">
        <is>
          <t>yfinance_download</t>
        </is>
      </c>
      <c r="AE705" s="24" t="inlineStr">
        <is>
          <t>317330.KQ</t>
        </is>
      </c>
    </row>
    <row r="706" ht="24" customHeight="1">
      <c r="A706" s="29" t="inlineStr">
        <is>
          <t>2026-04-30</t>
        </is>
      </c>
      <c r="B706" s="31" t="n">
        <v>25250</v>
      </c>
      <c r="C706" s="31" t="n">
        <v>25250</v>
      </c>
      <c r="D706" s="31" t="n">
        <v>23750</v>
      </c>
      <c r="E706" s="31" t="n">
        <v>24000</v>
      </c>
      <c r="F706" s="31" t="n">
        <v>24000</v>
      </c>
      <c r="G706" s="31" t="n">
        <v>281296</v>
      </c>
      <c r="H706" s="36" t="n">
        <v>-0.04761904761904767</v>
      </c>
      <c r="I706" s="36" t="n">
        <v>-0.6091205211726385</v>
      </c>
      <c r="J706" s="31" t="n">
        <v>21654.5</v>
      </c>
      <c r="K706" s="31" t="n">
        <v>19067.5</v>
      </c>
      <c r="L706" s="31" t="n">
        <v>18788.08333333333</v>
      </c>
      <c r="M706" s="36" t="n">
        <v>0.929466175148886</v>
      </c>
      <c r="N706" s="36" t="n">
        <v>0.9378161770667042</v>
      </c>
      <c r="O706" s="36" t="n">
        <v>0.3422818791946309</v>
      </c>
      <c r="P706" s="36" t="n">
        <v>0.2201321809862735</v>
      </c>
      <c r="Q706" s="36" t="n">
        <v>0.1320754716981132</v>
      </c>
      <c r="R706" s="36" t="n">
        <v>0.108314669006442</v>
      </c>
      <c r="S706" s="36" t="n">
        <v>0.2586862462304969</v>
      </c>
      <c r="T706" s="36" t="n">
        <v>0.2774054476019818</v>
      </c>
      <c r="U706" s="31" t="n">
        <v>25650</v>
      </c>
      <c r="V706" s="31" t="n">
        <v>14330</v>
      </c>
      <c r="W706" s="36" t="n">
        <v>-0.06432748538011701</v>
      </c>
      <c r="X706" s="36" t="n">
        <v>0.674808094905792</v>
      </c>
      <c r="Y706" s="31" t="n">
        <v>20476584</v>
      </c>
      <c r="Z706" s="31" t="n">
        <v>491438016000</v>
      </c>
      <c r="AA706" s="31" t="n">
        <v>6751104000</v>
      </c>
      <c r="AB706" s="31" t="n">
        <v>9699192797</v>
      </c>
      <c r="AC706" s="36" t="n">
        <v>0.01373744761333238</v>
      </c>
      <c r="AD706" s="29" t="inlineStr">
        <is>
          <t>yfinance_download</t>
        </is>
      </c>
      <c r="AE706" s="29" t="inlineStr">
        <is>
          <t>317330.KQ</t>
        </is>
      </c>
    </row>
    <row r="707" ht="24" customHeight="1">
      <c r="A707" s="24" t="inlineStr">
        <is>
          <t>2026-05-04</t>
        </is>
      </c>
      <c r="B707" s="30" t="n">
        <v>24600</v>
      </c>
      <c r="C707" s="30" t="n">
        <v>26100</v>
      </c>
      <c r="D707" s="30" t="n">
        <v>24500</v>
      </c>
      <c r="E707" s="30" t="n">
        <v>25100</v>
      </c>
      <c r="F707" s="30" t="n">
        <v>25100</v>
      </c>
      <c r="G707" s="30" t="n">
        <v>294878</v>
      </c>
      <c r="H707" s="35" t="n">
        <v>0.04583333333333339</v>
      </c>
      <c r="I707" s="35" t="n">
        <v>-0.5912052117263844</v>
      </c>
      <c r="J707" s="30" t="n">
        <v>22013</v>
      </c>
      <c r="K707" s="30" t="n">
        <v>19177.16666666667</v>
      </c>
      <c r="L707" s="30" t="n">
        <v>18825.58333333333</v>
      </c>
      <c r="M707" s="35" t="n">
        <v>0.9336472404068854</v>
      </c>
      <c r="N707" s="35" t="n">
        <v>0.9319969035371335</v>
      </c>
      <c r="O707" s="35" t="n">
        <v>0.3998884551031789</v>
      </c>
      <c r="P707" s="35" t="n">
        <v>0.355291576673866</v>
      </c>
      <c r="Q707" s="35" t="n">
        <v>0.2184466019417475</v>
      </c>
      <c r="R707" s="35" t="n">
        <v>0.140235315495389</v>
      </c>
      <c r="S707" s="35" t="n">
        <v>0.3088481962055569</v>
      </c>
      <c r="T707" s="35" t="n">
        <v>0.333292018396951</v>
      </c>
      <c r="U707" s="30" t="n">
        <v>25650</v>
      </c>
      <c r="V707" s="30" t="n">
        <v>14330</v>
      </c>
      <c r="W707" s="35" t="n">
        <v>-0.02144249512670571</v>
      </c>
      <c r="X707" s="35" t="n">
        <v>0.7515701325889741</v>
      </c>
      <c r="Y707" s="30" t="n">
        <v>20476584</v>
      </c>
      <c r="Z707" s="30" t="n">
        <v>513962258400</v>
      </c>
      <c r="AA707" s="30" t="n">
        <v>7401437800</v>
      </c>
      <c r="AB707" s="30" t="n">
        <v>9900492286.5</v>
      </c>
      <c r="AC707" s="35" t="n">
        <v>0.01440074184248701</v>
      </c>
      <c r="AD707" s="24" t="inlineStr">
        <is>
          <t>yfinance_download</t>
        </is>
      </c>
      <c r="AE707" s="24" t="inlineStr">
        <is>
          <t>317330.KQ</t>
        </is>
      </c>
    </row>
    <row r="708" ht="24" customHeight="1">
      <c r="A708" s="29" t="inlineStr">
        <is>
          <t>2026-05-06</t>
        </is>
      </c>
      <c r="B708" s="31" t="n">
        <v>26400</v>
      </c>
      <c r="C708" s="31" t="n">
        <v>27600</v>
      </c>
      <c r="D708" s="31" t="n">
        <v>24200</v>
      </c>
      <c r="E708" s="31" t="n">
        <v>26600</v>
      </c>
      <c r="F708" s="31" t="n">
        <v>26600</v>
      </c>
      <c r="G708" s="31" t="n">
        <v>609613</v>
      </c>
      <c r="H708" s="36" t="n">
        <v>0.05976095617529875</v>
      </c>
      <c r="I708" s="36" t="n">
        <v>-0.5667752442996743</v>
      </c>
      <c r="J708" s="31" t="n">
        <v>22438.5</v>
      </c>
      <c r="K708" s="31" t="n">
        <v>19287.5</v>
      </c>
      <c r="L708" s="31" t="n">
        <v>18875.58333333333</v>
      </c>
      <c r="M708" s="36" t="n">
        <v>0.9440637131926892</v>
      </c>
      <c r="N708" s="36" t="n">
        <v>0.9265011389486209</v>
      </c>
      <c r="O708" s="36" t="n">
        <v>0.4704256495301271</v>
      </c>
      <c r="P708" s="36" t="n">
        <v>0.3313313313313313</v>
      </c>
      <c r="Q708" s="36" t="n">
        <v>0.2912621359223302</v>
      </c>
      <c r="R708" s="36" t="n">
        <v>0.1854624863515832</v>
      </c>
      <c r="S708" s="36" t="n">
        <v>0.3791315618924174</v>
      </c>
      <c r="T708" s="36" t="n">
        <v>0.4092279708794873</v>
      </c>
      <c r="U708" s="31" t="n">
        <v>26600</v>
      </c>
      <c r="V708" s="31" t="n">
        <v>14330</v>
      </c>
      <c r="W708" s="36" t="n">
        <v>0</v>
      </c>
      <c r="X708" s="36" t="n">
        <v>0.8562456385205861</v>
      </c>
      <c r="Y708" s="31" t="n">
        <v>20476584</v>
      </c>
      <c r="Z708" s="31" t="n">
        <v>544677134400</v>
      </c>
      <c r="AA708" s="31" t="n">
        <v>16215705800</v>
      </c>
      <c r="AB708" s="31" t="n">
        <v>10549007563</v>
      </c>
      <c r="AC708" s="36" t="n">
        <v>0.02977122551300549</v>
      </c>
      <c r="AD708" s="29" t="inlineStr">
        <is>
          <t>yfinance_download</t>
        </is>
      </c>
      <c r="AE708" s="29" t="inlineStr">
        <is>
          <t>317330.KQ</t>
        </is>
      </c>
    </row>
    <row r="709" ht="24" customHeight="1">
      <c r="A709" s="24" t="inlineStr">
        <is>
          <t>2026-05-07</t>
        </is>
      </c>
      <c r="B709" s="30" t="n">
        <v>32950</v>
      </c>
      <c r="C709" s="30" t="n">
        <v>33000</v>
      </c>
      <c r="D709" s="30" t="n">
        <v>30050</v>
      </c>
      <c r="E709" s="30" t="n">
        <v>31250</v>
      </c>
      <c r="F709" s="30" t="n">
        <v>31250</v>
      </c>
      <c r="G709" s="30" t="n">
        <v>996405</v>
      </c>
      <c r="H709" s="35" t="n">
        <v>0.1748120300751879</v>
      </c>
      <c r="I709" s="35" t="n">
        <v>-0.491042345276873</v>
      </c>
      <c r="J709" s="30" t="n">
        <v>23166.5</v>
      </c>
      <c r="K709" s="30" t="n">
        <v>19475</v>
      </c>
      <c r="L709" s="30" t="n">
        <v>18972.41666666667</v>
      </c>
      <c r="M709" s="35" t="n">
        <v>1.016724810762249</v>
      </c>
      <c r="N709" s="35" t="n">
        <v>0.9885340398920838</v>
      </c>
      <c r="O709" s="35" t="n">
        <v>0.8723786698621929</v>
      </c>
      <c r="P709" s="35" t="n">
        <v>0.5625</v>
      </c>
      <c r="Q709" s="35" t="n">
        <v>0.5919510952623535</v>
      </c>
      <c r="R709" s="35" t="n">
        <v>0.3489305678458119</v>
      </c>
      <c r="S709" s="35" t="n">
        <v>0.6046213093709885</v>
      </c>
      <c r="T709" s="35" t="n">
        <v>0.6471280675015043</v>
      </c>
      <c r="U709" s="30" t="n">
        <v>31250</v>
      </c>
      <c r="V709" s="30" t="n">
        <v>14330</v>
      </c>
      <c r="W709" s="35" t="n">
        <v>0</v>
      </c>
      <c r="X709" s="35" t="n">
        <v>1.180739706908583</v>
      </c>
      <c r="Y709" s="30" t="n">
        <v>20476584</v>
      </c>
      <c r="Z709" s="30" t="n">
        <v>639893250000</v>
      </c>
      <c r="AA709" s="30" t="n">
        <v>31137656250</v>
      </c>
      <c r="AB709" s="30" t="n">
        <v>11888695895</v>
      </c>
      <c r="AC709" s="35" t="n">
        <v>0.04866070434404489</v>
      </c>
      <c r="AD709" s="24" t="inlineStr">
        <is>
          <t>yfinance_download</t>
        </is>
      </c>
      <c r="AE709" s="24" t="inlineStr">
        <is>
          <t>317330.KQ</t>
        </is>
      </c>
    </row>
    <row r="710" ht="24" customHeight="1">
      <c r="A710" s="29" t="inlineStr">
        <is>
          <t>2026-05-08</t>
        </is>
      </c>
      <c r="B710" s="31" t="n">
        <v>30300</v>
      </c>
      <c r="C710" s="31" t="n">
        <v>30850</v>
      </c>
      <c r="D710" s="31" t="n">
        <v>28900</v>
      </c>
      <c r="E710" s="31" t="n">
        <v>30000</v>
      </c>
      <c r="F710" s="31" t="n">
        <v>30000</v>
      </c>
      <c r="G710" s="31" t="n">
        <v>405052</v>
      </c>
      <c r="H710" s="36" t="n">
        <v>-0.04000000000000004</v>
      </c>
      <c r="I710" s="36" t="n">
        <v>-0.5114006514657981</v>
      </c>
      <c r="J710" s="31" t="n">
        <v>23815</v>
      </c>
      <c r="K710" s="31" t="n">
        <v>19660.16666666667</v>
      </c>
      <c r="L710" s="31" t="n">
        <v>19057.25</v>
      </c>
      <c r="M710" s="36" t="n">
        <v>1.049298998376324</v>
      </c>
      <c r="N710" s="36" t="n">
        <v>0.9846941946873841</v>
      </c>
      <c r="O710" s="36" t="n">
        <v>0.7615971814445097</v>
      </c>
      <c r="P710" s="36" t="n">
        <v>0.5881418740074114</v>
      </c>
      <c r="Q710" s="36" t="n">
        <v>0.513622603430878</v>
      </c>
      <c r="R710" s="36" t="n">
        <v>0.259710266638673</v>
      </c>
      <c r="S710" s="36" t="n">
        <v>0.5259280609693033</v>
      </c>
      <c r="T710" s="36" t="n">
        <v>0.5742040430807174</v>
      </c>
      <c r="U710" s="31" t="n">
        <v>31250</v>
      </c>
      <c r="V710" s="31" t="n">
        <v>14330</v>
      </c>
      <c r="W710" s="36" t="n">
        <v>-0.04000000000000004</v>
      </c>
      <c r="X710" s="36" t="n">
        <v>1.09351011863224</v>
      </c>
      <c r="Y710" s="31" t="n">
        <v>20476584</v>
      </c>
      <c r="Z710" s="31" t="n">
        <v>614297520000</v>
      </c>
      <c r="AA710" s="31" t="n">
        <v>12151560000</v>
      </c>
      <c r="AB710" s="31" t="n">
        <v>12273416760.5</v>
      </c>
      <c r="AC710" s="36" t="n">
        <v>0.01978122913470333</v>
      </c>
      <c r="AD710" s="29" t="inlineStr">
        <is>
          <t>yfinance_download</t>
        </is>
      </c>
      <c r="AE710" s="29" t="inlineStr">
        <is>
          <t>317330.KQ</t>
        </is>
      </c>
    </row>
    <row r="711" ht="24" customHeight="1">
      <c r="A711" s="24" t="inlineStr">
        <is>
          <t>2026-05-11</t>
        </is>
      </c>
      <c r="B711" s="30" t="n">
        <v>31600</v>
      </c>
      <c r="C711" s="30" t="n">
        <v>32150</v>
      </c>
      <c r="D711" s="30" t="n">
        <v>29600</v>
      </c>
      <c r="E711" s="30" t="n">
        <v>30400</v>
      </c>
      <c r="F711" s="30" t="n">
        <v>30400</v>
      </c>
      <c r="G711" s="30" t="n">
        <v>419486</v>
      </c>
      <c r="H711" s="35" t="n">
        <v>0.01333333333333342</v>
      </c>
      <c r="I711" s="35" t="n">
        <v>-0.504885993485342</v>
      </c>
      <c r="J711" s="30" t="n">
        <v>24498.5</v>
      </c>
      <c r="K711" s="30" t="n">
        <v>19863.16666666667</v>
      </c>
      <c r="L711" s="30" t="n">
        <v>19144.41666666667</v>
      </c>
      <c r="M711" s="35" t="n">
        <v>1.036065061621823</v>
      </c>
      <c r="N711" s="35" t="n">
        <v>0.9802222608309256</v>
      </c>
      <c r="O711" s="35" t="n">
        <v>0.817095038852361</v>
      </c>
      <c r="P711" s="35" t="n">
        <v>0.6684961580680571</v>
      </c>
      <c r="Q711" s="35" t="n">
        <v>0.5245737211634904</v>
      </c>
      <c r="R711" s="35" t="n">
        <v>0.2408922995285425</v>
      </c>
      <c r="S711" s="35" t="n">
        <v>0.5304709722350414</v>
      </c>
      <c r="T711" s="35" t="n">
        <v>0.5879303365210917</v>
      </c>
      <c r="U711" s="30" t="n">
        <v>31250</v>
      </c>
      <c r="V711" s="30" t="n">
        <v>14330</v>
      </c>
      <c r="W711" s="35" t="n">
        <v>-0.0272</v>
      </c>
      <c r="X711" s="35" t="n">
        <v>1.12142358688067</v>
      </c>
      <c r="Y711" s="30" t="n">
        <v>20476584</v>
      </c>
      <c r="Z711" s="30" t="n">
        <v>622488153600</v>
      </c>
      <c r="AA711" s="30" t="n">
        <v>12752374400</v>
      </c>
      <c r="AB711" s="30" t="n">
        <v>12776352288.5</v>
      </c>
      <c r="AC711" s="35" t="n">
        <v>0.02048613186652617</v>
      </c>
      <c r="AD711" s="24" t="inlineStr">
        <is>
          <t>yfinance_download</t>
        </is>
      </c>
      <c r="AE711" s="24" t="inlineStr">
        <is>
          <t>317330.KQ</t>
        </is>
      </c>
    </row>
    <row r="712" ht="24" customHeight="1">
      <c r="A712" s="29" t="inlineStr">
        <is>
          <t>2026-05-12</t>
        </is>
      </c>
      <c r="B712" s="31" t="n">
        <v>30600</v>
      </c>
      <c r="C712" s="31" t="n">
        <v>30600</v>
      </c>
      <c r="D712" s="31" t="n">
        <v>26000</v>
      </c>
      <c r="E712" s="31" t="n">
        <v>27900</v>
      </c>
      <c r="F712" s="31" t="n">
        <v>27900</v>
      </c>
      <c r="G712" s="31" t="n">
        <v>680082</v>
      </c>
      <c r="H712" s="36" t="n">
        <v>-0.08223684210526316</v>
      </c>
      <c r="I712" s="36" t="n">
        <v>-0.5456026058631922</v>
      </c>
      <c r="J712" s="31" t="n">
        <v>25018.5</v>
      </c>
      <c r="K712" s="31" t="n">
        <v>20002.16666666667</v>
      </c>
      <c r="L712" s="31" t="n">
        <v>19209.41666666667</v>
      </c>
      <c r="M712" s="36" t="n">
        <v>1.110784213813579</v>
      </c>
      <c r="N712" s="36" t="n">
        <v>0.9893196433089101</v>
      </c>
      <c r="O712" s="36" t="n">
        <v>0.5942857142857143</v>
      </c>
      <c r="P712" s="36" t="n">
        <v>0.4263803680981595</v>
      </c>
      <c r="Q712" s="36" t="n">
        <v>0.3880597014925373</v>
      </c>
      <c r="R712" s="36" t="n">
        <v>0.1151747706697044</v>
      </c>
      <c r="S712" s="36" t="n">
        <v>0.3948488913701016</v>
      </c>
      <c r="T712" s="36" t="n">
        <v>0.4524126621925877</v>
      </c>
      <c r="U712" s="31" t="n">
        <v>31250</v>
      </c>
      <c r="V712" s="31" t="n">
        <v>14330</v>
      </c>
      <c r="W712" s="36" t="n">
        <v>-0.1072</v>
      </c>
      <c r="X712" s="36" t="n">
        <v>0.9469644103279833</v>
      </c>
      <c r="Y712" s="31" t="n">
        <v>20476584</v>
      </c>
      <c r="Z712" s="31" t="n">
        <v>571296693600</v>
      </c>
      <c r="AA712" s="31" t="n">
        <v>18974287800</v>
      </c>
      <c r="AB712" s="31" t="n">
        <v>13498037428.5</v>
      </c>
      <c r="AC712" s="36" t="n">
        <v>0.0332126686755955</v>
      </c>
      <c r="AD712" s="29" t="inlineStr">
        <is>
          <t>yfinance_download</t>
        </is>
      </c>
      <c r="AE712" s="29" t="inlineStr">
        <is>
          <t>317330.KQ</t>
        </is>
      </c>
    </row>
    <row r="713" ht="24" customHeight="1">
      <c r="A713" s="24" t="inlineStr">
        <is>
          <t>2026-05-13</t>
        </is>
      </c>
      <c r="B713" s="30" t="n">
        <v>26200</v>
      </c>
      <c r="C713" s="30" t="n">
        <v>26750</v>
      </c>
      <c r="D713" s="30" t="n">
        <v>25250</v>
      </c>
      <c r="E713" s="30" t="n">
        <v>26100</v>
      </c>
      <c r="F713" s="30" t="n">
        <v>26100</v>
      </c>
      <c r="G713" s="30" t="n">
        <v>389294</v>
      </c>
      <c r="H713" s="35" t="n">
        <v>-0.06451612903225812</v>
      </c>
      <c r="I713" s="35" t="n">
        <v>-0.5749185667752443</v>
      </c>
      <c r="J713" s="30" t="n">
        <v>25362</v>
      </c>
      <c r="K713" s="30" t="n">
        <v>20117.83333333333</v>
      </c>
      <c r="L713" s="30" t="n">
        <v>19257.75</v>
      </c>
      <c r="M713" s="35" t="n">
        <v>1.119683419016778</v>
      </c>
      <c r="N713" s="35" t="n">
        <v>0.9987746918832086</v>
      </c>
      <c r="O713" s="35" t="n">
        <v>0.3572542901716069</v>
      </c>
      <c r="P713" s="35" t="n">
        <v>0.3622129436325678</v>
      </c>
      <c r="Q713" s="35" t="n">
        <v>0.2857142857142858</v>
      </c>
      <c r="R713" s="35" t="n">
        <v>0.02909865152590485</v>
      </c>
      <c r="S713" s="35" t="n">
        <v>0.2973564084932938</v>
      </c>
      <c r="T713" s="35" t="n">
        <v>0.355298516181797</v>
      </c>
      <c r="U713" s="30" t="n">
        <v>31250</v>
      </c>
      <c r="V713" s="30" t="n">
        <v>14330</v>
      </c>
      <c r="W713" s="35" t="n">
        <v>-0.1647999999999999</v>
      </c>
      <c r="X713" s="35" t="n">
        <v>0.8213538032100489</v>
      </c>
      <c r="Y713" s="30" t="n">
        <v>20476584</v>
      </c>
      <c r="Z713" s="30" t="n">
        <v>534438842400</v>
      </c>
      <c r="AA713" s="30" t="n">
        <v>10160573400</v>
      </c>
      <c r="AB713" s="30" t="n">
        <v>13452231522</v>
      </c>
      <c r="AC713" s="35" t="n">
        <v>0.01901166718042423</v>
      </c>
      <c r="AD713" s="24" t="inlineStr">
        <is>
          <t>yfinance_download</t>
        </is>
      </c>
      <c r="AE713" s="24" t="inlineStr">
        <is>
          <t>317330.KQ</t>
        </is>
      </c>
    </row>
    <row r="714" ht="24" customHeight="1">
      <c r="A714" s="29" t="inlineStr">
        <is>
          <t>2026-05-14</t>
        </is>
      </c>
      <c r="B714" s="31" t="n">
        <v>28000</v>
      </c>
      <c r="C714" s="31" t="n">
        <v>28000</v>
      </c>
      <c r="D714" s="31" t="n">
        <v>25550</v>
      </c>
      <c r="E714" s="31" t="n">
        <v>26350</v>
      </c>
      <c r="F714" s="31" t="n">
        <v>26350</v>
      </c>
      <c r="G714" s="31" t="n">
        <v>222405</v>
      </c>
      <c r="H714" s="36" t="n">
        <v>0.009578544061302763</v>
      </c>
      <c r="I714" s="36" t="n">
        <v>-0.5708469055374592</v>
      </c>
      <c r="J714" s="31" t="n">
        <v>25720</v>
      </c>
      <c r="K714" s="31" t="n">
        <v>20236.83333333333</v>
      </c>
      <c r="L714" s="31" t="n">
        <v>19316.83333333333</v>
      </c>
      <c r="M714" s="36" t="n">
        <v>1.117719456017211</v>
      </c>
      <c r="N714" s="36" t="n">
        <v>0.9987433972177649</v>
      </c>
      <c r="O714" s="36" t="n">
        <v>0.3731109953100573</v>
      </c>
      <c r="P714" s="36" t="n">
        <v>0.3716814159292035</v>
      </c>
      <c r="Q714" s="36" t="n">
        <v>0.3681204569055037</v>
      </c>
      <c r="R714" s="36" t="n">
        <v>0.02449455676516332</v>
      </c>
      <c r="S714" s="36" t="n">
        <v>0.3020811885917594</v>
      </c>
      <c r="T714" s="36" t="n">
        <v>0.364095219195693</v>
      </c>
      <c r="U714" s="31" t="n">
        <v>31250</v>
      </c>
      <c r="V714" s="31" t="n">
        <v>14330</v>
      </c>
      <c r="W714" s="36" t="n">
        <v>-0.1568000000000001</v>
      </c>
      <c r="X714" s="36" t="n">
        <v>0.8387997208653175</v>
      </c>
      <c r="Y714" s="31" t="n">
        <v>20476584</v>
      </c>
      <c r="Z714" s="31" t="n">
        <v>539557988400</v>
      </c>
      <c r="AA714" s="31" t="n">
        <v>5860371750</v>
      </c>
      <c r="AB714" s="31" t="n">
        <v>13520687770</v>
      </c>
      <c r="AC714" s="36" t="n">
        <v>0.01086143079333936</v>
      </c>
      <c r="AD714" s="29" t="inlineStr">
        <is>
          <t>yfinance_download</t>
        </is>
      </c>
      <c r="AE714" s="29" t="inlineStr">
        <is>
          <t>317330.KQ</t>
        </is>
      </c>
    </row>
    <row r="715" ht="24" customHeight="1">
      <c r="A715" s="24" t="inlineStr">
        <is>
          <t>2026-05-15</t>
        </is>
      </c>
      <c r="B715" s="30" t="n">
        <v>26500</v>
      </c>
      <c r="C715" s="30" t="n">
        <v>26750</v>
      </c>
      <c r="D715" s="30" t="n">
        <v>24000</v>
      </c>
      <c r="E715" s="30" t="n">
        <v>24300</v>
      </c>
      <c r="F715" s="30" t="n">
        <v>24300</v>
      </c>
      <c r="G715" s="30" t="n">
        <v>335001</v>
      </c>
      <c r="H715" s="35" t="n">
        <v>-0.07779886148007586</v>
      </c>
      <c r="I715" s="35" t="n">
        <v>-0.6042345276872965</v>
      </c>
      <c r="J715" s="30" t="n">
        <v>25845</v>
      </c>
      <c r="K715" s="30" t="n">
        <v>20318.16666666667</v>
      </c>
      <c r="L715" s="30" t="n">
        <v>19364.16666666667</v>
      </c>
      <c r="M715" s="35" t="n">
        <v>1.075832244594584</v>
      </c>
      <c r="N715" s="35" t="n">
        <v>1.013769502013832</v>
      </c>
      <c r="O715" s="35" t="n">
        <v>0.1146788990825689</v>
      </c>
      <c r="P715" s="35" t="n">
        <v>0.251287332646756</v>
      </c>
      <c r="Q715" s="35" t="n">
        <v>0.3050483351235231</v>
      </c>
      <c r="R715" s="35" t="n">
        <v>-0.05977945443993038</v>
      </c>
      <c r="S715" s="35" t="n">
        <v>0.1959740462147994</v>
      </c>
      <c r="T715" s="35" t="n">
        <v>0.2548952102250721</v>
      </c>
      <c r="U715" s="30" t="n">
        <v>31250</v>
      </c>
      <c r="V715" s="30" t="n">
        <v>14330</v>
      </c>
      <c r="W715" s="35" t="n">
        <v>-0.2224</v>
      </c>
      <c r="X715" s="35" t="n">
        <v>0.6957431960921145</v>
      </c>
      <c r="Y715" s="30" t="n">
        <v>20476584</v>
      </c>
      <c r="Z715" s="30" t="n">
        <v>497580991200</v>
      </c>
      <c r="AA715" s="30" t="n">
        <v>8140524300</v>
      </c>
      <c r="AB715" s="30" t="n">
        <v>12828095825</v>
      </c>
      <c r="AC715" s="35" t="n">
        <v>0.01636019953328153</v>
      </c>
      <c r="AD715" s="24" t="inlineStr">
        <is>
          <t>yfinance_download</t>
        </is>
      </c>
      <c r="AE715" s="24" t="inlineStr">
        <is>
          <t>317330.KQ</t>
        </is>
      </c>
    </row>
    <row r="716" ht="24" customHeight="1">
      <c r="A716" s="29" t="inlineStr">
        <is>
          <t>2026-05-18</t>
        </is>
      </c>
      <c r="B716" s="31" t="n">
        <v>23400</v>
      </c>
      <c r="C716" s="31" t="n">
        <v>24000</v>
      </c>
      <c r="D716" s="31" t="n">
        <v>22650</v>
      </c>
      <c r="E716" s="31" t="n">
        <v>23500</v>
      </c>
      <c r="F716" s="31" t="n">
        <v>23500</v>
      </c>
      <c r="G716" s="31" t="n">
        <v>266674</v>
      </c>
      <c r="H716" s="36" t="n">
        <v>-0.03292181069958844</v>
      </c>
      <c r="I716" s="36" t="n">
        <v>-0.6172638436482085</v>
      </c>
      <c r="J716" s="31" t="n">
        <v>25815</v>
      </c>
      <c r="K716" s="31" t="n">
        <v>20395</v>
      </c>
      <c r="L716" s="31" t="n">
        <v>19398.66666666667</v>
      </c>
      <c r="M716" s="36" t="n">
        <v>1.019413551898744</v>
      </c>
      <c r="N716" s="36" t="n">
        <v>1.014617981546114</v>
      </c>
      <c r="O716" s="36" t="n">
        <v>-0.024896265560166</v>
      </c>
      <c r="P716" s="36" t="n">
        <v>0.2440444679724723</v>
      </c>
      <c r="Q716" s="36" t="n">
        <v>0.2138429752066116</v>
      </c>
      <c r="R716" s="36" t="n">
        <v>-0.08967654464458652</v>
      </c>
      <c r="S716" s="36" t="n">
        <v>0.152243196861976</v>
      </c>
      <c r="T716" s="36" t="n">
        <v>0.2114234655302769</v>
      </c>
      <c r="U716" s="31" t="n">
        <v>31250</v>
      </c>
      <c r="V716" s="31" t="n">
        <v>14330</v>
      </c>
      <c r="W716" s="36" t="n">
        <v>-0.248</v>
      </c>
      <c r="X716" s="36" t="n">
        <v>0.6399162595952548</v>
      </c>
      <c r="Y716" s="31" t="n">
        <v>20476584</v>
      </c>
      <c r="Z716" s="31" t="n">
        <v>481199724000</v>
      </c>
      <c r="AA716" s="31" t="n">
        <v>6266839000</v>
      </c>
      <c r="AB716" s="31" t="n">
        <v>12329693140</v>
      </c>
      <c r="AC716" s="36" t="n">
        <v>0.01302336366261091</v>
      </c>
      <c r="AD716" s="29" t="inlineStr">
        <is>
          <t>yfinance_download</t>
        </is>
      </c>
      <c r="AE716" s="29" t="inlineStr">
        <is>
          <t>317330.KQ</t>
        </is>
      </c>
    </row>
    <row r="717" ht="24" customHeight="1">
      <c r="A717" s="24" t="inlineStr">
        <is>
          <t>2026-05-19</t>
        </is>
      </c>
      <c r="B717" s="30" t="n">
        <v>23200</v>
      </c>
      <c r="C717" s="30" t="n">
        <v>23200</v>
      </c>
      <c r="D717" s="30" t="n">
        <v>20550</v>
      </c>
      <c r="E717" s="30" t="n">
        <v>21400</v>
      </c>
      <c r="F717" s="30" t="n">
        <v>21400</v>
      </c>
      <c r="G717" s="30" t="n">
        <v>421014</v>
      </c>
      <c r="H717" s="35" t="n">
        <v>-0.08936170212765959</v>
      </c>
      <c r="I717" s="35" t="n">
        <v>-0.6514657980456027</v>
      </c>
      <c r="J717" s="30" t="n">
        <v>25602.5</v>
      </c>
      <c r="K717" s="30" t="n">
        <v>20423.5</v>
      </c>
      <c r="L717" s="30" t="n">
        <v>19413</v>
      </c>
      <c r="M717" s="35" t="n">
        <v>1.03787882658681</v>
      </c>
      <c r="N717" s="35" t="n">
        <v>1.030046436666939</v>
      </c>
      <c r="O717" s="35" t="n">
        <v>-0.165692007797271</v>
      </c>
      <c r="P717" s="35" t="n">
        <v>0.08684611477907578</v>
      </c>
      <c r="Q717" s="35" t="n">
        <v>0.08739837398373984</v>
      </c>
      <c r="R717" s="35" t="n">
        <v>-0.1641441265501415</v>
      </c>
      <c r="S717" s="35" t="n">
        <v>0.04781256885450591</v>
      </c>
      <c r="T717" s="35" t="n">
        <v>0.1023540926183486</v>
      </c>
      <c r="U717" s="30" t="n">
        <v>31250</v>
      </c>
      <c r="V717" s="30" t="n">
        <v>14330</v>
      </c>
      <c r="W717" s="35" t="n">
        <v>-0.3152</v>
      </c>
      <c r="X717" s="35" t="n">
        <v>0.4933705512909978</v>
      </c>
      <c r="Y717" s="30" t="n">
        <v>20476584</v>
      </c>
      <c r="Z717" s="30" t="n">
        <v>438198897600</v>
      </c>
      <c r="AA717" s="30" t="n">
        <v>9009699600</v>
      </c>
      <c r="AB717" s="30" t="n">
        <v>11567174230</v>
      </c>
      <c r="AC717" s="35" t="n">
        <v>0.02056075368821284</v>
      </c>
      <c r="AD717" s="24" t="inlineStr">
        <is>
          <t>yfinance_download</t>
        </is>
      </c>
      <c r="AE717" s="24" t="inlineStr">
        <is>
          <t>317330.KQ</t>
        </is>
      </c>
    </row>
    <row r="718" ht="24" customHeight="1">
      <c r="A718" s="29" t="inlineStr">
        <is>
          <t>2026-05-20</t>
        </is>
      </c>
      <c r="B718" s="31" t="n">
        <v>21350</v>
      </c>
      <c r="C718" s="31" t="n">
        <v>21400</v>
      </c>
      <c r="D718" s="31" t="n">
        <v>19960</v>
      </c>
      <c r="E718" s="31" t="n">
        <v>20200</v>
      </c>
      <c r="F718" s="31" t="n">
        <v>20200</v>
      </c>
      <c r="G718" s="31" t="n">
        <v>70979</v>
      </c>
      <c r="H718" s="36" t="n">
        <v>-0.05607476635514019</v>
      </c>
      <c r="I718" s="36" t="n">
        <v>-0.6710097719869708</v>
      </c>
      <c r="J718" s="31" t="n">
        <v>25362.5</v>
      </c>
      <c r="K718" s="31" t="n">
        <v>20440.83333333333</v>
      </c>
      <c r="L718" s="31" t="n">
        <v>19423.08333333333</v>
      </c>
      <c r="M718" s="36" t="n">
        <v>1.050718246273183</v>
      </c>
      <c r="N718" s="36" t="n">
        <v>1.035435244318046</v>
      </c>
      <c r="O718" s="36" t="n">
        <v>-0.1919999999999999</v>
      </c>
      <c r="P718" s="36" t="n">
        <v>0.05427974947807934</v>
      </c>
      <c r="Q718" s="36" t="n">
        <v>0.06371774618220116</v>
      </c>
      <c r="R718" s="36" t="n">
        <v>-0.2035485460818137</v>
      </c>
      <c r="S718" s="36" t="n">
        <v>-0.01178197235924816</v>
      </c>
      <c r="T718" s="36" t="n">
        <v>0.03999965676578987</v>
      </c>
      <c r="U718" s="31" t="n">
        <v>31250</v>
      </c>
      <c r="V718" s="31" t="n">
        <v>14330</v>
      </c>
      <c r="W718" s="36" t="n">
        <v>-0.3536</v>
      </c>
      <c r="X718" s="36" t="n">
        <v>0.4096301465457084</v>
      </c>
      <c r="Y718" s="31" t="n">
        <v>20476584</v>
      </c>
      <c r="Z718" s="31" t="n">
        <v>413626996800</v>
      </c>
      <c r="AA718" s="31" t="n">
        <v>1433775800</v>
      </c>
      <c r="AB718" s="31" t="n">
        <v>11121560520</v>
      </c>
      <c r="AC718" s="36" t="n">
        <v>0.003466349660666056</v>
      </c>
      <c r="AD718" s="29" t="inlineStr">
        <is>
          <t>yfinance_download</t>
        </is>
      </c>
      <c r="AE718" s="29" t="inlineStr">
        <is>
          <t>317330.KQ</t>
        </is>
      </c>
    </row>
  </sheetData>
  <autoFilter ref="A18:AE718"/>
  <mergeCells count="4">
    <mergeCell ref="A2:L2"/>
    <mergeCell ref="A17:F17"/>
    <mergeCell ref="A1:L1"/>
    <mergeCell ref="A4:F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K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 ht="24" customHeight="1">
      <c r="A1" s="22" t="inlineStr">
        <is>
          <t>정규화 재무제표</t>
        </is>
      </c>
    </row>
    <row r="2" ht="24" customHeight="1">
      <c r="A2" s="25" t="inlineStr">
        <is>
          <t>연도</t>
        </is>
      </c>
      <c r="B2" s="25" t="inlineStr">
        <is>
          <t>매출액</t>
        </is>
      </c>
      <c r="C2" s="25" t="inlineStr">
        <is>
          <t>영업이익</t>
        </is>
      </c>
      <c r="D2" s="25" t="inlineStr">
        <is>
          <t>순이익</t>
        </is>
      </c>
      <c r="E2" s="25" t="inlineStr">
        <is>
          <t>자산총계</t>
        </is>
      </c>
      <c r="F2" s="25" t="inlineStr">
        <is>
          <t>부채총계</t>
        </is>
      </c>
      <c r="G2" s="25" t="inlineStr">
        <is>
          <t>자본총계</t>
        </is>
      </c>
      <c r="H2" s="25" t="inlineStr">
        <is>
          <t>현금성자산</t>
        </is>
      </c>
      <c r="I2" s="25" t="inlineStr">
        <is>
          <t>영업현금흐름</t>
        </is>
      </c>
      <c r="J2" s="25" t="inlineStr">
        <is>
          <t>CAPEX</t>
        </is>
      </c>
      <c r="K2" s="25" t="inlineStr">
        <is>
          <t>FCF</t>
        </is>
      </c>
      <c r="L2" s="25" t="inlineStr">
        <is>
          <t>투자현금흐름</t>
        </is>
      </c>
      <c r="M2" s="25" t="inlineStr">
        <is>
          <t>원천계정수</t>
        </is>
      </c>
      <c r="N2" s="25" t="inlineStr">
        <is>
          <t>매출 원천계정</t>
        </is>
      </c>
      <c r="O2" s="25" t="inlineStr">
        <is>
          <t>영업이익 원천계정</t>
        </is>
      </c>
      <c r="P2" s="25" t="inlineStr">
        <is>
          <t>순이익 원천계정</t>
        </is>
      </c>
      <c r="Q2" s="25" t="inlineStr">
        <is>
          <t>자산 원천계정</t>
        </is>
      </c>
      <c r="R2" s="25" t="inlineStr">
        <is>
          <t>부채 원천계정</t>
        </is>
      </c>
      <c r="S2" s="25" t="inlineStr">
        <is>
          <t>자본 원천계정</t>
        </is>
      </c>
      <c r="T2" s="25" t="inlineStr">
        <is>
          <t>영업현금흐름 원천계정</t>
        </is>
      </c>
      <c r="U2" s="25" t="inlineStr">
        <is>
          <t>CAPEX 원천계정</t>
        </is>
      </c>
      <c r="V2" s="25" t="inlineStr">
        <is>
          <t>현금 원천계정</t>
        </is>
      </c>
      <c r="W2" s="25" t="inlineStr">
        <is>
          <t>영업이익률</t>
        </is>
      </c>
      <c r="X2" s="25" t="inlineStr">
        <is>
          <t>순이익률</t>
        </is>
      </c>
      <c r="Y2" s="25" t="inlineStr">
        <is>
          <t>ROE</t>
        </is>
      </c>
      <c r="Z2" s="25" t="inlineStr">
        <is>
          <t>ROA</t>
        </is>
      </c>
      <c r="AA2" s="25" t="inlineStr">
        <is>
          <t>부채/자본</t>
        </is>
      </c>
      <c r="AB2" s="25" t="inlineStr">
        <is>
          <t>부채/자산</t>
        </is>
      </c>
      <c r="AC2" s="25" t="inlineStr">
        <is>
          <t>자본비율</t>
        </is>
      </c>
      <c r="AD2" s="25" t="inlineStr">
        <is>
          <t>현금/자산</t>
        </is>
      </c>
      <c r="AE2" s="25" t="inlineStr">
        <is>
          <t>CFO margin</t>
        </is>
      </c>
      <c r="AF2" s="25" t="inlineStr">
        <is>
          <t>CAPEX/매출</t>
        </is>
      </c>
      <c r="AG2" s="25" t="inlineStr">
        <is>
          <t>FCF margin</t>
        </is>
      </c>
      <c r="AH2" s="25" t="inlineStr">
        <is>
          <t>FCF 전환율</t>
        </is>
      </c>
      <c r="AI2" s="25" t="inlineStr">
        <is>
          <t>매출성장률</t>
        </is>
      </c>
      <c r="AJ2" s="25" t="inlineStr">
        <is>
          <t>영업이익성장률</t>
        </is>
      </c>
      <c r="AK2" s="25" t="inlineStr">
        <is>
          <t>자산성장률</t>
        </is>
      </c>
    </row>
    <row r="3" ht="24" customHeight="1">
      <c r="A3" s="30" t="n">
        <v>2021</v>
      </c>
      <c r="B3" s="30" t="n">
        <v>112383155917</v>
      </c>
      <c r="C3" s="30" t="n">
        <v>21980938749</v>
      </c>
      <c r="D3" s="30" t="n">
        <v>17378610980</v>
      </c>
      <c r="E3" s="30" t="n">
        <v>244335928964</v>
      </c>
      <c r="F3" s="30" t="n">
        <v>71348984066</v>
      </c>
      <c r="G3" s="30" t="n">
        <v>172986944898</v>
      </c>
      <c r="H3" s="30" t="n">
        <v>43329141816</v>
      </c>
      <c r="I3" s="30" t="n">
        <v>21130762102</v>
      </c>
      <c r="J3" s="30" t="n">
        <v>36566236104</v>
      </c>
      <c r="K3" s="30" t="n">
        <v>-15435474002</v>
      </c>
      <c r="L3" s="30" t="n">
        <v>-29567603948</v>
      </c>
      <c r="M3" s="30" t="n">
        <v>135</v>
      </c>
      <c r="N3" s="24" t="inlineStr">
        <is>
          <t>매출액</t>
        </is>
      </c>
      <c r="O3" s="24" t="inlineStr">
        <is>
          <t>영업이익</t>
        </is>
      </c>
      <c r="P3" s="24" t="inlineStr">
        <is>
          <t>당기순이익(손실)</t>
        </is>
      </c>
      <c r="Q3" s="24" t="inlineStr">
        <is>
          <t>자산총계</t>
        </is>
      </c>
      <c r="R3" s="24" t="inlineStr">
        <is>
          <t>부채총계</t>
        </is>
      </c>
      <c r="S3" s="24" t="inlineStr">
        <is>
          <t>자본총계</t>
        </is>
      </c>
      <c r="T3" s="24" t="inlineStr">
        <is>
          <t>Ⅰ.영업활동으로 인한 현금흐름</t>
        </is>
      </c>
      <c r="U3" s="24" t="inlineStr">
        <is>
          <t>유형자산의 취득</t>
        </is>
      </c>
      <c r="V3" s="24" t="inlineStr">
        <is>
          <t>현금및현금성자산</t>
        </is>
      </c>
      <c r="W3" s="35" t="n">
        <v>0.1955892639750561</v>
      </c>
      <c r="X3" s="35" t="n">
        <v>0.1546371503647298</v>
      </c>
      <c r="Y3" s="35" t="n">
        <v>0.1004619798924544</v>
      </c>
      <c r="Z3" s="35" t="n">
        <v>0.0711258923470094</v>
      </c>
      <c r="AA3" s="35" t="n">
        <v>0.4124529981616255</v>
      </c>
      <c r="AB3" s="35" t="n">
        <v>0.2920118394725011</v>
      </c>
      <c r="AC3" s="35" t="n">
        <v>0.7079881605274989</v>
      </c>
      <c r="AD3" s="35" t="n">
        <v>0.1773343036356476</v>
      </c>
      <c r="AE3" s="35" t="n">
        <v>0.1880242811263106</v>
      </c>
      <c r="AF3" s="35" t="n">
        <v>0.3253711448627213</v>
      </c>
      <c r="AG3" s="35" t="n">
        <v>-0.1373468637364107</v>
      </c>
      <c r="AH3" s="35" t="n">
        <v>-0.7022208731964289</v>
      </c>
      <c r="AI3" s="24" t="inlineStr">
        <is>
          <t>해당 없음</t>
        </is>
      </c>
      <c r="AJ3" s="24" t="inlineStr">
        <is>
          <t>해당 없음</t>
        </is>
      </c>
      <c r="AK3" s="24" t="inlineStr">
        <is>
          <t>해당 없음</t>
        </is>
      </c>
    </row>
    <row r="4" ht="24" customHeight="1">
      <c r="A4" s="31" t="n">
        <v>2022</v>
      </c>
      <c r="B4" s="31" t="n">
        <v>111005121065</v>
      </c>
      <c r="C4" s="31" t="n">
        <v>9261039886</v>
      </c>
      <c r="D4" s="31" t="n">
        <v>15050342979</v>
      </c>
      <c r="E4" s="31" t="n">
        <v>298526727044</v>
      </c>
      <c r="F4" s="31" t="n">
        <v>95240671629</v>
      </c>
      <c r="G4" s="31" t="n">
        <v>203286055415</v>
      </c>
      <c r="H4" s="31" t="n">
        <v>27763882839</v>
      </c>
      <c r="I4" s="31" t="n">
        <v>12253509090</v>
      </c>
      <c r="J4" s="31" t="n">
        <v>78591869798</v>
      </c>
      <c r="K4" s="31" t="n">
        <v>-66338360708</v>
      </c>
      <c r="L4" s="31" t="n">
        <v>-50682557412</v>
      </c>
      <c r="M4" s="31" t="n">
        <v>137</v>
      </c>
      <c r="N4" s="29" t="inlineStr">
        <is>
          <t>매출액</t>
        </is>
      </c>
      <c r="O4" s="29" t="inlineStr">
        <is>
          <t>영업이익</t>
        </is>
      </c>
      <c r="P4" s="29" t="inlineStr">
        <is>
          <t>당기순이익(손실)</t>
        </is>
      </c>
      <c r="Q4" s="29" t="inlineStr">
        <is>
          <t>자산총계</t>
        </is>
      </c>
      <c r="R4" s="29" t="inlineStr">
        <is>
          <t>부채총계</t>
        </is>
      </c>
      <c r="S4" s="29" t="inlineStr">
        <is>
          <t>자본총계</t>
        </is>
      </c>
      <c r="T4" s="29" t="inlineStr">
        <is>
          <t>Ⅰ.영업활동으로 인한 현금흐름</t>
        </is>
      </c>
      <c r="U4" s="29" t="inlineStr">
        <is>
          <t>유형자산의 취득</t>
        </is>
      </c>
      <c r="V4" s="29" t="inlineStr">
        <is>
          <t>현금및현금성자산</t>
        </is>
      </c>
      <c r="W4" s="36" t="n">
        <v>0.08342894271136481</v>
      </c>
      <c r="X4" s="36" t="n">
        <v>0.1355824202938092</v>
      </c>
      <c r="Y4" s="36" t="n">
        <v>0.07403529449314836</v>
      </c>
      <c r="Z4" s="36" t="n">
        <v>0.05041539539199022</v>
      </c>
      <c r="AA4" s="36" t="n">
        <v>0.4685056800112046</v>
      </c>
      <c r="AB4" s="36" t="n">
        <v>0.3190356608001884</v>
      </c>
      <c r="AC4" s="36" t="n">
        <v>0.6809643391998117</v>
      </c>
      <c r="AD4" s="36" t="n">
        <v>0.09300300550612967</v>
      </c>
      <c r="AE4" s="36" t="n">
        <v>0.1103868810054705</v>
      </c>
      <c r="AF4" s="36" t="n">
        <v>0.708002198853329</v>
      </c>
      <c r="AG4" s="36" t="n">
        <v>-0.5976153178478586</v>
      </c>
      <c r="AH4" s="36" t="n">
        <v>-7.163165424682417</v>
      </c>
      <c r="AI4" s="36" t="n">
        <v>-0.01226193410174159</v>
      </c>
      <c r="AJ4" s="36" t="n">
        <v>-0.578678600047447</v>
      </c>
      <c r="AK4" s="36" t="n">
        <v>0.221788086221181</v>
      </c>
    </row>
    <row r="5" ht="24" customHeight="1">
      <c r="A5" s="30" t="n">
        <v>2023</v>
      </c>
      <c r="B5" s="30" t="n">
        <v>94076712274</v>
      </c>
      <c r="C5" s="30" t="n">
        <v>-6225474421</v>
      </c>
      <c r="D5" s="30" t="n">
        <v>-19273669673</v>
      </c>
      <c r="E5" s="30" t="n">
        <v>514367139681</v>
      </c>
      <c r="F5" s="30" t="n">
        <v>330061600648</v>
      </c>
      <c r="G5" s="30" t="n">
        <v>184305539033</v>
      </c>
      <c r="H5" s="30" t="n">
        <v>23919527042</v>
      </c>
      <c r="I5" s="30" t="n">
        <v>-7827102760</v>
      </c>
      <c r="J5" s="30" t="n">
        <v>228253582</v>
      </c>
      <c r="K5" s="30" t="n">
        <v>-8055356342</v>
      </c>
      <c r="L5" s="30" t="n">
        <v>-175861877318</v>
      </c>
      <c r="M5" s="30" t="n">
        <v>146</v>
      </c>
      <c r="N5" s="24" t="inlineStr">
        <is>
          <t>수익(매출액)</t>
        </is>
      </c>
      <c r="O5" s="24" t="inlineStr">
        <is>
          <t>영업이익(손실)</t>
        </is>
      </c>
      <c r="P5" s="24" t="inlineStr">
        <is>
          <t>당기순이익(손실)</t>
        </is>
      </c>
      <c r="Q5" s="24" t="inlineStr">
        <is>
          <t>자산총계</t>
        </is>
      </c>
      <c r="R5" s="24" t="inlineStr">
        <is>
          <t>부채총계</t>
        </is>
      </c>
      <c r="S5" s="24" t="inlineStr">
        <is>
          <t>자본총계</t>
        </is>
      </c>
      <c r="T5" s="24" t="inlineStr">
        <is>
          <t>영업활동현금흐름</t>
        </is>
      </c>
      <c r="U5" s="24" t="inlineStr">
        <is>
          <t>무형자산의 취득</t>
        </is>
      </c>
      <c r="V5" s="24" t="inlineStr">
        <is>
          <t>현금및현금성자산</t>
        </is>
      </c>
      <c r="W5" s="35" t="n">
        <v>-0.06617444711363001</v>
      </c>
      <c r="X5" s="35" t="n">
        <v>-0.2048718456153646</v>
      </c>
      <c r="Y5" s="35" t="n">
        <v>-0.1045745546993519</v>
      </c>
      <c r="Z5" s="35" t="n">
        <v>-0.03747064729864574</v>
      </c>
      <c r="AA5" s="35" t="n">
        <v>1.790839289908169</v>
      </c>
      <c r="AB5" s="35" t="n">
        <v>0.6416848495662019</v>
      </c>
      <c r="AC5" s="35" t="n">
        <v>0.3583151504337982</v>
      </c>
      <c r="AD5" s="35" t="n">
        <v>0.04650282880985438</v>
      </c>
      <c r="AE5" s="35" t="n">
        <v>-0.08319915280631228</v>
      </c>
      <c r="AF5" s="35" t="n">
        <v>0.002426249562540064</v>
      </c>
      <c r="AG5" s="35" t="n">
        <v>-0.08562540236885234</v>
      </c>
      <c r="AH5" s="35" t="n">
        <v>1.293934533700335</v>
      </c>
      <c r="AI5" s="35" t="n">
        <v>-0.1525011515557685</v>
      </c>
      <c r="AJ5" s="35" t="n">
        <v>-1.672221964016277</v>
      </c>
      <c r="AK5" s="35" t="n">
        <v>0.7230187218888016</v>
      </c>
    </row>
    <row r="6" ht="24" customHeight="1">
      <c r="A6" s="31" t="n">
        <v>2024</v>
      </c>
      <c r="B6" s="31" t="n">
        <v>99694431512</v>
      </c>
      <c r="C6" s="31" t="n">
        <v>-30219465064</v>
      </c>
      <c r="D6" s="31" t="n">
        <v>-72579149118</v>
      </c>
      <c r="E6" s="31" t="n">
        <v>662991271479</v>
      </c>
      <c r="F6" s="31" t="n">
        <v>457247657885</v>
      </c>
      <c r="G6" s="31" t="n">
        <v>205743613594</v>
      </c>
      <c r="H6" s="31" t="n">
        <v>20247056068</v>
      </c>
      <c r="I6" s="31" t="n">
        <v>-56191200937</v>
      </c>
      <c r="J6" s="31" t="n">
        <v>670934412</v>
      </c>
      <c r="K6" s="31" t="n">
        <v>-56862135349</v>
      </c>
      <c r="L6" s="31" t="n">
        <v>-113740008300</v>
      </c>
      <c r="M6" s="31" t="n">
        <v>157</v>
      </c>
      <c r="N6" s="29" t="inlineStr">
        <is>
          <t>수익(매출액)</t>
        </is>
      </c>
      <c r="O6" s="29" t="inlineStr">
        <is>
          <t>영업이익(손실)</t>
        </is>
      </c>
      <c r="P6" s="29" t="inlineStr">
        <is>
          <t>당기순이익(손실)</t>
        </is>
      </c>
      <c r="Q6" s="29" t="inlineStr">
        <is>
          <t>자산총계</t>
        </is>
      </c>
      <c r="R6" s="29" t="inlineStr">
        <is>
          <t>부채총계</t>
        </is>
      </c>
      <c r="S6" s="29" t="inlineStr">
        <is>
          <t>자본총계</t>
        </is>
      </c>
      <c r="T6" s="29" t="inlineStr">
        <is>
          <t>영업활동현금흐름</t>
        </is>
      </c>
      <c r="U6" s="29" t="inlineStr">
        <is>
          <t>무형자산의 취득</t>
        </is>
      </c>
      <c r="V6" s="29" t="inlineStr">
        <is>
          <t>현금및현금성자산</t>
        </is>
      </c>
      <c r="W6" s="36" t="n">
        <v>-0.3031208925682329</v>
      </c>
      <c r="X6" s="36" t="n">
        <v>-0.728016078904706</v>
      </c>
      <c r="Y6" s="36" t="n">
        <v>-0.352765015886338</v>
      </c>
      <c r="Z6" s="36" t="n">
        <v>-0.1094722543723548</v>
      </c>
      <c r="AA6" s="36" t="n">
        <v>2.222414829299637</v>
      </c>
      <c r="AB6" s="36" t="n">
        <v>0.6896737220461026</v>
      </c>
      <c r="AC6" s="36" t="n">
        <v>0.3103262779538974</v>
      </c>
      <c r="AD6" s="36" t="n">
        <v>0.03053894815663696</v>
      </c>
      <c r="AE6" s="36" t="n">
        <v>-0.563634298172776</v>
      </c>
      <c r="AF6" s="36" t="n">
        <v>0.006729908599952658</v>
      </c>
      <c r="AG6" s="36" t="n">
        <v>-0.5703642067727286</v>
      </c>
      <c r="AH6" s="36" t="n">
        <v>1.881639374773017</v>
      </c>
      <c r="AI6" s="36" t="n">
        <v>0.05971423854224733</v>
      </c>
      <c r="AJ6" s="36" t="n">
        <v>3.854162593948276</v>
      </c>
      <c r="AK6" s="36" t="n">
        <v>0.2889456194464011</v>
      </c>
    </row>
    <row r="7" ht="24" customHeight="1">
      <c r="A7" s="30" t="n">
        <v>2025</v>
      </c>
      <c r="B7" s="30" t="n">
        <v>112078954483</v>
      </c>
      <c r="C7" s="30" t="n">
        <v>-43026410473</v>
      </c>
      <c r="D7" s="30" t="n">
        <v>-105550462258</v>
      </c>
      <c r="E7" s="30" t="n">
        <v>646705781509</v>
      </c>
      <c r="F7" s="30" t="n">
        <v>540230144773</v>
      </c>
      <c r="G7" s="30" t="n">
        <v>106475636736</v>
      </c>
      <c r="H7" s="30" t="n">
        <v>40032618067</v>
      </c>
      <c r="I7" s="30" t="n">
        <v>-21390341189</v>
      </c>
      <c r="J7" s="30" t="n">
        <v>209507159</v>
      </c>
      <c r="K7" s="30" t="n">
        <v>-21599848348</v>
      </c>
      <c r="L7" s="30" t="n">
        <v>24667374851</v>
      </c>
      <c r="M7" s="30" t="n">
        <v>166</v>
      </c>
      <c r="N7" s="24" t="inlineStr">
        <is>
          <t>수익(매출액)</t>
        </is>
      </c>
      <c r="O7" s="24" t="inlineStr">
        <is>
          <t>영업이익(손실)</t>
        </is>
      </c>
      <c r="P7" s="24" t="inlineStr">
        <is>
          <t>당기순이익(손실)</t>
        </is>
      </c>
      <c r="Q7" s="24" t="inlineStr">
        <is>
          <t>자산총계</t>
        </is>
      </c>
      <c r="R7" s="24" t="inlineStr">
        <is>
          <t>부채총계</t>
        </is>
      </c>
      <c r="S7" s="24" t="inlineStr">
        <is>
          <t>자본총계</t>
        </is>
      </c>
      <c r="T7" s="24" t="inlineStr">
        <is>
          <t>영업활동현금흐름</t>
        </is>
      </c>
      <c r="U7" s="24" t="inlineStr">
        <is>
          <t>투자활동으로 분류된 무형자산의 취득</t>
        </is>
      </c>
      <c r="V7" s="24" t="inlineStr">
        <is>
          <t>현금및현금성자산</t>
        </is>
      </c>
      <c r="W7" s="35" t="n">
        <v>-0.3838937530375178</v>
      </c>
      <c r="X7" s="35" t="n">
        <v>-0.9417509535566713</v>
      </c>
      <c r="Y7" s="35" t="n">
        <v>-0.9913109279609765</v>
      </c>
      <c r="Z7" s="35" t="n">
        <v>-0.1632124921037699</v>
      </c>
      <c r="AA7" s="35" t="n">
        <v>5.073744204155064</v>
      </c>
      <c r="AB7" s="35" t="n">
        <v>0.8353569122460084</v>
      </c>
      <c r="AC7" s="35" t="n">
        <v>0.1646430877539916</v>
      </c>
      <c r="AD7" s="35" t="n">
        <v>0.06190236613253917</v>
      </c>
      <c r="AE7" s="35" t="n">
        <v>-0.1908506488811373</v>
      </c>
      <c r="AF7" s="35" t="n">
        <v>0.001869281882280387</v>
      </c>
      <c r="AG7" s="35" t="n">
        <v>-0.1927199307634177</v>
      </c>
      <c r="AH7" s="35" t="n">
        <v>0.5020137192609727</v>
      </c>
      <c r="AI7" s="35" t="n">
        <v>0.1242248216191424</v>
      </c>
      <c r="AJ7" s="35" t="n">
        <v>0.4237978859611491</v>
      </c>
      <c r="AK7" s="35" t="n">
        <v>-0.02456365667329274</v>
      </c>
    </row>
  </sheetData>
  <autoFilter ref="A2:AK7"/>
  <mergeCells count="1">
    <mergeCell ref="A1:F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수익성·안정성·현금흐름 핵심비율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영업이익성장률</t>
        </is>
      </c>
      <c r="D2" s="25" t="inlineStr">
        <is>
          <t>영업이익률</t>
        </is>
      </c>
      <c r="E2" s="25" t="inlineStr">
        <is>
          <t>순이익률</t>
        </is>
      </c>
      <c r="F2" s="25" t="inlineStr">
        <is>
          <t>ROE</t>
        </is>
      </c>
      <c r="G2" s="25" t="inlineStr">
        <is>
          <t>ROA</t>
        </is>
      </c>
      <c r="H2" s="25" t="inlineStr">
        <is>
          <t>부채/자본</t>
        </is>
      </c>
      <c r="I2" s="25" t="inlineStr">
        <is>
          <t>자본비율</t>
        </is>
      </c>
      <c r="J2" s="25" t="inlineStr">
        <is>
          <t>CFO margin</t>
        </is>
      </c>
      <c r="K2" s="25" t="inlineStr">
        <is>
          <t>FCF margin</t>
        </is>
      </c>
      <c r="L2" s="25" t="inlineStr">
        <is>
          <t>FCF 전환율</t>
        </is>
      </c>
    </row>
    <row r="3" ht="24" customHeight="1">
      <c r="A3" s="30" t="n">
        <v>2021</v>
      </c>
      <c r="B3" s="24" t="inlineStr">
        <is>
          <t>해당 없음</t>
        </is>
      </c>
      <c r="C3" s="24" t="inlineStr">
        <is>
          <t>해당 없음</t>
        </is>
      </c>
      <c r="D3" s="35" t="n">
        <v>0.1955892639750561</v>
      </c>
      <c r="E3" s="35" t="n">
        <v>0.1546371503647298</v>
      </c>
      <c r="F3" s="35" t="n">
        <v>0.1004619798924544</v>
      </c>
      <c r="G3" s="35" t="n">
        <v>0.0711258923470094</v>
      </c>
      <c r="H3" s="35" t="n">
        <v>0.4124529981616255</v>
      </c>
      <c r="I3" s="35" t="n">
        <v>0.7079881605274989</v>
      </c>
      <c r="J3" s="35" t="n">
        <v>0.1880242811263106</v>
      </c>
      <c r="K3" s="35" t="n">
        <v>-0.1373468637364107</v>
      </c>
      <c r="L3" s="35" t="n">
        <v>-0.7022208731964289</v>
      </c>
    </row>
    <row r="4" ht="24" customHeight="1">
      <c r="A4" s="31" t="n">
        <v>2022</v>
      </c>
      <c r="B4" s="36" t="n">
        <v>-0.01226193410174159</v>
      </c>
      <c r="C4" s="36" t="n">
        <v>-0.578678600047447</v>
      </c>
      <c r="D4" s="36" t="n">
        <v>0.08342894271136481</v>
      </c>
      <c r="E4" s="36" t="n">
        <v>0.1355824202938092</v>
      </c>
      <c r="F4" s="36" t="n">
        <v>0.07403529449314836</v>
      </c>
      <c r="G4" s="36" t="n">
        <v>0.05041539539199022</v>
      </c>
      <c r="H4" s="36" t="n">
        <v>0.4685056800112046</v>
      </c>
      <c r="I4" s="36" t="n">
        <v>0.6809643391998117</v>
      </c>
      <c r="J4" s="36" t="n">
        <v>0.1103868810054705</v>
      </c>
      <c r="K4" s="36" t="n">
        <v>-0.5976153178478586</v>
      </c>
      <c r="L4" s="36" t="n">
        <v>-7.163165424682417</v>
      </c>
    </row>
    <row r="5" ht="24" customHeight="1">
      <c r="A5" s="30" t="n">
        <v>2023</v>
      </c>
      <c r="B5" s="35" t="n">
        <v>-0.1525011515557685</v>
      </c>
      <c r="C5" s="35" t="n">
        <v>-1.672221964016277</v>
      </c>
      <c r="D5" s="35" t="n">
        <v>-0.06617444711363001</v>
      </c>
      <c r="E5" s="35" t="n">
        <v>-0.2048718456153646</v>
      </c>
      <c r="F5" s="35" t="n">
        <v>-0.1045745546993519</v>
      </c>
      <c r="G5" s="35" t="n">
        <v>-0.03747064729864574</v>
      </c>
      <c r="H5" s="35" t="n">
        <v>1.790839289908169</v>
      </c>
      <c r="I5" s="35" t="n">
        <v>0.3583151504337982</v>
      </c>
      <c r="J5" s="35" t="n">
        <v>-0.08319915280631228</v>
      </c>
      <c r="K5" s="35" t="n">
        <v>-0.08562540236885234</v>
      </c>
      <c r="L5" s="35" t="n">
        <v>1.293934533700335</v>
      </c>
    </row>
    <row r="6" ht="24" customHeight="1">
      <c r="A6" s="31" t="n">
        <v>2024</v>
      </c>
      <c r="B6" s="36" t="n">
        <v>0.05971423854224733</v>
      </c>
      <c r="C6" s="36" t="n">
        <v>3.854162593948276</v>
      </c>
      <c r="D6" s="36" t="n">
        <v>-0.3031208925682329</v>
      </c>
      <c r="E6" s="36" t="n">
        <v>-0.728016078904706</v>
      </c>
      <c r="F6" s="36" t="n">
        <v>-0.352765015886338</v>
      </c>
      <c r="G6" s="36" t="n">
        <v>-0.1094722543723548</v>
      </c>
      <c r="H6" s="36" t="n">
        <v>2.222414829299637</v>
      </c>
      <c r="I6" s="36" t="n">
        <v>0.3103262779538974</v>
      </c>
      <c r="J6" s="36" t="n">
        <v>-0.563634298172776</v>
      </c>
      <c r="K6" s="36" t="n">
        <v>-0.5703642067727286</v>
      </c>
      <c r="L6" s="36" t="n">
        <v>1.881639374773017</v>
      </c>
    </row>
    <row r="7" ht="24" customHeight="1">
      <c r="A7" s="30" t="n">
        <v>2025</v>
      </c>
      <c r="B7" s="35" t="n">
        <v>0.1242248216191424</v>
      </c>
      <c r="C7" s="35" t="n">
        <v>0.4237978859611491</v>
      </c>
      <c r="D7" s="35" t="n">
        <v>-0.3838937530375178</v>
      </c>
      <c r="E7" s="35" t="n">
        <v>-0.9417509535566713</v>
      </c>
      <c r="F7" s="35" t="n">
        <v>-0.9913109279609765</v>
      </c>
      <c r="G7" s="35" t="n">
        <v>-0.1632124921037699</v>
      </c>
      <c r="H7" s="35" t="n">
        <v>5.073744204155064</v>
      </c>
      <c r="I7" s="35" t="n">
        <v>0.1646430877539916</v>
      </c>
      <c r="J7" s="35" t="n">
        <v>-0.1908506488811373</v>
      </c>
      <c r="K7" s="35" t="n">
        <v>-0.1927199307634177</v>
      </c>
      <c r="L7" s="35" t="n">
        <v>0.5020137192609727</v>
      </c>
    </row>
  </sheetData>
  <autoFilter ref="A2:L7"/>
  <mergeCells count="1">
    <mergeCell ref="A1:F1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8" customWidth="1" min="2" max="2"/>
    <col width="4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WACC 산정</t>
        </is>
      </c>
    </row>
    <row r="2" ht="28" customHeight="1">
      <c r="A2" s="17" t="inlineStr">
        <is>
          <t>노란 셀은 사용자가 시나리오별로 조정 가능한 입력값입니다.</t>
        </is>
      </c>
    </row>
    <row r="3" ht="24" customHeight="1"/>
    <row r="4" ht="24" customHeight="1">
      <c r="A4" s="37" t="inlineStr">
        <is>
          <t>무위험수익률</t>
        </is>
      </c>
      <c r="B4" s="38" t="n">
        <v>0.035</v>
      </c>
      <c r="C4" s="26" t="inlineStr">
        <is>
          <t>valuation_assumptions.json 또는 기본값</t>
        </is>
      </c>
    </row>
    <row r="5" ht="24" customHeight="1">
      <c r="A5" s="37" t="inlineStr">
        <is>
          <t>Beta</t>
        </is>
      </c>
      <c r="B5" s="38" t="n">
        <v>1.8</v>
      </c>
      <c r="C5" s="26" t="inlineStr">
        <is>
          <t>주가 변동성 proxy 또는 사용자 가정</t>
        </is>
      </c>
    </row>
    <row r="6" ht="24" customHeight="1">
      <c r="A6" s="37" t="inlineStr">
        <is>
          <t>시장위험프리미엄</t>
        </is>
      </c>
      <c r="B6" s="39" t="n">
        <v>0.06</v>
      </c>
      <c r="C6" s="26" t="inlineStr">
        <is>
          <t>사용자 조정 가능</t>
        </is>
      </c>
    </row>
    <row r="7" ht="24" customHeight="1">
      <c r="A7" s="37" t="inlineStr">
        <is>
          <t>자기자본비용</t>
        </is>
      </c>
      <c r="B7" s="40">
        <f>B4+B5*B6</f>
        <v/>
      </c>
      <c r="C7" s="26" t="inlineStr">
        <is>
          <t>공식: Rf + Beta × MRP</t>
        </is>
      </c>
    </row>
    <row r="8" ht="24" customHeight="1">
      <c r="A8" s="37" t="inlineStr">
        <is>
          <t>세전 차입비용</t>
        </is>
      </c>
      <c r="B8" s="39" t="n">
        <v>0.055</v>
      </c>
      <c r="C8" s="26" t="inlineStr">
        <is>
          <t>사용자 조정 가능</t>
        </is>
      </c>
    </row>
    <row r="9" ht="24" customHeight="1">
      <c r="A9" s="37" t="inlineStr">
        <is>
          <t>법인세율</t>
        </is>
      </c>
      <c r="B9" s="38" t="n">
        <v>0.24</v>
      </c>
      <c r="C9" s="26" t="inlineStr">
        <is>
          <t>사용자 조정 가능</t>
        </is>
      </c>
    </row>
    <row r="10" ht="24" customHeight="1">
      <c r="A10" s="37" t="inlineStr">
        <is>
          <t>세후 차입비용</t>
        </is>
      </c>
      <c r="B10" s="40">
        <f>B8*(1-B9)</f>
        <v/>
      </c>
      <c r="C10" s="26" t="inlineStr">
        <is>
          <t>공식</t>
        </is>
      </c>
    </row>
    <row r="11" ht="24" customHeight="1">
      <c r="A11" s="37" t="inlineStr">
        <is>
          <t>자기자본 비중</t>
        </is>
      </c>
      <c r="B11" s="38" t="n">
        <v>0.4336362110974923</v>
      </c>
      <c r="C11" s="26" t="inlineStr">
        <is>
          <t>시장가치/장부가치 기반</t>
        </is>
      </c>
    </row>
    <row r="12" ht="24" customHeight="1">
      <c r="A12" s="37" t="inlineStr">
        <is>
          <t>부채 비중</t>
        </is>
      </c>
      <c r="B12" s="38" t="n">
        <v>0.5663637889025077</v>
      </c>
      <c r="C12" s="26" t="inlineStr">
        <is>
          <t>부채 proxy 기반</t>
        </is>
      </c>
    </row>
    <row r="13" ht="24" customHeight="1">
      <c r="A13" s="37" t="inlineStr">
        <is>
          <t>WACC</t>
        </is>
      </c>
      <c r="B13" s="41">
        <f>B11*B7+B12*B10</f>
        <v/>
      </c>
      <c r="C13" s="26" t="inlineStr">
        <is>
          <t>공식: E/V×Ke + D/V×Kd(1-T)</t>
        </is>
      </c>
    </row>
    <row r="14" ht="24" customHeight="1">
      <c r="A14" s="37" t="inlineStr">
        <is>
          <t>사용한 시가총액</t>
        </is>
      </c>
      <c r="B14" s="27" t="n">
        <v>413626996800</v>
      </c>
      <c r="C14" s="26" t="inlineStr">
        <is>
          <t>발행주식 수 intake 가능 시 반영</t>
        </is>
      </c>
    </row>
    <row r="15" ht="24" customHeight="1">
      <c r="A15" s="37" t="inlineStr">
        <is>
          <t>부채 proxy</t>
        </is>
      </c>
      <c r="B15" s="27" t="n">
        <v>540230144773</v>
      </c>
      <c r="C15" s="26" t="inlineStr">
        <is>
          <t>상세 차입금 데이터 전까지 부채총계 보수 proxy</t>
        </is>
      </c>
    </row>
  </sheetData>
  <mergeCells count="2">
    <mergeCell ref="A2:F2"/>
    <mergeCell ref="A1:F1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FCF 추정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매출액</t>
        </is>
      </c>
      <c r="D2" s="25" t="inlineStr">
        <is>
          <t>영업이익률</t>
        </is>
      </c>
      <c r="E2" s="25" t="inlineStr">
        <is>
          <t>ebit</t>
        </is>
      </c>
      <c r="F2" s="25" t="inlineStr">
        <is>
          <t>nopat</t>
        </is>
      </c>
      <c r="G2" s="25" t="inlineStr">
        <is>
          <t>FCF margin</t>
        </is>
      </c>
      <c r="H2" s="25" t="inlineStr">
        <is>
          <t>FCF</t>
        </is>
      </c>
      <c r="I2" s="25" t="inlineStr">
        <is>
          <t>할인계수</t>
        </is>
      </c>
      <c r="J2" s="25" t="inlineStr">
        <is>
          <t>FCF 현재가치</t>
        </is>
      </c>
    </row>
    <row r="3" ht="24" customHeight="1">
      <c r="A3" s="30" t="n">
        <v>2026</v>
      </c>
      <c r="B3" s="35" t="n">
        <v>0.01138344229483233</v>
      </c>
      <c r="C3" s="30" t="n">
        <v>113354798793.8224</v>
      </c>
      <c r="D3" s="35" t="n">
        <v>-0.2510630309064602</v>
      </c>
      <c r="E3" s="30" t="n">
        <v>-28459199352.969</v>
      </c>
      <c r="F3" s="30" t="n">
        <v>-21628991508.25644</v>
      </c>
      <c r="G3" s="35" t="n">
        <v>-0.2</v>
      </c>
      <c r="H3" s="30" t="n">
        <v>-22670959758.76447</v>
      </c>
      <c r="I3" s="35" t="n">
        <v>0.9210783379128967</v>
      </c>
      <c r="J3" s="30" t="n">
        <v>-20881729933.49295</v>
      </c>
    </row>
    <row r="4" ht="24" customHeight="1">
      <c r="A4" s="31" t="n">
        <v>2027</v>
      </c>
      <c r="B4" s="36" t="n">
        <v>0.01228758172112425</v>
      </c>
      <c r="C4" s="31" t="n">
        <v>114747655147.483</v>
      </c>
      <c r="D4" s="36" t="n">
        <v>-0.2510630309064602</v>
      </c>
      <c r="E4" s="31" t="n">
        <v>-28808894090.73637</v>
      </c>
      <c r="F4" s="31" t="n">
        <v>-21894759508.95964</v>
      </c>
      <c r="G4" s="36" t="n">
        <v>-0.2</v>
      </c>
      <c r="H4" s="31" t="n">
        <v>-22949531029.49661</v>
      </c>
      <c r="I4" s="36" t="n">
        <v>0.8483853045723844</v>
      </c>
      <c r="J4" s="31" t="n">
        <v>-19470044872.25287</v>
      </c>
    </row>
    <row r="5" ht="24" customHeight="1">
      <c r="A5" s="30" t="n">
        <v>2028</v>
      </c>
      <c r="B5" s="35" t="n">
        <v>0.01319172114741616</v>
      </c>
      <c r="C5" s="30" t="n">
        <v>116261374216.5085</v>
      </c>
      <c r="D5" s="35" t="n">
        <v>-0.2510630309064602</v>
      </c>
      <c r="E5" s="30" t="n">
        <v>-29188932988.14681</v>
      </c>
      <c r="F5" s="30" t="n">
        <v>-22183589070.99158</v>
      </c>
      <c r="G5" s="35" t="n">
        <v>-0.2</v>
      </c>
      <c r="H5" s="30" t="n">
        <v>-23252274843.3017</v>
      </c>
      <c r="I5" s="35" t="n">
        <v>0.7814293262452585</v>
      </c>
      <c r="J5" s="30" t="n">
        <v>-18170009464.47083</v>
      </c>
    </row>
    <row r="6" ht="24" customHeight="1">
      <c r="A6" s="31" t="n">
        <v>2029</v>
      </c>
      <c r="B6" s="36" t="n">
        <v>0.01409586057370808</v>
      </c>
      <c r="C6" s="31" t="n">
        <v>117900178337.5721</v>
      </c>
      <c r="D6" s="36" t="n">
        <v>-0.2510630309064602</v>
      </c>
      <c r="E6" s="31" t="n">
        <v>-29600376117.84304</v>
      </c>
      <c r="F6" s="31" t="n">
        <v>-22496285849.56071</v>
      </c>
      <c r="G6" s="36" t="n">
        <v>-0.2</v>
      </c>
      <c r="H6" s="31" t="n">
        <v>-23580035667.51442</v>
      </c>
      <c r="I6" s="36" t="n">
        <v>0.7197576250143773</v>
      </c>
      <c r="J6" s="31" t="n">
        <v>-16971910469.80449</v>
      </c>
    </row>
    <row r="7" ht="24" customHeight="1">
      <c r="A7" s="30" t="n">
        <v>2030</v>
      </c>
      <c r="B7" s="35" t="n">
        <v>0.015</v>
      </c>
      <c r="C7" s="30" t="n">
        <v>119668681012.6357</v>
      </c>
      <c r="D7" s="35" t="n">
        <v>-0.2510630309064602</v>
      </c>
      <c r="E7" s="30" t="n">
        <v>-30044381759.61068</v>
      </c>
      <c r="F7" s="30" t="n">
        <v>-22833730137.30412</v>
      </c>
      <c r="G7" s="35" t="n">
        <v>-0.2</v>
      </c>
      <c r="H7" s="30" t="n">
        <v>-23933736202.52714</v>
      </c>
      <c r="I7" s="35" t="n">
        <v>0.6629531569483768</v>
      </c>
      <c r="J7" s="30" t="n">
        <v>-15866945973.03502</v>
      </c>
    </row>
  </sheetData>
  <autoFilter ref="A2:J7"/>
  <mergeCells count="1">
    <mergeCell ref="A1:F1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DCF 가치평가</t>
        </is>
      </c>
    </row>
    <row r="2" ht="28" customHeight="1">
      <c r="A2" s="17" t="inlineStr">
        <is>
          <t>명시적 FCF + Terminal Value + 현금 - 부채 proxy</t>
        </is>
      </c>
    </row>
    <row r="3" ht="24" customHeight="1"/>
    <row r="4" ht="24" customHeight="1">
      <c r="A4" s="22" t="inlineStr">
        <is>
          <t>DCF 결과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기준연도</t>
        </is>
      </c>
      <c r="B6" s="30" t="n">
        <v>2025</v>
      </c>
      <c r="C6" s="24" t="inlineStr">
        <is>
          <t>최근 정규화 재무제표 연도</t>
        </is>
      </c>
    </row>
    <row r="7" ht="24" customHeight="1">
      <c r="A7" s="29" t="inlineStr">
        <is>
          <t>기준 매출액</t>
        </is>
      </c>
      <c r="B7" s="31" t="n">
        <v>112078954483</v>
      </c>
      <c r="C7" s="29" t="inlineStr">
        <is>
          <t>DART 기반</t>
        </is>
      </c>
    </row>
    <row r="8" ht="24" customHeight="1">
      <c r="A8" s="24" t="inlineStr">
        <is>
          <t>매출 CAGR</t>
        </is>
      </c>
      <c r="B8" s="30" t="n">
        <v>-0.0006773940062455575</v>
      </c>
      <c r="C8" s="24" t="inlineStr">
        <is>
          <t>과거 재무제표 기반</t>
        </is>
      </c>
    </row>
    <row r="9" ht="24" customHeight="1">
      <c r="A9" s="29" t="inlineStr">
        <is>
          <t>추정 매출성장률</t>
        </is>
      </c>
      <c r="B9" s="31" t="n">
        <v>0.01047930286854041</v>
      </c>
      <c r="C9" s="29" t="inlineStr">
        <is>
          <t>최근 추세를 보수적으로 bounded</t>
        </is>
      </c>
    </row>
    <row r="10" ht="24" customHeight="1">
      <c r="A10" s="24" t="inlineStr">
        <is>
          <t>추정 FCF margin</t>
        </is>
      </c>
      <c r="B10" s="30" t="n">
        <v>-0.2</v>
      </c>
      <c r="C10" s="24" t="inlineStr">
        <is>
          <t>최근 3년 평균 기반</t>
        </is>
      </c>
    </row>
    <row r="11" ht="24" customHeight="1">
      <c r="A11" s="29" t="inlineStr">
        <is>
          <t>WACC</t>
        </is>
      </c>
      <c r="B11" s="31" t="n">
        <v>0.08568398456306622</v>
      </c>
      <c r="C11" s="29" t="inlineStr">
        <is>
          <t>07_WACC 참조</t>
        </is>
      </c>
    </row>
    <row r="12" ht="24" customHeight="1">
      <c r="A12" s="24" t="inlineStr">
        <is>
          <t>영구성장률</t>
        </is>
      </c>
      <c r="B12" s="30" t="n">
        <v>0.015</v>
      </c>
      <c r="C12" s="24" t="inlineStr">
        <is>
          <t>valuation_assumptions.json</t>
        </is>
      </c>
    </row>
    <row r="13" ht="24" customHeight="1">
      <c r="A13" s="29" t="inlineStr">
        <is>
          <t>FCF 현재가치</t>
        </is>
      </c>
      <c r="B13" s="31" t="n">
        <v>-91360640713.05615</v>
      </c>
      <c r="C13" s="29" t="inlineStr">
        <is>
          <t>명시적 기간 FCF 할인</t>
        </is>
      </c>
    </row>
    <row r="14" ht="24" customHeight="1">
      <c r="A14" s="24" t="inlineStr">
        <is>
          <t>Terminal Value</t>
        </is>
      </c>
      <c r="B14" s="30" t="n">
        <v>-343680996419.9228</v>
      </c>
      <c r="C14" s="24" t="inlineStr">
        <is>
          <t>Gordon Growth</t>
        </is>
      </c>
    </row>
    <row r="15" ht="24" customHeight="1">
      <c r="A15" s="29" t="inlineStr">
        <is>
          <t>Terminal 현재가치</t>
        </is>
      </c>
      <c r="B15" s="31" t="n">
        <v>-227844401559.7516</v>
      </c>
      <c r="C15" s="29" t="inlineStr">
        <is>
          <t>Terminal Value 할인</t>
        </is>
      </c>
    </row>
    <row r="16" ht="24" customHeight="1">
      <c r="A16" s="24" t="inlineStr">
        <is>
          <t>기업가치(EV)</t>
        </is>
      </c>
      <c r="B16" s="30" t="n">
        <v>-319205042272.8077</v>
      </c>
      <c r="C16" s="24" t="inlineStr">
        <is>
          <t>PV FCF + PV Terminal</t>
        </is>
      </c>
    </row>
    <row r="17" ht="24" customHeight="1">
      <c r="A17" s="29" t="inlineStr">
        <is>
          <t>지분가치</t>
        </is>
      </c>
      <c r="B17" s="31" t="n">
        <v>-819402568978.8077</v>
      </c>
      <c r="C17" s="29" t="inlineStr">
        <is>
          <t>EV + 현금 - 부채 proxy</t>
        </is>
      </c>
    </row>
    <row r="18" ht="24" customHeight="1">
      <c r="A18" s="24" t="inlineStr">
        <is>
          <t>발행주식 수</t>
        </is>
      </c>
      <c r="B18" s="30" t="n">
        <v>20476584</v>
      </c>
      <c r="C18" s="24" t="inlineStr">
        <is>
          <t>DART stockTotqySttus 또는 해당 없음</t>
        </is>
      </c>
    </row>
    <row r="19" ht="24" customHeight="1">
      <c r="A19" s="29" t="inlineStr">
        <is>
          <t>현재가</t>
        </is>
      </c>
      <c r="B19" s="31" t="n">
        <v>20200</v>
      </c>
      <c r="C19" s="29" t="inlineStr">
        <is>
          <t>주가 intake</t>
        </is>
      </c>
    </row>
    <row r="20" ht="24" customHeight="1">
      <c r="A20" s="24" t="inlineStr">
        <is>
          <t>DCF 내재주가</t>
        </is>
      </c>
      <c r="B20" s="30" t="n">
        <v>-40016.56570152559</v>
      </c>
      <c r="C20" s="24" t="inlineStr">
        <is>
          <t>지분가치 / 발행주식 수</t>
        </is>
      </c>
    </row>
    <row r="21" ht="24" customHeight="1">
      <c r="A21" s="29" t="inlineStr">
        <is>
          <t>현재가 대비 괴리율</t>
        </is>
      </c>
      <c r="B21" s="31" t="n">
        <v>-2.98101810403592</v>
      </c>
      <c r="C21" s="29" t="inlineStr">
        <is>
          <t>내재주가 / 현재가 - 1</t>
        </is>
      </c>
    </row>
  </sheetData>
  <autoFilter ref="A5:C21"/>
  <mergeCells count="3">
    <mergeCell ref="A2:E2"/>
    <mergeCell ref="A1:E1"/>
    <mergeCell ref="A4:F4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22" customWidth="1" min="2" max="2"/>
    <col width="13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40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 ht="24" customHeight="1">
      <c r="A1" s="22" t="inlineStr">
        <is>
          <t>피어 비교 / 상대가치</t>
        </is>
      </c>
    </row>
    <row r="2" ht="24" customHeight="1">
      <c r="A2" s="25" t="inlineStr">
        <is>
          <t>기업코드</t>
        </is>
      </c>
      <c r="B2" s="25" t="inlineStr">
        <is>
          <t>기업명</t>
        </is>
      </c>
      <c r="C2" s="25" t="inlineStr">
        <is>
          <t>종목코드</t>
        </is>
      </c>
      <c r="D2" s="25" t="inlineStr">
        <is>
          <t>시장</t>
        </is>
      </c>
      <c r="E2" s="25" t="inlineStr">
        <is>
          <t>분석대상</t>
        </is>
      </c>
      <c r="F2" s="25" t="inlineStr">
        <is>
          <t>최근연도</t>
        </is>
      </c>
      <c r="G2" s="25" t="inlineStr">
        <is>
          <t>latest_close</t>
        </is>
      </c>
      <c r="H2" s="25" t="inlineStr">
        <is>
          <t>발행주식 수</t>
        </is>
      </c>
      <c r="I2" s="25" t="inlineStr">
        <is>
          <t>시가총액</t>
        </is>
      </c>
      <c r="J2" s="25" t="inlineStr">
        <is>
          <t>매출액</t>
        </is>
      </c>
      <c r="K2" s="25" t="inlineStr">
        <is>
          <t>영업이익</t>
        </is>
      </c>
      <c r="L2" s="25" t="inlineStr">
        <is>
          <t>순이익</t>
        </is>
      </c>
      <c r="M2" s="25" t="inlineStr">
        <is>
          <t>자산총계</t>
        </is>
      </c>
      <c r="N2" s="25" t="inlineStr">
        <is>
          <t>부채총계</t>
        </is>
      </c>
      <c r="O2" s="25" t="inlineStr">
        <is>
          <t>자본총계</t>
        </is>
      </c>
      <c r="P2" s="25" t="inlineStr">
        <is>
          <t>FCF</t>
        </is>
      </c>
      <c r="Q2" s="25" t="inlineStr">
        <is>
          <t>FCF margin</t>
        </is>
      </c>
      <c r="R2" s="25" t="inlineStr">
        <is>
          <t>1년 수익률</t>
        </is>
      </c>
      <c r="S2" s="25" t="inlineStr">
        <is>
          <t>연환산 변동성</t>
        </is>
      </c>
      <c r="T2" s="25" t="inlineStr">
        <is>
          <t>MDD</t>
        </is>
      </c>
      <c r="U2" s="25" t="inlineStr">
        <is>
          <t>52주 고가</t>
        </is>
      </c>
      <c r="V2" s="25" t="inlineStr">
        <is>
          <t>52주 저가</t>
        </is>
      </c>
      <c r="W2" s="25" t="inlineStr">
        <is>
          <t>data_status</t>
        </is>
      </c>
      <c r="X2" s="25" t="inlineStr">
        <is>
          <t>diagnostics</t>
        </is>
      </c>
      <c r="Y2" s="25" t="inlineStr">
        <is>
          <t>EV proxy</t>
        </is>
      </c>
      <c r="Z2" s="25" t="inlineStr">
        <is>
          <t>P/S</t>
        </is>
      </c>
      <c r="AA2" s="25" t="inlineStr">
        <is>
          <t>PER</t>
        </is>
      </c>
      <c r="AB2" s="25" t="inlineStr">
        <is>
          <t>PBR</t>
        </is>
      </c>
      <c r="AC2" s="25" t="inlineStr">
        <is>
          <t>EV/Sales</t>
        </is>
      </c>
      <c r="AD2" s="25" t="inlineStr">
        <is>
          <t>EV/EBIT</t>
        </is>
      </c>
      <c r="AE2" s="25" t="inlineStr">
        <is>
          <t>P/FCF</t>
        </is>
      </c>
      <c r="AF2" s="25" t="inlineStr">
        <is>
          <t>영업이익률</t>
        </is>
      </c>
      <c r="AG2" s="25" t="inlineStr">
        <is>
          <t>ROE</t>
        </is>
      </c>
      <c r="AH2" s="25" t="inlineStr">
        <is>
          <t>부채/자본</t>
        </is>
      </c>
      <c r="AI2" s="25" t="inlineStr">
        <is>
          <t>psr_data_quality</t>
        </is>
      </c>
    </row>
    <row r="3" ht="24" customHeight="1">
      <c r="A3" s="24" t="inlineStr">
        <is>
          <t>nepes</t>
        </is>
      </c>
      <c r="B3" s="24" t="inlineStr">
        <is>
          <t>네패스</t>
        </is>
      </c>
      <c r="C3" s="24" t="inlineStr">
        <is>
          <t>033640</t>
        </is>
      </c>
      <c r="D3" s="24" t="inlineStr">
        <is>
          <t>KOSDAQ</t>
        </is>
      </c>
      <c r="E3" s="24" t="b">
        <v>0</v>
      </c>
      <c r="F3" s="24" t="inlineStr">
        <is>
          <t>2025</t>
        </is>
      </c>
      <c r="G3" s="24" t="inlineStr">
        <is>
          <t>26950.0</t>
        </is>
      </c>
      <c r="H3" s="24" t="inlineStr">
        <is>
          <t>23059202.0</t>
        </is>
      </c>
      <c r="I3" s="30" t="n">
        <v>621445493900</v>
      </c>
      <c r="J3" s="24" t="inlineStr">
        <is>
          <t>521439287008.0</t>
        </is>
      </c>
      <c r="K3" s="24" t="inlineStr">
        <is>
          <t>23761125843.0</t>
        </is>
      </c>
      <c r="L3" s="24" t="inlineStr">
        <is>
          <t>20158821632.0</t>
        </is>
      </c>
      <c r="M3" s="24" t="inlineStr">
        <is>
          <t>696198458357.0</t>
        </is>
      </c>
      <c r="N3" s="24" t="inlineStr">
        <is>
          <t>450773427582.0</t>
        </is>
      </c>
      <c r="O3" s="24" t="inlineStr">
        <is>
          <t>245425030775.0</t>
        </is>
      </c>
      <c r="P3" s="24" t="inlineStr">
        <is>
          <t>103117228706.0</t>
        </is>
      </c>
      <c r="Q3" s="24" t="inlineStr">
        <is>
          <t>0.19775500480158098</t>
        </is>
      </c>
      <c r="R3" s="24" t="inlineStr">
        <is>
          <t>2.4640102827763495</t>
        </is>
      </c>
      <c r="S3" s="24" t="inlineStr">
        <is>
          <t>0.6270113222744861</t>
        </is>
      </c>
      <c r="T3" s="24" t="inlineStr">
        <is>
          <t>-0.7436559139784946</t>
        </is>
      </c>
      <c r="U3" s="24" t="inlineStr">
        <is>
          <t>34800.0</t>
        </is>
      </c>
      <c r="V3" s="24" t="inlineStr">
        <is>
          <t>6890.0</t>
        </is>
      </c>
      <c r="W3" s="24" t="inlineStr">
        <is>
          <t>OK</t>
        </is>
      </c>
      <c r="X3" s="24" t="inlineStr">
        <is>
          <t>yfinance price rows for 033640.KQ: 728 | price provider selected: yfinance, rows=728 | DART corp_code resolved from cache for 네패스/033640.</t>
        </is>
      </c>
      <c r="Y3" s="30" t="n">
        <v>1072218921482</v>
      </c>
      <c r="Z3" s="42" t="n">
        <v>1.191788784205026</v>
      </c>
      <c r="AA3" s="42" t="n">
        <v>30.82747123043744</v>
      </c>
      <c r="AB3" s="42" t="n">
        <v>2.532119449827947</v>
      </c>
      <c r="AC3" s="42" t="n">
        <v>2.056268003192383</v>
      </c>
      <c r="AD3" s="42" t="n">
        <v>45.1249207872814</v>
      </c>
      <c r="AE3" s="42" t="n">
        <v>6.026592274621907</v>
      </c>
      <c r="AF3" s="35" t="n">
        <v>0.0455683459896942</v>
      </c>
      <c r="AG3" s="35" t="n">
        <v>0.0821384093070814</v>
      </c>
      <c r="AH3" s="35" t="n">
        <v>1.836705189191801</v>
      </c>
      <c r="AI3" s="24" t="inlineStr">
        <is>
          <t>OK</t>
        </is>
      </c>
    </row>
    <row r="4" ht="24" customHeight="1">
      <c r="A4" s="29" t="inlineStr">
        <is>
          <t>hanmi</t>
        </is>
      </c>
      <c r="B4" s="29" t="inlineStr">
        <is>
          <t>한미반도체</t>
        </is>
      </c>
      <c r="C4" s="29" t="inlineStr">
        <is>
          <t>042700</t>
        </is>
      </c>
      <c r="D4" s="29" t="inlineStr">
        <is>
          <t>KOSPI</t>
        </is>
      </c>
      <c r="E4" s="29" t="b">
        <v>0</v>
      </c>
      <c r="F4" s="29" t="inlineStr">
        <is>
          <t>2025</t>
        </is>
      </c>
      <c r="G4" s="29" t="inlineStr">
        <is>
          <t>288500.0</t>
        </is>
      </c>
      <c r="H4" s="29" t="inlineStr">
        <is>
          <t>95312200.0</t>
        </is>
      </c>
      <c r="I4" s="31" t="n">
        <v>27497569700000</v>
      </c>
      <c r="J4" s="29" t="inlineStr">
        <is>
          <t>576684619527.0</t>
        </is>
      </c>
      <c r="K4" s="29" t="inlineStr">
        <is>
          <t>251390142142.0</t>
        </is>
      </c>
      <c r="L4" s="29" t="inlineStr">
        <is>
          <t>214007548411.0</t>
        </is>
      </c>
      <c r="M4" s="29" t="inlineStr">
        <is>
          <t>813331626120.0</t>
        </is>
      </c>
      <c r="N4" s="29" t="inlineStr">
        <is>
          <t>123004106583.0</t>
        </is>
      </c>
      <c r="O4" s="29" t="inlineStr">
        <is>
          <t>690327519537.0</t>
        </is>
      </c>
      <c r="P4" s="29" t="inlineStr">
        <is>
          <t>209512898063.0</t>
        </is>
      </c>
      <c r="Q4" s="29" t="inlineStr">
        <is>
          <t>0.36330585378684743</t>
        </is>
      </c>
      <c r="R4" s="29" t="inlineStr">
        <is>
          <t>2.5225885225885225</t>
        </is>
      </c>
      <c r="S4" s="29" t="inlineStr">
        <is>
          <t>0.7591998521181753</t>
        </is>
      </c>
      <c r="T4" s="29" t="inlineStr">
        <is>
          <t>-0.6814814814814815</t>
        </is>
      </c>
      <c r="U4" s="29" t="inlineStr">
        <is>
          <t>409500.0</t>
        </is>
      </c>
      <c r="V4" s="29" t="inlineStr">
        <is>
          <t>77400.0</t>
        </is>
      </c>
      <c r="W4" s="29" t="inlineStr">
        <is>
          <t>OK</t>
        </is>
      </c>
      <c r="X4" s="29" t="inlineStr">
        <is>
          <t>yfinance price rows for 042700.KS: 728 | price provider selected: yfinance, rows=728 | DART corp_code resolved from cache for 한미반도체/042700.</t>
        </is>
      </c>
      <c r="Y4" s="31" t="n">
        <v>27620573806583</v>
      </c>
      <c r="Z4" s="43" t="n">
        <v>47.68216243144071</v>
      </c>
      <c r="AA4" s="43" t="n">
        <v>128.4887841768605</v>
      </c>
      <c r="AB4" s="43" t="n">
        <v>39.83264308866394</v>
      </c>
      <c r="AC4" s="43" t="n">
        <v>47.89545771003491</v>
      </c>
      <c r="AD4" s="43" t="n">
        <v>109.8713480617759</v>
      </c>
      <c r="AE4" s="43" t="n">
        <v>131.2452357550395</v>
      </c>
      <c r="AF4" s="36" t="n">
        <v>0.4359230914606178</v>
      </c>
      <c r="AG4" s="36" t="n">
        <v>0.3100087166661616</v>
      </c>
      <c r="AH4" s="36" t="n">
        <v>0.1781822440824876</v>
      </c>
      <c r="AI4" s="29" t="inlineStr">
        <is>
          <t>OK</t>
        </is>
      </c>
    </row>
    <row r="5" ht="24" customHeight="1">
      <c r="A5" s="24" t="inlineStr">
        <is>
          <t>hansol</t>
        </is>
      </c>
      <c r="B5" s="24" t="inlineStr">
        <is>
          <t>한솔케미칼</t>
        </is>
      </c>
      <c r="C5" s="24" t="inlineStr">
        <is>
          <t>014680</t>
        </is>
      </c>
      <c r="D5" s="24" t="inlineStr">
        <is>
          <t>KOSPI</t>
        </is>
      </c>
      <c r="E5" s="24" t="b">
        <v>0</v>
      </c>
      <c r="F5" s="24" t="inlineStr">
        <is>
          <t>2025</t>
        </is>
      </c>
      <c r="G5" s="24" t="inlineStr">
        <is>
          <t>273000.0</t>
        </is>
      </c>
      <c r="H5" s="24" t="inlineStr">
        <is>
          <t>11335195.0</t>
        </is>
      </c>
      <c r="I5" s="30" t="n">
        <v>3094508235000</v>
      </c>
      <c r="J5" s="24" t="inlineStr">
        <is>
          <t>883968714104.0</t>
        </is>
      </c>
      <c r="K5" s="24" t="inlineStr">
        <is>
          <t>156233146521.0</t>
        </is>
      </c>
      <c r="L5" s="24" t="inlineStr">
        <is>
          <t>148134823618.0</t>
        </is>
      </c>
      <c r="M5" s="24" t="inlineStr">
        <is>
          <t>1600348080121.0</t>
        </is>
      </c>
      <c r="N5" s="24" t="inlineStr">
        <is>
          <t>423081692446.0</t>
        </is>
      </c>
      <c r="O5" s="24" t="inlineStr">
        <is>
          <t>1177266387675.0</t>
        </is>
      </c>
      <c r="P5" s="24" t="inlineStr">
        <is>
          <t>200066983741.0</t>
        </is>
      </c>
      <c r="Q5" s="24" t="inlineStr">
        <is>
          <t>0.226328127397348</t>
        </is>
      </c>
      <c r="R5" s="24" t="inlineStr">
        <is>
          <t>1.158102766798419</t>
        </is>
      </c>
      <c r="S5" s="24" t="inlineStr">
        <is>
          <t>0.4843105452716801</t>
        </is>
      </c>
      <c r="T5" s="24" t="inlineStr">
        <is>
          <t>-0.6348547717842323</t>
        </is>
      </c>
      <c r="U5" s="24" t="inlineStr">
        <is>
          <t>338000.0</t>
        </is>
      </c>
      <c r="V5" s="24" t="inlineStr">
        <is>
          <t>112100.0</t>
        </is>
      </c>
      <c r="W5" s="24" t="inlineStr">
        <is>
          <t>OK</t>
        </is>
      </c>
      <c r="X5" s="24" t="inlineStr">
        <is>
          <t>yfinance price rows for 014680.KS: 728 | price provider selected: yfinance, rows=728 | DART corp_code resolved from cache for 한솔케미칼/014680.</t>
        </is>
      </c>
      <c r="Y5" s="30" t="n">
        <v>3517589927446</v>
      </c>
      <c r="Z5" s="42" t="n">
        <v>3.500698820700488</v>
      </c>
      <c r="AA5" s="42" t="n">
        <v>20.88980942779469</v>
      </c>
      <c r="AB5" s="42" t="n">
        <v>2.628553968241111</v>
      </c>
      <c r="AC5" s="42" t="n">
        <v>3.979314959140229</v>
      </c>
      <c r="AD5" s="42" t="n">
        <v>22.51500405500176</v>
      </c>
      <c r="AE5" s="42" t="n">
        <v>15.46736086652881</v>
      </c>
      <c r="AF5" s="35" t="n">
        <v>0.1767405837200467</v>
      </c>
      <c r="AG5" s="35" t="n">
        <v>0.1258294852964872</v>
      </c>
      <c r="AH5" s="35" t="n">
        <v>0.3593763458086576</v>
      </c>
      <c r="AI5" s="24" t="inlineStr">
        <is>
          <t>OK</t>
        </is>
      </c>
    </row>
    <row r="6" ht="24" customHeight="1">
      <c r="A6" s="29" t="inlineStr">
        <is>
          <t>duksan</t>
        </is>
      </c>
      <c r="B6" s="29" t="inlineStr">
        <is>
          <t>덕산테코피아</t>
        </is>
      </c>
      <c r="C6" s="29" t="inlineStr">
        <is>
          <t>317330</t>
        </is>
      </c>
      <c r="D6" s="29" t="inlineStr">
        <is>
          <t>KOSDAQ</t>
        </is>
      </c>
      <c r="E6" s="29" t="b">
        <v>1</v>
      </c>
      <c r="F6" s="29" t="inlineStr">
        <is>
          <t>2025</t>
        </is>
      </c>
      <c r="G6" s="29" t="inlineStr">
        <is>
          <t>20150.0</t>
        </is>
      </c>
      <c r="H6" s="29" t="inlineStr">
        <is>
          <t>20476584.0</t>
        </is>
      </c>
      <c r="I6" s="31" t="n">
        <v>412603167600</v>
      </c>
      <c r="J6" s="29" t="inlineStr">
        <is>
          <t>112078954483.0</t>
        </is>
      </c>
      <c r="K6" s="29" t="inlineStr">
        <is>
          <t>-43026410473.0</t>
        </is>
      </c>
      <c r="L6" s="29" t="inlineStr">
        <is>
          <t>-105550462258.0</t>
        </is>
      </c>
      <c r="M6" s="29" t="inlineStr">
        <is>
          <t>646705781509.0</t>
        </is>
      </c>
      <c r="N6" s="29" t="inlineStr">
        <is>
          <t>540230144773.0</t>
        </is>
      </c>
      <c r="O6" s="29" t="inlineStr">
        <is>
          <t>106475636736.0</t>
        </is>
      </c>
      <c r="P6" s="29" t="inlineStr">
        <is>
          <t>-21599848348.0</t>
        </is>
      </c>
      <c r="Q6" s="29" t="inlineStr">
        <is>
          <t>-0.19271993076341767</t>
        </is>
      </c>
      <c r="R6" s="29" t="inlineStr">
        <is>
          <t>0.008004002001000599</t>
        </is>
      </c>
      <c r="S6" s="29" t="inlineStr">
        <is>
          <t>0.7380712286658945</t>
        </is>
      </c>
      <c r="T6" s="29" t="inlineStr">
        <is>
          <t>-0.7666123778501629</t>
        </is>
      </c>
      <c r="U6" s="29" t="inlineStr">
        <is>
          <t>31250.0</t>
        </is>
      </c>
      <c r="V6" s="29" t="inlineStr">
        <is>
          <t>14330.0</t>
        </is>
      </c>
      <c r="W6" s="29" t="inlineStr">
        <is>
          <t>OK</t>
        </is>
      </c>
      <c r="X6" s="29" t="inlineStr">
        <is>
          <t>yfinance price rows for 317330.KQ: 728 | price provider selected: yfinance, rows=728 | DART corp_code resolved from cache for 덕산테코피아/317330.</t>
        </is>
      </c>
      <c r="Y6" s="31" t="n">
        <v>952833312373</v>
      </c>
      <c r="Z6" s="43" t="n">
        <v>3.681361674930534</v>
      </c>
      <c r="AA6" s="43" t="n">
        <v>-3.909060735247775</v>
      </c>
      <c r="AB6" s="43" t="n">
        <v>3.875094624914289</v>
      </c>
      <c r="AC6" s="43" t="n">
        <v>8.5014471875496</v>
      </c>
      <c r="AD6" s="43" t="n">
        <v>-22.14531265560541</v>
      </c>
      <c r="AE6" s="43" t="n">
        <v>-19.10213261465811</v>
      </c>
      <c r="AF6" s="36" t="n">
        <v>-0.3838937530375178</v>
      </c>
      <c r="AG6" s="36" t="n">
        <v>-0.9913109279609765</v>
      </c>
      <c r="AH6" s="36" t="n">
        <v>5.073744204155064</v>
      </c>
      <c r="AI6" s="29" t="inlineStr">
        <is>
          <t>OK</t>
        </is>
      </c>
    </row>
    <row r="7" ht="24" customHeight="1">
      <c r="A7" s="24" t="inlineStr">
        <is>
          <t>ltc</t>
        </is>
      </c>
      <c r="B7" s="24" t="inlineStr">
        <is>
          <t>엘티씨</t>
        </is>
      </c>
      <c r="C7" s="24" t="inlineStr">
        <is>
          <t>170920</t>
        </is>
      </c>
      <c r="D7" s="24" t="inlineStr">
        <is>
          <t>KOSDAQ</t>
        </is>
      </c>
      <c r="E7" s="24" t="b">
        <v>0</v>
      </c>
      <c r="F7" s="24" t="inlineStr">
        <is>
          <t>2025</t>
        </is>
      </c>
      <c r="G7" s="24" t="inlineStr">
        <is>
          <t>39850.0</t>
        </is>
      </c>
      <c r="H7" s="24" t="inlineStr">
        <is>
          <t>10564126.0</t>
        </is>
      </c>
      <c r="I7" s="30" t="n">
        <v>420980421100</v>
      </c>
      <c r="J7" s="24" t="inlineStr">
        <is>
          <t>310384726014.0</t>
        </is>
      </c>
      <c r="K7" s="24" t="inlineStr">
        <is>
          <t>29629435023.0</t>
        </is>
      </c>
      <c r="L7" s="24" t="inlineStr">
        <is>
          <t>18189648458.0</t>
        </is>
      </c>
      <c r="M7" s="24" t="inlineStr">
        <is>
          <t>383387868522.0</t>
        </is>
      </c>
      <c r="N7" s="24" t="inlineStr">
        <is>
          <t>159648759353.0</t>
        </is>
      </c>
      <c r="O7" s="24" t="inlineStr">
        <is>
          <t>223739109169.0</t>
        </is>
      </c>
      <c r="P7" s="24" t="inlineStr">
        <is>
          <t>24709885929.0</t>
        </is>
      </c>
      <c r="Q7" s="24" t="inlineStr">
        <is>
          <t>0.07961050869457234</t>
        </is>
      </c>
      <c r="R7" s="24" t="inlineStr">
        <is>
          <t>2.5048372911169743</t>
        </is>
      </c>
      <c r="S7" s="24" t="inlineStr">
        <is>
          <t>0.6766939213916935</t>
        </is>
      </c>
      <c r="T7" s="24" t="inlineStr">
        <is>
          <t>-0.5848765432098766</t>
        </is>
      </c>
      <c r="U7" s="24" t="inlineStr">
        <is>
          <t>49650.0</t>
        </is>
      </c>
      <c r="V7" s="24" t="inlineStr">
        <is>
          <t>9260.0</t>
        </is>
      </c>
      <c r="W7" s="24" t="inlineStr">
        <is>
          <t>OK</t>
        </is>
      </c>
      <c r="X7" s="24" t="inlineStr">
        <is>
          <t>yfinance price rows for 170920.KQ: 727 | price provider selected: yfinance, rows=727 | DART corp_code resolved from cache for 엘티씨/170920.</t>
        </is>
      </c>
      <c r="Y7" s="30" t="n">
        <v>580629180453</v>
      </c>
      <c r="Z7" s="42" t="n">
        <v>1.356318097563253</v>
      </c>
      <c r="AA7" s="42" t="n">
        <v>23.14395586435033</v>
      </c>
      <c r="AB7" s="42" t="n">
        <v>1.881568326000686</v>
      </c>
      <c r="AC7" s="42" t="n">
        <v>1.870675751057449</v>
      </c>
      <c r="AD7" s="42" t="n">
        <v>19.59636354869013</v>
      </c>
      <c r="AE7" s="42" t="n">
        <v>17.03692288623353</v>
      </c>
      <c r="AF7" s="35" t="n">
        <v>0.09546035142742029</v>
      </c>
      <c r="AG7" s="35" t="n">
        <v>0.08129847537857388</v>
      </c>
      <c r="AH7" s="35" t="n">
        <v>0.7135487396278595</v>
      </c>
      <c r="AI7" s="24" t="inlineStr">
        <is>
          <t>OK</t>
        </is>
      </c>
    </row>
  </sheetData>
  <autoFilter ref="A2:AI7"/>
  <mergeCells count="1">
    <mergeCell ref="A1:F1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ML 보조판단 요인</t>
        </is>
      </c>
    </row>
    <row r="2" ht="24" customHeight="1">
      <c r="A2" s="25" t="inlineStr">
        <is>
          <t>요인</t>
        </is>
      </c>
      <c r="B2" s="25" t="inlineStr">
        <is>
          <t>요인 코드</t>
        </is>
      </c>
      <c r="C2" s="25" t="inlineStr">
        <is>
          <t>점수</t>
        </is>
      </c>
      <c r="D2" s="25" t="inlineStr">
        <is>
          <t>해석</t>
        </is>
      </c>
    </row>
    <row r="3" ht="24" customHeight="1">
      <c r="A3" s="24" t="inlineStr">
        <is>
          <t>영업이익률 peer percentile</t>
        </is>
      </c>
      <c r="B3" s="24" t="inlineStr">
        <is>
          <t>operating_margin_percentile</t>
        </is>
      </c>
      <c r="C3" s="30" t="n">
        <v>20</v>
      </c>
      <c r="D3" s="24" t="inlineStr">
        <is>
          <t>높을수록 우수</t>
        </is>
      </c>
    </row>
    <row r="4" ht="24" customHeight="1">
      <c r="A4" s="29" t="inlineStr">
        <is>
          <t>ROE peer percentile</t>
        </is>
      </c>
      <c r="B4" s="29" t="inlineStr">
        <is>
          <t>roe_percentile</t>
        </is>
      </c>
      <c r="C4" s="31" t="n">
        <v>20</v>
      </c>
      <c r="D4" s="29" t="inlineStr">
        <is>
          <t>높을수록 우수</t>
        </is>
      </c>
    </row>
    <row r="5" ht="24" customHeight="1">
      <c r="A5" s="24" t="inlineStr">
        <is>
          <t>FCF margin peer percentile</t>
        </is>
      </c>
      <c r="B5" s="24" t="inlineStr">
        <is>
          <t>fcf_margin_percentile</t>
        </is>
      </c>
      <c r="C5" s="30" t="n">
        <v>20</v>
      </c>
      <c r="D5" s="24" t="inlineStr">
        <is>
          <t>높을수록 우수</t>
        </is>
      </c>
    </row>
    <row r="6" ht="24" customHeight="1">
      <c r="A6" s="29" t="inlineStr">
        <is>
          <t>부채비율 안정성</t>
        </is>
      </c>
      <c r="B6" s="29" t="inlineStr">
        <is>
          <t>debt_ratio_inverse_percentile</t>
        </is>
      </c>
      <c r="C6" s="31" t="n">
        <v>20</v>
      </c>
      <c r="D6" s="29" t="inlineStr">
        <is>
          <t>낮을수록 우수</t>
        </is>
      </c>
    </row>
    <row r="7" ht="24" customHeight="1">
      <c r="A7" s="24" t="inlineStr">
        <is>
          <t>PSR 상대 매력도</t>
        </is>
      </c>
      <c r="B7" s="24" t="inlineStr">
        <is>
          <t>psr_inverse_percentile</t>
        </is>
      </c>
      <c r="C7" s="30" t="n">
        <v>40</v>
      </c>
      <c r="D7" s="24" t="inlineStr">
        <is>
          <t>낮은 PSR일수록 상대가치 부담이 낮음</t>
        </is>
      </c>
    </row>
    <row r="8" ht="24" customHeight="1">
      <c r="A8" s="29" t="inlineStr">
        <is>
          <t>변동성 안정성</t>
        </is>
      </c>
      <c r="B8" s="29" t="inlineStr">
        <is>
          <t>volatility_inverse_score</t>
        </is>
      </c>
      <c r="C8" s="31" t="n">
        <v>0</v>
      </c>
      <c r="D8" s="29" t="inlineStr">
        <is>
          <t>낮을수록 우수</t>
        </is>
      </c>
    </row>
    <row r="9" ht="24" customHeight="1">
      <c r="A9" s="24" t="inlineStr">
        <is>
          <t>MDD 방어력</t>
        </is>
      </c>
      <c r="B9" s="24" t="inlineStr">
        <is>
          <t>mdd_resilience_score</t>
        </is>
      </c>
      <c r="C9" s="30" t="n">
        <v>0</v>
      </c>
      <c r="D9" s="24" t="inlineStr">
        <is>
          <t>낙폭이 작을수록 우수</t>
        </is>
      </c>
    </row>
    <row r="10" ht="24" customHeight="1">
      <c r="A10" s="29" t="inlineStr">
        <is>
          <t>208개 반도체 valuation proxy percentile</t>
        </is>
      </c>
      <c r="B10" s="29" t="inlineStr">
        <is>
          <t>reference_208_valuation_proxy_percentile</t>
        </is>
      </c>
      <c r="C10" s="31" t="n">
        <v>5.77</v>
      </c>
      <c r="D10" s="29" t="inlineStr">
        <is>
          <t>높을수록 universe 내 가치평가 proxy 우호</t>
        </is>
      </c>
    </row>
    <row r="11" ht="24" customHeight="1">
      <c r="A11" s="24" t="inlineStr">
        <is>
          <t>208개 반도체 credit risk inverse percentile</t>
        </is>
      </c>
      <c r="B11" s="24" t="inlineStr">
        <is>
          <t>reference_208_credit_risk_inverse_percentile</t>
        </is>
      </c>
      <c r="C11" s="30" t="n">
        <v>9.130000000000001</v>
      </c>
      <c r="D11" s="24" t="inlineStr">
        <is>
          <t>낮은 신용위험 proxy일수록 우수</t>
        </is>
      </c>
    </row>
    <row r="12" ht="24" customHeight="1">
      <c r="A12" s="29" t="inlineStr">
        <is>
          <t>208개 universe confidence</t>
        </is>
      </c>
      <c r="B12" s="29" t="inlineStr">
        <is>
          <t>reference_208_confidence_score</t>
        </is>
      </c>
      <c r="C12" s="31" t="n">
        <v>96.73164161978282</v>
      </c>
      <c r="D12" s="29" t="inlineStr">
        <is>
          <t>높을수록 보조판단 신뢰도 우수</t>
        </is>
      </c>
    </row>
    <row r="13" ht="24" customHeight="1"/>
    <row r="14" ht="24" customHeight="1"/>
    <row r="15" ht="24" customHeight="1">
      <c r="A15" s="22" t="inlineStr">
        <is>
          <t>ML 보조판단 요약</t>
        </is>
      </c>
    </row>
    <row r="16" ht="24" customHeight="1">
      <c r="A16" s="25" t="inlineStr">
        <is>
          <t>항목</t>
        </is>
      </c>
      <c r="B16" s="25" t="inlineStr">
        <is>
          <t>값</t>
        </is>
      </c>
    </row>
    <row r="17" ht="24" customHeight="1">
      <c r="A17" s="24" t="inlineStr">
        <is>
          <t>방법</t>
        </is>
      </c>
      <c r="B17" s="24" t="inlineStr">
        <is>
          <t>실시간 DART·주가 기반 PSR/Peer + 208개 반도체 reference universe 보조판단</t>
        </is>
      </c>
    </row>
    <row r="18" ht="24" customHeight="1">
      <c r="A18" s="29" t="inlineStr">
        <is>
          <t>종합점수</t>
        </is>
      </c>
      <c r="B18" s="31" t="n">
        <v>20.62</v>
      </c>
    </row>
    <row r="19" ht="24" customHeight="1">
      <c r="A19" s="24" t="inlineStr">
        <is>
          <t>라벨</t>
        </is>
      </c>
      <c r="B19" s="24" t="inlineStr">
        <is>
          <t>가치평가 보조근거 주의</t>
        </is>
      </c>
    </row>
    <row r="20" ht="24" customHeight="1">
      <c r="A20" s="29" t="inlineStr">
        <is>
          <t>클러스터</t>
        </is>
      </c>
      <c r="B20" s="29" t="inlineStr">
        <is>
          <t>소재</t>
        </is>
      </c>
    </row>
    <row r="21" ht="24" customHeight="1">
      <c r="A21" s="24" t="inlineStr">
        <is>
          <t>주의</t>
        </is>
      </c>
      <c r="B21" s="24" t="inlineStr">
        <is>
          <t>미래수익률 예측모델이 아니라 대시보드/Chair용 설명가능 보조 가치평가 점수입니다.</t>
        </is>
      </c>
    </row>
  </sheetData>
  <autoFilter ref="A16:B21"/>
  <mergeCells count="2">
    <mergeCell ref="A1:F1"/>
    <mergeCell ref="A15:F15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WACC × 영구성장률 민감도</t>
        </is>
      </c>
    </row>
    <row r="2" ht="24" customHeight="1">
      <c r="A2" s="25" t="inlineStr">
        <is>
          <t>WACC</t>
        </is>
      </c>
      <c r="B2" s="25" t="inlineStr">
        <is>
          <t>영구성장률</t>
        </is>
      </c>
      <c r="C2" s="25" t="inlineStr">
        <is>
          <t>기업가치(EV)</t>
        </is>
      </c>
    </row>
    <row r="3" ht="24" customHeight="1">
      <c r="A3" s="35" t="n">
        <v>0.07068398456306622</v>
      </c>
      <c r="B3" s="35" t="n">
        <v>0.004999999999999999</v>
      </c>
      <c r="C3" s="30" t="n">
        <v>-351622506514.2507</v>
      </c>
    </row>
    <row r="4" ht="24" customHeight="1">
      <c r="A4" s="36" t="n">
        <v>0.07068398456306622</v>
      </c>
      <c r="B4" s="36" t="n">
        <v>0.009999999999999998</v>
      </c>
      <c r="C4" s="31" t="n">
        <v>-374468060760.6483</v>
      </c>
    </row>
    <row r="5" ht="24" customHeight="1">
      <c r="A5" s="35" t="n">
        <v>0.07068398456306622</v>
      </c>
      <c r="B5" s="35" t="n">
        <v>0.015</v>
      </c>
      <c r="C5" s="30" t="n">
        <v>-401416330433.3322</v>
      </c>
    </row>
    <row r="6" ht="24" customHeight="1">
      <c r="A6" s="36" t="n">
        <v>0.07068398456306622</v>
      </c>
      <c r="B6" s="36" t="n">
        <v>0.02</v>
      </c>
      <c r="C6" s="31" t="n">
        <v>-433681520215.001</v>
      </c>
    </row>
    <row r="7" ht="24" customHeight="1">
      <c r="A7" s="35" t="n">
        <v>0.07068398456306622</v>
      </c>
      <c r="B7" s="35" t="n">
        <v>0.025</v>
      </c>
      <c r="C7" s="30" t="n">
        <v>-473009401679.6</v>
      </c>
    </row>
    <row r="8" ht="24" customHeight="1">
      <c r="A8" s="36" t="n">
        <v>0.08068398456306622</v>
      </c>
      <c r="B8" s="36" t="n">
        <v>0.004999999999999999</v>
      </c>
      <c r="C8" s="31" t="n">
        <v>-306975653378.0881</v>
      </c>
    </row>
    <row r="9" ht="24" customHeight="1">
      <c r="A9" s="35" t="n">
        <v>0.08068398456306622</v>
      </c>
      <c r="B9" s="35" t="n">
        <v>0.009999999999999998</v>
      </c>
      <c r="C9" s="30" t="n">
        <v>-323376287150.1718</v>
      </c>
    </row>
    <row r="10" ht="24" customHeight="1">
      <c r="A10" s="36" t="n">
        <v>0.08068398456306622</v>
      </c>
      <c r="B10" s="36" t="n">
        <v>0.015</v>
      </c>
      <c r="C10" s="31" t="n">
        <v>-342273820871.4867</v>
      </c>
    </row>
    <row r="11" ht="24" customHeight="1">
      <c r="A11" s="35" t="n">
        <v>0.08068398456306622</v>
      </c>
      <c r="B11" s="35" t="n">
        <v>0.02</v>
      </c>
      <c r="C11" s="30" t="n">
        <v>-364285443731.3745</v>
      </c>
    </row>
    <row r="12" ht="24" customHeight="1">
      <c r="A12" s="36" t="n">
        <v>0.08068398456306622</v>
      </c>
      <c r="B12" s="36" t="n">
        <v>0.025</v>
      </c>
      <c r="C12" s="31" t="n">
        <v>-390250020574.8185</v>
      </c>
    </row>
    <row r="13" ht="24" customHeight="1">
      <c r="A13" s="35" t="n">
        <v>0.08568398456306622</v>
      </c>
      <c r="B13" s="35" t="n">
        <v>0.004999999999999999</v>
      </c>
      <c r="C13" s="30" t="n">
        <v>-288999376445.4971</v>
      </c>
    </row>
    <row r="14" ht="24" customHeight="1">
      <c r="A14" s="36" t="n">
        <v>0.08568398456306622</v>
      </c>
      <c r="B14" s="36" t="n">
        <v>0.009999999999999998</v>
      </c>
      <c r="C14" s="31" t="n">
        <v>-303104453162.7229</v>
      </c>
    </row>
    <row r="15" ht="24" customHeight="1">
      <c r="A15" s="35" t="n">
        <v>0.08568398456306622</v>
      </c>
      <c r="B15" s="35" t="n">
        <v>0.015</v>
      </c>
      <c r="C15" s="30" t="n">
        <v>-319205042272.8077</v>
      </c>
    </row>
    <row r="16" ht="24" customHeight="1">
      <c r="A16" s="36" t="n">
        <v>0.08568398456306622</v>
      </c>
      <c r="B16" s="36" t="n">
        <v>0.02</v>
      </c>
      <c r="C16" s="31" t="n">
        <v>-337756851298.552</v>
      </c>
    </row>
    <row r="17" ht="24" customHeight="1">
      <c r="A17" s="35" t="n">
        <v>0.08568398456306622</v>
      </c>
      <c r="B17" s="35" t="n">
        <v>0.025</v>
      </c>
      <c r="C17" s="30" t="n">
        <v>-359365778138.7112</v>
      </c>
    </row>
    <row r="18" ht="24" customHeight="1">
      <c r="A18" s="36" t="n">
        <v>0.09068398456306623</v>
      </c>
      <c r="B18" s="36" t="n">
        <v>0.004999999999999999</v>
      </c>
      <c r="C18" s="31" t="n">
        <v>-273239502231.4995</v>
      </c>
    </row>
    <row r="19" ht="24" customHeight="1">
      <c r="A19" s="35" t="n">
        <v>0.09068398456306623</v>
      </c>
      <c r="B19" s="35" t="n">
        <v>0.009999999999999998</v>
      </c>
      <c r="C19" s="30" t="n">
        <v>-285471510559.209</v>
      </c>
    </row>
    <row r="20" ht="24" customHeight="1">
      <c r="A20" s="36" t="n">
        <v>0.09068398456306623</v>
      </c>
      <c r="B20" s="36" t="n">
        <v>0.015</v>
      </c>
      <c r="C20" s="31" t="n">
        <v>-299319713964.1632</v>
      </c>
    </row>
    <row r="21" ht="24" customHeight="1">
      <c r="A21" s="35" t="n">
        <v>0.09068398456306623</v>
      </c>
      <c r="B21" s="35" t="n">
        <v>0.02</v>
      </c>
      <c r="C21" s="30" t="n">
        <v>-315127088670.8709</v>
      </c>
    </row>
    <row r="22" ht="24" customHeight="1">
      <c r="A22" s="36" t="n">
        <v>0.09068398456306623</v>
      </c>
      <c r="B22" s="36" t="n">
        <v>0.025</v>
      </c>
      <c r="C22" s="31" t="n">
        <v>-333341043126.3345</v>
      </c>
    </row>
    <row r="23" ht="24" customHeight="1">
      <c r="A23" s="35" t="n">
        <v>0.1006839845630662</v>
      </c>
      <c r="B23" s="35" t="n">
        <v>0.004999999999999999</v>
      </c>
      <c r="C23" s="30" t="n">
        <v>-246965828719.754</v>
      </c>
    </row>
    <row r="24" ht="24" customHeight="1">
      <c r="A24" s="36" t="n">
        <v>0.1006839845630662</v>
      </c>
      <c r="B24" s="36" t="n">
        <v>0.009999999999999998</v>
      </c>
      <c r="C24" s="31" t="n">
        <v>-256362197824.1884</v>
      </c>
    </row>
    <row r="25" ht="24" customHeight="1">
      <c r="A25" s="35" t="n">
        <v>0.1006839845630662</v>
      </c>
      <c r="B25" s="35" t="n">
        <v>0.015</v>
      </c>
      <c r="C25" s="30" t="n">
        <v>-266855197664.5008</v>
      </c>
    </row>
    <row r="26" ht="24" customHeight="1">
      <c r="A26" s="36" t="n">
        <v>0.1006839845630662</v>
      </c>
      <c r="B26" s="36" t="n">
        <v>0.02</v>
      </c>
      <c r="C26" s="31" t="n">
        <v>-278648703410.308</v>
      </c>
    </row>
    <row r="27" ht="24" customHeight="1">
      <c r="A27" s="35" t="n">
        <v>0.1006839845630662</v>
      </c>
      <c r="B27" s="35" t="n">
        <v>0.025</v>
      </c>
      <c r="C27" s="30" t="n">
        <v>-292000465610.7526</v>
      </c>
    </row>
  </sheetData>
  <autoFilter ref="A2:C27"/>
  <mergeCells count="1">
    <mergeCell ref="A1:F1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검증 체크</t>
        </is>
      </c>
    </row>
    <row r="2" ht="24" customHeight="1">
      <c r="A2" s="25" t="inlineStr">
        <is>
          <t>중요도</t>
        </is>
      </c>
      <c r="B2" s="25" t="inlineStr">
        <is>
          <t>코드</t>
        </is>
      </c>
      <c r="C2" s="25" t="inlineStr">
        <is>
          <t>메시지</t>
        </is>
      </c>
    </row>
    <row r="3" ht="24" customHeight="1">
      <c r="A3" s="24" t="inlineStr">
        <is>
          <t>MEDIUM</t>
        </is>
      </c>
      <c r="B3" s="24" t="inlineStr">
        <is>
          <t>NEGATIVE_FCF_MARGIN</t>
        </is>
      </c>
      <c r="C3" s="24" t="inlineStr">
        <is>
          <t>최근 연도 FCF margin이 음수입니다. DCF 결과 해석 시 보수적으로 봐야 합니다.</t>
        </is>
      </c>
    </row>
    <row r="4" ht="24" customHeight="1">
      <c r="A4" s="29" t="inlineStr">
        <is>
          <t>MEDIUM</t>
        </is>
      </c>
      <c r="B4" s="29" t="inlineStr">
        <is>
          <t>NEGATIVE_ENTERPRISE_VALUE</t>
        </is>
      </c>
      <c r="C4" s="29" t="inlineStr">
        <is>
          <t>DCF EV가 음수입니다. FCF margin/성장률/WACC 가정을 확인하세요.</t>
        </is>
      </c>
    </row>
    <row r="5" ht="24" customHeight="1">
      <c r="A5" s="24" t="inlineStr">
        <is>
          <t>MEDIUM</t>
        </is>
      </c>
      <c r="B5" s="24" t="inlineStr">
        <is>
          <t>NEGATIVE_EQUITY_VALUE</t>
        </is>
      </c>
      <c r="C5" s="24" t="inlineStr">
        <is>
          <t>DCF 지분가치가 음수입니다. 부채 proxy와 현금흐름 가정을 확인하세요.</t>
        </is>
      </c>
    </row>
  </sheetData>
  <autoFilter ref="A2:C5"/>
  <mergeCells count="1">
    <mergeCell ref="A1:F1"/>
  </mergeCells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20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대시보드 JSON 내보내기</t>
        </is>
      </c>
    </row>
    <row r="2" ht="24" customHeight="1">
      <c r="A2" s="25" t="inlineStr">
        <is>
          <t>구분</t>
        </is>
      </c>
      <c r="B2" s="25" t="inlineStr">
        <is>
          <t>항목</t>
        </is>
      </c>
      <c r="C2" s="25" t="inlineStr">
        <is>
          <t>값</t>
        </is>
      </c>
      <c r="D2" s="25" t="inlineStr">
        <is>
          <t>설명</t>
        </is>
      </c>
    </row>
    <row r="3" ht="24" customHeight="1">
      <c r="A3" s="24" t="inlineStr">
        <is>
          <t>agent</t>
        </is>
      </c>
      <c r="B3" s="24" t="inlineStr">
        <is>
          <t>값</t>
        </is>
      </c>
      <c r="C3" s="24" t="inlineStr">
        <is>
          <t>valuation</t>
        </is>
      </c>
      <c r="D3" s="24" t="inlineStr">
        <is>
          <t>대시보드 기본값</t>
        </is>
      </c>
    </row>
    <row r="4" ht="24" customHeight="1">
      <c r="A4" s="29" t="inlineStr">
        <is>
          <t>기업코드</t>
        </is>
      </c>
      <c r="B4" s="29" t="inlineStr">
        <is>
          <t>값</t>
        </is>
      </c>
      <c r="C4" s="29" t="inlineStr">
        <is>
          <t>duksan</t>
        </is>
      </c>
      <c r="D4" s="29" t="inlineStr">
        <is>
          <t>대시보드 기본값</t>
        </is>
      </c>
    </row>
    <row r="5" ht="24" customHeight="1">
      <c r="A5" s="24" t="inlineStr">
        <is>
          <t>기업명</t>
        </is>
      </c>
      <c r="B5" s="24" t="inlineStr">
        <is>
          <t>값</t>
        </is>
      </c>
      <c r="C5" s="24" t="inlineStr">
        <is>
          <t>덕산테코피아</t>
        </is>
      </c>
      <c r="D5" s="24" t="inlineStr">
        <is>
          <t>대시보드 기본값</t>
        </is>
      </c>
    </row>
    <row r="6" ht="24" customHeight="1">
      <c r="A6" s="29" t="inlineStr">
        <is>
          <t>상태</t>
        </is>
      </c>
      <c r="B6" s="29" t="inlineStr">
        <is>
          <t>값</t>
        </is>
      </c>
      <c r="C6" s="29" t="inlineStr">
        <is>
          <t>PASS_WITH_WARNINGS</t>
        </is>
      </c>
      <c r="D6" s="29" t="inlineStr">
        <is>
          <t>대시보드 기본값</t>
        </is>
      </c>
    </row>
    <row r="7" ht="24" customHeight="1">
      <c r="A7" s="24" t="inlineStr">
        <is>
          <t>korean_label</t>
        </is>
      </c>
      <c r="B7" s="24" t="inlineStr">
        <is>
          <t>값</t>
        </is>
      </c>
      <c r="C7" s="24" t="inlineStr">
        <is>
          <t>독립 가치평가 에이전트</t>
        </is>
      </c>
      <c r="D7" s="24" t="inlineStr">
        <is>
          <t>대시보드 기본값</t>
        </is>
      </c>
    </row>
    <row r="8" ht="24" customHeight="1">
      <c r="A8" s="29" t="inlineStr">
        <is>
          <t>요약 카드</t>
        </is>
      </c>
      <c r="B8" s="29" t="inlineStr">
        <is>
          <t>상위 블록</t>
        </is>
      </c>
      <c r="C8" s="29" t="inlineStr">
        <is>
          <t>31개 항목</t>
        </is>
      </c>
      <c r="D8" s="29" t="inlineStr">
        <is>
          <t>대시보드에서 객체로 사용</t>
        </is>
      </c>
    </row>
    <row r="9" ht="24" customHeight="1">
      <c r="A9" s="24" t="inlineStr">
        <is>
          <t>요약 카드</t>
        </is>
      </c>
      <c r="B9" s="24" t="inlineStr">
        <is>
          <t>WACC</t>
        </is>
      </c>
      <c r="C9" s="24" t="inlineStr">
        <is>
          <t>WACC</t>
        </is>
      </c>
      <c r="D9" s="24" t="inlineStr">
        <is>
          <t>JSON 상세는 dashboard_payload 파일 참조</t>
        </is>
      </c>
    </row>
    <row r="10" ht="24" customHeight="1">
      <c r="A10" s="29" t="inlineStr">
        <is>
          <t>요약 카드</t>
        </is>
      </c>
      <c r="B10" s="29" t="inlineStr">
        <is>
          <t>기업가치(EV)</t>
        </is>
      </c>
      <c r="C10" s="29" t="inlineStr">
        <is>
          <t>DCF 기업가치</t>
        </is>
      </c>
      <c r="D10" s="29" t="inlineStr">
        <is>
          <t>JSON 상세는 dashboard_payload 파일 참조</t>
        </is>
      </c>
    </row>
    <row r="11" ht="24" customHeight="1">
      <c r="A11" s="24" t="inlineStr">
        <is>
          <t>요약 카드</t>
        </is>
      </c>
      <c r="B11" s="24" t="inlineStr">
        <is>
          <t>equity_value</t>
        </is>
      </c>
      <c r="C11" s="24" t="inlineStr">
        <is>
          <t>DCF 지분가치</t>
        </is>
      </c>
      <c r="D11" s="24" t="inlineStr">
        <is>
          <t>JSON 상세는 dashboard_payload 파일 참조</t>
        </is>
      </c>
    </row>
    <row r="12" ht="24" customHeight="1">
      <c r="A12" s="29" t="inlineStr">
        <is>
          <t>요약 카드</t>
        </is>
      </c>
      <c r="B12" s="29" t="inlineStr">
        <is>
          <t>latest_close</t>
        </is>
      </c>
      <c r="C12" s="29" t="inlineStr">
        <is>
          <t>현재가</t>
        </is>
      </c>
      <c r="D12" s="29" t="inlineStr">
        <is>
          <t>JSON 상세는 dashboard_payload 파일 참조</t>
        </is>
      </c>
    </row>
    <row r="13" ht="24" customHeight="1">
      <c r="A13" s="24" t="inlineStr">
        <is>
          <t>요약 카드</t>
        </is>
      </c>
      <c r="B13" s="24" t="inlineStr">
        <is>
          <t>implied_price</t>
        </is>
      </c>
      <c r="C13" s="24" t="inlineStr">
        <is>
          <t>DCF 내재주가</t>
        </is>
      </c>
      <c r="D13" s="24" t="inlineStr">
        <is>
          <t>JSON 상세는 dashboard_payload 파일 참조</t>
        </is>
      </c>
    </row>
    <row r="14" ht="24" customHeight="1">
      <c r="A14" s="29" t="inlineStr">
        <is>
          <t>요약 카드</t>
        </is>
      </c>
      <c r="B14" s="29" t="inlineStr">
        <is>
          <t>현재가 대비</t>
        </is>
      </c>
      <c r="C14" s="29" t="inlineStr">
        <is>
          <t>현재가 대비 괴리율</t>
        </is>
      </c>
      <c r="D14" s="29" t="inlineStr">
        <is>
          <t>JSON 상세는 dashboard_payload 파일 참조</t>
        </is>
      </c>
    </row>
    <row r="15" ht="24" customHeight="1">
      <c r="A15" s="24" t="inlineStr">
        <is>
          <t>요약 카드</t>
        </is>
      </c>
      <c r="B15" s="24" t="inlineStr">
        <is>
          <t>분석대상 P/S</t>
        </is>
      </c>
      <c r="C15" s="24" t="inlineStr">
        <is>
          <t>P/S</t>
        </is>
      </c>
      <c r="D15" s="24" t="inlineStr">
        <is>
          <t>JSON 상세는 dashboard_payload 파일 참조</t>
        </is>
      </c>
    </row>
    <row r="16" ht="24" customHeight="1">
      <c r="A16" s="29" t="inlineStr">
        <is>
          <t>요약 카드</t>
        </is>
      </c>
      <c r="B16" s="29" t="inlineStr">
        <is>
          <t>Peer P/S 중앙값</t>
        </is>
      </c>
      <c r="C16" s="29" t="inlineStr">
        <is>
          <t>비교기업 P/S 중앙값</t>
        </is>
      </c>
      <c r="D16" s="29" t="inlineStr">
        <is>
          <t>JSON 상세는 dashboard_payload 파일 참조</t>
        </is>
      </c>
    </row>
    <row r="17" ht="24" customHeight="1">
      <c r="A17" s="24" t="inlineStr">
        <is>
          <t>요약 카드</t>
        </is>
      </c>
      <c r="B17" s="24" t="inlineStr">
        <is>
          <t>psr_gap</t>
        </is>
      </c>
      <c r="C17" s="24" t="inlineStr">
        <is>
          <t>P/S 중앙값 대비</t>
        </is>
      </c>
      <c r="D17" s="24" t="inlineStr">
        <is>
          <t>JSON 상세는 dashboard_payload 파일 참조</t>
        </is>
      </c>
    </row>
    <row r="18" ht="24" customHeight="1">
      <c r="A18" s="29" t="inlineStr">
        <is>
          <t>요약 카드</t>
        </is>
      </c>
      <c r="B18" s="29" t="inlineStr">
        <is>
          <t>reference_rows</t>
        </is>
      </c>
      <c r="C18" s="29" t="inlineStr">
        <is>
          <t>208개 반도체 비교군</t>
        </is>
      </c>
      <c r="D18" s="29" t="inlineStr">
        <is>
          <t>JSON 상세는 dashboard_payload 파일 참조</t>
        </is>
      </c>
    </row>
    <row r="19" ht="24" customHeight="1">
      <c r="A19" s="24" t="inlineStr">
        <is>
          <t>요약 카드</t>
        </is>
      </c>
      <c r="B19" s="24" t="inlineStr">
        <is>
          <t>reference_peer_group</t>
        </is>
      </c>
      <c r="C19" s="24" t="inlineStr">
        <is>
          <t>기준 비교군 그룹</t>
        </is>
      </c>
      <c r="D19" s="24" t="inlineStr">
        <is>
          <t>JSON 상세는 dashboard_payload 파일 참조</t>
        </is>
      </c>
    </row>
    <row r="20" ht="24" customHeight="1">
      <c r="A20" s="29" t="inlineStr">
        <is>
          <t>요약 카드</t>
        </is>
      </c>
      <c r="B20" s="29" t="inlineStr">
        <is>
          <t>1년 수익률</t>
        </is>
      </c>
      <c r="C20" s="29" t="inlineStr">
        <is>
          <t>1년 수익률</t>
        </is>
      </c>
      <c r="D20" s="29" t="inlineStr">
        <is>
          <t>JSON 상세는 dashboard_payload 파일 참조</t>
        </is>
      </c>
    </row>
    <row r="21" ht="24" customHeight="1">
      <c r="A21" s="24" t="inlineStr">
        <is>
          <t>요약 카드</t>
        </is>
      </c>
      <c r="B21" s="24" t="inlineStr">
        <is>
          <t>MDD</t>
        </is>
      </c>
      <c r="C21" s="24" t="inlineStr">
        <is>
          <t>MDD</t>
        </is>
      </c>
      <c r="D21" s="24" t="inlineStr">
        <is>
          <t>JSON 상세는 dashboard_payload 파일 참조</t>
        </is>
      </c>
    </row>
    <row r="22" ht="24" customHeight="1">
      <c r="A22" s="29" t="inlineStr">
        <is>
          <t>요약 카드</t>
        </is>
      </c>
      <c r="B22" s="29" t="inlineStr">
        <is>
          <t>volatility</t>
        </is>
      </c>
      <c r="C22" s="29" t="inlineStr">
        <is>
          <t>연환산 변동성</t>
        </is>
      </c>
      <c r="D22" s="29" t="inlineStr">
        <is>
          <t>JSON 상세는 dashboard_payload 파일 참조</t>
        </is>
      </c>
    </row>
    <row r="23" ht="24" customHeight="1">
      <c r="A23" s="24" t="inlineStr">
        <is>
          <t>요약 카드</t>
        </is>
      </c>
      <c r="B23" s="24" t="inlineStr">
        <is>
          <t>시가총액</t>
        </is>
      </c>
      <c r="C23" s="24" t="inlineStr">
        <is>
          <t>시가총액</t>
        </is>
      </c>
      <c r="D23" s="24" t="inlineStr">
        <is>
          <t>JSON 상세는 dashboard_payload 파일 참조</t>
        </is>
      </c>
    </row>
    <row r="24" ht="24" customHeight="1">
      <c r="A24" s="29" t="inlineStr">
        <is>
          <t>요약 카드</t>
        </is>
      </c>
      <c r="B24" s="29" t="inlineStr">
        <is>
          <t>발행주식 수</t>
        </is>
      </c>
      <c r="C24" s="29" t="inlineStr">
        <is>
          <t>발행주식 수</t>
        </is>
      </c>
      <c r="D24" s="29" t="inlineStr">
        <is>
          <t>JSON 상세는 dashboard_payload 파일 참조</t>
        </is>
      </c>
    </row>
    <row r="25" ht="24" customHeight="1">
      <c r="A25" s="24" t="inlineStr">
        <is>
          <t>요약 카드</t>
        </is>
      </c>
      <c r="B25" s="24" t="inlineStr">
        <is>
          <t>20일 평균 거래대금</t>
        </is>
      </c>
      <c r="C25" s="24" t="inlineStr">
        <is>
          <t>20일 평균 거래대금</t>
        </is>
      </c>
      <c r="D25" s="24" t="inlineStr">
        <is>
          <t>JSON 상세는 dashboard_payload 파일 참조</t>
        </is>
      </c>
    </row>
    <row r="26" ht="24" customHeight="1">
      <c r="A26" s="29" t="inlineStr">
        <is>
          <t>요약 카드</t>
        </is>
      </c>
      <c r="B26" s="29" t="inlineStr">
        <is>
          <t>최근 거래회전율</t>
        </is>
      </c>
      <c r="C26" s="29" t="inlineStr">
        <is>
          <t>최근 거래회전율</t>
        </is>
      </c>
      <c r="D26" s="29" t="inlineStr">
        <is>
          <t>JSON 상세는 dashboard_payload 파일 참조</t>
        </is>
      </c>
    </row>
    <row r="27" ht="24" customHeight="1">
      <c r="A27" s="24" t="inlineStr">
        <is>
          <t>latest_financials</t>
        </is>
      </c>
      <c r="B27" s="24" t="inlineStr">
        <is>
          <t>상위 블록</t>
        </is>
      </c>
      <c r="C27" s="24" t="inlineStr">
        <is>
          <t>37개 항목</t>
        </is>
      </c>
      <c r="D27" s="24" t="inlineStr">
        <is>
          <t>대시보드에서 객체로 사용</t>
        </is>
      </c>
    </row>
    <row r="28" ht="24" customHeight="1">
      <c r="A28" s="29" t="inlineStr">
        <is>
          <t>latest_financials</t>
        </is>
      </c>
      <c r="B28" s="29" t="inlineStr">
        <is>
          <t>연도</t>
        </is>
      </c>
      <c r="C28" s="31" t="n">
        <v>2025</v>
      </c>
      <c r="D28" s="29" t="inlineStr">
        <is>
          <t>JSON 상세는 dashboard_payload 파일 참조</t>
        </is>
      </c>
    </row>
    <row r="29" ht="24" customHeight="1">
      <c r="A29" s="24" t="inlineStr">
        <is>
          <t>latest_financials</t>
        </is>
      </c>
      <c r="B29" s="24" t="inlineStr">
        <is>
          <t>매출액</t>
        </is>
      </c>
      <c r="C29" s="30" t="n">
        <v>112078954483</v>
      </c>
      <c r="D29" s="24" t="inlineStr">
        <is>
          <t>JSON 상세는 dashboard_payload 파일 참조</t>
        </is>
      </c>
    </row>
    <row r="30" ht="24" customHeight="1">
      <c r="A30" s="29" t="inlineStr">
        <is>
          <t>latest_financials</t>
        </is>
      </c>
      <c r="B30" s="29" t="inlineStr">
        <is>
          <t>영업이익</t>
        </is>
      </c>
      <c r="C30" s="31" t="n">
        <v>-43026410473</v>
      </c>
      <c r="D30" s="29" t="inlineStr">
        <is>
          <t>JSON 상세는 dashboard_payload 파일 참조</t>
        </is>
      </c>
    </row>
    <row r="31" ht="24" customHeight="1">
      <c r="A31" s="24" t="inlineStr">
        <is>
          <t>latest_financials</t>
        </is>
      </c>
      <c r="B31" s="24" t="inlineStr">
        <is>
          <t>순이익</t>
        </is>
      </c>
      <c r="C31" s="30" t="n">
        <v>-105550462258</v>
      </c>
      <c r="D31" s="24" t="inlineStr">
        <is>
          <t>JSON 상세는 dashboard_payload 파일 참조</t>
        </is>
      </c>
    </row>
    <row r="32" ht="24" customHeight="1">
      <c r="A32" s="29" t="inlineStr">
        <is>
          <t>latest_financials</t>
        </is>
      </c>
      <c r="B32" s="29" t="inlineStr">
        <is>
          <t>자산총계</t>
        </is>
      </c>
      <c r="C32" s="31" t="n">
        <v>646705781509</v>
      </c>
      <c r="D32" s="29" t="inlineStr">
        <is>
          <t>JSON 상세는 dashboard_payload 파일 참조</t>
        </is>
      </c>
    </row>
    <row r="33" ht="24" customHeight="1">
      <c r="A33" s="24" t="inlineStr">
        <is>
          <t>latest_financials</t>
        </is>
      </c>
      <c r="B33" s="24" t="inlineStr">
        <is>
          <t>부채총계</t>
        </is>
      </c>
      <c r="C33" s="30" t="n">
        <v>540230144773</v>
      </c>
      <c r="D33" s="24" t="inlineStr">
        <is>
          <t>JSON 상세는 dashboard_payload 파일 참조</t>
        </is>
      </c>
    </row>
    <row r="34" ht="24" customHeight="1">
      <c r="A34" s="29" t="inlineStr">
        <is>
          <t>latest_financials</t>
        </is>
      </c>
      <c r="B34" s="29" t="inlineStr">
        <is>
          <t>자본총계</t>
        </is>
      </c>
      <c r="C34" s="31" t="n">
        <v>106475636736</v>
      </c>
      <c r="D34" s="29" t="inlineStr">
        <is>
          <t>JSON 상세는 dashboard_payload 파일 참조</t>
        </is>
      </c>
    </row>
    <row r="35" ht="24" customHeight="1">
      <c r="A35" s="24" t="inlineStr">
        <is>
          <t>latest_financials</t>
        </is>
      </c>
      <c r="B35" s="24" t="inlineStr">
        <is>
          <t>현금성자산</t>
        </is>
      </c>
      <c r="C35" s="30" t="n">
        <v>40032618067</v>
      </c>
      <c r="D35" s="24" t="inlineStr">
        <is>
          <t>JSON 상세는 dashboard_payload 파일 참조</t>
        </is>
      </c>
    </row>
    <row r="36" ht="24" customHeight="1">
      <c r="A36" s="29" t="inlineStr">
        <is>
          <t>latest_financials</t>
        </is>
      </c>
      <c r="B36" s="29" t="inlineStr">
        <is>
          <t>영업현금흐름</t>
        </is>
      </c>
      <c r="C36" s="31" t="n">
        <v>-21390341189</v>
      </c>
      <c r="D36" s="29" t="inlineStr">
        <is>
          <t>JSON 상세는 dashboard_payload 파일 참조</t>
        </is>
      </c>
    </row>
    <row r="37" ht="24" customHeight="1">
      <c r="A37" s="24" t="inlineStr">
        <is>
          <t>latest_financials</t>
        </is>
      </c>
      <c r="B37" s="24" t="inlineStr">
        <is>
          <t>CAPEX</t>
        </is>
      </c>
      <c r="C37" s="30" t="n">
        <v>209507159</v>
      </c>
      <c r="D37" s="24" t="inlineStr">
        <is>
          <t>JSON 상세는 dashboard_payload 파일 참조</t>
        </is>
      </c>
    </row>
    <row r="38" ht="24" customHeight="1">
      <c r="A38" s="29" t="inlineStr">
        <is>
          <t>latest_financials</t>
        </is>
      </c>
      <c r="B38" s="29" t="inlineStr">
        <is>
          <t>FCF</t>
        </is>
      </c>
      <c r="C38" s="31" t="n">
        <v>-21599848348</v>
      </c>
      <c r="D38" s="29" t="inlineStr">
        <is>
          <t>JSON 상세는 dashboard_payload 파일 참조</t>
        </is>
      </c>
    </row>
    <row r="39" ht="24" customHeight="1">
      <c r="A39" s="24" t="inlineStr">
        <is>
          <t>latest_financials</t>
        </is>
      </c>
      <c r="B39" s="24" t="inlineStr">
        <is>
          <t>투자현금흐름</t>
        </is>
      </c>
      <c r="C39" s="30" t="n">
        <v>24667374851</v>
      </c>
      <c r="D39" s="24" t="inlineStr">
        <is>
          <t>JSON 상세는 dashboard_payload 파일 참조</t>
        </is>
      </c>
    </row>
    <row r="40" ht="24" customHeight="1">
      <c r="A40" s="29" t="inlineStr">
        <is>
          <t>latest_financials</t>
        </is>
      </c>
      <c r="B40" s="29" t="inlineStr">
        <is>
          <t>원천계정수</t>
        </is>
      </c>
      <c r="C40" s="31" t="n">
        <v>166</v>
      </c>
      <c r="D40" s="29" t="inlineStr">
        <is>
          <t>JSON 상세는 dashboard_payload 파일 참조</t>
        </is>
      </c>
    </row>
    <row r="41" ht="24" customHeight="1">
      <c r="A41" s="24" t="inlineStr">
        <is>
          <t>latest_financials</t>
        </is>
      </c>
      <c r="B41" s="24" t="inlineStr">
        <is>
          <t>매출 원천계정</t>
        </is>
      </c>
      <c r="C41" s="24" t="inlineStr">
        <is>
          <t>수익(매출액)</t>
        </is>
      </c>
      <c r="D41" s="24" t="inlineStr">
        <is>
          <t>JSON 상세는 dashboard_payload 파일 참조</t>
        </is>
      </c>
    </row>
    <row r="42" ht="24" customHeight="1">
      <c r="A42" s="29" t="inlineStr">
        <is>
          <t>latest_financials</t>
        </is>
      </c>
      <c r="B42" s="29" t="inlineStr">
        <is>
          <t>영업이익 원천계정</t>
        </is>
      </c>
      <c r="C42" s="29" t="inlineStr">
        <is>
          <t>영업이익(손실)</t>
        </is>
      </c>
      <c r="D42" s="29" t="inlineStr">
        <is>
          <t>JSON 상세는 dashboard_payload 파일 참조</t>
        </is>
      </c>
    </row>
    <row r="43" ht="24" customHeight="1">
      <c r="A43" s="24" t="inlineStr">
        <is>
          <t>latest_financials</t>
        </is>
      </c>
      <c r="B43" s="24" t="inlineStr">
        <is>
          <t>순이익 원천계정</t>
        </is>
      </c>
      <c r="C43" s="24" t="inlineStr">
        <is>
          <t>당기순이익(손실)</t>
        </is>
      </c>
      <c r="D43" s="24" t="inlineStr">
        <is>
          <t>JSON 상세는 dashboard_payload 파일 참조</t>
        </is>
      </c>
    </row>
    <row r="44" ht="24" customHeight="1">
      <c r="A44" s="29" t="inlineStr">
        <is>
          <t>latest_financials</t>
        </is>
      </c>
      <c r="B44" s="29" t="inlineStr">
        <is>
          <t>자산 원천계정</t>
        </is>
      </c>
      <c r="C44" s="29" t="inlineStr">
        <is>
          <t>자산총계</t>
        </is>
      </c>
      <c r="D44" s="29" t="inlineStr">
        <is>
          <t>JSON 상세는 dashboard_payload 파일 참조</t>
        </is>
      </c>
    </row>
    <row r="45" ht="24" customHeight="1">
      <c r="A45" s="24" t="inlineStr">
        <is>
          <t>latest_financials</t>
        </is>
      </c>
      <c r="B45" s="24" t="inlineStr">
        <is>
          <t>부채 원천계정</t>
        </is>
      </c>
      <c r="C45" s="24" t="inlineStr">
        <is>
          <t>부채총계</t>
        </is>
      </c>
      <c r="D45" s="24" t="inlineStr">
        <is>
          <t>JSON 상세는 dashboard_payload 파일 참조</t>
        </is>
      </c>
    </row>
    <row r="46" ht="24" customHeight="1">
      <c r="A46" s="29" t="inlineStr">
        <is>
          <t>주가 요약</t>
        </is>
      </c>
      <c r="B46" s="29" t="inlineStr">
        <is>
          <t>상위 블록</t>
        </is>
      </c>
      <c r="C46" s="29" t="inlineStr">
        <is>
          <t>19개 항목</t>
        </is>
      </c>
      <c r="D46" s="29" t="inlineStr">
        <is>
          <t>대시보드에서 객체로 사용</t>
        </is>
      </c>
    </row>
    <row r="47" ht="24" customHeight="1">
      <c r="A47" s="24" t="inlineStr">
        <is>
          <t>주가 요약</t>
        </is>
      </c>
      <c r="B47" s="24" t="inlineStr">
        <is>
          <t>latest_close</t>
        </is>
      </c>
      <c r="C47" s="30" t="n">
        <v>20200</v>
      </c>
      <c r="D47" s="24" t="inlineStr">
        <is>
          <t>JSON 상세는 dashboard_payload 파일 참조</t>
        </is>
      </c>
    </row>
    <row r="48" ht="24" customHeight="1">
      <c r="A48" s="29" t="inlineStr">
        <is>
          <t>주가 요약</t>
        </is>
      </c>
      <c r="B48" s="29" t="inlineStr">
        <is>
          <t>first_close</t>
        </is>
      </c>
      <c r="C48" s="31" t="n">
        <v>19750</v>
      </c>
      <c r="D48" s="29" t="inlineStr">
        <is>
          <t>JSON 상세는 dashboard_payload 파일 참조</t>
        </is>
      </c>
    </row>
    <row r="49" ht="24" customHeight="1">
      <c r="A49" s="24" t="inlineStr">
        <is>
          <t>주가 요약</t>
        </is>
      </c>
      <c r="B49" s="24" t="inlineStr">
        <is>
          <t>return_total</t>
        </is>
      </c>
      <c r="C49" s="30" t="n">
        <v>0.02278481012658218</v>
      </c>
      <c r="D49" s="24" t="inlineStr">
        <is>
          <t>JSON 상세는 dashboard_payload 파일 참조</t>
        </is>
      </c>
    </row>
    <row r="50" ht="24" customHeight="1">
      <c r="A50" s="29" t="inlineStr">
        <is>
          <t>주가 요약</t>
        </is>
      </c>
      <c r="B50" s="29" t="inlineStr">
        <is>
          <t>1년 수익률</t>
        </is>
      </c>
      <c r="C50" s="31" t="n">
        <v>0.01050525262631319</v>
      </c>
      <c r="D50" s="29" t="inlineStr">
        <is>
          <t>JSON 상세는 dashboard_payload 파일 참조</t>
        </is>
      </c>
    </row>
    <row r="51" ht="24" customHeight="1">
      <c r="A51" s="24" t="inlineStr">
        <is>
          <t>주가 요약</t>
        </is>
      </c>
      <c r="B51" s="24" t="inlineStr">
        <is>
          <t>연환산 변동성</t>
        </is>
      </c>
      <c r="C51" s="30" t="n">
        <v>0.6804966551176381</v>
      </c>
      <c r="D51" s="24" t="inlineStr">
        <is>
          <t>JSON 상세는 dashboard_payload 파일 참조</t>
        </is>
      </c>
    </row>
    <row r="52" ht="24" customHeight="1">
      <c r="A52" s="29" t="inlineStr">
        <is>
          <t>주가 요약</t>
        </is>
      </c>
      <c r="B52" s="29" t="inlineStr">
        <is>
          <t>MDD</t>
        </is>
      </c>
      <c r="C52" s="31" t="n">
        <v>-0.7666123778501629</v>
      </c>
      <c r="D52" s="29" t="inlineStr">
        <is>
          <t>JSON 상세는 dashboard_payload 파일 참조</t>
        </is>
      </c>
    </row>
    <row r="53" ht="24" customHeight="1">
      <c r="A53" s="24" t="inlineStr">
        <is>
          <t>주가 요약</t>
        </is>
      </c>
      <c r="B53" s="24" t="inlineStr">
        <is>
          <t>52주 고가</t>
        </is>
      </c>
      <c r="C53" s="30" t="n">
        <v>31250</v>
      </c>
      <c r="D53" s="24" t="inlineStr">
        <is>
          <t>JSON 상세는 dashboard_payload 파일 참조</t>
        </is>
      </c>
    </row>
    <row r="54" ht="24" customHeight="1">
      <c r="A54" s="29" t="inlineStr">
        <is>
          <t>주가 요약</t>
        </is>
      </c>
      <c r="B54" s="29" t="inlineStr">
        <is>
          <t>52주 저가</t>
        </is>
      </c>
      <c r="C54" s="31" t="n">
        <v>14330</v>
      </c>
      <c r="D54" s="29" t="inlineStr">
        <is>
          <t>JSON 상세는 dashboard_payload 파일 참조</t>
        </is>
      </c>
    </row>
    <row r="55" ht="24" customHeight="1">
      <c r="A55" s="24" t="inlineStr">
        <is>
          <t>주가 요약</t>
        </is>
      </c>
      <c r="B55" s="24" t="inlineStr">
        <is>
          <t>발행주식 수</t>
        </is>
      </c>
      <c r="C55" s="30" t="n">
        <v>20476584</v>
      </c>
      <c r="D55" s="24" t="inlineStr">
        <is>
          <t>JSON 상세는 dashboard_payload 파일 참조</t>
        </is>
      </c>
    </row>
    <row r="56" ht="24" customHeight="1">
      <c r="A56" s="29" t="inlineStr">
        <is>
          <t>주가 요약</t>
        </is>
      </c>
      <c r="B56" s="29" t="inlineStr">
        <is>
          <t>시가총액</t>
        </is>
      </c>
      <c r="C56" s="31" t="n">
        <v>413626996800</v>
      </c>
      <c r="D56" s="29" t="inlineStr">
        <is>
          <t>JSON 상세는 dashboard_payload 파일 참조</t>
        </is>
      </c>
    </row>
    <row r="57" ht="24" customHeight="1">
      <c r="A57" s="24" t="inlineStr">
        <is>
          <t>주가 요약</t>
        </is>
      </c>
      <c r="B57" s="24" t="inlineStr">
        <is>
          <t>최근 거래량</t>
        </is>
      </c>
      <c r="C57" s="30" t="n">
        <v>70979</v>
      </c>
      <c r="D57" s="24" t="inlineStr">
        <is>
          <t>JSON 상세는 dashboard_payload 파일 참조</t>
        </is>
      </c>
    </row>
    <row r="58" ht="24" customHeight="1">
      <c r="A58" s="29" t="inlineStr">
        <is>
          <t>주가 요약</t>
        </is>
      </c>
      <c r="B58" s="29" t="inlineStr">
        <is>
          <t>최근 거래대금</t>
        </is>
      </c>
      <c r="C58" s="31" t="n">
        <v>1433775800</v>
      </c>
      <c r="D58" s="29" t="inlineStr">
        <is>
          <t>JSON 상세는 dashboard_payload 파일 참조</t>
        </is>
      </c>
    </row>
    <row r="59" ht="24" customHeight="1">
      <c r="A59" s="24" t="inlineStr">
        <is>
          <t>주가 요약</t>
        </is>
      </c>
      <c r="B59" s="24" t="inlineStr">
        <is>
          <t>20일 평균 거래대금</t>
        </is>
      </c>
      <c r="C59" s="30" t="n">
        <v>11121560520</v>
      </c>
      <c r="D59" s="24" t="inlineStr">
        <is>
          <t>JSON 상세는 dashboard_payload 파일 참조</t>
        </is>
      </c>
    </row>
    <row r="60" ht="24" customHeight="1">
      <c r="A60" s="29" t="inlineStr">
        <is>
          <t>주가 요약</t>
        </is>
      </c>
      <c r="B60" s="29" t="inlineStr">
        <is>
          <t>20일 평균 거래량</t>
        </is>
      </c>
      <c r="C60" s="31" t="n">
        <v>425445.1</v>
      </c>
      <c r="D60" s="29" t="inlineStr">
        <is>
          <t>JSON 상세는 dashboard_payload 파일 참조</t>
        </is>
      </c>
    </row>
    <row r="61" ht="24" customHeight="1">
      <c r="A61" s="24" t="inlineStr">
        <is>
          <t>주가 요약</t>
        </is>
      </c>
      <c r="B61" s="24" t="inlineStr">
        <is>
          <t>최근 거래회전율</t>
        </is>
      </c>
      <c r="C61" s="30" t="n">
        <v>0.003466349660666056</v>
      </c>
      <c r="D61" s="24" t="inlineStr">
        <is>
          <t>JSON 상세는 dashboard_payload 파일 참조</t>
        </is>
      </c>
    </row>
    <row r="62" ht="24" customHeight="1">
      <c r="A62" s="29" t="inlineStr">
        <is>
          <t>주가 요약</t>
        </is>
      </c>
      <c r="B62" s="29" t="inlineStr">
        <is>
          <t>20일 평균 거래회전율</t>
        </is>
      </c>
      <c r="C62" s="31" t="n">
        <v>0.02077715208747709</v>
      </c>
      <c r="D62" s="29" t="inlineStr">
        <is>
          <t>JSON 상세는 dashboard_payload 파일 참조</t>
        </is>
      </c>
    </row>
    <row r="63" ht="24" customHeight="1">
      <c r="A63" s="24" t="inlineStr">
        <is>
          <t>주가 요약</t>
        </is>
      </c>
      <c r="B63" s="24" t="inlineStr">
        <is>
          <t>price_rows</t>
        </is>
      </c>
      <c r="C63" s="30" t="n">
        <v>1221</v>
      </c>
      <c r="D63" s="24" t="inlineStr">
        <is>
          <t>JSON 상세는 dashboard_payload 파일 참조</t>
        </is>
      </c>
    </row>
    <row r="64" ht="24" customHeight="1">
      <c r="A64" s="29" t="inlineStr">
        <is>
          <t>주가 요약</t>
        </is>
      </c>
      <c r="B64" s="29" t="inlineStr">
        <is>
          <t>price_start</t>
        </is>
      </c>
      <c r="C64" s="29" t="inlineStr">
        <is>
          <t>2021-05-20</t>
        </is>
      </c>
      <c r="D64" s="29" t="inlineStr">
        <is>
          <t>JSON 상세는 dashboard_payload 파일 참조</t>
        </is>
      </c>
    </row>
    <row r="65" ht="24" customHeight="1">
      <c r="A65" s="24" t="inlineStr">
        <is>
          <t>WACC</t>
        </is>
      </c>
      <c r="B65" s="24" t="inlineStr">
        <is>
          <t>상위 블록</t>
        </is>
      </c>
      <c r="C65" s="24" t="inlineStr">
        <is>
          <t>14개 항목</t>
        </is>
      </c>
      <c r="D65" s="24" t="inlineStr">
        <is>
          <t>대시보드에서 객체로 사용</t>
        </is>
      </c>
    </row>
    <row r="66" ht="24" customHeight="1">
      <c r="A66" s="29" t="inlineStr">
        <is>
          <t>WACC</t>
        </is>
      </c>
      <c r="B66" s="29" t="inlineStr">
        <is>
          <t>risk_free_rate</t>
        </is>
      </c>
      <c r="C66" s="31" t="n">
        <v>0.035</v>
      </c>
      <c r="D66" s="29" t="inlineStr">
        <is>
          <t>JSON 상세는 dashboard_payload 파일 참조</t>
        </is>
      </c>
    </row>
    <row r="67" ht="24" customHeight="1">
      <c r="A67" s="24" t="inlineStr">
        <is>
          <t>WACC</t>
        </is>
      </c>
      <c r="B67" s="24" t="inlineStr">
        <is>
          <t>market_risk_premium</t>
        </is>
      </c>
      <c r="C67" s="30" t="n">
        <v>0.06</v>
      </c>
      <c r="D67" s="24" t="inlineStr">
        <is>
          <t>JSON 상세는 dashboard_payload 파일 참조</t>
        </is>
      </c>
    </row>
    <row r="68" ht="24" customHeight="1">
      <c r="A68" s="29" t="inlineStr">
        <is>
          <t>WACC</t>
        </is>
      </c>
      <c r="B68" s="29" t="inlineStr">
        <is>
          <t>beta</t>
        </is>
      </c>
      <c r="C68" s="31" t="n">
        <v>1.8</v>
      </c>
      <c r="D68" s="29" t="inlineStr">
        <is>
          <t>JSON 상세는 dashboard_payload 파일 참조</t>
        </is>
      </c>
    </row>
    <row r="69" ht="24" customHeight="1">
      <c r="A69" s="24" t="inlineStr">
        <is>
          <t>WACC</t>
        </is>
      </c>
      <c r="B69" s="24" t="inlineStr">
        <is>
          <t>cost_of_equity</t>
        </is>
      </c>
      <c r="C69" s="30" t="n">
        <v>0.143</v>
      </c>
      <c r="D69" s="24" t="inlineStr">
        <is>
          <t>JSON 상세는 dashboard_payload 파일 참조</t>
        </is>
      </c>
    </row>
    <row r="70" ht="24" customHeight="1">
      <c r="A70" s="29" t="inlineStr">
        <is>
          <t>WACC</t>
        </is>
      </c>
      <c r="B70" s="29" t="inlineStr">
        <is>
          <t>pre_tax_cost_of_debt</t>
        </is>
      </c>
      <c r="C70" s="31" t="n">
        <v>0.055</v>
      </c>
      <c r="D70" s="29" t="inlineStr">
        <is>
          <t>JSON 상세는 dashboard_payload 파일 참조</t>
        </is>
      </c>
    </row>
    <row r="71" ht="24" customHeight="1">
      <c r="A71" s="24" t="inlineStr">
        <is>
          <t>WACC</t>
        </is>
      </c>
      <c r="B71" s="24" t="inlineStr">
        <is>
          <t>tax_rate</t>
        </is>
      </c>
      <c r="C71" s="30" t="n">
        <v>0.24</v>
      </c>
      <c r="D71" s="24" t="inlineStr">
        <is>
          <t>JSON 상세는 dashboard_payload 파일 참조</t>
        </is>
      </c>
    </row>
    <row r="72" ht="24" customHeight="1">
      <c r="A72" s="29" t="inlineStr">
        <is>
          <t>WACC</t>
        </is>
      </c>
      <c r="B72" s="29" t="inlineStr">
        <is>
          <t>after_tax_cost_of_debt</t>
        </is>
      </c>
      <c r="C72" s="31" t="n">
        <v>0.0418</v>
      </c>
      <c r="D72" s="29" t="inlineStr">
        <is>
          <t>JSON 상세는 dashboard_payload 파일 참조</t>
        </is>
      </c>
    </row>
    <row r="73" ht="24" customHeight="1">
      <c r="A73" s="24" t="inlineStr">
        <is>
          <t>WACC</t>
        </is>
      </c>
      <c r="B73" s="24" t="inlineStr">
        <is>
          <t>debt_weight</t>
        </is>
      </c>
      <c r="C73" s="30" t="n">
        <v>0.5663637889025077</v>
      </c>
      <c r="D73" s="24" t="inlineStr">
        <is>
          <t>JSON 상세는 dashboard_payload 파일 참조</t>
        </is>
      </c>
    </row>
    <row r="74" ht="24" customHeight="1">
      <c r="A74" s="29" t="inlineStr">
        <is>
          <t>WACC</t>
        </is>
      </c>
      <c r="B74" s="29" t="inlineStr">
        <is>
          <t>equity_weight</t>
        </is>
      </c>
      <c r="C74" s="31" t="n">
        <v>0.4336362110974923</v>
      </c>
      <c r="D74" s="29" t="inlineStr">
        <is>
          <t>JSON 상세는 dashboard_payload 파일 참조</t>
        </is>
      </c>
    </row>
    <row r="75" ht="24" customHeight="1">
      <c r="A75" s="24" t="inlineStr">
        <is>
          <t>WACC</t>
        </is>
      </c>
      <c r="B75" s="24" t="inlineStr">
        <is>
          <t>book_equity</t>
        </is>
      </c>
      <c r="C75" s="30" t="n">
        <v>106475636736</v>
      </c>
      <c r="D75" s="24" t="inlineStr">
        <is>
          <t>JSON 상세는 dashboard_payload 파일 참조</t>
        </is>
      </c>
    </row>
    <row r="76" ht="24" customHeight="1">
      <c r="A76" s="29" t="inlineStr">
        <is>
          <t>WACC</t>
        </is>
      </c>
      <c r="B76" s="29" t="inlineStr">
        <is>
          <t>market_cap_used_for_equity_weight</t>
        </is>
      </c>
      <c r="C76" s="31" t="n">
        <v>413626996800</v>
      </c>
      <c r="D76" s="29" t="inlineStr">
        <is>
          <t>JSON 상세는 dashboard_payload 파일 참조</t>
        </is>
      </c>
    </row>
    <row r="77" ht="24" customHeight="1">
      <c r="A77" s="24" t="inlineStr">
        <is>
          <t>WACC</t>
        </is>
      </c>
      <c r="B77" s="24" t="inlineStr">
        <is>
          <t>debt_proxy_liabilities</t>
        </is>
      </c>
      <c r="C77" s="30" t="n">
        <v>540230144773</v>
      </c>
      <c r="D77" s="24" t="inlineStr">
        <is>
          <t>JSON 상세는 dashboard_payload 파일 참조</t>
        </is>
      </c>
    </row>
    <row r="78" ht="24" customHeight="1">
      <c r="A78" s="29" t="inlineStr">
        <is>
          <t>WACC</t>
        </is>
      </c>
      <c r="B78" s="29" t="inlineStr">
        <is>
          <t>WACC</t>
        </is>
      </c>
      <c r="C78" s="31" t="n">
        <v>0.08568398456306622</v>
      </c>
      <c r="D78" s="29" t="inlineStr">
        <is>
          <t>JSON 상세는 dashboard_payload 파일 참조</t>
        </is>
      </c>
    </row>
    <row r="79" ht="24" customHeight="1">
      <c r="A79" s="24" t="inlineStr">
        <is>
          <t>WACC</t>
        </is>
      </c>
      <c r="B79" s="24" t="inlineStr">
        <is>
          <t>weighting_note</t>
        </is>
      </c>
      <c r="C79" s="24" t="inlineStr">
        <is>
          <t>Uses market cap when share-count intake is available; otherwise uses book equity.</t>
        </is>
      </c>
      <c r="D79" s="24" t="inlineStr">
        <is>
          <t>JSON 상세는 dashboard_payload 파일 참조</t>
        </is>
      </c>
    </row>
    <row r="80" ht="24" customHeight="1">
      <c r="A80" s="29" t="inlineStr">
        <is>
          <t>dcf</t>
        </is>
      </c>
      <c r="B80" s="29" t="inlineStr">
        <is>
          <t>상위 블록</t>
        </is>
      </c>
      <c r="C80" s="29" t="inlineStr">
        <is>
          <t>23개 항목</t>
        </is>
      </c>
      <c r="D80" s="29" t="inlineStr">
        <is>
          <t>대시보드에서 객체로 사용</t>
        </is>
      </c>
    </row>
    <row r="81" ht="24" customHeight="1">
      <c r="A81" s="24" t="inlineStr">
        <is>
          <t>dcf</t>
        </is>
      </c>
      <c r="B81" s="24" t="inlineStr">
        <is>
          <t>상태</t>
        </is>
      </c>
      <c r="C81" s="24" t="inlineStr">
        <is>
          <t>OK</t>
        </is>
      </c>
      <c r="D81" s="24" t="inlineStr">
        <is>
          <t>JSON 상세는 dashboard_payload 파일 참조</t>
        </is>
      </c>
    </row>
    <row r="82" ht="24" customHeight="1">
      <c r="A82" s="29" t="inlineStr">
        <is>
          <t>dcf</t>
        </is>
      </c>
      <c r="B82" s="29" t="inlineStr">
        <is>
          <t>base_year</t>
        </is>
      </c>
      <c r="C82" s="31" t="n">
        <v>2025</v>
      </c>
      <c r="D82" s="29" t="inlineStr">
        <is>
          <t>JSON 상세는 dashboard_payload 파일 참조</t>
        </is>
      </c>
    </row>
    <row r="83" ht="24" customHeight="1">
      <c r="A83" s="24" t="inlineStr">
        <is>
          <t>dcf</t>
        </is>
      </c>
      <c r="B83" s="24" t="inlineStr">
        <is>
          <t>base_revenue</t>
        </is>
      </c>
      <c r="C83" s="30" t="n">
        <v>112078954483</v>
      </c>
      <c r="D83" s="24" t="inlineStr">
        <is>
          <t>JSON 상세는 dashboard_payload 파일 참조</t>
        </is>
      </c>
    </row>
    <row r="84" ht="24" customHeight="1">
      <c r="A84" s="29" t="inlineStr">
        <is>
          <t>dcf</t>
        </is>
      </c>
      <c r="B84" s="29" t="inlineStr">
        <is>
          <t>historical_revenue_cagr</t>
        </is>
      </c>
      <c r="C84" s="31" t="n">
        <v>-0.0006773940062455575</v>
      </c>
      <c r="D84" s="29" t="inlineStr">
        <is>
          <t>JSON 상세는 dashboard_payload 파일 참조</t>
        </is>
      </c>
    </row>
    <row r="85" ht="24" customHeight="1">
      <c r="A85" s="24" t="inlineStr">
        <is>
          <t>dcf</t>
        </is>
      </c>
      <c r="B85" s="24" t="inlineStr">
        <is>
          <t>assumed_revenue_growth</t>
        </is>
      </c>
      <c r="C85" s="30" t="n">
        <v>0.01047930286854041</v>
      </c>
      <c r="D85" s="24" t="inlineStr">
        <is>
          <t>JSON 상세는 dashboard_payload 파일 참조</t>
        </is>
      </c>
    </row>
    <row r="86" ht="24" customHeight="1">
      <c r="A86" s="29" t="inlineStr">
        <is>
          <t>dcf</t>
        </is>
      </c>
      <c r="B86" s="29" t="inlineStr">
        <is>
          <t>assumed_op_margin</t>
        </is>
      </c>
      <c r="C86" s="31" t="n">
        <v>-0.2510630309064602</v>
      </c>
      <c r="D86" s="29" t="inlineStr">
        <is>
          <t>JSON 상세는 dashboard_payload 파일 참조</t>
        </is>
      </c>
    </row>
    <row r="87" ht="24" customHeight="1">
      <c r="A87" s="24" t="inlineStr">
        <is>
          <t>dcf</t>
        </is>
      </c>
      <c r="B87" s="24" t="inlineStr">
        <is>
          <t>assumed_fcf_margin</t>
        </is>
      </c>
      <c r="C87" s="30" t="n">
        <v>-0.2</v>
      </c>
      <c r="D87" s="24" t="inlineStr">
        <is>
          <t>JSON 상세는 dashboard_payload 파일 참조</t>
        </is>
      </c>
    </row>
    <row r="88" ht="24" customHeight="1">
      <c r="A88" s="29" t="inlineStr">
        <is>
          <t>dcf</t>
        </is>
      </c>
      <c r="B88" s="29" t="inlineStr">
        <is>
          <t>WACC</t>
        </is>
      </c>
      <c r="C88" s="31" t="n">
        <v>0.08568398456306622</v>
      </c>
      <c r="D88" s="29" t="inlineStr">
        <is>
          <t>JSON 상세는 dashboard_payload 파일 참조</t>
        </is>
      </c>
    </row>
    <row r="89" ht="24" customHeight="1">
      <c r="A89" s="24" t="inlineStr">
        <is>
          <t>dcf</t>
        </is>
      </c>
      <c r="B89" s="24" t="inlineStr">
        <is>
          <t>terminal_growth_rate</t>
        </is>
      </c>
      <c r="C89" s="30" t="n">
        <v>0.015</v>
      </c>
      <c r="D89" s="24" t="inlineStr">
        <is>
          <t>JSON 상세는 dashboard_payload 파일 참조</t>
        </is>
      </c>
    </row>
    <row r="90" ht="24" customHeight="1">
      <c r="A90" s="29" t="inlineStr">
        <is>
          <t>dcf</t>
        </is>
      </c>
      <c r="B90" s="29" t="inlineStr">
        <is>
          <t>projection_years</t>
        </is>
      </c>
      <c r="C90" s="31" t="n">
        <v>5</v>
      </c>
      <c r="D90" s="29" t="inlineStr">
        <is>
          <t>JSON 상세는 dashboard_payload 파일 참조</t>
        </is>
      </c>
    </row>
    <row r="91" ht="24" customHeight="1">
      <c r="A91" s="24" t="inlineStr">
        <is>
          <t>dcf</t>
        </is>
      </c>
      <c r="B91" s="24" t="inlineStr">
        <is>
          <t>FCF 현재가치</t>
        </is>
      </c>
      <c r="C91" s="30" t="n">
        <v>-91360640713.05615</v>
      </c>
      <c r="D91" s="24" t="inlineStr">
        <is>
          <t>JSON 상세는 dashboard_payload 파일 참조</t>
        </is>
      </c>
    </row>
    <row r="92" ht="24" customHeight="1">
      <c r="A92" s="29" t="inlineStr">
        <is>
          <t>dcf</t>
        </is>
      </c>
      <c r="B92" s="29" t="inlineStr">
        <is>
          <t>terminal_value</t>
        </is>
      </c>
      <c r="C92" s="31" t="n">
        <v>-343680996419.9228</v>
      </c>
      <c r="D92" s="29" t="inlineStr">
        <is>
          <t>JSON 상세는 dashboard_payload 파일 참조</t>
        </is>
      </c>
    </row>
    <row r="93" ht="24" customHeight="1">
      <c r="A93" s="24" t="inlineStr">
        <is>
          <t>dcf</t>
        </is>
      </c>
      <c r="B93" s="24" t="inlineStr">
        <is>
          <t>Terminal 현재가치</t>
        </is>
      </c>
      <c r="C93" s="30" t="n">
        <v>-227844401559.7516</v>
      </c>
      <c r="D93" s="24" t="inlineStr">
        <is>
          <t>JSON 상세는 dashboard_payload 파일 참조</t>
        </is>
      </c>
    </row>
    <row r="94" ht="24" customHeight="1">
      <c r="A94" s="29" t="inlineStr">
        <is>
          <t>dcf</t>
        </is>
      </c>
      <c r="B94" s="29" t="inlineStr">
        <is>
          <t>기업가치(EV)</t>
        </is>
      </c>
      <c r="C94" s="31" t="n">
        <v>-319205042272.8077</v>
      </c>
      <c r="D94" s="29" t="inlineStr">
        <is>
          <t>JSON 상세는 dashboard_payload 파일 참조</t>
        </is>
      </c>
    </row>
    <row r="95" ht="24" customHeight="1">
      <c r="A95" s="24" t="inlineStr">
        <is>
          <t>dcf</t>
        </is>
      </c>
      <c r="B95" s="24" t="inlineStr">
        <is>
          <t>현금성자산</t>
        </is>
      </c>
      <c r="C95" s="30" t="n">
        <v>40032618067</v>
      </c>
      <c r="D95" s="24" t="inlineStr">
        <is>
          <t>JSON 상세는 dashboard_payload 파일 참조</t>
        </is>
      </c>
    </row>
    <row r="96" ht="24" customHeight="1">
      <c r="A96" s="29" t="inlineStr">
        <is>
          <t>dcf</t>
        </is>
      </c>
      <c r="B96" s="29" t="inlineStr">
        <is>
          <t>debt_proxy_liabilities</t>
        </is>
      </c>
      <c r="C96" s="31" t="n">
        <v>540230144773</v>
      </c>
      <c r="D96" s="29" t="inlineStr">
        <is>
          <t>JSON 상세는 dashboard_payload 파일 참조</t>
        </is>
      </c>
    </row>
    <row r="97" ht="24" customHeight="1">
      <c r="A97" s="24" t="inlineStr">
        <is>
          <t>dcf</t>
        </is>
      </c>
      <c r="B97" s="24" t="inlineStr">
        <is>
          <t>equity_value</t>
        </is>
      </c>
      <c r="C97" s="30" t="n">
        <v>-819402568978.8077</v>
      </c>
      <c r="D97" s="24" t="inlineStr">
        <is>
          <t>JSON 상세는 dashboard_payload 파일 참조</t>
        </is>
      </c>
    </row>
    <row r="98" ht="24" customHeight="1">
      <c r="A98" s="29" t="inlineStr">
        <is>
          <t>dcf</t>
        </is>
      </c>
      <c r="B98" s="29" t="inlineStr">
        <is>
          <t>발행주식 수</t>
        </is>
      </c>
      <c r="C98" s="31" t="n">
        <v>20476584</v>
      </c>
      <c r="D98" s="29" t="inlineStr">
        <is>
          <t>JSON 상세는 dashboard_payload 파일 참조</t>
        </is>
      </c>
    </row>
    <row r="99" ht="24" customHeight="1">
      <c r="A99" s="24" t="inlineStr">
        <is>
          <t>chart_series</t>
        </is>
      </c>
      <c r="B99" s="24" t="inlineStr">
        <is>
          <t>상위 블록</t>
        </is>
      </c>
      <c r="C99" s="24" t="inlineStr">
        <is>
          <t>5개 항목</t>
        </is>
      </c>
      <c r="D99" s="24" t="inlineStr">
        <is>
          <t>대시보드에서 객체로 사용</t>
        </is>
      </c>
    </row>
    <row r="100" ht="24" customHeight="1">
      <c r="A100" s="29" t="inlineStr">
        <is>
          <t>chart_series</t>
        </is>
      </c>
      <c r="B100" s="29" t="inlineStr">
        <is>
          <t>historical_financials</t>
        </is>
      </c>
      <c r="C100" s="29" t="inlineStr">
        <is>
          <t>5개 행</t>
        </is>
      </c>
      <c r="D100" s="29" t="inlineStr">
        <is>
          <t>JSON 상세는 dashboard_payload 파일 참조</t>
        </is>
      </c>
    </row>
    <row r="101" ht="24" customHeight="1">
      <c r="A101" s="24" t="inlineStr">
        <is>
          <t>chart_series</t>
        </is>
      </c>
      <c r="B101" s="24" t="inlineStr">
        <is>
          <t>price_history</t>
        </is>
      </c>
      <c r="C101" s="24" t="inlineStr">
        <is>
          <t>260개 행</t>
        </is>
      </c>
      <c r="D101" s="24" t="inlineStr">
        <is>
          <t>JSON 상세는 dashboard_payload 파일 참조</t>
        </is>
      </c>
    </row>
    <row r="102" ht="24" customHeight="1">
      <c r="A102" s="29" t="inlineStr">
        <is>
          <t>chart_series</t>
        </is>
      </c>
      <c r="B102" s="29" t="inlineStr">
        <is>
          <t>fcf_projection</t>
        </is>
      </c>
      <c r="C102" s="29" t="inlineStr">
        <is>
          <t>5개 행</t>
        </is>
      </c>
      <c r="D102" s="29" t="inlineStr">
        <is>
          <t>JSON 상세는 dashboard_payload 파일 참조</t>
        </is>
      </c>
    </row>
    <row r="103" ht="24" customHeight="1">
      <c r="A103" s="24" t="inlineStr">
        <is>
          <t>chart_series</t>
        </is>
      </c>
      <c r="B103" s="24" t="inlineStr">
        <is>
          <t>peer_multiples</t>
        </is>
      </c>
      <c r="C103" s="24" t="inlineStr">
        <is>
          <t>5개 행</t>
        </is>
      </c>
      <c r="D103" s="24" t="inlineStr">
        <is>
          <t>JSON 상세는 dashboard_payload 파일 참조</t>
        </is>
      </c>
    </row>
    <row r="104" ht="24" customHeight="1">
      <c r="A104" s="29" t="inlineStr">
        <is>
          <t>chart_series</t>
        </is>
      </c>
      <c r="B104" s="29" t="inlineStr">
        <is>
          <t>reference_universe_focus</t>
        </is>
      </c>
      <c r="C104" s="29" t="inlineStr">
        <is>
          <t>40개 행</t>
        </is>
      </c>
      <c r="D104" s="29" t="inlineStr">
        <is>
          <t>JSON 상세는 dashboard_payload 파일 참조</t>
        </is>
      </c>
    </row>
    <row r="105" ht="24" customHeight="1">
      <c r="A105" s="24" t="inlineStr">
        <is>
          <t>peer_comps</t>
        </is>
      </c>
      <c r="B105" s="24" t="inlineStr">
        <is>
          <t>상위 블록</t>
        </is>
      </c>
      <c r="C105" s="24" t="inlineStr">
        <is>
          <t>23개 항목</t>
        </is>
      </c>
      <c r="D105" s="24" t="inlineStr">
        <is>
          <t>대시보드에서 객체로 사용</t>
        </is>
      </c>
    </row>
    <row r="106" ht="24" customHeight="1">
      <c r="A106" s="29" t="inlineStr">
        <is>
          <t>peer_comps</t>
        </is>
      </c>
      <c r="B106" s="29" t="inlineStr">
        <is>
          <t>peer_rows</t>
        </is>
      </c>
      <c r="C106" s="29" t="inlineStr">
        <is>
          <t>5개 행</t>
        </is>
      </c>
      <c r="D106" s="29" t="inlineStr">
        <is>
          <t>JSON 상세는 dashboard_payload 파일 참조</t>
        </is>
      </c>
    </row>
    <row r="107" ht="24" customHeight="1">
      <c r="A107" s="24" t="inlineStr">
        <is>
          <t>peer_comps</t>
        </is>
      </c>
      <c r="B107" s="24" t="inlineStr">
        <is>
          <t>target_row</t>
        </is>
      </c>
      <c r="C107" s="24" t="inlineStr">
        <is>
          <t>35개 항목</t>
        </is>
      </c>
      <c r="D107" s="24" t="inlineStr">
        <is>
          <t>JSON 상세는 dashboard_payload 파일 참조</t>
        </is>
      </c>
    </row>
    <row r="108" ht="24" customHeight="1">
      <c r="A108" s="29" t="inlineStr">
        <is>
          <t>peer_comps</t>
        </is>
      </c>
      <c r="B108" s="29" t="inlineStr">
        <is>
          <t>target_company_key</t>
        </is>
      </c>
      <c r="C108" s="29" t="inlineStr">
        <is>
          <t>duksan</t>
        </is>
      </c>
      <c r="D108" s="29" t="inlineStr">
        <is>
          <t>JSON 상세는 dashboard_payload 파일 참조</t>
        </is>
      </c>
    </row>
    <row r="109" ht="24" customHeight="1">
      <c r="A109" s="24" t="inlineStr">
        <is>
          <t>peer_comps</t>
        </is>
      </c>
      <c r="B109" s="24" t="inlineStr">
        <is>
          <t>분석대상 P/S</t>
        </is>
      </c>
      <c r="C109" s="30" t="n">
        <v>3.681361674930534</v>
      </c>
      <c r="D109" s="24" t="inlineStr">
        <is>
          <t>JSON 상세는 dashboard_payload 파일 참조</t>
        </is>
      </c>
    </row>
    <row r="110" ht="24" customHeight="1">
      <c r="A110" s="29" t="inlineStr">
        <is>
          <t>peer_comps</t>
        </is>
      </c>
      <c r="B110" s="29" t="inlineStr">
        <is>
          <t>target_per</t>
        </is>
      </c>
      <c r="C110" s="31" t="n">
        <v>-3.909060735247775</v>
      </c>
      <c r="D110" s="29" t="inlineStr">
        <is>
          <t>JSON 상세는 dashboard_payload 파일 참조</t>
        </is>
      </c>
    </row>
    <row r="111" ht="24" customHeight="1">
      <c r="A111" s="24" t="inlineStr">
        <is>
          <t>peer_comps</t>
        </is>
      </c>
      <c r="B111" s="24" t="inlineStr">
        <is>
          <t>target_pbr</t>
        </is>
      </c>
      <c r="C111" s="30" t="n">
        <v>3.875094624914289</v>
      </c>
      <c r="D111" s="24" t="inlineStr">
        <is>
          <t>JSON 상세는 dashboard_payload 파일 참조</t>
        </is>
      </c>
    </row>
    <row r="112" ht="24" customHeight="1">
      <c r="A112" s="29" t="inlineStr">
        <is>
          <t>peer_comps</t>
        </is>
      </c>
      <c r="B112" s="29" t="inlineStr">
        <is>
          <t>target_ev_sales</t>
        </is>
      </c>
      <c r="C112" s="31" t="n">
        <v>8.5014471875496</v>
      </c>
      <c r="D112" s="29" t="inlineStr">
        <is>
          <t>JSON 상세는 dashboard_payload 파일 참조</t>
        </is>
      </c>
    </row>
    <row r="113" ht="24" customHeight="1">
      <c r="A113" s="24" t="inlineStr">
        <is>
          <t>peer_comps</t>
        </is>
      </c>
      <c r="B113" s="24" t="inlineStr">
        <is>
          <t>target_market_cap</t>
        </is>
      </c>
      <c r="C113" s="30" t="n">
        <v>412603167600</v>
      </c>
      <c r="D113" s="24" t="inlineStr">
        <is>
          <t>JSON 상세는 dashboard_payload 파일 참조</t>
        </is>
      </c>
    </row>
    <row r="114" ht="24" customHeight="1">
      <c r="A114" s="29" t="inlineStr">
        <is>
          <t>peer_comps</t>
        </is>
      </c>
      <c r="B114" s="29" t="inlineStr">
        <is>
          <t>target_revenue</t>
        </is>
      </c>
      <c r="C114" s="31" t="n">
        <v>112078954483</v>
      </c>
      <c r="D114" s="29" t="inlineStr">
        <is>
          <t>JSON 상세는 dashboard_payload 파일 참조</t>
        </is>
      </c>
    </row>
    <row r="115" ht="24" customHeight="1">
      <c r="A115" s="24" t="inlineStr">
        <is>
          <t>peer_comps</t>
        </is>
      </c>
      <c r="B115" s="24" t="inlineStr">
        <is>
          <t>Peer P/S 중앙값</t>
        </is>
      </c>
      <c r="C115" s="30" t="n">
        <v>3.500698820700488</v>
      </c>
      <c r="D115" s="24" t="inlineStr">
        <is>
          <t>JSON 상세는 dashboard_payload 파일 참조</t>
        </is>
      </c>
    </row>
    <row r="116" ht="24" customHeight="1">
      <c r="A116" s="29" t="inlineStr">
        <is>
          <t>peer_comps</t>
        </is>
      </c>
      <c r="B116" s="29" t="inlineStr">
        <is>
          <t>median_per</t>
        </is>
      </c>
      <c r="C116" s="31" t="n">
        <v>23.14395586435033</v>
      </c>
      <c r="D116" s="29" t="inlineStr">
        <is>
          <t>JSON 상세는 dashboard_payload 파일 참조</t>
        </is>
      </c>
    </row>
    <row r="117" ht="24" customHeight="1">
      <c r="A117" s="24" t="inlineStr">
        <is>
          <t>peer_comps</t>
        </is>
      </c>
      <c r="B117" s="24" t="inlineStr">
        <is>
          <t>median_pbr</t>
        </is>
      </c>
      <c r="C117" s="30" t="n">
        <v>2.628553968241111</v>
      </c>
      <c r="D117" s="24" t="inlineStr">
        <is>
          <t>JSON 상세는 dashboard_payload 파일 참조</t>
        </is>
      </c>
    </row>
    <row r="118" ht="24" customHeight="1">
      <c r="A118" s="29" t="inlineStr">
        <is>
          <t>peer_comps</t>
        </is>
      </c>
      <c r="B118" s="29" t="inlineStr">
        <is>
          <t>median_ev_sales</t>
        </is>
      </c>
      <c r="C118" s="31" t="n">
        <v>3.979314959140229</v>
      </c>
      <c r="D118" s="29" t="inlineStr">
        <is>
          <t>JSON 상세는 dashboard_payload 파일 참조</t>
        </is>
      </c>
    </row>
    <row r="119" ht="24" customHeight="1">
      <c r="A119" s="24" t="inlineStr">
        <is>
          <t>peer_comps</t>
        </is>
      </c>
      <c r="B119" s="24" t="inlineStr">
        <is>
          <t>median_ev_ebit</t>
        </is>
      </c>
      <c r="C119" s="30" t="n">
        <v>22.51500405500176</v>
      </c>
      <c r="D119" s="24" t="inlineStr">
        <is>
          <t>JSON 상세는 dashboard_payload 파일 참조</t>
        </is>
      </c>
    </row>
    <row r="120" ht="24" customHeight="1">
      <c r="A120" s="29" t="inlineStr">
        <is>
          <t>peer_comps</t>
        </is>
      </c>
      <c r="B120" s="29" t="inlineStr">
        <is>
          <t>median_p_fcf</t>
        </is>
      </c>
      <c r="C120" s="31" t="n">
        <v>15.46736086652881</v>
      </c>
      <c r="D120" s="29" t="inlineStr">
        <is>
          <t>JSON 상세는 dashboard_payload 파일 참조</t>
        </is>
      </c>
    </row>
    <row r="121" ht="24" customHeight="1">
      <c r="A121" s="24" t="inlineStr">
        <is>
          <t>peer_comps</t>
        </is>
      </c>
      <c r="B121" s="24" t="inlineStr">
        <is>
          <t>median_op_margin</t>
        </is>
      </c>
      <c r="C121" s="30" t="n">
        <v>0.09546035142742029</v>
      </c>
      <c r="D121" s="24" t="inlineStr">
        <is>
          <t>JSON 상세는 dashboard_payload 파일 참조</t>
        </is>
      </c>
    </row>
    <row r="122" ht="24" customHeight="1">
      <c r="A122" s="29" t="inlineStr">
        <is>
          <t>peer_comps</t>
        </is>
      </c>
      <c r="B122" s="29" t="inlineStr">
        <is>
          <t>median_roe</t>
        </is>
      </c>
      <c r="C122" s="31" t="n">
        <v>0.0821384093070814</v>
      </c>
      <c r="D122" s="29" t="inlineStr">
        <is>
          <t>JSON 상세는 dashboard_payload 파일 참조</t>
        </is>
      </c>
    </row>
    <row r="123" ht="24" customHeight="1">
      <c r="A123" s="24" t="inlineStr">
        <is>
          <t>peer_comps</t>
        </is>
      </c>
      <c r="B123" s="24" t="inlineStr">
        <is>
          <t>P/S 중앙값 대비</t>
        </is>
      </c>
      <c r="C123" s="30" t="n">
        <v>0.05160765420942304</v>
      </c>
      <c r="D123" s="24" t="inlineStr">
        <is>
          <t>JSON 상세는 dashboard_payload 파일 참조</t>
        </is>
      </c>
    </row>
    <row r="124" ht="24" customHeight="1">
      <c r="A124" s="29" t="inlineStr">
        <is>
          <t>reference_universe_summary</t>
        </is>
      </c>
      <c r="B124" s="29" t="inlineStr">
        <is>
          <t>상위 블록</t>
        </is>
      </c>
      <c r="C124" s="29" t="inlineStr">
        <is>
          <t>14개 항목</t>
        </is>
      </c>
      <c r="D124" s="29" t="inlineStr">
        <is>
          <t>대시보드에서 객체로 사용</t>
        </is>
      </c>
    </row>
    <row r="125" ht="24" customHeight="1">
      <c r="A125" s="24" t="inlineStr">
        <is>
          <t>reference_universe_summary</t>
        </is>
      </c>
      <c r="B125" s="24" t="inlineStr">
        <is>
          <t>상태</t>
        </is>
      </c>
      <c r="C125" s="24" t="inlineStr">
        <is>
          <t>OK</t>
        </is>
      </c>
      <c r="D125" s="24" t="inlineStr">
        <is>
          <t>JSON 상세는 dashboard_payload 파일 참조</t>
        </is>
      </c>
    </row>
    <row r="126" ht="24" customHeight="1">
      <c r="A126" s="29" t="inlineStr">
        <is>
          <t>reference_universe_summary</t>
        </is>
      </c>
      <c r="B126" s="29" t="inlineStr">
        <is>
          <t>created_at</t>
        </is>
      </c>
      <c r="C126" s="29" t="inlineStr">
        <is>
          <t>2026-05-20T10:54:41</t>
        </is>
      </c>
      <c r="D126" s="29" t="inlineStr">
        <is>
          <t>JSON 상세는 dashboard_payload 파일 참조</t>
        </is>
      </c>
    </row>
    <row r="127" ht="24" customHeight="1">
      <c r="A127" s="24" t="inlineStr">
        <is>
          <t>reference_universe_summary</t>
        </is>
      </c>
      <c r="B127" s="24" t="inlineStr">
        <is>
          <t>reference_universe_rows</t>
        </is>
      </c>
      <c r="C127" s="30" t="n">
        <v>208</v>
      </c>
      <c r="D127" s="24" t="inlineStr">
        <is>
          <t>JSON 상세는 dashboard_payload 파일 참조</t>
        </is>
      </c>
    </row>
    <row r="128" ht="24" customHeight="1">
      <c r="A128" s="29" t="inlineStr">
        <is>
          <t>reference_universe_summary</t>
        </is>
      </c>
      <c r="B128" s="29" t="inlineStr">
        <is>
          <t>focus_rows</t>
        </is>
      </c>
      <c r="C128" s="31" t="n">
        <v>40</v>
      </c>
      <c r="D128" s="29" t="inlineStr">
        <is>
          <t>JSON 상세는 dashboard_payload 파일 참조</t>
        </is>
      </c>
    </row>
    <row r="129" ht="24" customHeight="1">
      <c r="A129" s="24" t="inlineStr">
        <is>
          <t>reference_universe_summary</t>
        </is>
      </c>
      <c r="B129" s="24" t="inlineStr">
        <is>
          <t>focal_5_rows</t>
        </is>
      </c>
      <c r="C129" s="30" t="n">
        <v>5</v>
      </c>
      <c r="D129" s="24" t="inlineStr">
        <is>
          <t>JSON 상세는 dashboard_payload 파일 참조</t>
        </is>
      </c>
    </row>
    <row r="130" ht="24" customHeight="1">
      <c r="A130" s="29" t="inlineStr">
        <is>
          <t>reference_universe_summary</t>
        </is>
      </c>
      <c r="B130" s="29" t="inlineStr">
        <is>
          <t>target_company</t>
        </is>
      </c>
      <c r="C130" s="29" t="inlineStr">
        <is>
          <t>덕산테코피아</t>
        </is>
      </c>
      <c r="D130" s="29" t="inlineStr">
        <is>
          <t>JSON 상세는 dashboard_payload 파일 참조</t>
        </is>
      </c>
    </row>
    <row r="131" ht="24" customHeight="1">
      <c r="A131" s="24" t="inlineStr">
        <is>
          <t>reference_universe_summary</t>
        </is>
      </c>
      <c r="B131" s="24" t="inlineStr">
        <is>
          <t>target_peer_group</t>
        </is>
      </c>
      <c r="C131" s="24" t="inlineStr">
        <is>
          <t>소재</t>
        </is>
      </c>
      <c r="D131" s="24" t="inlineStr">
        <is>
          <t>JSON 상세는 dashboard_payload 파일 참조</t>
        </is>
      </c>
    </row>
    <row r="132" ht="24" customHeight="1">
      <c r="A132" s="29" t="inlineStr">
        <is>
          <t>reference_universe_summary</t>
        </is>
      </c>
      <c r="B132" s="29" t="inlineStr">
        <is>
          <t>target_peer_group_size</t>
        </is>
      </c>
      <c r="C132" s="31" t="n">
        <v>26</v>
      </c>
      <c r="D132" s="29" t="inlineStr">
        <is>
          <t>JSON 상세는 dashboard_payload 파일 참조</t>
        </is>
      </c>
    </row>
    <row r="133" ht="24" customHeight="1">
      <c r="A133" s="24" t="inlineStr">
        <is>
          <t>reference_universe_summary</t>
        </is>
      </c>
      <c r="B133" s="24" t="inlineStr">
        <is>
          <t>attractive_rows</t>
        </is>
      </c>
      <c r="C133" s="30" t="n">
        <v>43</v>
      </c>
      <c r="D133" s="24" t="inlineStr">
        <is>
          <t>JSON 상세는 dashboard_payload 파일 참조</t>
        </is>
      </c>
    </row>
    <row r="134" ht="24" customHeight="1">
      <c r="A134" s="29" t="inlineStr">
        <is>
          <t>reference_universe_summary</t>
        </is>
      </c>
      <c r="B134" s="29" t="inlineStr">
        <is>
          <t>high_risk_rows</t>
        </is>
      </c>
      <c r="C134" s="31" t="n">
        <v>67</v>
      </c>
      <c r="D134" s="29" t="inlineStr">
        <is>
          <t>JSON 상세는 dashboard_payload 파일 참조</t>
        </is>
      </c>
    </row>
    <row r="135" ht="24" customHeight="1">
      <c r="A135" s="24" t="inlineStr">
        <is>
          <t>reference_universe_summary</t>
        </is>
      </c>
      <c r="B135" s="24" t="inlineStr">
        <is>
          <t>target_reference_row</t>
        </is>
      </c>
      <c r="C135" s="24" t="inlineStr">
        <is>
          <t>32개 항목</t>
        </is>
      </c>
      <c r="D135" s="24" t="inlineStr">
        <is>
          <t>JSON 상세는 dashboard_payload 파일 참조</t>
        </is>
      </c>
    </row>
    <row r="136" ht="24" customHeight="1">
      <c r="A136" s="29" t="inlineStr">
        <is>
          <t>reference_universe_summary</t>
        </is>
      </c>
      <c r="B136" s="29" t="inlineStr">
        <is>
          <t>비고</t>
        </is>
      </c>
      <c r="C136" s="29" t="inlineStr">
        <is>
          <t>Valuation Agent는 live DCF/PSR 산출과 별도로 208개 반도체 universe의 proxy score를 활용해 상대 위치를 보조 판단합니다.</t>
        </is>
      </c>
      <c r="D136" s="29" t="inlineStr">
        <is>
          <t>JSON 상세는 dashboard_payload 파일 참조</t>
        </is>
      </c>
    </row>
    <row r="137" ht="24" customHeight="1">
      <c r="A137" s="24" t="inlineStr">
        <is>
          <t>reference_universe_summary</t>
        </is>
      </c>
      <c r="B137" s="24" t="inlineStr">
        <is>
          <t>source_path</t>
        </is>
      </c>
      <c r="C137" s="24" t="inlineStr">
        <is>
          <t>data/반도체/_sector_common/ml_universe/valuation_credit_ml_overlay_candidate.csv</t>
        </is>
      </c>
      <c r="D137" s="24" t="inlineStr">
        <is>
          <t>JSON 상세는 dashboard_payload 파일 참조</t>
        </is>
      </c>
    </row>
    <row r="138" ht="24" customHeight="1">
      <c r="A138" s="29" t="inlineStr">
        <is>
          <t>reference_universe_summary</t>
        </is>
      </c>
      <c r="B138" s="29" t="inlineStr">
        <is>
          <t>exported_at</t>
        </is>
      </c>
      <c r="C138" s="29" t="inlineStr">
        <is>
          <t>2026-05-20T10:54:41</t>
        </is>
      </c>
      <c r="D138" s="29" t="inlineStr">
        <is>
          <t>JSON 상세는 dashboard_payload 파일 참조</t>
        </is>
      </c>
    </row>
    <row r="139" ht="24" customHeight="1">
      <c r="A139" s="24" t="inlineStr">
        <is>
          <t>reference_universe_focus_rows</t>
        </is>
      </c>
      <c r="B139" s="24" t="inlineStr">
        <is>
          <t>목록</t>
        </is>
      </c>
      <c r="C139" s="24" t="inlineStr">
        <is>
          <t>40개 행</t>
        </is>
      </c>
      <c r="D139" s="24" t="inlineStr">
        <is>
          <t>대시보드 표/차트 원천</t>
        </is>
      </c>
    </row>
    <row r="140" ht="24" customHeight="1">
      <c r="A140" s="29" t="inlineStr">
        <is>
          <t>ml_overlay</t>
        </is>
      </c>
      <c r="B140" s="29" t="inlineStr">
        <is>
          <t>상위 블록</t>
        </is>
      </c>
      <c r="C140" s="29" t="inlineStr">
        <is>
          <t>12개 항목</t>
        </is>
      </c>
      <c r="D140" s="29" t="inlineStr">
        <is>
          <t>대시보드에서 객체로 사용</t>
        </is>
      </c>
    </row>
    <row r="141" ht="24" customHeight="1">
      <c r="A141" s="24" t="inlineStr">
        <is>
          <t>ml_overlay</t>
        </is>
      </c>
      <c r="B141" s="24" t="inlineStr">
        <is>
          <t>산출 방식</t>
        </is>
      </c>
      <c r="C141" s="24" t="inlineStr">
        <is>
          <t>deterministic_live_peer_psr_plus_208_reference_universe_overlay</t>
        </is>
      </c>
      <c r="D141" s="24" t="inlineStr">
        <is>
          <t>JSON 상세는 dashboard_payload 파일 참조</t>
        </is>
      </c>
    </row>
    <row r="142" ht="24" customHeight="1">
      <c r="A142" s="29" t="inlineStr">
        <is>
          <t>ml_overlay</t>
        </is>
      </c>
      <c r="B142" s="29" t="inlineStr">
        <is>
          <t>가치평가 방법</t>
        </is>
      </c>
      <c r="C142" s="29" t="inlineStr">
        <is>
          <t>실시간 DART·주가 기반 PSR/Peer + 208개 반도체 reference universe 보조판단</t>
        </is>
      </c>
      <c r="D142" s="29" t="inlineStr">
        <is>
          <t>JSON 상세는 dashboard_payload 파일 참조</t>
        </is>
      </c>
    </row>
    <row r="143" ht="24" customHeight="1">
      <c r="A143" s="24" t="inlineStr">
        <is>
          <t>ml_overlay</t>
        </is>
      </c>
      <c r="B143" s="24" t="inlineStr">
        <is>
          <t>종합 점수</t>
        </is>
      </c>
      <c r="C143" s="30" t="n">
        <v>20.62</v>
      </c>
      <c r="D143" s="24" t="inlineStr">
        <is>
          <t>JSON 상세는 dashboard_payload 파일 참조</t>
        </is>
      </c>
    </row>
    <row r="144" ht="24" customHeight="1">
      <c r="A144" s="29" t="inlineStr">
        <is>
          <t>ml_overlay</t>
        </is>
      </c>
      <c r="B144" s="29" t="inlineStr">
        <is>
          <t>라벨</t>
        </is>
      </c>
      <c r="C144" s="29" t="inlineStr">
        <is>
          <t>VALUATION_CAUTION</t>
        </is>
      </c>
      <c r="D144" s="29" t="inlineStr">
        <is>
          <t>JSON 상세는 dashboard_payload 파일 참조</t>
        </is>
      </c>
    </row>
    <row r="145" ht="24" customHeight="1">
      <c r="A145" s="24" t="inlineStr">
        <is>
          <t>ml_overlay</t>
        </is>
      </c>
      <c r="B145" s="24" t="inlineStr">
        <is>
          <t>한글 라벨</t>
        </is>
      </c>
      <c r="C145" s="24" t="inlineStr">
        <is>
          <t>가치평가 보조근거 주의</t>
        </is>
      </c>
      <c r="D145" s="24" t="inlineStr">
        <is>
          <t>JSON 상세는 dashboard_payload 파일 참조</t>
        </is>
      </c>
    </row>
    <row r="146" ht="24" customHeight="1">
      <c r="A146" s="29" t="inlineStr">
        <is>
          <t>ml_overlay</t>
        </is>
      </c>
      <c r="B146" s="29" t="inlineStr">
        <is>
          <t>factors</t>
        </is>
      </c>
      <c r="C146" s="29" t="inlineStr">
        <is>
          <t>10개 행</t>
        </is>
      </c>
      <c r="D146" s="29" t="inlineStr">
        <is>
          <t>JSON 상세는 dashboard_payload 파일 참조</t>
        </is>
      </c>
    </row>
    <row r="147" ht="24" customHeight="1">
      <c r="A147" s="24" t="inlineStr">
        <is>
          <t>ml_overlay</t>
        </is>
      </c>
      <c r="B147" s="24" t="inlineStr">
        <is>
          <t>kmeans_peer_cluster</t>
        </is>
      </c>
      <c r="C147" s="24" t="inlineStr">
        <is>
          <t>소재</t>
        </is>
      </c>
      <c r="D147" s="24" t="inlineStr">
        <is>
          <t>JSON 상세는 dashboard_payload 파일 참조</t>
        </is>
      </c>
    </row>
    <row r="148" ht="24" customHeight="1">
      <c r="A148" s="29" t="inlineStr">
        <is>
          <t>ml_overlay</t>
        </is>
      </c>
      <c r="B148" s="29" t="inlineStr">
        <is>
          <t>reference_cluster</t>
        </is>
      </c>
      <c r="C148" s="29" t="inlineStr">
        <is>
          <t>6개 항목</t>
        </is>
      </c>
      <c r="D148" s="29" t="inlineStr">
        <is>
          <t>JSON 상세는 dashboard_payload 파일 참조</t>
        </is>
      </c>
    </row>
    <row r="149" ht="24" customHeight="1">
      <c r="A149" s="24" t="inlineStr">
        <is>
          <t>ml_overlay</t>
        </is>
      </c>
      <c r="B149" s="24" t="inlineStr">
        <is>
          <t>reference_universe_summary</t>
        </is>
      </c>
      <c r="C149" s="24" t="inlineStr">
        <is>
          <t>4개 항목</t>
        </is>
      </c>
      <c r="D149" s="24" t="inlineStr">
        <is>
          <t>JSON 상세는 dashboard_payload 파일 참조</t>
        </is>
      </c>
    </row>
    <row r="150" ht="24" customHeight="1">
      <c r="A150" s="29" t="inlineStr">
        <is>
          <t>ml_overlay</t>
        </is>
      </c>
      <c r="B150" s="29" t="inlineStr">
        <is>
          <t>psr_overlay</t>
        </is>
      </c>
      <c r="C150" s="29" t="inlineStr">
        <is>
          <t>5개 항목</t>
        </is>
      </c>
      <c r="D150" s="29" t="inlineStr">
        <is>
          <t>JSON 상세는 dashboard_payload 파일 참조</t>
        </is>
      </c>
    </row>
    <row r="151" ht="24" customHeight="1">
      <c r="A151" s="24" t="inlineStr">
        <is>
          <t>ml_overlay</t>
        </is>
      </c>
      <c r="B151" s="24" t="inlineStr">
        <is>
          <t>비고</t>
        </is>
      </c>
      <c r="C151" s="24" t="inlineStr">
        <is>
          <t>This overlay is a deterministic decision-quality helper, not a realized-return predictor.</t>
        </is>
      </c>
      <c r="D151" s="24" t="inlineStr">
        <is>
          <t>JSON 상세는 dashboard_payload 파일 참조</t>
        </is>
      </c>
    </row>
    <row r="152" ht="24" customHeight="1">
      <c r="A152" s="29" t="inlineStr">
        <is>
          <t>ml_overlay</t>
        </is>
      </c>
      <c r="B152" s="29" t="inlineStr">
        <is>
          <t>note_kr</t>
        </is>
      </c>
      <c r="C152" s="29" t="inlineStr">
        <is>
          <t>미래수익률 예측모델이 아니라 대시보드/Chair용 설명가능 보조 가치평가 점수입니다.</t>
        </is>
      </c>
      <c r="D152" s="29" t="inlineStr">
        <is>
          <t>JSON 상세는 dashboard_payload 파일 참조</t>
        </is>
      </c>
    </row>
    <row r="153" ht="24" customHeight="1">
      <c r="A153" s="24" t="inlineStr">
        <is>
          <t>valuation_scorecard</t>
        </is>
      </c>
      <c r="B153" s="24" t="inlineStr">
        <is>
          <t>상위 블록</t>
        </is>
      </c>
      <c r="C153" s="24" t="inlineStr">
        <is>
          <t>8개 항목</t>
        </is>
      </c>
      <c r="D153" s="24" t="inlineStr">
        <is>
          <t>대시보드에서 객체로 사용</t>
        </is>
      </c>
    </row>
    <row r="154" ht="24" customHeight="1">
      <c r="A154" s="29" t="inlineStr">
        <is>
          <t>valuation_scorecard</t>
        </is>
      </c>
      <c r="B154" s="29" t="inlineStr">
        <is>
          <t>산출 방식</t>
        </is>
      </c>
      <c r="C154" s="29" t="inlineStr">
        <is>
          <t>DCF_25_PSR_15_QUALITY_15_REFERENCE_10_ADVANCED_20_LIQUIDITY_10_VALIDATION_5</t>
        </is>
      </c>
      <c r="D154" s="29" t="inlineStr">
        <is>
          <t>JSON 상세는 dashboard_payload 파일 참조</t>
        </is>
      </c>
    </row>
    <row r="155" ht="24" customHeight="1">
      <c r="A155" s="24" t="inlineStr">
        <is>
          <t>valuation_scorecard</t>
        </is>
      </c>
      <c r="B155" s="24" t="inlineStr">
        <is>
          <t>가치평가 방법</t>
        </is>
      </c>
      <c r="C155" s="24" t="inlineStr">
        <is>
          <t>DCF 25% + Peer P/S 15% + 품질 ML 15% + 208개 Universe 10% + 가치범위표/역산 DCF/오너 이익 20% + 유동성/리스크 10% + 검증 5%</t>
        </is>
      </c>
      <c r="D155" s="24" t="inlineStr">
        <is>
          <t>JSON 상세는 dashboard_payload 파일 참조</t>
        </is>
      </c>
    </row>
    <row r="156" ht="24" customHeight="1">
      <c r="A156" s="29" t="inlineStr">
        <is>
          <t>valuation_scorecard</t>
        </is>
      </c>
      <c r="B156" s="29" t="inlineStr">
        <is>
          <t>점수</t>
        </is>
      </c>
      <c r="C156" s="31" t="n">
        <v>24.55</v>
      </c>
      <c r="D156" s="29" t="inlineStr">
        <is>
          <t>JSON 상세는 dashboard_payload 파일 참조</t>
        </is>
      </c>
    </row>
    <row r="157" ht="24" customHeight="1">
      <c r="A157" s="24" t="inlineStr">
        <is>
          <t>valuation_scorecard</t>
        </is>
      </c>
      <c r="B157" s="24" t="inlineStr">
        <is>
          <t>라벨</t>
        </is>
      </c>
      <c r="C157" s="24" t="inlineStr">
        <is>
          <t>VALUATION_RISK</t>
        </is>
      </c>
      <c r="D157" s="24" t="inlineStr">
        <is>
          <t>JSON 상세는 dashboard_payload 파일 참조</t>
        </is>
      </c>
    </row>
    <row r="158" ht="24" customHeight="1">
      <c r="A158" s="29" t="inlineStr">
        <is>
          <t>valuation_scorecard</t>
        </is>
      </c>
      <c r="B158" s="29" t="inlineStr">
        <is>
          <t>한글 라벨</t>
        </is>
      </c>
      <c r="C158" s="29" t="inlineStr">
        <is>
          <t>밸류에이션 부담</t>
        </is>
      </c>
      <c r="D158" s="29" t="inlineStr">
        <is>
          <t>JSON 상세는 dashboard_payload 파일 참조</t>
        </is>
      </c>
    </row>
    <row r="159" ht="24" customHeight="1">
      <c r="A159" s="24" t="inlineStr">
        <is>
          <t>valuation_scorecard</t>
        </is>
      </c>
      <c r="B159" s="24" t="inlineStr">
        <is>
          <t>종합 해석</t>
        </is>
      </c>
      <c r="C159" s="24" t="inlineStr">
        <is>
          <t>DCF·상대가치 또는 품질 지표의 보수적 확인이 필요합니다.</t>
        </is>
      </c>
      <c r="D159" s="24" t="inlineStr">
        <is>
          <t>JSON 상세는 dashboard_payload 파일 참조</t>
        </is>
      </c>
    </row>
    <row r="160" ht="24" customHeight="1">
      <c r="A160" s="29" t="inlineStr">
        <is>
          <t>valuation_scorecard</t>
        </is>
      </c>
      <c r="B160" s="29" t="inlineStr">
        <is>
          <t>factors</t>
        </is>
      </c>
      <c r="C160" s="29" t="inlineStr">
        <is>
          <t>7개 행</t>
        </is>
      </c>
      <c r="D160" s="29" t="inlineStr">
        <is>
          <t>JSON 상세는 dashboard_payload 파일 참조</t>
        </is>
      </c>
    </row>
    <row r="161" ht="24" customHeight="1">
      <c r="A161" s="24" t="inlineStr">
        <is>
          <t>valuation_scorecard</t>
        </is>
      </c>
      <c r="B161" s="24" t="inlineStr">
        <is>
          <t>dashboard_note_kr</t>
        </is>
      </c>
      <c r="C161" s="24" t="inlineStr">
        <is>
          <t>Chair 최종 가중합을 대체하지 않는 보조 밸류에이션 스코어입니다. DCF 단일값보다 다중 방법 검증을 우선합니다. 대시보드/엑셀 다운로드/투자자 요약에서 사용합니다.</t>
        </is>
      </c>
      <c r="D161" s="24" t="inlineStr">
        <is>
          <t>JSON 상세는 dashboard_payload 파일 참조</t>
        </is>
      </c>
    </row>
    <row r="162" ht="24" customHeight="1">
      <c r="A162" s="29" t="inlineStr">
        <is>
          <t>종합 가치평가</t>
        </is>
      </c>
      <c r="B162" s="29" t="inlineStr">
        <is>
          <t>상위 블록</t>
        </is>
      </c>
      <c r="C162" s="29" t="inlineStr">
        <is>
          <t>12개 항목</t>
        </is>
      </c>
      <c r="D162" s="29" t="inlineStr">
        <is>
          <t>대시보드에서 객체로 사용</t>
        </is>
      </c>
    </row>
    <row r="163" ht="24" customHeight="1">
      <c r="A163" s="24" t="inlineStr">
        <is>
          <t>종합 가치평가</t>
        </is>
      </c>
      <c r="B163" s="24" t="inlineStr">
        <is>
          <t>가치평가 방법</t>
        </is>
      </c>
      <c r="C163" s="24" t="inlineStr">
        <is>
          <t>DCF + 피어 멀티플 가치범위표 + 역산 DCF + 오너 이익/EPV + 시장내재 배수 + 데이터 커버리지</t>
        </is>
      </c>
      <c r="D163" s="24" t="inlineStr">
        <is>
          <t>JSON 상세는 dashboard_payload 파일 참조</t>
        </is>
      </c>
    </row>
    <row r="164" ht="24" customHeight="1">
      <c r="A164" s="29" t="inlineStr">
        <is>
          <t>종합 가치평가</t>
        </is>
      </c>
      <c r="B164" s="29" t="inlineStr">
        <is>
          <t>종합 가치평가 점수</t>
        </is>
      </c>
      <c r="C164" s="31" t="n">
        <v>23</v>
      </c>
      <c r="D164" s="29" t="inlineStr">
        <is>
          <t>JSON 상세는 dashboard_payload 파일 참조</t>
        </is>
      </c>
    </row>
    <row r="165" ht="24" customHeight="1">
      <c r="A165" s="24" t="inlineStr">
        <is>
          <t>종합 가치평가</t>
        </is>
      </c>
      <c r="B165" s="24" t="inlineStr">
        <is>
          <t>신뢰도 등급</t>
        </is>
      </c>
      <c r="C165" s="24" t="inlineStr">
        <is>
          <t>낮음</t>
        </is>
      </c>
      <c r="D165" s="24" t="inlineStr">
        <is>
          <t>JSON 상세는 dashboard_payload 파일 참조</t>
        </is>
      </c>
    </row>
    <row r="166" ht="24" customHeight="1">
      <c r="A166" s="29" t="inlineStr">
        <is>
          <t>종합 가치평가</t>
        </is>
      </c>
      <c r="B166" s="29" t="inlineStr">
        <is>
          <t>가치범위표</t>
        </is>
      </c>
      <c r="C166" s="29" t="inlineStr">
        <is>
          <t>7개 항목</t>
        </is>
      </c>
      <c r="D166" s="29" t="inlineStr">
        <is>
          <t>JSON 상세는 dashboard_payload 파일 참조</t>
        </is>
      </c>
    </row>
    <row r="167" ht="24" customHeight="1">
      <c r="A167" s="24" t="inlineStr">
        <is>
          <t>종합 가치평가</t>
        </is>
      </c>
      <c r="B167" s="24" t="inlineStr">
        <is>
          <t>가치평가 방법</t>
        </is>
      </c>
      <c r="C167" s="24" t="inlineStr">
        <is>
          <t>4개 행</t>
        </is>
      </c>
      <c r="D167" s="24" t="inlineStr">
        <is>
          <t>JSON 상세는 dashboard_payload 파일 참조</t>
        </is>
      </c>
    </row>
    <row r="168" ht="24" customHeight="1">
      <c r="A168" s="29" t="inlineStr">
        <is>
          <t>종합 가치평가</t>
        </is>
      </c>
      <c r="B168" s="29" t="inlineStr">
        <is>
          <t>역산 DCF</t>
        </is>
      </c>
      <c r="C168" s="29" t="inlineStr">
        <is>
          <t>9개 항목</t>
        </is>
      </c>
      <c r="D168" s="29" t="inlineStr">
        <is>
          <t>JSON 상세는 dashboard_payload 파일 참조</t>
        </is>
      </c>
    </row>
    <row r="169" ht="24" customHeight="1">
      <c r="A169" s="24" t="inlineStr">
        <is>
          <t>종합 가치평가</t>
        </is>
      </c>
      <c r="B169" s="24" t="inlineStr">
        <is>
          <t>오너 이익</t>
        </is>
      </c>
      <c r="C169" s="24" t="inlineStr">
        <is>
          <t>11개 항목</t>
        </is>
      </c>
      <c r="D169" s="24" t="inlineStr">
        <is>
          <t>JSON 상세는 dashboard_payload 파일 참조</t>
        </is>
      </c>
    </row>
    <row r="170" ht="24" customHeight="1">
      <c r="A170" s="29" t="inlineStr">
        <is>
          <t>종합 가치평가</t>
        </is>
      </c>
      <c r="B170" s="29" t="inlineStr">
        <is>
          <t>시장내재 배수</t>
        </is>
      </c>
      <c r="C170" s="29" t="inlineStr">
        <is>
          <t>14개 항목</t>
        </is>
      </c>
      <c r="D170" s="29" t="inlineStr">
        <is>
          <t>JSON 상세는 dashboard_payload 파일 참조</t>
        </is>
      </c>
    </row>
    <row r="171" ht="24" customHeight="1">
      <c r="A171" s="24" t="inlineStr">
        <is>
          <t>종합 가치평가</t>
        </is>
      </c>
      <c r="B171" s="24" t="inlineStr">
        <is>
          <t>품질 진단</t>
        </is>
      </c>
      <c r="C171" s="24" t="inlineStr">
        <is>
          <t>8개 행</t>
        </is>
      </c>
      <c r="D171" s="24" t="inlineStr">
        <is>
          <t>JSON 상세는 dashboard_payload 파일 참조</t>
        </is>
      </c>
    </row>
    <row r="172" ht="24" customHeight="1">
      <c r="A172" s="29" t="inlineStr">
        <is>
          <t>종합 가치평가</t>
        </is>
      </c>
      <c r="B172" s="29" t="inlineStr">
        <is>
          <t>source_completion_plan</t>
        </is>
      </c>
      <c r="C172" s="29" t="inlineStr">
        <is>
          <t>6개 행</t>
        </is>
      </c>
      <c r="D172" s="29" t="inlineStr">
        <is>
          <t>JSON 상세는 dashboard_payload 파일 참조</t>
        </is>
      </c>
    </row>
    <row r="173" ht="24" customHeight="1">
      <c r="A173" s="24" t="inlineStr">
        <is>
          <t>종합 가치평가</t>
        </is>
      </c>
      <c r="B173" s="24" t="inlineStr">
        <is>
          <t>market_snapshot</t>
        </is>
      </c>
      <c r="C173" s="24" t="inlineStr">
        <is>
          <t>28개 항목</t>
        </is>
      </c>
      <c r="D173" s="24" t="inlineStr">
        <is>
          <t>JSON 상세는 dashboard_payload 파일 참조</t>
        </is>
      </c>
    </row>
    <row r="174" ht="24" customHeight="1">
      <c r="A174" s="29" t="inlineStr">
        <is>
          <t>종합 가치평가</t>
        </is>
      </c>
      <c r="B174" s="29" t="inlineStr">
        <is>
          <t>dashboard_note_kr</t>
        </is>
      </c>
      <c r="C174" s="29" t="inlineStr">
        <is>
          <t>투자은행식 valuation pack에서 자주 쓰는 DCF·Comps·역산 DCF·오너 이익·시장내재배수 교차검증을 제공합니다.</t>
        </is>
      </c>
      <c r="D174" s="29" t="inlineStr">
        <is>
          <t>JSON 상세는 dashboard_payload 파일 참조</t>
        </is>
      </c>
    </row>
    <row r="175" ht="24" customHeight="1">
      <c r="A175" s="24" t="inlineStr">
        <is>
          <t>시장내재 배수</t>
        </is>
      </c>
      <c r="B175" s="24" t="inlineStr">
        <is>
          <t>상위 블록</t>
        </is>
      </c>
      <c r="C175" s="24" t="inlineStr">
        <is>
          <t>14개 항목</t>
        </is>
      </c>
      <c r="D175" s="24" t="inlineStr">
        <is>
          <t>대시보드에서 객체로 사용</t>
        </is>
      </c>
    </row>
    <row r="176" ht="24" customHeight="1">
      <c r="A176" s="29" t="inlineStr">
        <is>
          <t>시장내재 배수</t>
        </is>
      </c>
      <c r="B176" s="29" t="inlineStr">
        <is>
          <t>latest_close</t>
        </is>
      </c>
      <c r="C176" s="31" t="n">
        <v>20200</v>
      </c>
      <c r="D176" s="29" t="inlineStr">
        <is>
          <t>JSON 상세는 dashboard_payload 파일 참조</t>
        </is>
      </c>
    </row>
    <row r="177" ht="24" customHeight="1">
      <c r="A177" s="24" t="inlineStr">
        <is>
          <t>시장내재 배수</t>
        </is>
      </c>
      <c r="B177" s="24" t="inlineStr">
        <is>
          <t>시가총액</t>
        </is>
      </c>
      <c r="C177" s="30" t="n">
        <v>413626996800</v>
      </c>
      <c r="D177" s="24" t="inlineStr">
        <is>
          <t>JSON 상세는 dashboard_payload 파일 참조</t>
        </is>
      </c>
    </row>
    <row r="178" ht="24" customHeight="1">
      <c r="A178" s="29" t="inlineStr">
        <is>
          <t>시장내재 배수</t>
        </is>
      </c>
      <c r="B178" s="29" t="inlineStr">
        <is>
          <t>EV proxy</t>
        </is>
      </c>
      <c r="C178" s="31" t="n">
        <v>913824523506</v>
      </c>
      <c r="D178" s="29" t="inlineStr">
        <is>
          <t>JSON 상세는 dashboard_payload 파일 참조</t>
        </is>
      </c>
    </row>
    <row r="179" ht="24" customHeight="1">
      <c r="A179" s="24" t="inlineStr">
        <is>
          <t>시장내재 배수</t>
        </is>
      </c>
      <c r="B179" s="24" t="inlineStr">
        <is>
          <t>psr_market</t>
        </is>
      </c>
      <c r="C179" s="30" t="n">
        <v>3.690496567424158</v>
      </c>
      <c r="D179" s="24" t="inlineStr">
        <is>
          <t>JSON 상세는 dashboard_payload 파일 참조</t>
        </is>
      </c>
    </row>
    <row r="180" ht="24" customHeight="1">
      <c r="A180" s="29" t="inlineStr">
        <is>
          <t>시장내재 배수</t>
        </is>
      </c>
      <c r="B180" s="29" t="inlineStr">
        <is>
          <t>pbr_market</t>
        </is>
      </c>
      <c r="C180" s="31" t="n">
        <v>3.88471024433095</v>
      </c>
      <c r="D180" s="29" t="inlineStr">
        <is>
          <t>JSON 상세는 dashboard_payload 파일 참조</t>
        </is>
      </c>
    </row>
    <row r="181" ht="24" customHeight="1">
      <c r="A181" s="24" t="inlineStr">
        <is>
          <t>시장내재 배수</t>
        </is>
      </c>
      <c r="B181" s="24" t="inlineStr">
        <is>
          <t>per_market</t>
        </is>
      </c>
      <c r="C181" s="24" t="inlineStr">
        <is>
          <t>해당 없음</t>
        </is>
      </c>
      <c r="D181" s="24" t="inlineStr">
        <is>
          <t>JSON 상세는 dashboard_payload 파일 참조</t>
        </is>
      </c>
    </row>
    <row r="182" ht="24" customHeight="1">
      <c r="A182" s="29" t="inlineStr">
        <is>
          <t>시장내재 배수</t>
        </is>
      </c>
      <c r="B182" s="29" t="inlineStr">
        <is>
          <t>p_fcf_market</t>
        </is>
      </c>
      <c r="C182" s="29" t="inlineStr">
        <is>
          <t>해당 없음</t>
        </is>
      </c>
      <c r="D182" s="29" t="inlineStr">
        <is>
          <t>JSON 상세는 dashboard_payload 파일 참조</t>
        </is>
      </c>
    </row>
    <row r="183" ht="24" customHeight="1">
      <c r="A183" s="24" t="inlineStr">
        <is>
          <t>시장내재 배수</t>
        </is>
      </c>
      <c r="B183" s="24" t="inlineStr">
        <is>
          <t>ev_sales_market</t>
        </is>
      </c>
      <c r="C183" s="30" t="n">
        <v>8.153399786082121</v>
      </c>
      <c r="D183" s="24" t="inlineStr">
        <is>
          <t>JSON 상세는 dashboard_payload 파일 참조</t>
        </is>
      </c>
    </row>
    <row r="184" ht="24" customHeight="1">
      <c r="A184" s="29" t="inlineStr">
        <is>
          <t>시장내재 배수</t>
        </is>
      </c>
      <c r="B184" s="29" t="inlineStr">
        <is>
          <t>ev_ebit_market</t>
        </is>
      </c>
      <c r="C184" s="29" t="inlineStr">
        <is>
          <t>해당 없음</t>
        </is>
      </c>
      <c r="D184" s="29" t="inlineStr">
        <is>
          <t>JSON 상세는 dashboard_payload 파일 참조</t>
        </is>
      </c>
    </row>
    <row r="185" ht="24" customHeight="1">
      <c r="A185" s="24" t="inlineStr">
        <is>
          <t>시장내재 배수</t>
        </is>
      </c>
      <c r="B185" s="24" t="inlineStr">
        <is>
          <t>eps_derived</t>
        </is>
      </c>
      <c r="C185" s="30" t="n">
        <v>-5154.690951283671</v>
      </c>
      <c r="D185" s="24" t="inlineStr">
        <is>
          <t>JSON 상세는 dashboard_payload 파일 참조</t>
        </is>
      </c>
    </row>
    <row r="186" ht="24" customHeight="1">
      <c r="A186" s="29" t="inlineStr">
        <is>
          <t>시장내재 배수</t>
        </is>
      </c>
      <c r="B186" s="29" t="inlineStr">
        <is>
          <t>bps_derived</t>
        </is>
      </c>
      <c r="C186" s="31" t="n">
        <v>5199.873022570561</v>
      </c>
      <c r="D186" s="29" t="inlineStr">
        <is>
          <t>JSON 상세는 dashboard_payload 파일 참조</t>
        </is>
      </c>
    </row>
    <row r="187" ht="24" customHeight="1">
      <c r="A187" s="24" t="inlineStr">
        <is>
          <t>시장내재 배수</t>
        </is>
      </c>
      <c r="B187" s="24" t="inlineStr">
        <is>
          <t>fcf_yield_market</t>
        </is>
      </c>
      <c r="C187" s="30" t="n">
        <v>-0.05222059612913545</v>
      </c>
      <c r="D187" s="24" t="inlineStr">
        <is>
          <t>JSON 상세는 dashboard_payload 파일 참조</t>
        </is>
      </c>
    </row>
    <row r="188" ht="24" customHeight="1">
      <c r="A188" s="29" t="inlineStr">
        <is>
          <t>시장내재 배수</t>
        </is>
      </c>
      <c r="B188" s="29" t="inlineStr">
        <is>
          <t>sales_yield_market</t>
        </is>
      </c>
      <c r="C188" s="31" t="n">
        <v>0.2709662457965558</v>
      </c>
      <c r="D188" s="29" t="inlineStr">
        <is>
          <t>JSON 상세는 dashboard_payload 파일 참조</t>
        </is>
      </c>
    </row>
    <row r="189" ht="24" customHeight="1">
      <c r="A189" s="24" t="inlineStr">
        <is>
          <t>시장내재 배수</t>
        </is>
      </c>
      <c r="B189" s="24" t="inlineStr">
        <is>
          <t>source_kr</t>
        </is>
      </c>
      <c r="C189" s="24" t="inlineStr">
        <is>
          <t>DART 정규화 재무제표 + Valuation Agent 주가/발행주식 수 intake로 자동 산출</t>
        </is>
      </c>
      <c r="D189" s="24" t="inlineStr">
        <is>
          <t>JSON 상세는 dashboard_payload 파일 참조</t>
        </is>
      </c>
    </row>
    <row r="190" ht="24" customHeight="1">
      <c r="A190" s="29" t="inlineStr">
        <is>
          <t>품질 진단</t>
        </is>
      </c>
      <c r="B190" s="29" t="inlineStr">
        <is>
          <t>목록</t>
        </is>
      </c>
      <c r="C190" s="29" t="inlineStr">
        <is>
          <t>8개 행</t>
        </is>
      </c>
      <c r="D190" s="29" t="inlineStr">
        <is>
          <t>대시보드 표/차트 원천</t>
        </is>
      </c>
    </row>
    <row r="191" ht="24" customHeight="1">
      <c r="A191" s="24" t="inlineStr">
        <is>
          <t>검증 결과</t>
        </is>
      </c>
      <c r="B191" s="24" t="inlineStr">
        <is>
          <t>상위 블록</t>
        </is>
      </c>
      <c r="C191" s="24" t="inlineStr">
        <is>
          <t>4개 항목</t>
        </is>
      </c>
      <c r="D191" s="24" t="inlineStr">
        <is>
          <t>대시보드에서 객체로 사용</t>
        </is>
      </c>
    </row>
    <row r="192" ht="24" customHeight="1">
      <c r="A192" s="29" t="inlineStr">
        <is>
          <t>검증 결과</t>
        </is>
      </c>
      <c r="B192" s="29" t="inlineStr">
        <is>
          <t>상태</t>
        </is>
      </c>
      <c r="C192" s="29" t="inlineStr">
        <is>
          <t>PASS_WITH_WARNINGS</t>
        </is>
      </c>
      <c r="D192" s="29" t="inlineStr">
        <is>
          <t>JSON 상세는 dashboard_payload 파일 참조</t>
        </is>
      </c>
    </row>
    <row r="193" ht="24" customHeight="1">
      <c r="A193" s="24" t="inlineStr">
        <is>
          <t>검증 결과</t>
        </is>
      </c>
      <c r="B193" s="24" t="inlineStr">
        <is>
          <t>issues</t>
        </is>
      </c>
      <c r="C193" s="24" t="inlineStr">
        <is>
          <t>3개 행</t>
        </is>
      </c>
      <c r="D193" s="24" t="inlineStr">
        <is>
          <t>JSON 상세는 dashboard_payload 파일 참조</t>
        </is>
      </c>
    </row>
    <row r="194" ht="24" customHeight="1">
      <c r="A194" s="29" t="inlineStr">
        <is>
          <t>검증 결과</t>
        </is>
      </c>
      <c r="B194" s="29" t="inlineStr">
        <is>
          <t>audit_trail</t>
        </is>
      </c>
      <c r="C194" s="29" t="inlineStr">
        <is>
          <t>6개 행</t>
        </is>
      </c>
      <c r="D194" s="29" t="inlineStr">
        <is>
          <t>JSON 상세는 dashboard_payload 파일 참조</t>
        </is>
      </c>
    </row>
    <row r="195" ht="24" customHeight="1">
      <c r="A195" s="24" t="inlineStr">
        <is>
          <t>검증 결과</t>
        </is>
      </c>
      <c r="B195" s="24" t="inlineStr">
        <is>
          <t>principle</t>
        </is>
      </c>
      <c r="C195" s="24" t="inlineStr">
        <is>
          <t>valuation_agent 자체 데이터/모델 일관성 검증; 기존 web-auditor 의존 없음</t>
        </is>
      </c>
      <c r="D195" s="24" t="inlineStr">
        <is>
          <t>JSON 상세는 dashboard_payload 파일 참조</t>
        </is>
      </c>
    </row>
    <row r="196" ht="24" customHeight="1">
      <c r="A196" s="29" t="inlineStr">
        <is>
          <t>display_labels_kr</t>
        </is>
      </c>
      <c r="B196" s="29" t="inlineStr">
        <is>
          <t>상위 블록</t>
        </is>
      </c>
      <c r="C196" s="29" t="inlineStr">
        <is>
          <t>8개 항목</t>
        </is>
      </c>
      <c r="D196" s="29" t="inlineStr">
        <is>
          <t>대시보드에서 객체로 사용</t>
        </is>
      </c>
    </row>
    <row r="197" ht="24" customHeight="1">
      <c r="A197" s="24" t="inlineStr">
        <is>
          <t>display_labels_kr</t>
        </is>
      </c>
      <c r="B197" s="24" t="inlineStr">
        <is>
          <t>summary_cards</t>
        </is>
      </c>
      <c r="C197" s="24" t="inlineStr">
        <is>
          <t>핵심 요약 카드</t>
        </is>
      </c>
      <c r="D197" s="24" t="inlineStr">
        <is>
          <t>JSON 상세는 dashboard_payload 파일 참조</t>
        </is>
      </c>
    </row>
    <row r="198" ht="24" customHeight="1">
      <c r="A198" s="29" t="inlineStr">
        <is>
          <t>display_labels_kr</t>
        </is>
      </c>
      <c r="B198" s="29" t="inlineStr">
        <is>
          <t>price_history</t>
        </is>
      </c>
      <c r="C198" s="29" t="inlineStr">
        <is>
          <t>주가 차트</t>
        </is>
      </c>
      <c r="D198" s="29" t="inlineStr">
        <is>
          <t>JSON 상세는 dashboard_payload 파일 참조</t>
        </is>
      </c>
    </row>
    <row r="199" ht="24" customHeight="1">
      <c r="A199" s="24" t="inlineStr">
        <is>
          <t>display_labels_kr</t>
        </is>
      </c>
      <c r="B199" s="24" t="inlineStr">
        <is>
          <t>historical_financials</t>
        </is>
      </c>
      <c r="C199" s="24" t="inlineStr">
        <is>
          <t>재무 추이</t>
        </is>
      </c>
      <c r="D199" s="24" t="inlineStr">
        <is>
          <t>JSON 상세는 dashboard_payload 파일 참조</t>
        </is>
      </c>
    </row>
    <row r="200" ht="24" customHeight="1">
      <c r="A200" s="29" t="inlineStr">
        <is>
          <t>display_labels_kr</t>
        </is>
      </c>
      <c r="B200" s="29" t="inlineStr">
        <is>
          <t>fcf_projection</t>
        </is>
      </c>
      <c r="C200" s="29" t="inlineStr">
        <is>
          <t>FCF 추정</t>
        </is>
      </c>
      <c r="D200" s="29" t="inlineStr">
        <is>
          <t>JSON 상세는 dashboard_payload 파일 참조</t>
        </is>
      </c>
    </row>
    <row r="201" ht="24" customHeight="1">
      <c r="A201" s="24" t="inlineStr">
        <is>
          <t>display_labels_kr</t>
        </is>
      </c>
      <c r="B201" s="24" t="inlineStr">
        <is>
          <t>peer_multiples</t>
        </is>
      </c>
      <c r="C201" s="24" t="inlineStr">
        <is>
          <t>비교기업 멀티플 비교</t>
        </is>
      </c>
      <c r="D201" s="24" t="inlineStr">
        <is>
          <t>JSON 상세는 dashboard_payload 파일 참조</t>
        </is>
      </c>
    </row>
    <row r="202" ht="24" customHeight="1">
      <c r="A202" s="29" t="inlineStr">
        <is>
          <t>display_labels_kr</t>
        </is>
      </c>
      <c r="B202" s="29" t="inlineStr">
        <is>
          <t>reference_universe_focus</t>
        </is>
      </c>
      <c r="C202" s="29" t="inlineStr">
        <is>
          <t>208개 반도체 비교군 상대위치</t>
        </is>
      </c>
      <c r="D202" s="29" t="inlineStr">
        <is>
          <t>JSON 상세는 dashboard_payload 파일 참조</t>
        </is>
      </c>
    </row>
    <row r="203" ht="24" customHeight="1">
      <c r="A203" s="24" t="inlineStr">
        <is>
          <t>display_labels_kr</t>
        </is>
      </c>
      <c r="B203" s="24" t="inlineStr">
        <is>
          <t>advanced_valuation</t>
        </is>
      </c>
      <c r="C203" s="24" t="inlineStr">
        <is>
          <t>종합 가치평가</t>
        </is>
      </c>
      <c r="D203" s="24" t="inlineStr">
        <is>
          <t>JSON 상세는 dashboard_payload 파일 참조</t>
        </is>
      </c>
    </row>
    <row r="204" ht="24" customHeight="1">
      <c r="A204" s="29" t="inlineStr">
        <is>
          <t>display_labels_kr</t>
        </is>
      </c>
      <c r="B204" s="29" t="inlineStr">
        <is>
          <t>download_workbook</t>
        </is>
      </c>
      <c r="C204" s="29" t="inlineStr">
        <is>
          <t>엑셀 다운로드</t>
        </is>
      </c>
      <c r="D204" s="29" t="inlineStr">
        <is>
          <t>JSON 상세는 dashboard_payload 파일 참조</t>
        </is>
      </c>
    </row>
    <row r="205" ht="24" customHeight="1">
      <c r="A205" s="24" t="inlineStr">
        <is>
          <t>dashboard_usage_note</t>
        </is>
      </c>
      <c r="B205" s="24" t="inlineStr">
        <is>
          <t>값</t>
        </is>
      </c>
      <c r="C205" s="24" t="inlineStr">
        <is>
          <t>Streamlit/React 대시보드에서 한국어 카드, 주가 차트, DCF·P/S·P/B·PER·가치범위표, 208개 기준 비교군 표/산점도, 검증 배지, 엑셀 다운로드 버튼에 바로 연결할 수 있습니다.</t>
        </is>
      </c>
      <c r="D205" s="24" t="inlineStr">
        <is>
          <t>대시보드 기본값</t>
        </is>
      </c>
    </row>
  </sheetData>
  <autoFilter ref="A2:D205"/>
  <mergeCells count="1">
    <mergeCell ref="A1:F1"/>
  </mergeCells>
  <pageMargins left="0.75" right="0.75" top="1" bottom="1" header="0.5" footer="0.5"/>
  <pageSetup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감사 추적</t>
        </is>
      </c>
    </row>
    <row r="2" ht="24" customHeight="1">
      <c r="A2" s="25" t="inlineStr">
        <is>
          <t>단계</t>
        </is>
      </c>
      <c r="B2" s="25" t="inlineStr">
        <is>
          <t>상태</t>
        </is>
      </c>
      <c r="C2" s="25" t="inlineStr">
        <is>
          <t>rows</t>
        </is>
      </c>
      <c r="D2" s="25" t="inlineStr">
        <is>
          <t>발행주식 수</t>
        </is>
      </c>
      <c r="E2" s="25" t="inlineStr">
        <is>
          <t>시가총액</t>
        </is>
      </c>
      <c r="F2" s="25" t="inlineStr">
        <is>
          <t>20일 평균 거래대금</t>
        </is>
      </c>
    </row>
    <row r="3" ht="24" customHeight="1">
      <c r="A3" s="24" t="inlineStr">
        <is>
          <t>normalized_financials</t>
        </is>
      </c>
      <c r="B3" s="24" t="inlineStr">
        <is>
          <t>OK</t>
        </is>
      </c>
      <c r="C3" s="30" t="n">
        <v>5</v>
      </c>
      <c r="D3" s="24" t="inlineStr">
        <is>
          <t>해당 없음</t>
        </is>
      </c>
      <c r="E3" s="24" t="inlineStr">
        <is>
          <t>해당 없음</t>
        </is>
      </c>
      <c r="F3" s="24" t="inlineStr">
        <is>
          <t>해당 없음</t>
        </is>
      </c>
    </row>
    <row r="4" ht="24" customHeight="1">
      <c r="A4" s="29" t="inlineStr">
        <is>
          <t>price_history</t>
        </is>
      </c>
      <c r="B4" s="29" t="inlineStr">
        <is>
          <t>OK</t>
        </is>
      </c>
      <c r="C4" s="31" t="n">
        <v>1221</v>
      </c>
      <c r="D4" s="29" t="inlineStr">
        <is>
          <t>해당 없음</t>
        </is>
      </c>
      <c r="E4" s="29" t="inlineStr">
        <is>
          <t>해당 없음</t>
        </is>
      </c>
      <c r="F4" s="29" t="inlineStr">
        <is>
          <t>해당 없음</t>
        </is>
      </c>
    </row>
    <row r="5" ht="24" customHeight="1">
      <c r="A5" s="24" t="inlineStr">
        <is>
          <t>share_count</t>
        </is>
      </c>
      <c r="B5" s="24" t="inlineStr">
        <is>
          <t>OK</t>
        </is>
      </c>
      <c r="C5" s="24" t="inlineStr">
        <is>
          <t>해당 없음</t>
        </is>
      </c>
      <c r="D5" s="30" t="n">
        <v>20476584</v>
      </c>
      <c r="E5" s="24" t="inlineStr">
        <is>
          <t>해당 없음</t>
        </is>
      </c>
      <c r="F5" s="24" t="inlineStr">
        <is>
          <t>해당 없음</t>
        </is>
      </c>
    </row>
    <row r="6" ht="24" customHeight="1">
      <c r="A6" s="29" t="inlineStr">
        <is>
          <t>reference_universe</t>
        </is>
      </c>
      <c r="B6" s="29" t="inlineStr">
        <is>
          <t>OK</t>
        </is>
      </c>
      <c r="C6" s="31" t="n">
        <v>208</v>
      </c>
      <c r="D6" s="29" t="inlineStr">
        <is>
          <t>해당 없음</t>
        </is>
      </c>
      <c r="E6" s="29" t="inlineStr">
        <is>
          <t>해당 없음</t>
        </is>
      </c>
      <c r="F6" s="29" t="inlineStr">
        <is>
          <t>해당 없음</t>
        </is>
      </c>
    </row>
    <row r="7" ht="24" customHeight="1">
      <c r="A7" s="24" t="inlineStr">
        <is>
          <t>market_cap</t>
        </is>
      </c>
      <c r="B7" s="24" t="inlineStr">
        <is>
          <t>OK</t>
        </is>
      </c>
      <c r="C7" s="24" t="inlineStr">
        <is>
          <t>해당 없음</t>
        </is>
      </c>
      <c r="D7" s="24" t="inlineStr">
        <is>
          <t>해당 없음</t>
        </is>
      </c>
      <c r="E7" s="30" t="n">
        <v>413626996800</v>
      </c>
      <c r="F7" s="24" t="inlineStr">
        <is>
          <t>해당 없음</t>
        </is>
      </c>
    </row>
    <row r="8" ht="24" customHeight="1">
      <c r="A8" s="29" t="inlineStr">
        <is>
          <t>liquidity_proxy</t>
        </is>
      </c>
      <c r="B8" s="29" t="inlineStr">
        <is>
          <t>OK</t>
        </is>
      </c>
      <c r="C8" s="29" t="inlineStr">
        <is>
          <t>해당 없음</t>
        </is>
      </c>
      <c r="D8" s="29" t="inlineStr">
        <is>
          <t>해당 없음</t>
        </is>
      </c>
      <c r="E8" s="29" t="inlineStr">
        <is>
          <t>해당 없음</t>
        </is>
      </c>
      <c r="F8" s="31" t="n">
        <v>11121560520</v>
      </c>
    </row>
  </sheetData>
  <autoFilter ref="A2:F8"/>
  <mergeCells count="1">
    <mergeCell ref="A1:F1"/>
  </mergeCells>
  <pageMargins left="0.75" right="0.75" top="1" bottom="1" header="0.5" footer="0.5"/>
  <pageSetup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업로드 파이낸셜 모델링 파일에서 추출한 설계 archetype</t>
        </is>
      </c>
    </row>
    <row r="2" ht="24" customHeight="1">
      <c r="A2" s="25" t="inlineStr">
        <is>
          <t>모델 유형</t>
        </is>
      </c>
      <c r="B2" s="25" t="inlineStr">
        <is>
          <t>설명</t>
        </is>
      </c>
      <c r="C2" s="25" t="inlineStr">
        <is>
          <t>참조 파일 패턴</t>
        </is>
      </c>
      <c r="D2" s="25" t="inlineStr">
        <is>
          <t>관찰된 시트</t>
        </is>
      </c>
      <c r="E2" s="25" t="inlineStr">
        <is>
          <t>권장 시트</t>
        </is>
      </c>
      <c r="F2" s="25" t="inlineStr">
        <is>
          <t>필요 데이터</t>
        </is>
      </c>
      <c r="G2" s="25" t="inlineStr">
        <is>
          <t>키워드</t>
        </is>
      </c>
    </row>
    <row r="3" ht="24" customHeight="1">
      <c r="A3" s="24" t="inlineStr">
        <is>
          <t>DCF_CORE</t>
        </is>
      </c>
      <c r="B3" s="24" t="inlineStr">
        <is>
          <t>DCF 핵심 모델: 가정, 정규화 재무제표, WACC, FCF 추정, DCF, 검증체크.</t>
        </is>
      </c>
      <c r="C3" s="24" t="inlineStr">
        <is>
          <t>파이낸셜 모델링 플레이북 / DCF, Value, Valuation, FCF, WACC 실습형 파일</t>
        </is>
      </c>
      <c r="D3" s="24" t="inlineStr">
        <is>
          <t>DCF | Summary | Sales | COGS | SG&amp;A | CAPEX Dep. | WC | Debt | FCF | WACC | Value</t>
        </is>
      </c>
      <c r="E3" s="24" t="inlineStr">
        <is>
          <t>01_ReadMe | 02_Assumptions | 03_Raw_Financials | 04_Normalized_FS | 05_Key_Ratios | 06_WACC | 07_FCF_Projection | 08_DCF | 09_Sensitivity | 10_Checks</t>
        </is>
      </c>
      <c r="F3" s="24" t="inlineStr">
        <is>
          <t>financial_statements | price_history | capital_structure | macro_assumptions | shares_outstanding</t>
        </is>
      </c>
      <c r="G3" s="24" t="inlineStr">
        <is>
          <t>dcf | wacc | fcf | valuation | value | capex | debt</t>
        </is>
      </c>
    </row>
    <row r="4" ht="24" customHeight="1">
      <c r="A4" s="29" t="inlineStr">
        <is>
          <t>THREE_STATEMENT_MODEL</t>
        </is>
      </c>
      <c r="B4" s="29" t="inlineStr">
        <is>
          <t>Three-statement style model: PL/BS/CF raw data normalization and operating driver projection.</t>
        </is>
      </c>
      <c r="C4" s="29" t="inlineStr">
        <is>
          <t>재무모델링/재무기획 자료 중 FS, BS, PL, CF, Raw data, Normalized 형태</t>
        </is>
      </c>
      <c r="D4" s="29" t="inlineStr">
        <is>
          <t>FS | BS | PL | CF | Raw data | Input | Output | Check</t>
        </is>
      </c>
      <c r="E4" s="29" t="inlineStr">
        <is>
          <t>01_ReadMe | 02_Source_Map | 03_Raw_Financials | 04_Normalized_FS | 05_Ratio_Drivers | 06_Projection | 07_Checks</t>
        </is>
      </c>
      <c r="F4" s="29" t="inlineStr">
        <is>
          <t>financial_statements | account_mapping | historical_ratios | projection_drivers</t>
        </is>
      </c>
      <c r="G4" s="29" t="inlineStr">
        <is>
          <t>fs | bs | pl | cf | raw | normalized | projection</t>
        </is>
      </c>
    </row>
    <row r="5" ht="24" customHeight="1">
      <c r="A5" s="24" t="inlineStr">
        <is>
          <t>PEER_COMPS</t>
        </is>
      </c>
      <c r="B5" s="24" t="inlineStr">
        <is>
          <t>Comparable-company workbook for peer multiples and relative valuation.</t>
        </is>
      </c>
      <c r="C5" s="24" t="inlineStr">
        <is>
          <t>Peer Analysis, 시장/산업 비교, valuation multiple 관련 시트</t>
        </is>
      </c>
      <c r="D5" s="24" t="inlineStr">
        <is>
          <t>Peer Analysis | Comps | Market | Industry | Output</t>
        </is>
      </c>
      <c r="E5" s="24" t="inlineStr">
        <is>
          <t>01_ReadMe | 02_Peer_Universe | 03_Peer_Raw_Data | 04_Peer_Multiples | 05_Relative_Value | 06_Checks</t>
        </is>
      </c>
      <c r="F5" s="24" t="inlineStr">
        <is>
          <t>peer_financials | peer_prices | market_cap | revenue | net_income | equity</t>
        </is>
      </c>
      <c r="G5" s="24" t="inlineStr">
        <is>
          <t>peer | comps | multiple | per | pbr | psr | ev</t>
        </is>
      </c>
    </row>
    <row r="6" ht="24" customHeight="1">
      <c r="A6" s="29" t="inlineStr">
        <is>
          <t>SCENARIO_SENSITIVITY</t>
        </is>
      </c>
      <c r="B6" s="29" t="inlineStr">
        <is>
          <t>Scenario workbook: base/bull/bear assumptions and DCF sensitivity table.</t>
        </is>
      </c>
      <c r="C6" s="29" t="inlineStr">
        <is>
          <t>Scenario, Sensitivity, 가정별 변화 보기, Check 관련 시트</t>
        </is>
      </c>
      <c r="D6" s="29" t="inlineStr">
        <is>
          <t>Scenario | Sensitivity | Input | Check | Output</t>
        </is>
      </c>
      <c r="E6" s="29" t="inlineStr">
        <is>
          <t>01_ReadMe | 02_Assumptions | 03_Scenario_Setup | 04_DCF_Base | 05_Sensitivity | 06_Checks</t>
        </is>
      </c>
      <c r="F6" s="29" t="inlineStr">
        <is>
          <t>base_assumptions | wacc_range | terminal_growth_range | growth_scenarios</t>
        </is>
      </c>
      <c r="G6" s="29" t="inlineStr">
        <is>
          <t>scenario | sensitivity | case | bear | bull | check</t>
        </is>
      </c>
    </row>
    <row r="7" ht="24" customHeight="1">
      <c r="A7" s="24" t="inlineStr">
        <is>
          <t>MANUFACTURING_DRIVER_MODEL</t>
        </is>
      </c>
      <c r="B7" s="24" t="inlineStr">
        <is>
          <t>Manufacturing-style driver model inferred from sheets such as Sales, COGS, CAPEX, SG&amp;A, WC, TAX, DEBT and Backdata.</t>
        </is>
      </c>
      <c r="C7" s="24" t="inlineStr">
        <is>
          <t>제조업/DCF Valuation_after_22ver/DCF+CoCo Valuation+reporting 등 driver-based workbook</t>
        </is>
      </c>
      <c r="D7" s="24" t="inlineStr">
        <is>
          <t>DCF Results | Output☞ | Report | CoCo | DCF | FCST BS | FCST IS | FCST CF | WP☞ | Assumption | Sales | COGS | CAPEX | Payroll | SG&amp;A | DEBT | TAX | WC | WACC | Backdata☞</t>
        </is>
      </c>
      <c r="E7" s="24" t="inlineStr">
        <is>
          <t>01_ReadMe | 02_Assumptions | 03_Raw_Financials | 04_Driver_Input | 05_Revenue_COGS_SGA | 06_CAPEX_WC_Tax | 07_Forecast_FS | 08_WACC | 09_DCF | 10_CoCo | 11_Report</t>
        </is>
      </c>
      <c r="F7" s="24" t="inlineStr">
        <is>
          <t>historical_fs | sales_driver | margin_driver | capex_driver | working_capital_driver | tax_assumption | debt_assumption</t>
        </is>
      </c>
      <c r="G7" s="24" t="inlineStr">
        <is>
          <t>manufacturing | driver | sales | cogs | capex | wc | tax | coco</t>
        </is>
      </c>
    </row>
    <row r="8" ht="24" customHeight="1">
      <c r="A8" s="29" t="inlineStr">
        <is>
          <t>FPNA_BUDGET_FORECAST</t>
        </is>
      </c>
      <c r="B8" s="29" t="inlineStr">
        <is>
          <t>FP&amp;A budget/forecast model inferred from Legend, Scenario, Input, Inventory, Cost, Working Capital and Financial Statement sheets.</t>
        </is>
      </c>
      <c r="C8" s="29" t="inlineStr">
        <is>
          <t>FP&amp;A / Budget &amp; Forecast xlsm examples</t>
        </is>
      </c>
      <c r="D8" s="29" t="inlineStr">
        <is>
          <t>Legend | Scenario | Input | Inventory | Cost | Working capital | Dep &amp; Tax | Debt &amp; Equity | Financial Statement | Valuation | Check | Actual</t>
        </is>
      </c>
      <c r="E8" s="29" t="inlineStr">
        <is>
          <t>01_ReadMe | 02_Scenario | 03_Input | 04_Actual | 05_Budget_Forecast | 06_Working_Capital | 07_Debt_Equity | 08_Financial_Statement | 09_Valuation | 10_Check</t>
        </is>
      </c>
      <c r="F8" s="29" t="inlineStr">
        <is>
          <t>actual_fs | budget_assumptions | scenario_assumptions | inventory_driver | cost_driver | debt_equity_driver</t>
        </is>
      </c>
      <c r="G8" s="29" t="inlineStr">
        <is>
          <t>fp&amp;a | budget | forecast | scenario | inventory | cost | working capital</t>
        </is>
      </c>
    </row>
    <row r="9" ht="24" customHeight="1">
      <c r="A9" s="24" t="inlineStr">
        <is>
          <t>M_AND_A_DEAL_STRUCTURING</t>
        </is>
      </c>
      <c r="B9" s="24" t="inlineStr">
        <is>
          <t>M&amp;A/deal structuring workbook pattern for merger, secondary sale, rights offering and CB issuance outputs.</t>
        </is>
      </c>
      <c r="C9" s="24" t="inlineStr">
        <is>
          <t>M&amp;A modeling pack / deal structuring exercise</t>
        </is>
      </c>
      <c r="D9" s="24" t="inlineStr">
        <is>
          <t>합병 | 구주매각 | 유상증자 | CB발행 | Peer Analysis | FS (dart) | Peer data (CapIQ) | 참고) Peer List (네이버증권)</t>
        </is>
      </c>
      <c r="E9" s="24" t="inlineStr">
        <is>
          <t>01_ReadMe | 02_Deal_Assumptions | 03_Target_FS | 04_Peer_Comps | 05_Merger | 06_Equity_Issuance | 07_CB_Issuance | 08_Value_Impact | 09_Checks</t>
        </is>
      </c>
      <c r="F9" s="24" t="inlineStr">
        <is>
          <t>target_fs | peer_multiples | deal_assumptions | share_price | capital_structure</t>
        </is>
      </c>
      <c r="G9" s="24" t="inlineStr">
        <is>
          <t>m&amp;a | deal | merger | cb | issuance | peer analysis</t>
        </is>
      </c>
    </row>
    <row r="10" ht="24" customHeight="1">
      <c r="A10" s="29" t="inlineStr">
        <is>
          <t>LBO_CREDIT_CASE</t>
        </is>
      </c>
      <c r="B10" s="29" t="inlineStr">
        <is>
          <t>LBO/debt capacity style model inferred from assumptions, covenants, FCFF, debt and country/rate sheets.</t>
        </is>
      </c>
      <c r="C10" s="29" t="inlineStr">
        <is>
          <t>part10 LBO modeling pack</t>
        </is>
      </c>
      <c r="D10" s="29" t="inlineStr">
        <is>
          <t>Assumptions | Covenants | FCFF (Hold Co) | FCFF(Op) | 추정PL | Sales | PL | BS | Summary | 채권수익률</t>
        </is>
      </c>
      <c r="E10" s="29" t="inlineStr">
        <is>
          <t>01_ReadMe | 02_Assumptions | 03_FCFF | 04_Debt_Schedule | 05_Covenants | 06_Returns | 07_Credit_Checks</t>
        </is>
      </c>
      <c r="F10" s="29" t="inlineStr">
        <is>
          <t>fcff | debt_assumption | interest_rate | covenant_threshold | exit_multiple</t>
        </is>
      </c>
      <c r="G10" s="29" t="inlineStr">
        <is>
          <t>lbo | covenant | debt | fcff | exit | credit</t>
        </is>
      </c>
    </row>
    <row r="11" ht="24" customHeight="1">
      <c r="A11" s="24" t="inlineStr">
        <is>
          <t>RISK_DASHBOARD_EXPORT</t>
        </is>
      </c>
      <c r="B11" s="24" t="inlineStr">
        <is>
          <t>Dashboard/export workbook for investor-facing outputs, risk checks and downloadable payloads.</t>
        </is>
      </c>
      <c r="C11" s="24" t="inlineStr">
        <is>
          <t>ChatGPT로 완성하는 파이낸셜 모델링 및 재무기획 / 수업개요, 엑셀함수, 데이터베이스 스키마, Dashboard/Output</t>
        </is>
      </c>
      <c r="D11" s="24" t="inlineStr">
        <is>
          <t>수업개요 | 엑셀함수소개 | Sheet1 | Dashboard | Output</t>
        </is>
      </c>
      <c r="E11" s="24" t="inlineStr">
        <is>
          <t>01_ReadMe | 02_Raw_Data | 03_Normalized | 04_Output | 05_Dashboard_Export | 06_Checks</t>
        </is>
      </c>
      <c r="F11" s="24" t="inlineStr">
        <is>
          <t>valuation_metrics | risk_flags | chart_series | dashboard_payload | validation_status</t>
        </is>
      </c>
      <c r="G11" s="24" t="inlineStr">
        <is>
          <t>dashboard | output | export | risk | schema | check</t>
        </is>
      </c>
    </row>
  </sheetData>
  <autoFilter ref="A2:G11"/>
  <mergeCells count="1">
    <mergeCell ref="A1:F1"/>
  </mergeCells>
  <pageMargins left="0.75" right="0.75" top="1" bottom="1" header="0.5" footer="0.5"/>
  <pageSetup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4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덕산테코피아 투자자용 요약</t>
        </is>
      </c>
    </row>
    <row r="2" ht="28" customHeight="1">
      <c r="A2" s="17" t="inlineStr">
        <is>
          <t>Valuation Agent 단독 산출: 재무 원천·주가·DCF·Peer·ML 보조판단을 한 장으로 요약</t>
        </is>
      </c>
    </row>
    <row r="3" ht="24" customHeight="1"/>
    <row r="4" ht="24" customHeight="1">
      <c r="A4" s="22" t="inlineStr">
        <is>
          <t>투자자 핵심 요약</t>
        </is>
      </c>
    </row>
    <row r="5" ht="24" customHeight="1">
      <c r="A5" s="25" t="inlineStr">
        <is>
          <t>구분</t>
        </is>
      </c>
      <c r="B5" s="25" t="inlineStr">
        <is>
          <t>핵심값</t>
        </is>
      </c>
      <c r="C5" s="25" t="inlineStr">
        <is>
          <t>해석</t>
        </is>
      </c>
    </row>
    <row r="6" ht="24" customHeight="1">
      <c r="A6" s="24" t="inlineStr">
        <is>
          <t>데이터 상태</t>
        </is>
      </c>
      <c r="B6" s="24" t="inlineStr">
        <is>
          <t>PASS_WITH_WARNINGS</t>
        </is>
      </c>
      <c r="C6" s="24" t="inlineStr">
        <is>
          <t>PASS이면 workbook/dashboard용 주요 입력값이 준비된 상태</t>
        </is>
      </c>
    </row>
    <row r="7" ht="24" customHeight="1">
      <c r="A7" s="29" t="inlineStr">
        <is>
          <t>현재가</t>
        </is>
      </c>
      <c r="B7" s="31" t="n">
        <v>20200</v>
      </c>
      <c r="C7" s="29" t="inlineStr">
        <is>
          <t>주가 intake 기준 최근 종가</t>
        </is>
      </c>
    </row>
    <row r="8" ht="24" customHeight="1">
      <c r="A8" s="24" t="inlineStr">
        <is>
          <t>시가총액</t>
        </is>
      </c>
      <c r="B8" s="30" t="n">
        <v>413626996800</v>
      </c>
      <c r="C8" s="24" t="inlineStr">
        <is>
          <t>현재가 × 발행주식 수</t>
        </is>
      </c>
    </row>
    <row r="9" ht="24" customHeight="1">
      <c r="A9" s="29" t="inlineStr">
        <is>
          <t>최근 매출액</t>
        </is>
      </c>
      <c r="B9" s="31" t="n">
        <v>112078954483</v>
      </c>
      <c r="C9" s="29" t="inlineStr">
        <is>
          <t>DART 기반 정규화 재무제표</t>
        </is>
      </c>
    </row>
    <row r="10" ht="24" customHeight="1">
      <c r="A10" s="24" t="inlineStr">
        <is>
          <t>최근 영업이익률</t>
        </is>
      </c>
      <c r="B10" s="30" t="n">
        <v>-0.3838937530375178</v>
      </c>
      <c r="C10" s="24" t="inlineStr">
        <is>
          <t>영업이익 / 매출액</t>
        </is>
      </c>
    </row>
    <row r="11" ht="24" customHeight="1">
      <c r="A11" s="29" t="inlineStr">
        <is>
          <t>최근 FCF margin</t>
        </is>
      </c>
      <c r="B11" s="31" t="n">
        <v>-0.1927199307634177</v>
      </c>
      <c r="C11" s="29" t="inlineStr">
        <is>
          <t>FCF / 매출액</t>
        </is>
      </c>
    </row>
    <row r="12" ht="24" customHeight="1">
      <c r="A12" s="24" t="inlineStr">
        <is>
          <t>WACC</t>
        </is>
      </c>
      <c r="B12" s="30" t="n">
        <v>0.08568398456306622</v>
      </c>
      <c r="C12" s="24" t="inlineStr">
        <is>
          <t>DCF 할인율</t>
        </is>
      </c>
    </row>
    <row r="13" ht="24" customHeight="1">
      <c r="A13" s="29" t="inlineStr">
        <is>
          <t>DCF 기업가치</t>
        </is>
      </c>
      <c r="B13" s="31" t="n">
        <v>-319205042272.8077</v>
      </c>
      <c r="C13" s="29" t="inlineStr">
        <is>
          <t>명시기간 FCF + Terminal Value 현재가치</t>
        </is>
      </c>
    </row>
    <row r="14" ht="24" customHeight="1">
      <c r="A14" s="24" t="inlineStr">
        <is>
          <t>DCF 내재주가</t>
        </is>
      </c>
      <c r="B14" s="30" t="n">
        <v>-40016.56570152559</v>
      </c>
      <c r="C14" s="24" t="inlineStr">
        <is>
          <t>지분가치 / 발행주식 수</t>
        </is>
      </c>
    </row>
    <row r="15" ht="24" customHeight="1">
      <c r="A15" s="29" t="inlineStr">
        <is>
          <t>현재가 대비 괴리율</t>
        </is>
      </c>
      <c r="B15" s="31" t="n">
        <v>-2.98101810403592</v>
      </c>
      <c r="C15" s="29" t="inlineStr">
        <is>
          <t>내재주가 / 현재가 - 1</t>
        </is>
      </c>
    </row>
    <row r="16" ht="24" customHeight="1">
      <c r="A16" s="24" t="inlineStr">
        <is>
          <t>P/S</t>
        </is>
      </c>
      <c r="B16" s="30" t="n">
        <v>3.681361674930534</v>
      </c>
      <c r="C16" s="24" t="inlineStr">
        <is>
          <t>피어 중앙값 부근: 상대가치 중립</t>
        </is>
      </c>
    </row>
    <row r="17" ht="24" customHeight="1">
      <c r="A17" s="29" t="inlineStr">
        <is>
          <t>Peer P/S 중앙값</t>
        </is>
      </c>
      <c r="B17" s="31" t="n">
        <v>3.500698820700488</v>
      </c>
      <c r="C17" s="29" t="inlineStr">
        <is>
          <t>5개 live peer 기준 상대가치 비교</t>
        </is>
      </c>
    </row>
    <row r="18" ht="24" customHeight="1">
      <c r="A18" s="24" t="inlineStr">
        <is>
          <t>208개 Universe</t>
        </is>
      </c>
      <c r="B18" s="30" t="n">
        <v>208</v>
      </c>
      <c r="C18" s="24" t="inlineStr">
        <is>
          <t>소재</t>
        </is>
      </c>
    </row>
    <row r="19" ht="24" customHeight="1">
      <c r="A19" s="29" t="inlineStr">
        <is>
          <t>1년 수익률</t>
        </is>
      </c>
      <c r="B19" s="31" t="n">
        <v>0.01050525262631319</v>
      </c>
      <c r="C19" s="29" t="inlineStr">
        <is>
          <t>최근 약 1년 주가 변화</t>
        </is>
      </c>
    </row>
    <row r="20" ht="24" customHeight="1">
      <c r="A20" s="24" t="inlineStr">
        <is>
          <t>MDD</t>
        </is>
      </c>
      <c r="B20" s="30" t="n">
        <v>-0.7666123778501629</v>
      </c>
      <c r="C20" s="24" t="inlineStr">
        <is>
          <t>수집 기간 중 최대 낙폭</t>
        </is>
      </c>
    </row>
    <row r="21" ht="24" customHeight="1">
      <c r="A21" s="29" t="inlineStr">
        <is>
          <t>20일 평균 거래대금</t>
        </is>
      </c>
      <c r="B21" s="31" t="n">
        <v>11121560520</v>
      </c>
      <c r="C21" s="29" t="inlineStr">
        <is>
          <t>거래 유동성 proxy</t>
        </is>
      </c>
    </row>
    <row r="22" ht="24" customHeight="1">
      <c r="A22" s="22" t="inlineStr">
        <is>
          <t>활용 체크포인트</t>
        </is>
      </c>
      <c r="B22" s="32" t="n"/>
      <c r="C22" s="32" t="n"/>
      <c r="D22" s="32" t="n"/>
      <c r="E22" s="32" t="n"/>
      <c r="F22" s="33" t="n"/>
    </row>
    <row r="23" ht="24" customHeight="1">
      <c r="A23" s="25" t="inlineStr">
        <is>
          <t>체크포인트</t>
        </is>
      </c>
      <c r="B23" s="34" t="inlineStr">
        <is>
          <t>내용</t>
        </is>
      </c>
      <c r="C23" s="29" t="inlineStr">
        <is>
          <t>반도체 5개 focal universe</t>
        </is>
      </c>
    </row>
    <row r="24" ht="24" customHeight="1">
      <c r="A24" s="24" t="inlineStr">
        <is>
          <t>가중합 반영</t>
        </is>
      </c>
      <c r="B24" s="24" t="inlineStr">
        <is>
          <t>기존 Chair 5개 에이전트 가중합에는 미반영. 보조 가치평가·다운로드 산출물로 사용</t>
        </is>
      </c>
    </row>
    <row r="25" ht="24" customHeight="1">
      <c r="A25" s="29" t="inlineStr">
        <is>
          <t>Finance와 중복 방지</t>
        </is>
      </c>
      <c r="B25" s="29" t="inlineStr">
        <is>
          <t>finance_agent 산출물을 읽지 않고 valuation/intake 산출물만 사용</t>
        </is>
      </c>
    </row>
    <row r="26" ht="24" customHeight="1">
      <c r="A26" s="24" t="inlineStr">
        <is>
          <t>대시보드 연결</t>
        </is>
      </c>
      <c r="B26" s="24" t="inlineStr">
        <is>
          <t>dashboard_payload.json과 workbook 시트를 그대로 Streamlit/React 다운로드 영역에 연결 가능</t>
        </is>
      </c>
    </row>
    <row r="27" ht="24" customHeight="1">
      <c r="A27" s="29" t="inlineStr">
        <is>
          <t>PSR/208개 Universe</t>
        </is>
      </c>
      <c r="B27" s="29" t="inlineStr">
        <is>
          <t>P/S와 208개 반도체 reference universe를 함께 보여줘 단순 DCF보다 비교 설명력을 강화</t>
        </is>
      </c>
    </row>
    <row r="28" ht="24" customHeight="1">
      <c r="A28" s="24" t="inlineStr">
        <is>
          <t>해석 주의</t>
        </is>
      </c>
      <c r="B28" s="24" t="inlineStr">
        <is>
          <t>DCF는 가정 민감도가 크므로 WACC·성장률·FCF margin 민감도 시트와 함께 확인</t>
        </is>
      </c>
    </row>
  </sheetData>
  <autoFilter ref="A23:B28"/>
  <mergeCells count="4">
    <mergeCell ref="A1:J1"/>
    <mergeCell ref="A22:F22"/>
    <mergeCell ref="A4:F4"/>
    <mergeCell ref="A2:J2"/>
  </mergeCells>
  <pageMargins left="0.75" right="0.75" top="1" bottom="1" header="0.5" footer="0.5"/>
  <pageSetup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AH2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30" customHeight="1">
      <c r="A1" s="16" t="inlineStr">
        <is>
          <t>208개 반도체 Reference Universe</t>
        </is>
      </c>
    </row>
    <row r="2" ht="28" customHeight="1">
      <c r="A2" s="17" t="inlineStr">
        <is>
          <t>Tech의 대규모 반도체 universe와 같은 축을 Valuation Agent가 자체 intake로 복제해 PSR/ML 보조판단에 활용</t>
        </is>
      </c>
    </row>
    <row r="3" ht="24" customHeight="1"/>
    <row r="4" ht="24" customHeight="1">
      <c r="A4" s="22" t="inlineStr">
        <is>
          <t>Universe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</row>
    <row r="6" ht="24" customHeight="1">
      <c r="A6" s="24" t="inlineStr">
        <is>
          <t>status</t>
        </is>
      </c>
      <c r="B6" s="24" t="inlineStr">
        <is>
          <t>OK</t>
        </is>
      </c>
    </row>
    <row r="7" ht="24" customHeight="1">
      <c r="A7" s="29" t="inlineStr">
        <is>
          <t>created_at</t>
        </is>
      </c>
      <c r="B7" s="29" t="inlineStr">
        <is>
          <t>2026-05-20T10:54:41</t>
        </is>
      </c>
    </row>
    <row r="8" ht="24" customHeight="1">
      <c r="A8" s="24" t="inlineStr">
        <is>
          <t>reference_universe_rows</t>
        </is>
      </c>
      <c r="B8" s="30" t="n">
        <v>208</v>
      </c>
    </row>
    <row r="9" ht="24" customHeight="1">
      <c r="A9" s="29" t="inlineStr">
        <is>
          <t>focus_rows</t>
        </is>
      </c>
      <c r="B9" s="31" t="n">
        <v>40</v>
      </c>
    </row>
    <row r="10" ht="24" customHeight="1">
      <c r="A10" s="24" t="inlineStr">
        <is>
          <t>focal_5_rows</t>
        </is>
      </c>
      <c r="B10" s="30" t="n">
        <v>5</v>
      </c>
    </row>
    <row r="11" ht="24" customHeight="1">
      <c r="A11" s="29" t="inlineStr">
        <is>
          <t>target_company</t>
        </is>
      </c>
      <c r="B11" s="29" t="inlineStr">
        <is>
          <t>덕산테코피아</t>
        </is>
      </c>
    </row>
    <row r="12" ht="24" customHeight="1">
      <c r="A12" s="24" t="inlineStr">
        <is>
          <t>target_peer_group</t>
        </is>
      </c>
      <c r="B12" s="24" t="inlineStr">
        <is>
          <t>소재</t>
        </is>
      </c>
    </row>
    <row r="13" ht="24" customHeight="1">
      <c r="A13" s="29" t="inlineStr">
        <is>
          <t>target_peer_group_size</t>
        </is>
      </c>
      <c r="B13" s="31" t="n">
        <v>26</v>
      </c>
    </row>
    <row r="14" ht="24" customHeight="1">
      <c r="A14" s="24" t="inlineStr">
        <is>
          <t>attractive_rows</t>
        </is>
      </c>
      <c r="B14" s="30" t="n">
        <v>43</v>
      </c>
    </row>
    <row r="15" ht="24" customHeight="1">
      <c r="A15" s="29" t="inlineStr">
        <is>
          <t>high_risk_rows</t>
        </is>
      </c>
      <c r="B15" s="31" t="n">
        <v>67</v>
      </c>
    </row>
    <row r="16" ht="24" customHeight="1">
      <c r="A16" s="24" t="inlineStr">
        <is>
          <t>note</t>
        </is>
      </c>
      <c r="B16" s="24" t="inlineStr">
        <is>
          <t>Valuation Agent는 live DCF/PSR 산출과 별도로 208개 반도체 universe의 proxy score를 활용해 상대 위치를 보조 판단합니다.</t>
        </is>
      </c>
    </row>
    <row r="17" ht="24" customHeight="1">
      <c r="A17" s="29" t="inlineStr">
        <is>
          <t>source_path</t>
        </is>
      </c>
      <c r="B17" s="29" t="inlineStr">
        <is>
          <t>data/반도체/_sector_common/ml_universe/valuation_credit_ml_overlay_candidate.csv</t>
        </is>
      </c>
    </row>
    <row r="18" ht="24" customHeight="1">
      <c r="A18" s="24" t="inlineStr">
        <is>
          <t>exported_at</t>
        </is>
      </c>
      <c r="B18" s="24" t="inlineStr">
        <is>
          <t>2026-05-20T10:54:41</t>
        </is>
      </c>
    </row>
    <row r="19" ht="24" customHeight="1"/>
    <row r="20" ht="24" customHeight="1"/>
    <row r="21" ht="24" customHeight="1">
      <c r="A21" s="22" t="inlineStr">
        <is>
          <t>Target 중심 비교군</t>
        </is>
      </c>
    </row>
    <row r="22" ht="24" customHeight="1">
      <c r="A22" s="25" t="inlineStr">
        <is>
          <t>Universe 순번</t>
        </is>
      </c>
      <c r="B22" s="25" t="inlineStr">
        <is>
          <t>기업코드</t>
        </is>
      </c>
      <c r="C22" s="25" t="inlineStr">
        <is>
          <t>기업명</t>
        </is>
      </c>
      <c r="D22" s="25" t="inlineStr">
        <is>
          <t>종목코드</t>
        </is>
      </c>
      <c r="E22" s="25" t="inlineStr">
        <is>
          <t>시장</t>
        </is>
      </c>
      <c r="F22" s="25" t="inlineStr">
        <is>
          <t>피어 그룹</t>
        </is>
      </c>
      <c r="G22" s="25" t="inlineStr">
        <is>
          <t>반도체 세부군</t>
        </is>
      </c>
      <c r="H22" s="25" t="inlineStr">
        <is>
          <t>5개 핵심기업</t>
        </is>
      </c>
      <c r="I22" s="25" t="inlineStr">
        <is>
          <t>market_data_available</t>
        </is>
      </c>
      <c r="J22" s="25" t="inlineStr">
        <is>
          <t>데이터 품질</t>
        </is>
      </c>
      <c r="K22" s="25" t="inlineStr">
        <is>
          <t>데이터 품질 해석</t>
        </is>
      </c>
      <c r="L22" s="25" t="inlineStr">
        <is>
          <t>수동검토 우선순위</t>
        </is>
      </c>
      <c r="M22" s="25" t="inlineStr">
        <is>
          <t>수동검토 우선순위 해석</t>
        </is>
      </c>
      <c r="N22" s="25" t="inlineStr">
        <is>
          <t>Valuation Proxy 점수</t>
        </is>
      </c>
      <c r="O22" s="25" t="inlineStr">
        <is>
          <t>Valuation Proxy 라벨</t>
        </is>
      </c>
      <c r="P22" s="25" t="inlineStr">
        <is>
          <t>가치 라벨</t>
        </is>
      </c>
      <c r="Q22" s="25" t="inlineStr">
        <is>
          <t>valuation_pred_label</t>
        </is>
      </c>
      <c r="R22" s="25" t="inlineStr">
        <is>
          <t>Valuation 신뢰도</t>
        </is>
      </c>
      <c r="S22" s="25" t="inlineStr">
        <is>
          <t>valuation_confidence_bucket</t>
        </is>
      </c>
      <c r="T22" s="25" t="inlineStr">
        <is>
          <t>valuation_confidence_bucket_kr</t>
        </is>
      </c>
      <c r="U22" s="25" t="inlineStr">
        <is>
          <t>Credit Risk 점수</t>
        </is>
      </c>
      <c r="V22" s="25" t="inlineStr">
        <is>
          <t>Credit Risk 라벨</t>
        </is>
      </c>
      <c r="W22" s="25" t="inlineStr">
        <is>
          <t>신용위험 라벨</t>
        </is>
      </c>
      <c r="X22" s="25" t="inlineStr">
        <is>
          <t>credit_pred_label</t>
        </is>
      </c>
      <c r="Y22" s="25" t="inlineStr">
        <is>
          <t>Credit 신뢰도</t>
        </is>
      </c>
      <c r="Z22" s="25" t="inlineStr">
        <is>
          <t>credit_confidence_bucket</t>
        </is>
      </c>
      <c r="AA22" s="25" t="inlineStr">
        <is>
          <t>credit_confidence_bucket_kr</t>
        </is>
      </c>
      <c r="AB22" s="25" t="inlineStr">
        <is>
          <t>Credit 이상치 점수</t>
        </is>
      </c>
      <c r="AC22" s="25" t="inlineStr">
        <is>
          <t>credit_anomaly_flag_top15pct</t>
        </is>
      </c>
      <c r="AD22" s="25" t="inlineStr">
        <is>
          <t>auditor_requires_human_review</t>
        </is>
      </c>
      <c r="AE22" s="25" t="inlineStr">
        <is>
          <t>출처 유형</t>
        </is>
      </c>
      <c r="AF22" s="25" t="inlineStr">
        <is>
          <t>출처 설명</t>
        </is>
      </c>
      <c r="AG22" s="25" t="inlineStr">
        <is>
          <t>포함 사유</t>
        </is>
      </c>
      <c r="AH22" s="25" t="inlineStr">
        <is>
          <t>분석대상</t>
        </is>
      </c>
    </row>
    <row r="23" ht="24" customHeight="1">
      <c r="A23" s="24" t="inlineStr">
        <is>
          <t>125</t>
        </is>
      </c>
      <c r="B23" s="24" t="inlineStr">
        <is>
          <t>duksan</t>
        </is>
      </c>
      <c r="C23" s="24" t="inlineStr">
        <is>
          <t>덕산테코피아</t>
        </is>
      </c>
      <c r="D23" s="24" t="inlineStr">
        <is>
          <t>317330</t>
        </is>
      </c>
      <c r="E23" s="24" t="inlineStr">
        <is>
          <t>KOSDAQ</t>
        </is>
      </c>
      <c r="F23" s="24" t="inlineStr">
        <is>
          <t>소재</t>
        </is>
      </c>
      <c r="G23" s="24" t="inlineStr">
        <is>
          <t>소재</t>
        </is>
      </c>
      <c r="H23" s="24" t="inlineStr">
        <is>
          <t>True</t>
        </is>
      </c>
      <c r="I23" s="24" t="inlineStr">
        <is>
          <t>True</t>
        </is>
      </c>
      <c r="J23" s="24" t="inlineStr">
        <is>
          <t>OK</t>
        </is>
      </c>
      <c r="K23" s="24" t="inlineStr">
        <is>
          <t>데이터 사용 가능</t>
        </is>
      </c>
      <c r="L23" s="24" t="inlineStr">
        <is>
          <t>LOW</t>
        </is>
      </c>
      <c r="M23" s="24" t="inlineStr">
        <is>
          <t>LOW</t>
        </is>
      </c>
      <c r="N23" s="24" t="inlineStr">
        <is>
          <t>0.251025641025641</t>
        </is>
      </c>
      <c r="O23" s="24" t="inlineStr">
        <is>
          <t>EXPENSIVE</t>
        </is>
      </c>
      <c r="P23" s="24" t="inlineStr">
        <is>
          <t>EXPENSIVE</t>
        </is>
      </c>
      <c r="Q23" s="24" t="inlineStr">
        <is>
          <t>EXPENSIVE</t>
        </is>
      </c>
      <c r="R23" s="24" t="inlineStr">
        <is>
          <t>0.9683283970250778</t>
        </is>
      </c>
      <c r="S23" s="24" t="inlineStr">
        <is>
          <t>HIGH</t>
        </is>
      </c>
      <c r="T23" s="24" t="inlineStr">
        <is>
          <t>HIGH</t>
        </is>
      </c>
      <c r="U23" s="24" t="inlineStr">
        <is>
          <t>0.7142857142857143</t>
        </is>
      </c>
      <c r="V23" s="24" t="inlineStr">
        <is>
          <t>HIGH_RISK</t>
        </is>
      </c>
      <c r="W23" s="24" t="inlineStr">
        <is>
          <t>고위험</t>
        </is>
      </c>
      <c r="X23" s="24" t="inlineStr">
        <is>
          <t>HIGH_RISK</t>
        </is>
      </c>
      <c r="Y23" s="24" t="inlineStr">
        <is>
          <t>0.9663044353705786</t>
        </is>
      </c>
      <c r="Z23" s="24" t="inlineStr">
        <is>
          <t>HIGH</t>
        </is>
      </c>
      <c r="AA23" s="24" t="inlineStr">
        <is>
          <t>HIGH</t>
        </is>
      </c>
      <c r="AB23" s="24" t="inlineStr">
        <is>
          <t>0.3843555232614074</t>
        </is>
      </c>
      <c r="AC23" s="24" t="inlineStr">
        <is>
          <t>True</t>
        </is>
      </c>
      <c r="AD23" s="24" t="inlineStr">
        <is>
          <t>True</t>
        </is>
      </c>
      <c r="AE23" s="24" t="inlineStr">
        <is>
          <t>valuation_credit_ml_overlay_candidate.csv</t>
        </is>
      </c>
      <c r="AF23" s="24" t="inlineStr">
        <is>
          <t>208개 반도체 reference universe. Valuation Agent가 자체 intake 폴더로 복제해 Peer/ML/대시보드 비교에 사용.</t>
        </is>
      </c>
      <c r="AG23" s="24" t="inlineStr">
        <is>
          <t>TARGET</t>
        </is>
      </c>
      <c r="AH23" s="24" t="inlineStr">
        <is>
          <t>True</t>
        </is>
      </c>
    </row>
    <row r="24" ht="24" customHeight="1">
      <c r="A24" s="29" t="inlineStr">
        <is>
          <t>139</t>
        </is>
      </c>
      <c r="B24" s="29" t="inlineStr">
        <is>
          <t>해당 없음</t>
        </is>
      </c>
      <c r="C24" s="29" t="inlineStr">
        <is>
          <t>월덱스</t>
        </is>
      </c>
      <c r="D24" s="29" t="inlineStr">
        <is>
          <t>101160</t>
        </is>
      </c>
      <c r="E24" s="29" t="inlineStr">
        <is>
          <t>KOSDAQ</t>
        </is>
      </c>
      <c r="F24" s="29" t="inlineStr">
        <is>
          <t>소재</t>
        </is>
      </c>
      <c r="G24" s="29" t="inlineStr">
        <is>
          <t>소재</t>
        </is>
      </c>
      <c r="H24" s="29" t="inlineStr">
        <is>
          <t>False</t>
        </is>
      </c>
      <c r="I24" s="29" t="inlineStr">
        <is>
          <t>True</t>
        </is>
      </c>
      <c r="J24" s="29" t="inlineStr">
        <is>
          <t>OK</t>
        </is>
      </c>
      <c r="K24" s="29" t="inlineStr">
        <is>
          <t>데이터 사용 가능</t>
        </is>
      </c>
      <c r="L24" s="29" t="inlineStr">
        <is>
          <t>LOW</t>
        </is>
      </c>
      <c r="M24" s="29" t="inlineStr">
        <is>
          <t>LOW</t>
        </is>
      </c>
      <c r="N24" s="29" t="inlineStr">
        <is>
          <t>0.745897435897436</t>
        </is>
      </c>
      <c r="O24" s="29" t="inlineStr">
        <is>
          <t>ATTRACTIVE</t>
        </is>
      </c>
      <c r="P24" s="29" t="inlineStr">
        <is>
          <t>가치 매력</t>
        </is>
      </c>
      <c r="Q24" s="29" t="inlineStr">
        <is>
          <t>ATTRACTIVE</t>
        </is>
      </c>
      <c r="R24" s="29" t="inlineStr">
        <is>
          <t>0.9476922450763601</t>
        </is>
      </c>
      <c r="S24" s="29" t="inlineStr">
        <is>
          <t>HIGH</t>
        </is>
      </c>
      <c r="T24" s="29" t="inlineStr">
        <is>
          <t>HIGH</t>
        </is>
      </c>
      <c r="U24" s="29" t="inlineStr">
        <is>
          <t>0.0</t>
        </is>
      </c>
      <c r="V24" s="29" t="inlineStr">
        <is>
          <t>LOW_RISK</t>
        </is>
      </c>
      <c r="W24" s="29" t="inlineStr">
        <is>
          <t>저위험</t>
        </is>
      </c>
      <c r="X24" s="29" t="inlineStr">
        <is>
          <t>LOW_RISK</t>
        </is>
      </c>
      <c r="Y24" s="29" t="inlineStr">
        <is>
          <t>0.9681016473230849</t>
        </is>
      </c>
      <c r="Z24" s="29" t="inlineStr">
        <is>
          <t>HIGH</t>
        </is>
      </c>
      <c r="AA24" s="29" t="inlineStr">
        <is>
          <t>HIGH</t>
        </is>
      </c>
      <c r="AB24" s="29" t="inlineStr">
        <is>
          <t>0.15527064195126172</t>
        </is>
      </c>
      <c r="AC24" s="29" t="inlineStr">
        <is>
          <t>False</t>
        </is>
      </c>
      <c r="AD24" s="29" t="inlineStr">
        <is>
          <t>False</t>
        </is>
      </c>
      <c r="AE24" s="29" t="inlineStr">
        <is>
          <t>valuation_credit_ml_overlay_candidate.csv</t>
        </is>
      </c>
      <c r="AF24" s="29" t="inlineStr">
        <is>
          <t>208개 반도체 reference universe. Valuation Agent가 자체 intake 폴더로 복제해 Peer/ML/대시보드 비교에 사용.</t>
        </is>
      </c>
      <c r="AG24" s="29" t="inlineStr">
        <is>
          <t>SAME_PEER_GROUP</t>
        </is>
      </c>
      <c r="AH24" s="29" t="inlineStr">
        <is>
          <t>False</t>
        </is>
      </c>
    </row>
    <row r="25" ht="24" customHeight="1">
      <c r="A25" s="24" t="inlineStr">
        <is>
          <t>147</t>
        </is>
      </c>
      <c r="B25" s="24" t="inlineStr">
        <is>
          <t>해당 없음</t>
        </is>
      </c>
      <c r="C25" s="24" t="inlineStr">
        <is>
          <t>퓨릿</t>
        </is>
      </c>
      <c r="D25" s="24" t="inlineStr">
        <is>
          <t>445180</t>
        </is>
      </c>
      <c r="E25" s="24" t="inlineStr">
        <is>
          <t>KOSDAQ</t>
        </is>
      </c>
      <c r="F25" s="24" t="inlineStr">
        <is>
          <t>소재</t>
        </is>
      </c>
      <c r="G25" s="24" t="inlineStr">
        <is>
          <t>소재</t>
        </is>
      </c>
      <c r="H25" s="24" t="inlineStr">
        <is>
          <t>False</t>
        </is>
      </c>
      <c r="I25" s="24" t="inlineStr">
        <is>
          <t>True</t>
        </is>
      </c>
      <c r="J25" s="24" t="inlineStr">
        <is>
          <t>OK_LIMITED_HISTORY_OR_GROWTH_NA</t>
        </is>
      </c>
      <c r="K25" s="24" t="inlineStr">
        <is>
          <t>데이터 사용 가능</t>
        </is>
      </c>
      <c r="L25" s="24" t="inlineStr">
        <is>
          <t>LOW</t>
        </is>
      </c>
      <c r="M25" s="24" t="inlineStr">
        <is>
          <t>LOW</t>
        </is>
      </c>
      <c r="N25" s="24" t="inlineStr">
        <is>
          <t>0.7448717948717948</t>
        </is>
      </c>
      <c r="O25" s="24" t="inlineStr">
        <is>
          <t>ATTRACTIVE</t>
        </is>
      </c>
      <c r="P25" s="24" t="inlineStr">
        <is>
          <t>가치 매력</t>
        </is>
      </c>
      <c r="Q25" s="24" t="inlineStr">
        <is>
          <t>ATTRACTIVE</t>
        </is>
      </c>
      <c r="R25" s="24" t="inlineStr">
        <is>
          <t>0.8817607106455689</t>
        </is>
      </c>
      <c r="S25" s="24" t="inlineStr">
        <is>
          <t>HIGH</t>
        </is>
      </c>
      <c r="T25" s="24" t="inlineStr">
        <is>
          <t>HIGH</t>
        </is>
      </c>
      <c r="U25" s="24" t="inlineStr">
        <is>
          <t>0.0714285714285714</t>
        </is>
      </c>
      <c r="V25" s="24" t="inlineStr">
        <is>
          <t>LOW_RISK</t>
        </is>
      </c>
      <c r="W25" s="24" t="inlineStr">
        <is>
          <t>저위험</t>
        </is>
      </c>
      <c r="X25" s="24" t="inlineStr">
        <is>
          <t>LOW_RISK</t>
        </is>
      </c>
      <c r="Y25" s="24" t="inlineStr">
        <is>
          <t>0.9587686707140917</t>
        </is>
      </c>
      <c r="Z25" s="24" t="inlineStr">
        <is>
          <t>HIGH</t>
        </is>
      </c>
      <c r="AA25" s="24" t="inlineStr">
        <is>
          <t>HIGH</t>
        </is>
      </c>
      <c r="AB25" s="24" t="inlineStr">
        <is>
          <t>0.09055441585311619</t>
        </is>
      </c>
      <c r="AC25" s="24" t="inlineStr">
        <is>
          <t>False</t>
        </is>
      </c>
      <c r="AD25" s="24" t="inlineStr">
        <is>
          <t>True</t>
        </is>
      </c>
      <c r="AE25" s="24" t="inlineStr">
        <is>
          <t>valuation_credit_ml_overlay_candidate.csv</t>
        </is>
      </c>
      <c r="AF25" s="24" t="inlineStr">
        <is>
          <t>208개 반도체 reference universe. Valuation Agent가 자체 intake 폴더로 복제해 Peer/ML/대시보드 비교에 사용.</t>
        </is>
      </c>
      <c r="AG25" s="24" t="inlineStr">
        <is>
          <t>SAME_PEER_GROUP</t>
        </is>
      </c>
      <c r="AH25" s="24" t="inlineStr">
        <is>
          <t>False</t>
        </is>
      </c>
    </row>
    <row r="26" ht="24" customHeight="1">
      <c r="A26" s="29" t="inlineStr">
        <is>
          <t>141</t>
        </is>
      </c>
      <c r="B26" s="29" t="inlineStr">
        <is>
          <t>해당 없음</t>
        </is>
      </c>
      <c r="C26" s="29" t="inlineStr">
        <is>
          <t>이엔에프테크놀로지</t>
        </is>
      </c>
      <c r="D26" s="29" t="inlineStr">
        <is>
          <t>102710</t>
        </is>
      </c>
      <c r="E26" s="29" t="inlineStr">
        <is>
          <t>KOSDAQ</t>
        </is>
      </c>
      <c r="F26" s="29" t="inlineStr">
        <is>
          <t>소재</t>
        </is>
      </c>
      <c r="G26" s="29" t="inlineStr">
        <is>
          <t>소재</t>
        </is>
      </c>
      <c r="H26" s="29" t="inlineStr">
        <is>
          <t>False</t>
        </is>
      </c>
      <c r="I26" s="29" t="inlineStr">
        <is>
          <t>True</t>
        </is>
      </c>
      <c r="J26" s="29" t="inlineStr">
        <is>
          <t>OK</t>
        </is>
      </c>
      <c r="K26" s="29" t="inlineStr">
        <is>
          <t>데이터 사용 가능</t>
        </is>
      </c>
      <c r="L26" s="29" t="inlineStr">
        <is>
          <t>LOW</t>
        </is>
      </c>
      <c r="M26" s="29" t="inlineStr">
        <is>
          <t>LOW</t>
        </is>
      </c>
      <c r="N26" s="29" t="inlineStr">
        <is>
          <t>0.7061538461538462</t>
        </is>
      </c>
      <c r="O26" s="29" t="inlineStr">
        <is>
          <t>ATTRACTIVE</t>
        </is>
      </c>
      <c r="P26" s="29" t="inlineStr">
        <is>
          <t>가치 매력</t>
        </is>
      </c>
      <c r="Q26" s="29" t="inlineStr">
        <is>
          <t>ATTRACTIVE</t>
        </is>
      </c>
      <c r="R26" s="29" t="inlineStr">
        <is>
          <t>0.9371627732042065</t>
        </is>
      </c>
      <c r="S26" s="29" t="inlineStr">
        <is>
          <t>HIGH</t>
        </is>
      </c>
      <c r="T26" s="29" t="inlineStr">
        <is>
          <t>HIGH</t>
        </is>
      </c>
      <c r="U26" s="29" t="inlineStr">
        <is>
          <t>0.0</t>
        </is>
      </c>
      <c r="V26" s="29" t="inlineStr">
        <is>
          <t>LOW_RISK</t>
        </is>
      </c>
      <c r="W26" s="29" t="inlineStr">
        <is>
          <t>저위험</t>
        </is>
      </c>
      <c r="X26" s="29" t="inlineStr">
        <is>
          <t>LOW_RISK</t>
        </is>
      </c>
      <c r="Y26" s="29" t="inlineStr">
        <is>
          <t>0.8730332003988217</t>
        </is>
      </c>
      <c r="Z26" s="29" t="inlineStr">
        <is>
          <t>HIGH</t>
        </is>
      </c>
      <c r="AA26" s="29" t="inlineStr">
        <is>
          <t>HIGH</t>
        </is>
      </c>
      <c r="AB26" s="29" t="inlineStr">
        <is>
          <t>0.01762692878431683</t>
        </is>
      </c>
      <c r="AC26" s="29" t="inlineStr">
        <is>
          <t>False</t>
        </is>
      </c>
      <c r="AD26" s="29" t="inlineStr">
        <is>
          <t>False</t>
        </is>
      </c>
      <c r="AE26" s="29" t="inlineStr">
        <is>
          <t>valuation_credit_ml_overlay_candidate.csv</t>
        </is>
      </c>
      <c r="AF26" s="29" t="inlineStr">
        <is>
          <t>208개 반도체 reference universe. Valuation Agent가 자체 intake 폴더로 복제해 Peer/ML/대시보드 비교에 사용.</t>
        </is>
      </c>
      <c r="AG26" s="29" t="inlineStr">
        <is>
          <t>SAME_PEER_GROUP</t>
        </is>
      </c>
      <c r="AH26" s="29" t="inlineStr">
        <is>
          <t>False</t>
        </is>
      </c>
    </row>
    <row r="27" ht="24" customHeight="1">
      <c r="A27" s="24" t="inlineStr">
        <is>
          <t>138</t>
        </is>
      </c>
      <c r="B27" s="24" t="inlineStr">
        <is>
          <t>해당 없음</t>
        </is>
      </c>
      <c r="C27" s="24" t="inlineStr">
        <is>
          <t>원익머트리얼즈</t>
        </is>
      </c>
      <c r="D27" s="24" t="inlineStr">
        <is>
          <t>104830</t>
        </is>
      </c>
      <c r="E27" s="24" t="inlineStr">
        <is>
          <t>KOSDAQ</t>
        </is>
      </c>
      <c r="F27" s="24" t="inlineStr">
        <is>
          <t>소재</t>
        </is>
      </c>
      <c r="G27" s="24" t="inlineStr">
        <is>
          <t>소재</t>
        </is>
      </c>
      <c r="H27" s="24" t="inlineStr">
        <is>
          <t>False</t>
        </is>
      </c>
      <c r="I27" s="24" t="inlineStr">
        <is>
          <t>True</t>
        </is>
      </c>
      <c r="J27" s="24" t="inlineStr">
        <is>
          <t>OK</t>
        </is>
      </c>
      <c r="K27" s="24" t="inlineStr">
        <is>
          <t>데이터 사용 가능</t>
        </is>
      </c>
      <c r="L27" s="24" t="inlineStr">
        <is>
          <t>LOW</t>
        </is>
      </c>
      <c r="M27" s="24" t="inlineStr">
        <is>
          <t>LOW</t>
        </is>
      </c>
      <c r="N27" s="24" t="inlineStr">
        <is>
          <t>0.6682051282051282</t>
        </is>
      </c>
      <c r="O27" s="24" t="inlineStr">
        <is>
          <t>FAIR</t>
        </is>
      </c>
      <c r="P27" s="24" t="inlineStr">
        <is>
          <t>FAIR</t>
        </is>
      </c>
      <c r="Q27" s="24" t="inlineStr">
        <is>
          <t>FAIR</t>
        </is>
      </c>
      <c r="R27" s="24" t="inlineStr">
        <is>
          <t>0.9160049727267536</t>
        </is>
      </c>
      <c r="S27" s="24" t="inlineStr">
        <is>
          <t>HIGH</t>
        </is>
      </c>
      <c r="T27" s="24" t="inlineStr">
        <is>
          <t>HIGH</t>
        </is>
      </c>
      <c r="U27" s="24" t="inlineStr">
        <is>
          <t>0.0714285714285714</t>
        </is>
      </c>
      <c r="V27" s="24" t="inlineStr">
        <is>
          <t>LOW_RISK</t>
        </is>
      </c>
      <c r="W27" s="24" t="inlineStr">
        <is>
          <t>저위험</t>
        </is>
      </c>
      <c r="X27" s="24" t="inlineStr">
        <is>
          <t>LOW_RISK</t>
        </is>
      </c>
      <c r="Y27" s="24" t="inlineStr">
        <is>
          <t>0.9269592012859288</t>
        </is>
      </c>
      <c r="Z27" s="24" t="inlineStr">
        <is>
          <t>HIGH</t>
        </is>
      </c>
      <c r="AA27" s="24" t="inlineStr">
        <is>
          <t>HIGH</t>
        </is>
      </c>
      <c r="AB27" s="24" t="inlineStr">
        <is>
          <t>0.08809933839296093</t>
        </is>
      </c>
      <c r="AC27" s="24" t="inlineStr">
        <is>
          <t>False</t>
        </is>
      </c>
      <c r="AD27" s="24" t="inlineStr">
        <is>
          <t>False</t>
        </is>
      </c>
      <c r="AE27" s="24" t="inlineStr">
        <is>
          <t>valuation_credit_ml_overlay_candidate.csv</t>
        </is>
      </c>
      <c r="AF27" s="24" t="inlineStr">
        <is>
          <t>208개 반도체 reference universe. Valuation Agent가 자체 intake 폴더로 복제해 Peer/ML/대시보드 비교에 사용.</t>
        </is>
      </c>
      <c r="AG27" s="24" t="inlineStr">
        <is>
          <t>SAME_PEER_GROUP</t>
        </is>
      </c>
      <c r="AH27" s="24" t="inlineStr">
        <is>
          <t>False</t>
        </is>
      </c>
    </row>
    <row r="28" ht="24" customHeight="1">
      <c r="A28" s="29" t="inlineStr">
        <is>
          <t>130</t>
        </is>
      </c>
      <c r="B28" s="29" t="inlineStr">
        <is>
          <t>해당 없음</t>
        </is>
      </c>
      <c r="C28" s="29" t="inlineStr">
        <is>
          <t>솔브레인홀딩스</t>
        </is>
      </c>
      <c r="D28" s="29" t="inlineStr">
        <is>
          <t>036830</t>
        </is>
      </c>
      <c r="E28" s="29" t="inlineStr">
        <is>
          <t>KOSDAQ GLOBAL</t>
        </is>
      </c>
      <c r="F28" s="29" t="inlineStr">
        <is>
          <t>소재</t>
        </is>
      </c>
      <c r="G28" s="29" t="inlineStr">
        <is>
          <t>소재</t>
        </is>
      </c>
      <c r="H28" s="29" t="inlineStr">
        <is>
          <t>False</t>
        </is>
      </c>
      <c r="I28" s="29" t="inlineStr">
        <is>
          <t>True</t>
        </is>
      </c>
      <c r="J28" s="29" t="inlineStr">
        <is>
          <t>OK</t>
        </is>
      </c>
      <c r="K28" s="29" t="inlineStr">
        <is>
          <t>데이터 사용 가능</t>
        </is>
      </c>
      <c r="L28" s="29" t="inlineStr">
        <is>
          <t>LOW</t>
        </is>
      </c>
      <c r="M28" s="29" t="inlineStr">
        <is>
          <t>LOW</t>
        </is>
      </c>
      <c r="N28" s="29" t="inlineStr">
        <is>
          <t>0.6666666666666667</t>
        </is>
      </c>
      <c r="O28" s="29" t="inlineStr">
        <is>
          <t>ATTRACTIVE</t>
        </is>
      </c>
      <c r="P28" s="29" t="inlineStr">
        <is>
          <t>가치 매력</t>
        </is>
      </c>
      <c r="Q28" s="29" t="inlineStr">
        <is>
          <t>ATTRACTIVE</t>
        </is>
      </c>
      <c r="R28" s="29" t="inlineStr">
        <is>
          <t>0.5229115612060397</t>
        </is>
      </c>
      <c r="S28" s="29" t="inlineStr">
        <is>
          <t>MEDIUM</t>
        </is>
      </c>
      <c r="T28" s="29" t="inlineStr">
        <is>
          <t>MEDIUM</t>
        </is>
      </c>
      <c r="U28" s="29" t="inlineStr">
        <is>
          <t>0.0</t>
        </is>
      </c>
      <c r="V28" s="29" t="inlineStr">
        <is>
          <t>LOW_RISK</t>
        </is>
      </c>
      <c r="W28" s="29" t="inlineStr">
        <is>
          <t>저위험</t>
        </is>
      </c>
      <c r="X28" s="29" t="inlineStr">
        <is>
          <t>LOW_RISK</t>
        </is>
      </c>
      <c r="Y28" s="29" t="inlineStr">
        <is>
          <t>0.8942479649490351</t>
        </is>
      </c>
      <c r="Z28" s="29" t="inlineStr">
        <is>
          <t>HIGH</t>
        </is>
      </c>
      <c r="AA28" s="29" t="inlineStr">
        <is>
          <t>HIGH</t>
        </is>
      </c>
      <c r="AB28" s="29" t="inlineStr">
        <is>
          <t>0.13058276838656327</t>
        </is>
      </c>
      <c r="AC28" s="29" t="inlineStr">
        <is>
          <t>False</t>
        </is>
      </c>
      <c r="AD28" s="29" t="inlineStr">
        <is>
          <t>False</t>
        </is>
      </c>
      <c r="AE28" s="29" t="inlineStr">
        <is>
          <t>valuation_credit_ml_overlay_candidate.csv</t>
        </is>
      </c>
      <c r="AF28" s="29" t="inlineStr">
        <is>
          <t>208개 반도체 reference universe. Valuation Agent가 자체 intake 폴더로 복제해 Peer/ML/대시보드 비교에 사용.</t>
        </is>
      </c>
      <c r="AG28" s="29" t="inlineStr">
        <is>
          <t>SAME_PEER_GROUP</t>
        </is>
      </c>
      <c r="AH28" s="29" t="inlineStr">
        <is>
          <t>False</t>
        </is>
      </c>
    </row>
    <row r="29" ht="24" customHeight="1">
      <c r="A29" s="24" t="inlineStr">
        <is>
          <t>148</t>
        </is>
      </c>
      <c r="B29" s="24" t="inlineStr">
        <is>
          <t>hansol</t>
        </is>
      </c>
      <c r="C29" s="24" t="inlineStr">
        <is>
          <t>한솔케미칼</t>
        </is>
      </c>
      <c r="D29" s="24" t="inlineStr">
        <is>
          <t>014680</t>
        </is>
      </c>
      <c r="E29" s="24" t="inlineStr">
        <is>
          <t>KOSPI</t>
        </is>
      </c>
      <c r="F29" s="24" t="inlineStr">
        <is>
          <t>소재</t>
        </is>
      </c>
      <c r="G29" s="24" t="inlineStr">
        <is>
          <t>소재</t>
        </is>
      </c>
      <c r="H29" s="24" t="inlineStr">
        <is>
          <t>True</t>
        </is>
      </c>
      <c r="I29" s="24" t="inlineStr">
        <is>
          <t>True</t>
        </is>
      </c>
      <c r="J29" s="24" t="inlineStr">
        <is>
          <t>OK</t>
        </is>
      </c>
      <c r="K29" s="24" t="inlineStr">
        <is>
          <t>데이터 사용 가능</t>
        </is>
      </c>
      <c r="L29" s="24" t="inlineStr">
        <is>
          <t>LOW</t>
        </is>
      </c>
      <c r="M29" s="24" t="inlineStr">
        <is>
          <t>LOW</t>
        </is>
      </c>
      <c r="N29" s="24" t="inlineStr">
        <is>
          <t>0.6330769230769231</t>
        </is>
      </c>
      <c r="O29" s="24" t="inlineStr">
        <is>
          <t>ATTRACTIVE</t>
        </is>
      </c>
      <c r="P29" s="24" t="inlineStr">
        <is>
          <t>가치 매력</t>
        </is>
      </c>
      <c r="Q29" s="24" t="inlineStr">
        <is>
          <t>ATTRACTIVE</t>
        </is>
      </c>
      <c r="R29" s="24" t="inlineStr">
        <is>
          <t>0.8364696976606926</t>
        </is>
      </c>
      <c r="S29" s="24" t="inlineStr">
        <is>
          <t>HIGH</t>
        </is>
      </c>
      <c r="T29" s="24" t="inlineStr">
        <is>
          <t>HIGH</t>
        </is>
      </c>
      <c r="U29" s="24" t="inlineStr">
        <is>
          <t>0.0</t>
        </is>
      </c>
      <c r="V29" s="24" t="inlineStr">
        <is>
          <t>LOW_RISK</t>
        </is>
      </c>
      <c r="W29" s="24" t="inlineStr">
        <is>
          <t>저위험</t>
        </is>
      </c>
      <c r="X29" s="24" t="inlineStr">
        <is>
          <t>LOW_RISK</t>
        </is>
      </c>
      <c r="Y29" s="24" t="inlineStr">
        <is>
          <t>0.9711543901439185</t>
        </is>
      </c>
      <c r="Z29" s="24" t="inlineStr">
        <is>
          <t>HIGH</t>
        </is>
      </c>
      <c r="AA29" s="24" t="inlineStr">
        <is>
          <t>HIGH</t>
        </is>
      </c>
      <c r="AB29" s="24" t="inlineStr">
        <is>
          <t>0.058190310497948615</t>
        </is>
      </c>
      <c r="AC29" s="24" t="inlineStr">
        <is>
          <t>False</t>
        </is>
      </c>
      <c r="AD29" s="24" t="inlineStr">
        <is>
          <t>False</t>
        </is>
      </c>
      <c r="AE29" s="24" t="inlineStr">
        <is>
          <t>valuation_credit_ml_overlay_candidate.csv</t>
        </is>
      </c>
      <c r="AF29" s="24" t="inlineStr">
        <is>
          <t>208개 반도체 reference universe. Valuation Agent가 자체 intake 폴더로 복제해 Peer/ML/대시보드 비교에 사용.</t>
        </is>
      </c>
      <c r="AG29" s="24" t="inlineStr">
        <is>
          <t>SAME_PEER_GROUP</t>
        </is>
      </c>
      <c r="AH29" s="24" t="inlineStr">
        <is>
          <t>False</t>
        </is>
      </c>
    </row>
    <row r="30" ht="24" customHeight="1">
      <c r="A30" s="29" t="inlineStr">
        <is>
          <t>140</t>
        </is>
      </c>
      <c r="B30" s="29" t="inlineStr">
        <is>
          <t>해당 없음</t>
        </is>
      </c>
      <c r="C30" s="29" t="inlineStr">
        <is>
          <t>이녹스첨단소재</t>
        </is>
      </c>
      <c r="D30" s="29" t="inlineStr">
        <is>
          <t>272290</t>
        </is>
      </c>
      <c r="E30" s="29" t="inlineStr">
        <is>
          <t>KOSDAQ GLOBAL</t>
        </is>
      </c>
      <c r="F30" s="29" t="inlineStr">
        <is>
          <t>소재</t>
        </is>
      </c>
      <c r="G30" s="29" t="inlineStr">
        <is>
          <t>소재</t>
        </is>
      </c>
      <c r="H30" s="29" t="inlineStr">
        <is>
          <t>False</t>
        </is>
      </c>
      <c r="I30" s="29" t="inlineStr">
        <is>
          <t>True</t>
        </is>
      </c>
      <c r="J30" s="29" t="inlineStr">
        <is>
          <t>OK</t>
        </is>
      </c>
      <c r="K30" s="29" t="inlineStr">
        <is>
          <t>데이터 사용 가능</t>
        </is>
      </c>
      <c r="L30" s="29" t="inlineStr">
        <is>
          <t>LOW</t>
        </is>
      </c>
      <c r="M30" s="29" t="inlineStr">
        <is>
          <t>LOW</t>
        </is>
      </c>
      <c r="N30" s="29" t="inlineStr">
        <is>
          <t>0.6312820512820514</t>
        </is>
      </c>
      <c r="O30" s="29" t="inlineStr">
        <is>
          <t>FAIR</t>
        </is>
      </c>
      <c r="P30" s="29" t="inlineStr">
        <is>
          <t>FAIR</t>
        </is>
      </c>
      <c r="Q30" s="29" t="inlineStr">
        <is>
          <t>FAIR</t>
        </is>
      </c>
      <c r="R30" s="29" t="inlineStr">
        <is>
          <t>0.900184891106931</t>
        </is>
      </c>
      <c r="S30" s="29" t="inlineStr">
        <is>
          <t>HIGH</t>
        </is>
      </c>
      <c r="T30" s="29" t="inlineStr">
        <is>
          <t>HIGH</t>
        </is>
      </c>
      <c r="U30" s="29" t="inlineStr">
        <is>
          <t>0.0714285714285714</t>
        </is>
      </c>
      <c r="V30" s="29" t="inlineStr">
        <is>
          <t>LOW_RISK</t>
        </is>
      </c>
      <c r="W30" s="29" t="inlineStr">
        <is>
          <t>저위험</t>
        </is>
      </c>
      <c r="X30" s="29" t="inlineStr">
        <is>
          <t>LOW_RISK</t>
        </is>
      </c>
      <c r="Y30" s="29" t="inlineStr">
        <is>
          <t>0.7417939360948919</t>
        </is>
      </c>
      <c r="Z30" s="29" t="inlineStr">
        <is>
          <t>HIGH</t>
        </is>
      </c>
      <c r="AA30" s="29" t="inlineStr">
        <is>
          <t>HIGH</t>
        </is>
      </c>
      <c r="AB30" s="29" t="inlineStr">
        <is>
          <t>0.06763542968359648</t>
        </is>
      </c>
      <c r="AC30" s="29" t="inlineStr">
        <is>
          <t>False</t>
        </is>
      </c>
      <c r="AD30" s="29" t="inlineStr">
        <is>
          <t>False</t>
        </is>
      </c>
      <c r="AE30" s="29" t="inlineStr">
        <is>
          <t>valuation_credit_ml_overlay_candidate.csv</t>
        </is>
      </c>
      <c r="AF30" s="29" t="inlineStr">
        <is>
          <t>208개 반도체 reference universe. Valuation Agent가 자체 intake 폴더로 복제해 Peer/ML/대시보드 비교에 사용.</t>
        </is>
      </c>
      <c r="AG30" s="29" t="inlineStr">
        <is>
          <t>SAME_PEER_GROUP</t>
        </is>
      </c>
      <c r="AH30" s="29" t="inlineStr">
        <is>
          <t>False</t>
        </is>
      </c>
    </row>
    <row r="31" ht="24" customHeight="1">
      <c r="A31" s="24" t="inlineStr">
        <is>
          <t>133</t>
        </is>
      </c>
      <c r="B31" s="24" t="inlineStr">
        <is>
          <t>ltc</t>
        </is>
      </c>
      <c r="C31" s="24" t="inlineStr">
        <is>
          <t>엘티씨</t>
        </is>
      </c>
      <c r="D31" s="24" t="inlineStr">
        <is>
          <t>170920</t>
        </is>
      </c>
      <c r="E31" s="24" t="inlineStr">
        <is>
          <t>KOSDAQ</t>
        </is>
      </c>
      <c r="F31" s="24" t="inlineStr">
        <is>
          <t>소재</t>
        </is>
      </c>
      <c r="G31" s="24" t="inlineStr">
        <is>
          <t>소재</t>
        </is>
      </c>
      <c r="H31" s="24" t="inlineStr">
        <is>
          <t>True</t>
        </is>
      </c>
      <c r="I31" s="24" t="inlineStr">
        <is>
          <t>True</t>
        </is>
      </c>
      <c r="J31" s="24" t="inlineStr">
        <is>
          <t>OK</t>
        </is>
      </c>
      <c r="K31" s="24" t="inlineStr">
        <is>
          <t>데이터 사용 가능</t>
        </is>
      </c>
      <c r="L31" s="24" t="inlineStr">
        <is>
          <t>LOW</t>
        </is>
      </c>
      <c r="M31" s="24" t="inlineStr">
        <is>
          <t>LOW</t>
        </is>
      </c>
      <c r="N31" s="24" t="inlineStr">
        <is>
          <t>0.5838461538461538</t>
        </is>
      </c>
      <c r="O31" s="24" t="inlineStr">
        <is>
          <t>FAIR</t>
        </is>
      </c>
      <c r="P31" s="24" t="inlineStr">
        <is>
          <t>FAIR</t>
        </is>
      </c>
      <c r="Q31" s="24" t="inlineStr">
        <is>
          <t>ATTRACTIVE</t>
        </is>
      </c>
      <c r="R31" s="24" t="inlineStr">
        <is>
          <t>0.6353016273848794</t>
        </is>
      </c>
      <c r="S31" s="24" t="inlineStr">
        <is>
          <t>MEDIUM</t>
        </is>
      </c>
      <c r="T31" s="24" t="inlineStr">
        <is>
          <t>MEDIUM</t>
        </is>
      </c>
      <c r="U31" s="24" t="inlineStr">
        <is>
          <t>0.0</t>
        </is>
      </c>
      <c r="V31" s="24" t="inlineStr">
        <is>
          <t>LOW_RISK</t>
        </is>
      </c>
      <c r="W31" s="24" t="inlineStr">
        <is>
          <t>저위험</t>
        </is>
      </c>
      <c r="X31" s="24" t="inlineStr">
        <is>
          <t>LOW_RISK</t>
        </is>
      </c>
      <c r="Y31" s="24" t="inlineStr">
        <is>
          <t>0.9205018564538214</t>
        </is>
      </c>
      <c r="Z31" s="24" t="inlineStr">
        <is>
          <t>HIGH</t>
        </is>
      </c>
      <c r="AA31" s="24" t="inlineStr">
        <is>
          <t>HIGH</t>
        </is>
      </c>
      <c r="AB31" s="24" t="inlineStr">
        <is>
          <t>0.0038993876391341673</t>
        </is>
      </c>
      <c r="AC31" s="24" t="inlineStr">
        <is>
          <t>False</t>
        </is>
      </c>
      <c r="AD31" s="24" t="inlineStr">
        <is>
          <t>False</t>
        </is>
      </c>
      <c r="AE31" s="24" t="inlineStr">
        <is>
          <t>valuation_credit_ml_overlay_candidate.csv</t>
        </is>
      </c>
      <c r="AF31" s="24" t="inlineStr">
        <is>
          <t>208개 반도체 reference universe. Valuation Agent가 자체 intake 폴더로 복제해 Peer/ML/대시보드 비교에 사용.</t>
        </is>
      </c>
      <c r="AG31" s="24" t="inlineStr">
        <is>
          <t>SAME_PEER_GROUP</t>
        </is>
      </c>
      <c r="AH31" s="24" t="inlineStr">
        <is>
          <t>False</t>
        </is>
      </c>
    </row>
    <row r="32" ht="24" customHeight="1">
      <c r="A32" s="29" t="inlineStr">
        <is>
          <t>146</t>
        </is>
      </c>
      <c r="B32" s="29" t="inlineStr">
        <is>
          <t>해당 없음</t>
        </is>
      </c>
      <c r="C32" s="29" t="inlineStr">
        <is>
          <t>티이엠씨</t>
        </is>
      </c>
      <c r="D32" s="29" t="inlineStr">
        <is>
          <t>425040</t>
        </is>
      </c>
      <c r="E32" s="29" t="inlineStr">
        <is>
          <t>KOSDAQ</t>
        </is>
      </c>
      <c r="F32" s="29" t="inlineStr">
        <is>
          <t>소재</t>
        </is>
      </c>
      <c r="G32" s="29" t="inlineStr">
        <is>
          <t>소재</t>
        </is>
      </c>
      <c r="H32" s="29" t="inlineStr">
        <is>
          <t>False</t>
        </is>
      </c>
      <c r="I32" s="29" t="inlineStr">
        <is>
          <t>True</t>
        </is>
      </c>
      <c r="J32" s="29" t="inlineStr">
        <is>
          <t>OK</t>
        </is>
      </c>
      <c r="K32" s="29" t="inlineStr">
        <is>
          <t>데이터 사용 가능</t>
        </is>
      </c>
      <c r="L32" s="29" t="inlineStr">
        <is>
          <t>LOW</t>
        </is>
      </c>
      <c r="M32" s="29" t="inlineStr">
        <is>
          <t>LOW</t>
        </is>
      </c>
      <c r="N32" s="29" t="inlineStr">
        <is>
          <t>0.5666666666666668</t>
        </is>
      </c>
      <c r="O32" s="29" t="inlineStr">
        <is>
          <t>FAIR</t>
        </is>
      </c>
      <c r="P32" s="29" t="inlineStr">
        <is>
          <t>FAIR</t>
        </is>
      </c>
      <c r="Q32" s="29" t="inlineStr">
        <is>
          <t>FAIR</t>
        </is>
      </c>
      <c r="R32" s="29" t="inlineStr">
        <is>
          <t>0.8720430887980049</t>
        </is>
      </c>
      <c r="S32" s="29" t="inlineStr">
        <is>
          <t>HIGH</t>
        </is>
      </c>
      <c r="T32" s="29" t="inlineStr">
        <is>
          <t>HIGH</t>
        </is>
      </c>
      <c r="U32" s="29" t="inlineStr">
        <is>
          <t>0.0714285714285714</t>
        </is>
      </c>
      <c r="V32" s="29" t="inlineStr">
        <is>
          <t>LOW_RISK</t>
        </is>
      </c>
      <c r="W32" s="29" t="inlineStr">
        <is>
          <t>저위험</t>
        </is>
      </c>
      <c r="X32" s="29" t="inlineStr">
        <is>
          <t>LOW_RISK</t>
        </is>
      </c>
      <c r="Y32" s="29" t="inlineStr">
        <is>
          <t>0.7252297088077002</t>
        </is>
      </c>
      <c r="Z32" s="29" t="inlineStr">
        <is>
          <t>HIGH</t>
        </is>
      </c>
      <c r="AA32" s="29" t="inlineStr">
        <is>
          <t>HIGH</t>
        </is>
      </c>
      <c r="AB32" s="29" t="inlineStr">
        <is>
          <t>0.006424650558916757</t>
        </is>
      </c>
      <c r="AC32" s="29" t="inlineStr">
        <is>
          <t>False</t>
        </is>
      </c>
      <c r="AD32" s="29" t="inlineStr">
        <is>
          <t>False</t>
        </is>
      </c>
      <c r="AE32" s="29" t="inlineStr">
        <is>
          <t>valuation_credit_ml_overlay_candidate.csv</t>
        </is>
      </c>
      <c r="AF32" s="29" t="inlineStr">
        <is>
          <t>208개 반도체 reference universe. Valuation Agent가 자체 intake 폴더로 복제해 Peer/ML/대시보드 비교에 사용.</t>
        </is>
      </c>
      <c r="AG32" s="29" t="inlineStr">
        <is>
          <t>SAME_PEER_GROUP</t>
        </is>
      </c>
      <c r="AH32" s="29" t="inlineStr">
        <is>
          <t>False</t>
        </is>
      </c>
    </row>
    <row r="33" ht="24" customHeight="1">
      <c r="A33" s="24" t="inlineStr">
        <is>
          <t>131</t>
        </is>
      </c>
      <c r="B33" s="24" t="inlineStr">
        <is>
          <t>해당 없음</t>
        </is>
      </c>
      <c r="C33" s="24" t="inlineStr">
        <is>
          <t>에스앤에스텍</t>
        </is>
      </c>
      <c r="D33" s="24" t="inlineStr">
        <is>
          <t>101490</t>
        </is>
      </c>
      <c r="E33" s="24" t="inlineStr">
        <is>
          <t>KOSDAQ</t>
        </is>
      </c>
      <c r="F33" s="24" t="inlineStr">
        <is>
          <t>소재</t>
        </is>
      </c>
      <c r="G33" s="24" t="inlineStr">
        <is>
          <t>소재</t>
        </is>
      </c>
      <c r="H33" s="24" t="inlineStr">
        <is>
          <t>False</t>
        </is>
      </c>
      <c r="I33" s="24" t="inlineStr">
        <is>
          <t>True</t>
        </is>
      </c>
      <c r="J33" s="24" t="inlineStr">
        <is>
          <t>OK</t>
        </is>
      </c>
      <c r="K33" s="24" t="inlineStr">
        <is>
          <t>데이터 사용 가능</t>
        </is>
      </c>
      <c r="L33" s="24" t="inlineStr">
        <is>
          <t>LOW</t>
        </is>
      </c>
      <c r="M33" s="24" t="inlineStr">
        <is>
          <t>LOW</t>
        </is>
      </c>
      <c r="N33" s="24" t="inlineStr">
        <is>
          <t>0.5653846153846155</t>
        </is>
      </c>
      <c r="O33" s="24" t="inlineStr">
        <is>
          <t>FAIR</t>
        </is>
      </c>
      <c r="P33" s="24" t="inlineStr">
        <is>
          <t>FAIR</t>
        </is>
      </c>
      <c r="Q33" s="24" t="inlineStr">
        <is>
          <t>FAIR</t>
        </is>
      </c>
      <c r="R33" s="24" t="inlineStr">
        <is>
          <t>0.7907123507381016</t>
        </is>
      </c>
      <c r="S33" s="24" t="inlineStr">
        <is>
          <t>HIGH</t>
        </is>
      </c>
      <c r="T33" s="24" t="inlineStr">
        <is>
          <t>HIGH</t>
        </is>
      </c>
      <c r="U33" s="24" t="inlineStr">
        <is>
          <t>0.0714285714285714</t>
        </is>
      </c>
      <c r="V33" s="24" t="inlineStr">
        <is>
          <t>LOW_RISK</t>
        </is>
      </c>
      <c r="W33" s="24" t="inlineStr">
        <is>
          <t>저위험</t>
        </is>
      </c>
      <c r="X33" s="24" t="inlineStr">
        <is>
          <t>LOW_RISK</t>
        </is>
      </c>
      <c r="Y33" s="24" t="inlineStr">
        <is>
          <t>0.877704032267338</t>
        </is>
      </c>
      <c r="Z33" s="24" t="inlineStr">
        <is>
          <t>HIGH</t>
        </is>
      </c>
      <c r="AA33" s="24" t="inlineStr">
        <is>
          <t>HIGH</t>
        </is>
      </c>
      <c r="AB33" s="24" t="inlineStr">
        <is>
          <t>0.05130595484789171</t>
        </is>
      </c>
      <c r="AC33" s="24" t="inlineStr">
        <is>
          <t>False</t>
        </is>
      </c>
      <c r="AD33" s="24" t="inlineStr">
        <is>
          <t>False</t>
        </is>
      </c>
      <c r="AE33" s="24" t="inlineStr">
        <is>
          <t>valuation_credit_ml_overlay_candidate.csv</t>
        </is>
      </c>
      <c r="AF33" s="24" t="inlineStr">
        <is>
          <t>208개 반도체 reference universe. Valuation Agent가 자체 intake 폴더로 복제해 Peer/ML/대시보드 비교에 사용.</t>
        </is>
      </c>
      <c r="AG33" s="24" t="inlineStr">
        <is>
          <t>SAME_PEER_GROUP</t>
        </is>
      </c>
      <c r="AH33" s="24" t="inlineStr">
        <is>
          <t>False</t>
        </is>
      </c>
    </row>
    <row r="34" ht="24" customHeight="1">
      <c r="A34" s="29" t="inlineStr">
        <is>
          <t>142</t>
        </is>
      </c>
      <c r="B34" s="29" t="inlineStr">
        <is>
          <t>해당 없음</t>
        </is>
      </c>
      <c r="C34" s="29" t="inlineStr">
        <is>
          <t>제이아이테크</t>
        </is>
      </c>
      <c r="D34" s="29" t="inlineStr">
        <is>
          <t>417500</t>
        </is>
      </c>
      <c r="E34" s="29" t="inlineStr">
        <is>
          <t>KOSDAQ</t>
        </is>
      </c>
      <c r="F34" s="29" t="inlineStr">
        <is>
          <t>소재</t>
        </is>
      </c>
      <c r="G34" s="29" t="inlineStr">
        <is>
          <t>소재</t>
        </is>
      </c>
      <c r="H34" s="29" t="inlineStr">
        <is>
          <t>False</t>
        </is>
      </c>
      <c r="I34" s="29" t="inlineStr">
        <is>
          <t>True</t>
        </is>
      </c>
      <c r="J34" s="29" t="inlineStr">
        <is>
          <t>OK</t>
        </is>
      </c>
      <c r="K34" s="29" t="inlineStr">
        <is>
          <t>데이터 사용 가능</t>
        </is>
      </c>
      <c r="L34" s="29" t="inlineStr">
        <is>
          <t>LOW</t>
        </is>
      </c>
      <c r="M34" s="29" t="inlineStr">
        <is>
          <t>LOW</t>
        </is>
      </c>
      <c r="N34" s="29" t="inlineStr">
        <is>
          <t>0.5264102564102564</t>
        </is>
      </c>
      <c r="O34" s="29" t="inlineStr">
        <is>
          <t>FAIR</t>
        </is>
      </c>
      <c r="P34" s="29" t="inlineStr">
        <is>
          <t>FAIR</t>
        </is>
      </c>
      <c r="Q34" s="29" t="inlineStr">
        <is>
          <t>FAIR</t>
        </is>
      </c>
      <c r="R34" s="29" t="inlineStr">
        <is>
          <t>0.8525733569966568</t>
        </is>
      </c>
      <c r="S34" s="29" t="inlineStr">
        <is>
          <t>HIGH</t>
        </is>
      </c>
      <c r="T34" s="29" t="inlineStr">
        <is>
          <t>HIGH</t>
        </is>
      </c>
      <c r="U34" s="29" t="inlineStr">
        <is>
          <t>0.0714285714285714</t>
        </is>
      </c>
      <c r="V34" s="29" t="inlineStr">
        <is>
          <t>LOW_RISK</t>
        </is>
      </c>
      <c r="W34" s="29" t="inlineStr">
        <is>
          <t>저위험</t>
        </is>
      </c>
      <c r="X34" s="29" t="inlineStr">
        <is>
          <t>LOW_RISK</t>
        </is>
      </c>
      <c r="Y34" s="29" t="inlineStr">
        <is>
          <t>0.7562204122456074</t>
        </is>
      </c>
      <c r="Z34" s="29" t="inlineStr">
        <is>
          <t>HIGH</t>
        </is>
      </c>
      <c r="AA34" s="29" t="inlineStr">
        <is>
          <t>HIGH</t>
        </is>
      </c>
      <c r="AB34" s="29" t="inlineStr">
        <is>
          <t>0.026961826720125225</t>
        </is>
      </c>
      <c r="AC34" s="29" t="inlineStr">
        <is>
          <t>False</t>
        </is>
      </c>
      <c r="AD34" s="29" t="inlineStr">
        <is>
          <t>False</t>
        </is>
      </c>
      <c r="AE34" s="29" t="inlineStr">
        <is>
          <t>valuation_credit_ml_overlay_candidate.csv</t>
        </is>
      </c>
      <c r="AF34" s="29" t="inlineStr">
        <is>
          <t>208개 반도체 reference universe. Valuation Agent가 자체 intake 폴더로 복제해 Peer/ML/대시보드 비교에 사용.</t>
        </is>
      </c>
      <c r="AG34" s="29" t="inlineStr">
        <is>
          <t>SAME_PEER_GROUP</t>
        </is>
      </c>
      <c r="AH34" s="29" t="inlineStr">
        <is>
          <t>False</t>
        </is>
      </c>
    </row>
    <row r="35" ht="24" customHeight="1">
      <c r="A35" s="24" t="inlineStr">
        <is>
          <t>137</t>
        </is>
      </c>
      <c r="B35" s="24" t="inlineStr">
        <is>
          <t>해당 없음</t>
        </is>
      </c>
      <c r="C35" s="24" t="inlineStr">
        <is>
          <t>원익QnC</t>
        </is>
      </c>
      <c r="D35" s="24" t="inlineStr">
        <is>
          <t>074600</t>
        </is>
      </c>
      <c r="E35" s="24" t="inlineStr">
        <is>
          <t>KOSDAQ GLOBAL</t>
        </is>
      </c>
      <c r="F35" s="24" t="inlineStr">
        <is>
          <t>소재</t>
        </is>
      </c>
      <c r="G35" s="24" t="inlineStr">
        <is>
          <t>소재</t>
        </is>
      </c>
      <c r="H35" s="24" t="inlineStr">
        <is>
          <t>False</t>
        </is>
      </c>
      <c r="I35" s="24" t="inlineStr">
        <is>
          <t>True</t>
        </is>
      </c>
      <c r="J35" s="24" t="inlineStr">
        <is>
          <t>OK</t>
        </is>
      </c>
      <c r="K35" s="24" t="inlineStr">
        <is>
          <t>데이터 사용 가능</t>
        </is>
      </c>
      <c r="L35" s="24" t="inlineStr">
        <is>
          <t>LOW</t>
        </is>
      </c>
      <c r="M35" s="24" t="inlineStr">
        <is>
          <t>LOW</t>
        </is>
      </c>
      <c r="N35" s="24" t="inlineStr">
        <is>
          <t>0.5156410256410257</t>
        </is>
      </c>
      <c r="O35" s="24" t="inlineStr">
        <is>
          <t>FAIR</t>
        </is>
      </c>
      <c r="P35" s="24" t="inlineStr">
        <is>
          <t>FAIR</t>
        </is>
      </c>
      <c r="Q35" s="24" t="inlineStr">
        <is>
          <t>ATTRACTIVE</t>
        </is>
      </c>
      <c r="R35" s="24" t="inlineStr">
        <is>
          <t>0.4211836082778998</t>
        </is>
      </c>
      <c r="S35" s="24" t="inlineStr">
        <is>
          <t>LOW</t>
        </is>
      </c>
      <c r="T35" s="24" t="inlineStr">
        <is>
          <t>LOW</t>
        </is>
      </c>
      <c r="U35" s="24" t="inlineStr">
        <is>
          <t>0.2857142857142857</t>
        </is>
      </c>
      <c r="V35" s="24" t="inlineStr">
        <is>
          <t>MEDIUM_RISK</t>
        </is>
      </c>
      <c r="W35" s="24" t="inlineStr">
        <is>
          <t>중위험</t>
        </is>
      </c>
      <c r="X35" s="24" t="inlineStr">
        <is>
          <t>MEDIUM_RISK</t>
        </is>
      </c>
      <c r="Y35" s="24" t="inlineStr">
        <is>
          <t>0.6182675579184692</t>
        </is>
      </c>
      <c r="Z35" s="24" t="inlineStr">
        <is>
          <t>MEDIUM</t>
        </is>
      </c>
      <c r="AA35" s="24" t="inlineStr">
        <is>
          <t>MEDIUM</t>
        </is>
      </c>
      <c r="AB35" s="24" t="inlineStr">
        <is>
          <t>0.07153695388648715</t>
        </is>
      </c>
      <c r="AC35" s="24" t="inlineStr">
        <is>
          <t>False</t>
        </is>
      </c>
      <c r="AD35" s="24" t="inlineStr">
        <is>
          <t>True</t>
        </is>
      </c>
      <c r="AE35" s="24" t="inlineStr">
        <is>
          <t>valuation_credit_ml_overlay_candidate.csv</t>
        </is>
      </c>
      <c r="AF35" s="24" t="inlineStr">
        <is>
          <t>208개 반도체 reference universe. Valuation Agent가 자체 intake 폴더로 복제해 Peer/ML/대시보드 비교에 사용.</t>
        </is>
      </c>
      <c r="AG35" s="24" t="inlineStr">
        <is>
          <t>SAME_PEER_GROUP</t>
        </is>
      </c>
      <c r="AH35" s="24" t="inlineStr">
        <is>
          <t>False</t>
        </is>
      </c>
    </row>
    <row r="36" ht="24" customHeight="1">
      <c r="A36" s="29" t="inlineStr">
        <is>
          <t>134</t>
        </is>
      </c>
      <c r="B36" s="29" t="inlineStr">
        <is>
          <t>해당 없음</t>
        </is>
      </c>
      <c r="C36" s="29" t="inlineStr">
        <is>
          <t>엠케이전자</t>
        </is>
      </c>
      <c r="D36" s="29" t="inlineStr">
        <is>
          <t>033160</t>
        </is>
      </c>
      <c r="E36" s="29" t="inlineStr">
        <is>
          <t>KOSDAQ</t>
        </is>
      </c>
      <c r="F36" s="29" t="inlineStr">
        <is>
          <t>소재</t>
        </is>
      </c>
      <c r="G36" s="29" t="inlineStr">
        <is>
          <t>소재</t>
        </is>
      </c>
      <c r="H36" s="29" t="inlineStr">
        <is>
          <t>False</t>
        </is>
      </c>
      <c r="I36" s="29" t="inlineStr">
        <is>
          <t>True</t>
        </is>
      </c>
      <c r="J36" s="29" t="inlineStr">
        <is>
          <t>OK</t>
        </is>
      </c>
      <c r="K36" s="29" t="inlineStr">
        <is>
          <t>데이터 사용 가능</t>
        </is>
      </c>
      <c r="L36" s="29" t="inlineStr">
        <is>
          <t>LOW</t>
        </is>
      </c>
      <c r="M36" s="29" t="inlineStr">
        <is>
          <t>LOW</t>
        </is>
      </c>
      <c r="N36" s="29" t="inlineStr">
        <is>
          <t>0.5105128205128205</t>
        </is>
      </c>
      <c r="O36" s="29" t="inlineStr">
        <is>
          <t>FAIR</t>
        </is>
      </c>
      <c r="P36" s="29" t="inlineStr">
        <is>
          <t>FAIR</t>
        </is>
      </c>
      <c r="Q36" s="29" t="inlineStr">
        <is>
          <t>FAIR</t>
        </is>
      </c>
      <c r="R36" s="29" t="inlineStr">
        <is>
          <t>0.801168459079624</t>
        </is>
      </c>
      <c r="S36" s="29" t="inlineStr">
        <is>
          <t>HIGH</t>
        </is>
      </c>
      <c r="T36" s="29" t="inlineStr">
        <is>
          <t>HIGH</t>
        </is>
      </c>
      <c r="U36" s="29" t="inlineStr">
        <is>
          <t>0.5714285714285714</t>
        </is>
      </c>
      <c r="V36" s="29" t="inlineStr">
        <is>
          <t>HIGH_RISK</t>
        </is>
      </c>
      <c r="W36" s="29" t="inlineStr">
        <is>
          <t>고위험</t>
        </is>
      </c>
      <c r="X36" s="29" t="inlineStr">
        <is>
          <t>HIGH_RISK</t>
        </is>
      </c>
      <c r="Y36" s="29" t="inlineStr">
        <is>
          <t>0.6458821552404778</t>
        </is>
      </c>
      <c r="Z36" s="29" t="inlineStr">
        <is>
          <t>MEDIUM</t>
        </is>
      </c>
      <c r="AA36" s="29" t="inlineStr">
        <is>
          <t>MEDIUM</t>
        </is>
      </c>
      <c r="AB36" s="29" t="inlineStr">
        <is>
          <t>0.06935231891152775</t>
        </is>
      </c>
      <c r="AC36" s="29" t="inlineStr">
        <is>
          <t>False</t>
        </is>
      </c>
      <c r="AD36" s="29" t="inlineStr">
        <is>
          <t>False</t>
        </is>
      </c>
      <c r="AE36" s="29" t="inlineStr">
        <is>
          <t>valuation_credit_ml_overlay_candidate.csv</t>
        </is>
      </c>
      <c r="AF36" s="29" t="inlineStr">
        <is>
          <t>208개 반도체 reference universe. Valuation Agent가 자체 intake 폴더로 복제해 Peer/ML/대시보드 비교에 사용.</t>
        </is>
      </c>
      <c r="AG36" s="29" t="inlineStr">
        <is>
          <t>SAME_PEER_GROUP</t>
        </is>
      </c>
      <c r="AH36" s="29" t="inlineStr">
        <is>
          <t>False</t>
        </is>
      </c>
    </row>
    <row r="37" ht="24" customHeight="1">
      <c r="A37" s="24" t="inlineStr">
        <is>
          <t>136</t>
        </is>
      </c>
      <c r="B37" s="24" t="inlineStr">
        <is>
          <t>해당 없음</t>
        </is>
      </c>
      <c r="C37" s="24" t="inlineStr">
        <is>
          <t>와이엠티</t>
        </is>
      </c>
      <c r="D37" s="24" t="inlineStr">
        <is>
          <t>251370</t>
        </is>
      </c>
      <c r="E37" s="24" t="inlineStr">
        <is>
          <t>KOSDAQ</t>
        </is>
      </c>
      <c r="F37" s="24" t="inlineStr">
        <is>
          <t>소재</t>
        </is>
      </c>
      <c r="G37" s="24" t="inlineStr">
        <is>
          <t>소재</t>
        </is>
      </c>
      <c r="H37" s="24" t="inlineStr">
        <is>
          <t>False</t>
        </is>
      </c>
      <c r="I37" s="24" t="inlineStr">
        <is>
          <t>True</t>
        </is>
      </c>
      <c r="J37" s="24" t="inlineStr">
        <is>
          <t>OK</t>
        </is>
      </c>
      <c r="K37" s="24" t="inlineStr">
        <is>
          <t>데이터 사용 가능</t>
        </is>
      </c>
      <c r="L37" s="24" t="inlineStr">
        <is>
          <t>LOW</t>
        </is>
      </c>
      <c r="M37" s="24" t="inlineStr">
        <is>
          <t>LOW</t>
        </is>
      </c>
      <c r="N37" s="24" t="inlineStr">
        <is>
          <t>0.4989743589743589</t>
        </is>
      </c>
      <c r="O37" s="24" t="inlineStr">
        <is>
          <t>FAIR</t>
        </is>
      </c>
      <c r="P37" s="24" t="inlineStr">
        <is>
          <t>FAIR</t>
        </is>
      </c>
      <c r="Q37" s="24" t="inlineStr">
        <is>
          <t>FAIR</t>
        </is>
      </c>
      <c r="R37" s="24" t="inlineStr">
        <is>
          <t>0.730943868859095</t>
        </is>
      </c>
      <c r="S37" s="24" t="inlineStr">
        <is>
          <t>HIGH</t>
        </is>
      </c>
      <c r="T37" s="24" t="inlineStr">
        <is>
          <t>HIGH</t>
        </is>
      </c>
      <c r="U37" s="24" t="inlineStr">
        <is>
          <t>0.2142857142857142</t>
        </is>
      </c>
      <c r="V37" s="24" t="inlineStr">
        <is>
          <t>MEDIUM_RISK</t>
        </is>
      </c>
      <c r="W37" s="24" t="inlineStr">
        <is>
          <t>중위험</t>
        </is>
      </c>
      <c r="X37" s="24" t="inlineStr">
        <is>
          <t>MEDIUM_RISK</t>
        </is>
      </c>
      <c r="Y37" s="24" t="inlineStr">
        <is>
          <t>0.4510396871808976</t>
        </is>
      </c>
      <c r="Z37" s="24" t="inlineStr">
        <is>
          <t>LOW</t>
        </is>
      </c>
      <c r="AA37" s="24" t="inlineStr">
        <is>
          <t>LOW</t>
        </is>
      </c>
      <c r="AB37" s="24" t="inlineStr">
        <is>
          <t>0.021802364937517606</t>
        </is>
      </c>
      <c r="AC37" s="24" t="inlineStr">
        <is>
          <t>False</t>
        </is>
      </c>
      <c r="AD37" s="24" t="inlineStr">
        <is>
          <t>True</t>
        </is>
      </c>
      <c r="AE37" s="24" t="inlineStr">
        <is>
          <t>valuation_credit_ml_overlay_candidate.csv</t>
        </is>
      </c>
      <c r="AF37" s="24" t="inlineStr">
        <is>
          <t>208개 반도체 reference universe. Valuation Agent가 자체 intake 폴더로 복제해 Peer/ML/대시보드 비교에 사용.</t>
        </is>
      </c>
      <c r="AG37" s="24" t="inlineStr">
        <is>
          <t>SAME_PEER_GROUP</t>
        </is>
      </c>
      <c r="AH37" s="24" t="inlineStr">
        <is>
          <t>False</t>
        </is>
      </c>
    </row>
    <row r="38" ht="24" customHeight="1">
      <c r="A38" s="29" t="inlineStr">
        <is>
          <t>145</t>
        </is>
      </c>
      <c r="B38" s="29" t="inlineStr">
        <is>
          <t>해당 없음</t>
        </is>
      </c>
      <c r="C38" s="29" t="inlineStr">
        <is>
          <t>티씨케이</t>
        </is>
      </c>
      <c r="D38" s="29" t="inlineStr">
        <is>
          <t>064760</t>
        </is>
      </c>
      <c r="E38" s="29" t="inlineStr">
        <is>
          <t>KOSDAQ GLOBAL</t>
        </is>
      </c>
      <c r="F38" s="29" t="inlineStr">
        <is>
          <t>소재</t>
        </is>
      </c>
      <c r="G38" s="29" t="inlineStr">
        <is>
          <t>소재</t>
        </is>
      </c>
      <c r="H38" s="29" t="inlineStr">
        <is>
          <t>False</t>
        </is>
      </c>
      <c r="I38" s="29" t="inlineStr">
        <is>
          <t>True</t>
        </is>
      </c>
      <c r="J38" s="29" t="inlineStr">
        <is>
          <t>OK</t>
        </is>
      </c>
      <c r="K38" s="29" t="inlineStr">
        <is>
          <t>데이터 사용 가능</t>
        </is>
      </c>
      <c r="L38" s="29" t="inlineStr">
        <is>
          <t>LOW</t>
        </is>
      </c>
      <c r="M38" s="29" t="inlineStr">
        <is>
          <t>LOW</t>
        </is>
      </c>
      <c r="N38" s="29" t="inlineStr">
        <is>
          <t>0.4956410256410256</t>
        </is>
      </c>
      <c r="O38" s="29" t="inlineStr">
        <is>
          <t>FAIR</t>
        </is>
      </c>
      <c r="P38" s="29" t="inlineStr">
        <is>
          <t>FAIR</t>
        </is>
      </c>
      <c r="Q38" s="29" t="inlineStr">
        <is>
          <t>FAIR</t>
        </is>
      </c>
      <c r="R38" s="29" t="inlineStr">
        <is>
          <t>0.6535546916238612</t>
        </is>
      </c>
      <c r="S38" s="29" t="inlineStr">
        <is>
          <t>MEDIUM</t>
        </is>
      </c>
      <c r="T38" s="29" t="inlineStr">
        <is>
          <t>MEDIUM</t>
        </is>
      </c>
      <c r="U38" s="29" t="inlineStr">
        <is>
          <t>0.0</t>
        </is>
      </c>
      <c r="V38" s="29" t="inlineStr">
        <is>
          <t>LOW_RISK</t>
        </is>
      </c>
      <c r="W38" s="29" t="inlineStr">
        <is>
          <t>저위험</t>
        </is>
      </c>
      <c r="X38" s="29" t="inlineStr">
        <is>
          <t>LOW_RISK</t>
        </is>
      </c>
      <c r="Y38" s="29" t="inlineStr">
        <is>
          <t>0.7960429313317705</t>
        </is>
      </c>
      <c r="Z38" s="29" t="inlineStr">
        <is>
          <t>HIGH</t>
        </is>
      </c>
      <c r="AA38" s="29" t="inlineStr">
        <is>
          <t>HIGH</t>
        </is>
      </c>
      <c r="AB38" s="29" t="inlineStr">
        <is>
          <t>0.151556576218825</t>
        </is>
      </c>
      <c r="AC38" s="29" t="inlineStr">
        <is>
          <t>False</t>
        </is>
      </c>
      <c r="AD38" s="29" t="inlineStr">
        <is>
          <t>False</t>
        </is>
      </c>
      <c r="AE38" s="29" t="inlineStr">
        <is>
          <t>valuation_credit_ml_overlay_candidate.csv</t>
        </is>
      </c>
      <c r="AF38" s="29" t="inlineStr">
        <is>
          <t>208개 반도체 reference universe. Valuation Agent가 자체 intake 폴더로 복제해 Peer/ML/대시보드 비교에 사용.</t>
        </is>
      </c>
      <c r="AG38" s="29" t="inlineStr">
        <is>
          <t>SAME_PEER_GROUP</t>
        </is>
      </c>
      <c r="AH38" s="29" t="inlineStr">
        <is>
          <t>False</t>
        </is>
      </c>
    </row>
    <row r="39" ht="24" customHeight="1">
      <c r="A39" s="24" t="inlineStr">
        <is>
          <t>126</t>
        </is>
      </c>
      <c r="B39" s="24" t="inlineStr">
        <is>
          <t>해당 없음</t>
        </is>
      </c>
      <c r="C39" s="24" t="inlineStr">
        <is>
          <t>동진쎄미켐</t>
        </is>
      </c>
      <c r="D39" s="24" t="inlineStr">
        <is>
          <t>005290</t>
        </is>
      </c>
      <c r="E39" s="24" t="inlineStr">
        <is>
          <t>KOSDAQ</t>
        </is>
      </c>
      <c r="F39" s="24" t="inlineStr">
        <is>
          <t>소재</t>
        </is>
      </c>
      <c r="G39" s="24" t="inlineStr">
        <is>
          <t>소재</t>
        </is>
      </c>
      <c r="H39" s="24" t="inlineStr">
        <is>
          <t>False</t>
        </is>
      </c>
      <c r="I39" s="24" t="inlineStr">
        <is>
          <t>True</t>
        </is>
      </c>
      <c r="J39" s="24" t="inlineStr">
        <is>
          <t>OK</t>
        </is>
      </c>
      <c r="K39" s="24" t="inlineStr">
        <is>
          <t>데이터 사용 가능</t>
        </is>
      </c>
      <c r="L39" s="24" t="inlineStr">
        <is>
          <t>LOW</t>
        </is>
      </c>
      <c r="M39" s="24" t="inlineStr">
        <is>
          <t>LOW</t>
        </is>
      </c>
      <c r="N39" s="24" t="inlineStr">
        <is>
          <t>0.4702564102564102</t>
        </is>
      </c>
      <c r="O39" s="24" t="inlineStr">
        <is>
          <t>FAIR</t>
        </is>
      </c>
      <c r="P39" s="24" t="inlineStr">
        <is>
          <t>FAIR</t>
        </is>
      </c>
      <c r="Q39" s="24" t="inlineStr">
        <is>
          <t>ATTRACTIVE</t>
        </is>
      </c>
      <c r="R39" s="24" t="inlineStr">
        <is>
          <t>0.48929755601795294</t>
        </is>
      </c>
      <c r="S39" s="24" t="inlineStr">
        <is>
          <t>LOW</t>
        </is>
      </c>
      <c r="T39" s="24" t="inlineStr">
        <is>
          <t>LOW</t>
        </is>
      </c>
      <c r="U39" s="24" t="inlineStr">
        <is>
          <t>0.0</t>
        </is>
      </c>
      <c r="V39" s="24" t="inlineStr">
        <is>
          <t>LOW_RISK</t>
        </is>
      </c>
      <c r="W39" s="24" t="inlineStr">
        <is>
          <t>저위험</t>
        </is>
      </c>
      <c r="X39" s="24" t="inlineStr">
        <is>
          <t>LOW_RISK</t>
        </is>
      </c>
      <c r="Y39" s="24" t="inlineStr">
        <is>
          <t>0.9474461757717627</t>
        </is>
      </c>
      <c r="Z39" s="24" t="inlineStr">
        <is>
          <t>HIGH</t>
        </is>
      </c>
      <c r="AA39" s="24" t="inlineStr">
        <is>
          <t>HIGH</t>
        </is>
      </c>
      <c r="AB39" s="24" t="inlineStr">
        <is>
          <t>0.021813937556984325</t>
        </is>
      </c>
      <c r="AC39" s="24" t="inlineStr">
        <is>
          <t>False</t>
        </is>
      </c>
      <c r="AD39" s="24" t="inlineStr">
        <is>
          <t>True</t>
        </is>
      </c>
      <c r="AE39" s="24" t="inlineStr">
        <is>
          <t>valuation_credit_ml_overlay_candidate.csv</t>
        </is>
      </c>
      <c r="AF39" s="24" t="inlineStr">
        <is>
          <t>208개 반도체 reference universe. Valuation Agent가 자체 intake 폴더로 복제해 Peer/ML/대시보드 비교에 사용.</t>
        </is>
      </c>
      <c r="AG39" s="24" t="inlineStr">
        <is>
          <t>SAME_PEER_GROUP</t>
        </is>
      </c>
      <c r="AH39" s="24" t="inlineStr">
        <is>
          <t>False</t>
        </is>
      </c>
    </row>
    <row r="40" ht="24" customHeight="1">
      <c r="A40" s="29" t="inlineStr">
        <is>
          <t>144</t>
        </is>
      </c>
      <c r="B40" s="29" t="inlineStr">
        <is>
          <t>해당 없음</t>
        </is>
      </c>
      <c r="C40" s="29" t="inlineStr">
        <is>
          <t>켐트로닉스</t>
        </is>
      </c>
      <c r="D40" s="29" t="inlineStr">
        <is>
          <t>089010</t>
        </is>
      </c>
      <c r="E40" s="29" t="inlineStr">
        <is>
          <t>KOSDAQ</t>
        </is>
      </c>
      <c r="F40" s="29" t="inlineStr">
        <is>
          <t>소재</t>
        </is>
      </c>
      <c r="G40" s="29" t="inlineStr">
        <is>
          <t>소재</t>
        </is>
      </c>
      <c r="H40" s="29" t="inlineStr">
        <is>
          <t>False</t>
        </is>
      </c>
      <c r="I40" s="29" t="inlineStr">
        <is>
          <t>True</t>
        </is>
      </c>
      <c r="J40" s="29" t="inlineStr">
        <is>
          <t>OK</t>
        </is>
      </c>
      <c r="K40" s="29" t="inlineStr">
        <is>
          <t>데이터 사용 가능</t>
        </is>
      </c>
      <c r="L40" s="29" t="inlineStr">
        <is>
          <t>LOW</t>
        </is>
      </c>
      <c r="M40" s="29" t="inlineStr">
        <is>
          <t>LOW</t>
        </is>
      </c>
      <c r="N40" s="29" t="inlineStr">
        <is>
          <t>0.4412820512820513</t>
        </is>
      </c>
      <c r="O40" s="29" t="inlineStr">
        <is>
          <t>FAIR</t>
        </is>
      </c>
      <c r="P40" s="29" t="inlineStr">
        <is>
          <t>FAIR</t>
        </is>
      </c>
      <c r="Q40" s="29" t="inlineStr">
        <is>
          <t>FAIR</t>
        </is>
      </c>
      <c r="R40" s="29" t="inlineStr">
        <is>
          <t>0.7697961799623572</t>
        </is>
      </c>
      <c r="S40" s="29" t="inlineStr">
        <is>
          <t>HIGH</t>
        </is>
      </c>
      <c r="T40" s="29" t="inlineStr">
        <is>
          <t>HIGH</t>
        </is>
      </c>
      <c r="U40" s="29" t="inlineStr">
        <is>
          <t>0.3571428571428571</t>
        </is>
      </c>
      <c r="V40" s="29" t="inlineStr">
        <is>
          <t>MEDIUM_RISK</t>
        </is>
      </c>
      <c r="W40" s="29" t="inlineStr">
        <is>
          <t>중위험</t>
        </is>
      </c>
      <c r="X40" s="29" t="inlineStr">
        <is>
          <t>MEDIUM_RISK</t>
        </is>
      </c>
      <c r="Y40" s="29" t="inlineStr">
        <is>
          <t>0.46850853772952833</t>
        </is>
      </c>
      <c r="Z40" s="29" t="inlineStr">
        <is>
          <t>LOW</t>
        </is>
      </c>
      <c r="AA40" s="29" t="inlineStr">
        <is>
          <t>LOW</t>
        </is>
      </c>
      <c r="AB40" s="29" t="inlineStr">
        <is>
          <t>0.08001716573230905</t>
        </is>
      </c>
      <c r="AC40" s="29" t="inlineStr">
        <is>
          <t>False</t>
        </is>
      </c>
      <c r="AD40" s="29" t="inlineStr">
        <is>
          <t>True</t>
        </is>
      </c>
      <c r="AE40" s="29" t="inlineStr">
        <is>
          <t>valuation_credit_ml_overlay_candidate.csv</t>
        </is>
      </c>
      <c r="AF40" s="29" t="inlineStr">
        <is>
          <t>208개 반도체 reference universe. Valuation Agent가 자체 intake 폴더로 복제해 Peer/ML/대시보드 비교에 사용.</t>
        </is>
      </c>
      <c r="AG40" s="29" t="inlineStr">
        <is>
          <t>SAME_PEER_GROUP</t>
        </is>
      </c>
      <c r="AH40" s="29" t="inlineStr">
        <is>
          <t>False</t>
        </is>
      </c>
    </row>
    <row r="41" ht="24" customHeight="1">
      <c r="A41" s="24" t="inlineStr">
        <is>
          <t>129</t>
        </is>
      </c>
      <c r="B41" s="24" t="inlineStr">
        <is>
          <t>해당 없음</t>
        </is>
      </c>
      <c r="C41" s="24" t="inlineStr">
        <is>
          <t>솔브레인</t>
        </is>
      </c>
      <c r="D41" s="24" t="inlineStr">
        <is>
          <t>357780</t>
        </is>
      </c>
      <c r="E41" s="24" t="inlineStr">
        <is>
          <t>KOSDAQ GLOBAL</t>
        </is>
      </c>
      <c r="F41" s="24" t="inlineStr">
        <is>
          <t>소재</t>
        </is>
      </c>
      <c r="G41" s="24" t="inlineStr">
        <is>
          <t>소재</t>
        </is>
      </c>
      <c r="H41" s="24" t="inlineStr">
        <is>
          <t>False</t>
        </is>
      </c>
      <c r="I41" s="24" t="inlineStr">
        <is>
          <t>True</t>
        </is>
      </c>
      <c r="J41" s="24" t="inlineStr">
        <is>
          <t>OK</t>
        </is>
      </c>
      <c r="K41" s="24" t="inlineStr">
        <is>
          <t>데이터 사용 가능</t>
        </is>
      </c>
      <c r="L41" s="24" t="inlineStr">
        <is>
          <t>LOW</t>
        </is>
      </c>
      <c r="M41" s="24" t="inlineStr">
        <is>
          <t>LOW</t>
        </is>
      </c>
      <c r="N41" s="24" t="inlineStr">
        <is>
          <t>0.4330769230769231</t>
        </is>
      </c>
      <c r="O41" s="24" t="inlineStr">
        <is>
          <t>FAIR</t>
        </is>
      </c>
      <c r="P41" s="24" t="inlineStr">
        <is>
          <t>FAIR</t>
        </is>
      </c>
      <c r="Q41" s="24" t="inlineStr">
        <is>
          <t>FAIR</t>
        </is>
      </c>
      <c r="R41" s="24" t="inlineStr">
        <is>
          <t>0.6367158518654258</t>
        </is>
      </c>
      <c r="S41" s="24" t="inlineStr">
        <is>
          <t>MEDIUM</t>
        </is>
      </c>
      <c r="T41" s="24" t="inlineStr">
        <is>
          <t>MEDIUM</t>
        </is>
      </c>
      <c r="U41" s="24" t="inlineStr">
        <is>
          <t>0.0</t>
        </is>
      </c>
      <c r="V41" s="24" t="inlineStr">
        <is>
          <t>LOW_RISK</t>
        </is>
      </c>
      <c r="W41" s="24" t="inlineStr">
        <is>
          <t>저위험</t>
        </is>
      </c>
      <c r="X41" s="24" t="inlineStr">
        <is>
          <t>LOW_RISK</t>
        </is>
      </c>
      <c r="Y41" s="24" t="inlineStr">
        <is>
          <t>0.9460528189989016</t>
        </is>
      </c>
      <c r="Z41" s="24" t="inlineStr">
        <is>
          <t>HIGH</t>
        </is>
      </c>
      <c r="AA41" s="24" t="inlineStr">
        <is>
          <t>HIGH</t>
        </is>
      </c>
      <c r="AB41" s="24" t="inlineStr">
        <is>
          <t>0.0320761550307272</t>
        </is>
      </c>
      <c r="AC41" s="24" t="inlineStr">
        <is>
          <t>False</t>
        </is>
      </c>
      <c r="AD41" s="24" t="inlineStr">
        <is>
          <t>False</t>
        </is>
      </c>
      <c r="AE41" s="24" t="inlineStr">
        <is>
          <t>valuation_credit_ml_overlay_candidate.csv</t>
        </is>
      </c>
      <c r="AF41" s="24" t="inlineStr">
        <is>
          <t>208개 반도체 reference universe. Valuation Agent가 자체 intake 폴더로 복제해 Peer/ML/대시보드 비교에 사용.</t>
        </is>
      </c>
      <c r="AG41" s="24" t="inlineStr">
        <is>
          <t>SAME_PEER_GROUP</t>
        </is>
      </c>
      <c r="AH41" s="24" t="inlineStr">
        <is>
          <t>False</t>
        </is>
      </c>
    </row>
    <row r="42" ht="24" customHeight="1">
      <c r="A42" s="29" t="inlineStr">
        <is>
          <t>127</t>
        </is>
      </c>
      <c r="B42" s="29" t="inlineStr">
        <is>
          <t>해당 없음</t>
        </is>
      </c>
      <c r="C42" s="29" t="inlineStr">
        <is>
          <t>디엔에프</t>
        </is>
      </c>
      <c r="D42" s="29" t="inlineStr">
        <is>
          <t>092070</t>
        </is>
      </c>
      <c r="E42" s="29" t="inlineStr">
        <is>
          <t>KOSDAQ</t>
        </is>
      </c>
      <c r="F42" s="29" t="inlineStr">
        <is>
          <t>소재</t>
        </is>
      </c>
      <c r="G42" s="29" t="inlineStr">
        <is>
          <t>소재</t>
        </is>
      </c>
      <c r="H42" s="29" t="inlineStr">
        <is>
          <t>False</t>
        </is>
      </c>
      <c r="I42" s="29" t="inlineStr">
        <is>
          <t>True</t>
        </is>
      </c>
      <c r="J42" s="29" t="inlineStr">
        <is>
          <t>OK</t>
        </is>
      </c>
      <c r="K42" s="29" t="inlineStr">
        <is>
          <t>데이터 사용 가능</t>
        </is>
      </c>
      <c r="L42" s="29" t="inlineStr">
        <is>
          <t>LOW</t>
        </is>
      </c>
      <c r="M42" s="29" t="inlineStr">
        <is>
          <t>LOW</t>
        </is>
      </c>
      <c r="N42" s="29" t="inlineStr">
        <is>
          <t>0.4041025641025642</t>
        </is>
      </c>
      <c r="O42" s="29" t="inlineStr">
        <is>
          <t>EXPENSIVE</t>
        </is>
      </c>
      <c r="P42" s="29" t="inlineStr">
        <is>
          <t>EXPENSIVE</t>
        </is>
      </c>
      <c r="Q42" s="29" t="inlineStr">
        <is>
          <t>EXPENSIVE</t>
        </is>
      </c>
      <c r="R42" s="29" t="inlineStr">
        <is>
          <t>0.6833535693717029</t>
        </is>
      </c>
      <c r="S42" s="29" t="inlineStr">
        <is>
          <t>MEDIUM</t>
        </is>
      </c>
      <c r="T42" s="29" t="inlineStr">
        <is>
          <t>MEDIUM</t>
        </is>
      </c>
      <c r="U42" s="29" t="inlineStr">
        <is>
          <t>0.1428571428571428</t>
        </is>
      </c>
      <c r="V42" s="29" t="inlineStr">
        <is>
          <t>LOW_RISK</t>
        </is>
      </c>
      <c r="W42" s="29" t="inlineStr">
        <is>
          <t>저위험</t>
        </is>
      </c>
      <c r="X42" s="29" t="inlineStr">
        <is>
          <t>LOW_RISK</t>
        </is>
      </c>
      <c r="Y42" s="29" t="inlineStr">
        <is>
          <t>0.5929893794662974</t>
        </is>
      </c>
      <c r="Z42" s="29" t="inlineStr">
        <is>
          <t>MEDIUM</t>
        </is>
      </c>
      <c r="AA42" s="29" t="inlineStr">
        <is>
          <t>MEDIUM</t>
        </is>
      </c>
      <c r="AB42" s="29" t="inlineStr">
        <is>
          <t>0.12453521172683771</t>
        </is>
      </c>
      <c r="AC42" s="29" t="inlineStr">
        <is>
          <t>False</t>
        </is>
      </c>
      <c r="AD42" s="29" t="inlineStr">
        <is>
          <t>False</t>
        </is>
      </c>
      <c r="AE42" s="29" t="inlineStr">
        <is>
          <t>valuation_credit_ml_overlay_candidate.csv</t>
        </is>
      </c>
      <c r="AF42" s="29" t="inlineStr">
        <is>
          <t>208개 반도체 reference universe. Valuation Agent가 자체 intake 폴더로 복제해 Peer/ML/대시보드 비교에 사용.</t>
        </is>
      </c>
      <c r="AG42" s="29" t="inlineStr">
        <is>
          <t>SAME_PEER_GROUP</t>
        </is>
      </c>
      <c r="AH42" s="29" t="inlineStr">
        <is>
          <t>False</t>
        </is>
      </c>
    </row>
    <row r="43" ht="24" customHeight="1">
      <c r="A43" s="24" t="inlineStr">
        <is>
          <t>135</t>
        </is>
      </c>
      <c r="B43" s="24" t="inlineStr">
        <is>
          <t>해당 없음</t>
        </is>
      </c>
      <c r="C43" s="24" t="inlineStr">
        <is>
          <t>와이씨켐</t>
        </is>
      </c>
      <c r="D43" s="24" t="inlineStr">
        <is>
          <t>112290</t>
        </is>
      </c>
      <c r="E43" s="24" t="inlineStr">
        <is>
          <t>KOSDAQ</t>
        </is>
      </c>
      <c r="F43" s="24" t="inlineStr">
        <is>
          <t>소재</t>
        </is>
      </c>
      <c r="G43" s="24" t="inlineStr">
        <is>
          <t>소재</t>
        </is>
      </c>
      <c r="H43" s="24" t="inlineStr">
        <is>
          <t>False</t>
        </is>
      </c>
      <c r="I43" s="24" t="inlineStr">
        <is>
          <t>True</t>
        </is>
      </c>
      <c r="J43" s="24" t="inlineStr">
        <is>
          <t>OK</t>
        </is>
      </c>
      <c r="K43" s="24" t="inlineStr">
        <is>
          <t>데이터 사용 가능</t>
        </is>
      </c>
      <c r="L43" s="24" t="inlineStr">
        <is>
          <t>LOW</t>
        </is>
      </c>
      <c r="M43" s="24" t="inlineStr">
        <is>
          <t>LOW</t>
        </is>
      </c>
      <c r="N43" s="24" t="inlineStr">
        <is>
          <t>0.3835897435897436</t>
        </is>
      </c>
      <c r="O43" s="24" t="inlineStr">
        <is>
          <t>EXPENSIVE</t>
        </is>
      </c>
      <c r="P43" s="24" t="inlineStr">
        <is>
          <t>EXPENSIVE</t>
        </is>
      </c>
      <c r="Q43" s="24" t="inlineStr">
        <is>
          <t>EXPENSIVE</t>
        </is>
      </c>
      <c r="R43" s="24" t="inlineStr">
        <is>
          <t>0.7576999610053956</t>
        </is>
      </c>
      <c r="S43" s="24" t="inlineStr">
        <is>
          <t>HIGH</t>
        </is>
      </c>
      <c r="T43" s="24" t="inlineStr">
        <is>
          <t>HIGH</t>
        </is>
      </c>
      <c r="U43" s="24" t="inlineStr">
        <is>
          <t>0.5</t>
        </is>
      </c>
      <c r="V43" s="24" t="inlineStr">
        <is>
          <t>HIGH_RISK</t>
        </is>
      </c>
      <c r="W43" s="24" t="inlineStr">
        <is>
          <t>고위험</t>
        </is>
      </c>
      <c r="X43" s="24" t="inlineStr">
        <is>
          <t>HIGH_RISK</t>
        </is>
      </c>
      <c r="Y43" s="24" t="inlineStr">
        <is>
          <t>0.5943318096005836</t>
        </is>
      </c>
      <c r="Z43" s="24" t="inlineStr">
        <is>
          <t>MEDIUM</t>
        </is>
      </c>
      <c r="AA43" s="24" t="inlineStr">
        <is>
          <t>MEDIUM</t>
        </is>
      </c>
      <c r="AB43" s="24" t="inlineStr">
        <is>
          <t>0.09923299749910795</t>
        </is>
      </c>
      <c r="AC43" s="24" t="inlineStr">
        <is>
          <t>False</t>
        </is>
      </c>
      <c r="AD43" s="24" t="inlineStr">
        <is>
          <t>False</t>
        </is>
      </c>
      <c r="AE43" s="24" t="inlineStr">
        <is>
          <t>valuation_credit_ml_overlay_candidate.csv</t>
        </is>
      </c>
      <c r="AF43" s="24" t="inlineStr">
        <is>
          <t>208개 반도체 reference universe. Valuation Agent가 자체 intake 폴더로 복제해 Peer/ML/대시보드 비교에 사용.</t>
        </is>
      </c>
      <c r="AG43" s="24" t="inlineStr">
        <is>
          <t>SAME_PEER_GROUP</t>
        </is>
      </c>
      <c r="AH43" s="24" t="inlineStr">
        <is>
          <t>False</t>
        </is>
      </c>
    </row>
    <row r="44" ht="24" customHeight="1">
      <c r="A44" s="29" t="inlineStr">
        <is>
          <t>157</t>
        </is>
      </c>
      <c r="B44" s="29" t="inlineStr">
        <is>
          <t>nepes</t>
        </is>
      </c>
      <c r="C44" s="29" t="inlineStr">
        <is>
          <t>네패스</t>
        </is>
      </c>
      <c r="D44" s="29" t="inlineStr">
        <is>
          <t>033640</t>
        </is>
      </c>
      <c r="E44" s="29" t="inlineStr">
        <is>
          <t>KOSDAQ</t>
        </is>
      </c>
      <c r="F44" s="29" t="inlineStr">
        <is>
          <t>후공정/패키징/테스트</t>
        </is>
      </c>
      <c r="G44" s="29" t="inlineStr">
        <is>
          <t>후공정/패키징/테스트</t>
        </is>
      </c>
      <c r="H44" s="29" t="inlineStr">
        <is>
          <t>True</t>
        </is>
      </c>
      <c r="I44" s="29" t="inlineStr">
        <is>
          <t>True</t>
        </is>
      </c>
      <c r="J44" s="29" t="inlineStr">
        <is>
          <t>OK</t>
        </is>
      </c>
      <c r="K44" s="29" t="inlineStr">
        <is>
          <t>데이터 사용 가능</t>
        </is>
      </c>
      <c r="L44" s="29" t="inlineStr">
        <is>
          <t>LOW</t>
        </is>
      </c>
      <c r="M44" s="29" t="inlineStr">
        <is>
          <t>LOW</t>
        </is>
      </c>
      <c r="N44" s="29" t="inlineStr">
        <is>
          <t>0.6385185185185186</t>
        </is>
      </c>
      <c r="O44" s="29" t="inlineStr">
        <is>
          <t>ATTRACTIVE</t>
        </is>
      </c>
      <c r="P44" s="29" t="inlineStr">
        <is>
          <t>가치 매력</t>
        </is>
      </c>
      <c r="Q44" s="29" t="inlineStr">
        <is>
          <t>ATTRACTIVE</t>
        </is>
      </c>
      <c r="R44" s="29" t="inlineStr">
        <is>
          <t>0.8763685947958789</t>
        </is>
      </c>
      <c r="S44" s="29" t="inlineStr">
        <is>
          <t>HIGH</t>
        </is>
      </c>
      <c r="T44" s="29" t="inlineStr">
        <is>
          <t>HIGH</t>
        </is>
      </c>
      <c r="U44" s="29" t="inlineStr">
        <is>
          <t>0.2857142857142857</t>
        </is>
      </c>
      <c r="V44" s="29" t="inlineStr">
        <is>
          <t>MEDIUM_RISK</t>
        </is>
      </c>
      <c r="W44" s="29" t="inlineStr">
        <is>
          <t>중위험</t>
        </is>
      </c>
      <c r="X44" s="29" t="inlineStr">
        <is>
          <t>MEDIUM_RISK</t>
        </is>
      </c>
      <c r="Y44" s="29" t="inlineStr">
        <is>
          <t>0.5963458259503356</t>
        </is>
      </c>
      <c r="Z44" s="29" t="inlineStr">
        <is>
          <t>MEDIUM</t>
        </is>
      </c>
      <c r="AA44" s="29" t="inlineStr">
        <is>
          <t>MEDIUM</t>
        </is>
      </c>
      <c r="AB44" s="29" t="inlineStr">
        <is>
          <t>0.07896643996759804</t>
        </is>
      </c>
      <c r="AC44" s="29" t="inlineStr">
        <is>
          <t>False</t>
        </is>
      </c>
      <c r="AD44" s="29" t="inlineStr">
        <is>
          <t>False</t>
        </is>
      </c>
      <c r="AE44" s="29" t="inlineStr">
        <is>
          <t>valuation_credit_ml_overlay_candidate.csv</t>
        </is>
      </c>
      <c r="AF44" s="29" t="inlineStr">
        <is>
          <t>208개 반도체 reference universe. Valuation Agent가 자체 intake 폴더로 복제해 Peer/ML/대시보드 비교에 사용.</t>
        </is>
      </c>
      <c r="AG44" s="29" t="inlineStr">
        <is>
          <t>FOCAL_5</t>
        </is>
      </c>
      <c r="AH44" s="29" t="inlineStr">
        <is>
          <t>False</t>
        </is>
      </c>
    </row>
    <row r="45" ht="24" customHeight="1">
      <c r="A45" s="24" t="inlineStr">
        <is>
          <t>192</t>
        </is>
      </c>
      <c r="B45" s="24" t="inlineStr">
        <is>
          <t>hanmi</t>
        </is>
      </c>
      <c r="C45" s="24" t="inlineStr">
        <is>
          <t>한미반도체</t>
        </is>
      </c>
      <c r="D45" s="24" t="inlineStr">
        <is>
          <t>042700</t>
        </is>
      </c>
      <c r="E45" s="24" t="inlineStr">
        <is>
          <t>KOSPI</t>
        </is>
      </c>
      <c r="F45" s="24" t="inlineStr">
        <is>
          <t>후공정/패키징/테스트</t>
        </is>
      </c>
      <c r="G45" s="24" t="inlineStr">
        <is>
          <t>후공정/패키징/테스트</t>
        </is>
      </c>
      <c r="H45" s="24" t="inlineStr">
        <is>
          <t>True</t>
        </is>
      </c>
      <c r="I45" s="24" t="inlineStr">
        <is>
          <t>True</t>
        </is>
      </c>
      <c r="J45" s="24" t="inlineStr">
        <is>
          <t>OK</t>
        </is>
      </c>
      <c r="K45" s="24" t="inlineStr">
        <is>
          <t>데이터 사용 가능</t>
        </is>
      </c>
      <c r="L45" s="24" t="inlineStr">
        <is>
          <t>LOW</t>
        </is>
      </c>
      <c r="M45" s="24" t="inlineStr">
        <is>
          <t>LOW</t>
        </is>
      </c>
      <c r="N45" s="24" t="inlineStr">
        <is>
          <t>0.4712592592592592</t>
        </is>
      </c>
      <c r="O45" s="24" t="inlineStr">
        <is>
          <t>FAIR</t>
        </is>
      </c>
      <c r="P45" s="24" t="inlineStr">
        <is>
          <t>FAIR</t>
        </is>
      </c>
      <c r="Q45" s="24" t="inlineStr">
        <is>
          <t>FAIR</t>
        </is>
      </c>
      <c r="R45" s="24" t="inlineStr">
        <is>
          <t>0.618072727307107</t>
        </is>
      </c>
      <c r="S45" s="24" t="inlineStr">
        <is>
          <t>MEDIUM</t>
        </is>
      </c>
      <c r="T45" s="24" t="inlineStr">
        <is>
          <t>MEDIUM</t>
        </is>
      </c>
      <c r="U45" s="24" t="inlineStr">
        <is>
          <t>0.0</t>
        </is>
      </c>
      <c r="V45" s="24" t="inlineStr">
        <is>
          <t>LOW_RISK</t>
        </is>
      </c>
      <c r="W45" s="24" t="inlineStr">
        <is>
          <t>저위험</t>
        </is>
      </c>
      <c r="X45" s="24" t="inlineStr">
        <is>
          <t>LOW_RISK</t>
        </is>
      </c>
      <c r="Y45" s="24" t="inlineStr">
        <is>
          <t>0.9350232170644448</t>
        </is>
      </c>
      <c r="Z45" s="24" t="inlineStr">
        <is>
          <t>HIGH</t>
        </is>
      </c>
      <c r="AA45" s="24" t="inlineStr">
        <is>
          <t>HIGH</t>
        </is>
      </c>
      <c r="AB45" s="24" t="inlineStr">
        <is>
          <t>0.2707179947680644</t>
        </is>
      </c>
      <c r="AC45" s="24" t="inlineStr">
        <is>
          <t>True</t>
        </is>
      </c>
      <c r="AD45" s="24" t="inlineStr">
        <is>
          <t>True</t>
        </is>
      </c>
      <c r="AE45" s="24" t="inlineStr">
        <is>
          <t>valuation_credit_ml_overlay_candidate.csv</t>
        </is>
      </c>
      <c r="AF45" s="24" t="inlineStr">
        <is>
          <t>208개 반도체 reference universe. Valuation Agent가 자체 intake 폴더로 복제해 Peer/ML/대시보드 비교에 사용.</t>
        </is>
      </c>
      <c r="AG45" s="24" t="inlineStr">
        <is>
          <t>FOCAL_5</t>
        </is>
      </c>
      <c r="AH45" s="24" t="inlineStr">
        <is>
          <t>False</t>
        </is>
      </c>
    </row>
    <row r="46" ht="24" customHeight="1">
      <c r="A46" s="29" t="inlineStr">
        <is>
          <t>99</t>
        </is>
      </c>
      <c r="B46" s="29" t="inlineStr">
        <is>
          <t>해당 없음</t>
        </is>
      </c>
      <c r="C46" s="29" t="inlineStr">
        <is>
          <t>엔투텍</t>
        </is>
      </c>
      <c r="D46" s="29" t="inlineStr">
        <is>
          <t>227950</t>
        </is>
      </c>
      <c r="E46" s="29" t="inlineStr">
        <is>
          <t>KOSDAQ</t>
        </is>
      </c>
      <c r="F46" s="29" t="inlineStr">
        <is>
          <t>장비</t>
        </is>
      </c>
      <c r="G46" s="29" t="inlineStr">
        <is>
          <t>장비</t>
        </is>
      </c>
      <c r="H46" s="29" t="inlineStr">
        <is>
          <t>False</t>
        </is>
      </c>
      <c r="I46" s="29" t="inlineStr">
        <is>
          <t>True</t>
        </is>
      </c>
      <c r="J46" s="29" t="inlineStr">
        <is>
          <t>OK</t>
        </is>
      </c>
      <c r="K46" s="29" t="inlineStr">
        <is>
          <t>데이터 사용 가능</t>
        </is>
      </c>
      <c r="L46" s="29" t="inlineStr">
        <is>
          <t>LOW</t>
        </is>
      </c>
      <c r="M46" s="29" t="inlineStr">
        <is>
          <t>LOW</t>
        </is>
      </c>
      <c r="N46" s="29" t="inlineStr">
        <is>
          <t>0.8128666666666667</t>
        </is>
      </c>
      <c r="O46" s="29" t="inlineStr">
        <is>
          <t>ATTRACTIVE</t>
        </is>
      </c>
      <c r="P46" s="29" t="inlineStr">
        <is>
          <t>가치 매력</t>
        </is>
      </c>
      <c r="Q46" s="29" t="inlineStr">
        <is>
          <t>ATTRACTIVE</t>
        </is>
      </c>
      <c r="R46" s="29" t="inlineStr">
        <is>
          <t>0.8347222629406851</t>
        </is>
      </c>
      <c r="S46" s="29" t="inlineStr">
        <is>
          <t>HIGH</t>
        </is>
      </c>
      <c r="T46" s="29" t="inlineStr">
        <is>
          <t>HIGH</t>
        </is>
      </c>
      <c r="U46" s="29" t="inlineStr">
        <is>
          <t>0.2142857142857142</t>
        </is>
      </c>
      <c r="V46" s="29" t="inlineStr">
        <is>
          <t>MEDIUM_RISK</t>
        </is>
      </c>
      <c r="W46" s="29" t="inlineStr">
        <is>
          <t>중위험</t>
        </is>
      </c>
      <c r="X46" s="29" t="inlineStr">
        <is>
          <t>MEDIUM_RISK</t>
        </is>
      </c>
      <c r="Y46" s="29" t="inlineStr">
        <is>
          <t>0.5142933547274794</t>
        </is>
      </c>
      <c r="Z46" s="29" t="inlineStr">
        <is>
          <t>MEDIUM</t>
        </is>
      </c>
      <c r="AA46" s="29" t="inlineStr">
        <is>
          <t>MEDIUM</t>
        </is>
      </c>
      <c r="AB46" s="29" t="inlineStr">
        <is>
          <t>0.21193857896314997</t>
        </is>
      </c>
      <c r="AC46" s="29" t="inlineStr">
        <is>
          <t>False</t>
        </is>
      </c>
      <c r="AD46" s="29" t="inlineStr">
        <is>
          <t>False</t>
        </is>
      </c>
      <c r="AE46" s="29" t="inlineStr">
        <is>
          <t>valuation_credit_ml_overlay_candidate.csv</t>
        </is>
      </c>
      <c r="AF46" s="29" t="inlineStr">
        <is>
          <t>208개 반도체 reference universe. Valuation Agent가 자체 intake 폴더로 복제해 Peer/ML/대시보드 비교에 사용.</t>
        </is>
      </c>
      <c r="AG46" s="29" t="inlineStr">
        <is>
          <t>TOP_REFERENCE</t>
        </is>
      </c>
      <c r="AH46" s="29" t="inlineStr">
        <is>
          <t>False</t>
        </is>
      </c>
    </row>
    <row r="47" ht="24" customHeight="1">
      <c r="A47" s="24" t="inlineStr">
        <is>
          <t>62</t>
        </is>
      </c>
      <c r="B47" s="24" t="inlineStr">
        <is>
          <t>해당 없음</t>
        </is>
      </c>
      <c r="C47" s="24" t="inlineStr">
        <is>
          <t>에스에이엠티</t>
        </is>
      </c>
      <c r="D47" s="24" t="inlineStr">
        <is>
          <t>031330</t>
        </is>
      </c>
      <c r="E47" s="24" t="inlineStr">
        <is>
          <t>KOSDAQ</t>
        </is>
      </c>
      <c r="F47" s="24" t="inlineStr">
        <is>
          <t>팹리스/설계</t>
        </is>
      </c>
      <c r="G47" s="24" t="inlineStr">
        <is>
          <t>팹리스/설계</t>
        </is>
      </c>
      <c r="H47" s="24" t="inlineStr">
        <is>
          <t>False</t>
        </is>
      </c>
      <c r="I47" s="24" t="inlineStr">
        <is>
          <t>True</t>
        </is>
      </c>
      <c r="J47" s="24" t="inlineStr">
        <is>
          <t>OK</t>
        </is>
      </c>
      <c r="K47" s="24" t="inlineStr">
        <is>
          <t>데이터 사용 가능</t>
        </is>
      </c>
      <c r="L47" s="24" t="inlineStr">
        <is>
          <t>LOW</t>
        </is>
      </c>
      <c r="M47" s="24" t="inlineStr">
        <is>
          <t>LOW</t>
        </is>
      </c>
      <c r="N47" s="24" t="inlineStr">
        <is>
          <t>0.7838383838383839</t>
        </is>
      </c>
      <c r="O47" s="24" t="inlineStr">
        <is>
          <t>FAIR</t>
        </is>
      </c>
      <c r="P47" s="24" t="inlineStr">
        <is>
          <t>FAIR</t>
        </is>
      </c>
      <c r="Q47" s="24" t="inlineStr">
        <is>
          <t>FAIR</t>
        </is>
      </c>
      <c r="R47" s="24" t="inlineStr">
        <is>
          <t>0.8575928985222669</t>
        </is>
      </c>
      <c r="S47" s="24" t="inlineStr">
        <is>
          <t>HIGH</t>
        </is>
      </c>
      <c r="T47" s="24" t="inlineStr">
        <is>
          <t>HIGH</t>
        </is>
      </c>
      <c r="U47" s="24" t="inlineStr">
        <is>
          <t>0.5</t>
        </is>
      </c>
      <c r="V47" s="24" t="inlineStr">
        <is>
          <t>HIGH_RISK</t>
        </is>
      </c>
      <c r="W47" s="24" t="inlineStr">
        <is>
          <t>고위험</t>
        </is>
      </c>
      <c r="X47" s="24" t="inlineStr">
        <is>
          <t>HIGH_RISK</t>
        </is>
      </c>
      <c r="Y47" s="24" t="inlineStr">
        <is>
          <t>0.5021487096911619</t>
        </is>
      </c>
      <c r="Z47" s="24" t="inlineStr">
        <is>
          <t>MEDIUM</t>
        </is>
      </c>
      <c r="AA47" s="24" t="inlineStr">
        <is>
          <t>MEDIUM</t>
        </is>
      </c>
      <c r="AB47" s="24" t="inlineStr">
        <is>
          <t>0.11372149345925425</t>
        </is>
      </c>
      <c r="AC47" s="24" t="inlineStr">
        <is>
          <t>False</t>
        </is>
      </c>
      <c r="AD47" s="24" t="inlineStr">
        <is>
          <t>False</t>
        </is>
      </c>
      <c r="AE47" s="24" t="inlineStr">
        <is>
          <t>valuation_credit_ml_overlay_candidate.csv</t>
        </is>
      </c>
      <c r="AF47" s="24" t="inlineStr">
        <is>
          <t>208개 반도체 reference universe. Valuation Agent가 자체 intake 폴더로 복제해 Peer/ML/대시보드 비교에 사용.</t>
        </is>
      </c>
      <c r="AG47" s="24" t="inlineStr">
        <is>
          <t>TOP_REFERENCE</t>
        </is>
      </c>
      <c r="AH47" s="24" t="inlineStr">
        <is>
          <t>False</t>
        </is>
      </c>
    </row>
    <row r="48" ht="24" customHeight="1">
      <c r="A48" s="29" t="inlineStr">
        <is>
          <t>168</t>
        </is>
      </c>
      <c r="B48" s="29" t="inlineStr">
        <is>
          <t>해당 없음</t>
        </is>
      </c>
      <c r="C48" s="29" t="inlineStr">
        <is>
          <t>성우테크론</t>
        </is>
      </c>
      <c r="D48" s="29" t="inlineStr">
        <is>
          <t>045300</t>
        </is>
      </c>
      <c r="E48" s="29" t="inlineStr">
        <is>
          <t>KOSDAQ</t>
        </is>
      </c>
      <c r="F48" s="29" t="inlineStr">
        <is>
          <t>후공정/패키징/테스트</t>
        </is>
      </c>
      <c r="G48" s="29" t="inlineStr">
        <is>
          <t>후공정/패키징/테스트</t>
        </is>
      </c>
      <c r="H48" s="29" t="inlineStr">
        <is>
          <t>False</t>
        </is>
      </c>
      <c r="I48" s="29" t="inlineStr">
        <is>
          <t>True</t>
        </is>
      </c>
      <c r="J48" s="29" t="inlineStr">
        <is>
          <t>OK</t>
        </is>
      </c>
      <c r="K48" s="29" t="inlineStr">
        <is>
          <t>데이터 사용 가능</t>
        </is>
      </c>
      <c r="L48" s="29" t="inlineStr">
        <is>
          <t>LOW</t>
        </is>
      </c>
      <c r="M48" s="29" t="inlineStr">
        <is>
          <t>LOW</t>
        </is>
      </c>
      <c r="N48" s="29" t="inlineStr">
        <is>
          <t>0.7764444444444445</t>
        </is>
      </c>
      <c r="O48" s="29" t="inlineStr">
        <is>
          <t>ATTRACTIVE</t>
        </is>
      </c>
      <c r="P48" s="29" t="inlineStr">
        <is>
          <t>가치 매력</t>
        </is>
      </c>
      <c r="Q48" s="29" t="inlineStr">
        <is>
          <t>ATTRACTIVE</t>
        </is>
      </c>
      <c r="R48" s="29" t="inlineStr">
        <is>
          <t>0.9526864248076319</t>
        </is>
      </c>
      <c r="S48" s="29" t="inlineStr">
        <is>
          <t>HIGH</t>
        </is>
      </c>
      <c r="T48" s="29" t="inlineStr">
        <is>
          <t>HIGH</t>
        </is>
      </c>
      <c r="U48" s="29" t="inlineStr">
        <is>
          <t>0.0714285714285714</t>
        </is>
      </c>
      <c r="V48" s="29" t="inlineStr">
        <is>
          <t>LOW_RISK</t>
        </is>
      </c>
      <c r="W48" s="29" t="inlineStr">
        <is>
          <t>저위험</t>
        </is>
      </c>
      <c r="X48" s="29" t="inlineStr">
        <is>
          <t>LOW_RISK</t>
        </is>
      </c>
      <c r="Y48" s="29" t="inlineStr">
        <is>
          <t>0.869939352370702</t>
        </is>
      </c>
      <c r="Z48" s="29" t="inlineStr">
        <is>
          <t>HIGH</t>
        </is>
      </c>
      <c r="AA48" s="29" t="inlineStr">
        <is>
          <t>HIGH</t>
        </is>
      </c>
      <c r="AB48" s="29" t="inlineStr">
        <is>
          <t>0.10286671144812394</t>
        </is>
      </c>
      <c r="AC48" s="29" t="inlineStr">
        <is>
          <t>False</t>
        </is>
      </c>
      <c r="AD48" s="29" t="inlineStr">
        <is>
          <t>False</t>
        </is>
      </c>
      <c r="AE48" s="29" t="inlineStr">
        <is>
          <t>valuation_credit_ml_overlay_candidate.csv</t>
        </is>
      </c>
      <c r="AF48" s="29" t="inlineStr">
        <is>
          <t>208개 반도체 reference universe. Valuation Agent가 자체 intake 폴더로 복제해 Peer/ML/대시보드 비교에 사용.</t>
        </is>
      </c>
      <c r="AG48" s="29" t="inlineStr">
        <is>
          <t>TOP_REFERENCE</t>
        </is>
      </c>
      <c r="AH48" s="29" t="inlineStr">
        <is>
          <t>False</t>
        </is>
      </c>
    </row>
    <row r="49" ht="24" customHeight="1">
      <c r="A49" s="24" t="inlineStr">
        <is>
          <t>165</t>
        </is>
      </c>
      <c r="B49" s="24" t="inlineStr">
        <is>
          <t>해당 없음</t>
        </is>
      </c>
      <c r="C49" s="24" t="inlineStr">
        <is>
          <t>미래산업</t>
        </is>
      </c>
      <c r="D49" s="24" t="inlineStr">
        <is>
          <t>025560</t>
        </is>
      </c>
      <c r="E49" s="24" t="inlineStr">
        <is>
          <t>KOSPI</t>
        </is>
      </c>
      <c r="F49" s="24" t="inlineStr">
        <is>
          <t>후공정/패키징/테스트</t>
        </is>
      </c>
      <c r="G49" s="24" t="inlineStr">
        <is>
          <t>후공정/패키징/테스트</t>
        </is>
      </c>
      <c r="H49" s="24" t="inlineStr">
        <is>
          <t>False</t>
        </is>
      </c>
      <c r="I49" s="24" t="inlineStr">
        <is>
          <t>True</t>
        </is>
      </c>
      <c r="J49" s="24" t="inlineStr">
        <is>
          <t>OK</t>
        </is>
      </c>
      <c r="K49" s="24" t="inlineStr">
        <is>
          <t>데이터 사용 가능</t>
        </is>
      </c>
      <c r="L49" s="24" t="inlineStr">
        <is>
          <t>LOW</t>
        </is>
      </c>
      <c r="M49" s="24" t="inlineStr">
        <is>
          <t>LOW</t>
        </is>
      </c>
      <c r="N49" s="24" t="inlineStr">
        <is>
          <t>0.7748148148148148</t>
        </is>
      </c>
      <c r="O49" s="24" t="inlineStr">
        <is>
          <t>FAIR</t>
        </is>
      </c>
      <c r="P49" s="24" t="inlineStr">
        <is>
          <t>FAIR</t>
        </is>
      </c>
      <c r="Q49" s="24" t="inlineStr">
        <is>
          <t>FAIR</t>
        </is>
      </c>
      <c r="R49" s="24" t="inlineStr">
        <is>
          <t>0.883291104654336</t>
        </is>
      </c>
      <c r="S49" s="24" t="inlineStr">
        <is>
          <t>HIGH</t>
        </is>
      </c>
      <c r="T49" s="24" t="inlineStr">
        <is>
          <t>HIGH</t>
        </is>
      </c>
      <c r="U49" s="24" t="inlineStr">
        <is>
          <t>0.2857142857142857</t>
        </is>
      </c>
      <c r="V49" s="24" t="inlineStr">
        <is>
          <t>MEDIUM_RISK</t>
        </is>
      </c>
      <c r="W49" s="24" t="inlineStr">
        <is>
          <t>중위험</t>
        </is>
      </c>
      <c r="X49" s="24" t="inlineStr">
        <is>
          <t>MEDIUM_RISK</t>
        </is>
      </c>
      <c r="Y49" s="24" t="inlineStr">
        <is>
          <t>0.695536763680257</t>
        </is>
      </c>
      <c r="Z49" s="24" t="inlineStr">
        <is>
          <t>MEDIUM</t>
        </is>
      </c>
      <c r="AA49" s="24" t="inlineStr">
        <is>
          <t>MEDIUM</t>
        </is>
      </c>
      <c r="AB49" s="24" t="inlineStr">
        <is>
          <t>0.08100242357773374</t>
        </is>
      </c>
      <c r="AC49" s="24" t="inlineStr">
        <is>
          <t>False</t>
        </is>
      </c>
      <c r="AD49" s="24" t="inlineStr">
        <is>
          <t>False</t>
        </is>
      </c>
      <c r="AE49" s="24" t="inlineStr">
        <is>
          <t>valuation_credit_ml_overlay_candidate.csv</t>
        </is>
      </c>
      <c r="AF49" s="24" t="inlineStr">
        <is>
          <t>208개 반도체 reference universe. Valuation Agent가 자체 intake 폴더로 복제해 Peer/ML/대시보드 비교에 사용.</t>
        </is>
      </c>
      <c r="AG49" s="24" t="inlineStr">
        <is>
          <t>TOP_REFERENCE</t>
        </is>
      </c>
      <c r="AH49" s="24" t="inlineStr">
        <is>
          <t>False</t>
        </is>
      </c>
    </row>
    <row r="50" ht="24" customHeight="1">
      <c r="A50" s="29" t="inlineStr">
        <is>
          <t>10</t>
        </is>
      </c>
      <c r="B50" s="29" t="inlineStr">
        <is>
          <t>해당 없음</t>
        </is>
      </c>
      <c r="C50" s="29" t="inlineStr">
        <is>
          <t>미코</t>
        </is>
      </c>
      <c r="D50" s="29" t="inlineStr">
        <is>
          <t>059090</t>
        </is>
      </c>
      <c r="E50" s="29" t="inlineStr">
        <is>
          <t>KOSDAQ</t>
        </is>
      </c>
      <c r="F50" s="29" t="inlineStr">
        <is>
          <t>IDM/제조/메모리</t>
        </is>
      </c>
      <c r="G50" s="29" t="inlineStr">
        <is>
          <t>IDM/제조/메모리</t>
        </is>
      </c>
      <c r="H50" s="29" t="inlineStr">
        <is>
          <t>False</t>
        </is>
      </c>
      <c r="I50" s="29" t="inlineStr">
        <is>
          <t>True</t>
        </is>
      </c>
      <c r="J50" s="29" t="inlineStr">
        <is>
          <t>OK</t>
        </is>
      </c>
      <c r="K50" s="29" t="inlineStr">
        <is>
          <t>데이터 사용 가능</t>
        </is>
      </c>
      <c r="L50" s="29" t="inlineStr">
        <is>
          <t>LOW</t>
        </is>
      </c>
      <c r="M50" s="29" t="inlineStr">
        <is>
          <t>LOW</t>
        </is>
      </c>
      <c r="N50" s="29" t="inlineStr">
        <is>
          <t>0.7733333333333334</t>
        </is>
      </c>
      <c r="O50" s="29" t="inlineStr">
        <is>
          <t>FAIR</t>
        </is>
      </c>
      <c r="P50" s="29" t="inlineStr">
        <is>
          <t>FAIR</t>
        </is>
      </c>
      <c r="Q50" s="29" t="inlineStr">
        <is>
          <t>FAIR</t>
        </is>
      </c>
      <c r="R50" s="29" t="inlineStr">
        <is>
          <t>0.9066669659525092</t>
        </is>
      </c>
      <c r="S50" s="29" t="inlineStr">
        <is>
          <t>HIGH</t>
        </is>
      </c>
      <c r="T50" s="29" t="inlineStr">
        <is>
          <t>HIGH</t>
        </is>
      </c>
      <c r="U50" s="29" t="inlineStr">
        <is>
          <t>0.2142857142857142</t>
        </is>
      </c>
      <c r="V50" s="29" t="inlineStr">
        <is>
          <t>MEDIUM_RISK</t>
        </is>
      </c>
      <c r="W50" s="29" t="inlineStr">
        <is>
          <t>중위험</t>
        </is>
      </c>
      <c r="X50" s="29" t="inlineStr">
        <is>
          <t>MEDIUM_RISK</t>
        </is>
      </c>
      <c r="Y50" s="29" t="inlineStr">
        <is>
          <t>0.6769145960065608</t>
        </is>
      </c>
      <c r="Z50" s="29" t="inlineStr">
        <is>
          <t>MEDIUM</t>
        </is>
      </c>
      <c r="AA50" s="29" t="inlineStr">
        <is>
          <t>MEDIUM</t>
        </is>
      </c>
      <c r="AB50" s="29" t="inlineStr">
        <is>
          <t>0.10646038380774528</t>
        </is>
      </c>
      <c r="AC50" s="29" t="inlineStr">
        <is>
          <t>False</t>
        </is>
      </c>
      <c r="AD50" s="29" t="inlineStr">
        <is>
          <t>False</t>
        </is>
      </c>
      <c r="AE50" s="29" t="inlineStr">
        <is>
          <t>valuation_credit_ml_overlay_candidate.csv</t>
        </is>
      </c>
      <c r="AF50" s="29" t="inlineStr">
        <is>
          <t>208개 반도체 reference universe. Valuation Agent가 자체 intake 폴더로 복제해 Peer/ML/대시보드 비교에 사용.</t>
        </is>
      </c>
      <c r="AG50" s="29" t="inlineStr">
        <is>
          <t>TOP_REFERENCE</t>
        </is>
      </c>
      <c r="AH50" s="29" t="inlineStr">
        <is>
          <t>False</t>
        </is>
      </c>
    </row>
    <row r="51" ht="24" customHeight="1">
      <c r="A51" s="24" t="inlineStr">
        <is>
          <t>163</t>
        </is>
      </c>
      <c r="B51" s="24" t="inlineStr">
        <is>
          <t>해당 없음</t>
        </is>
      </c>
      <c r="C51" s="24" t="inlineStr">
        <is>
          <t>링크제니시스</t>
        </is>
      </c>
      <c r="D51" s="24" t="inlineStr">
        <is>
          <t>219420</t>
        </is>
      </c>
      <c r="E51" s="24" t="inlineStr">
        <is>
          <t>KOSDAQ</t>
        </is>
      </c>
      <c r="F51" s="24" t="inlineStr">
        <is>
          <t>후공정/패키징/테스트</t>
        </is>
      </c>
      <c r="G51" s="24" t="inlineStr">
        <is>
          <t>후공정/패키징/테스트</t>
        </is>
      </c>
      <c r="H51" s="24" t="inlineStr">
        <is>
          <t>False</t>
        </is>
      </c>
      <c r="I51" s="24" t="inlineStr">
        <is>
          <t>True</t>
        </is>
      </c>
      <c r="J51" s="24" t="inlineStr">
        <is>
          <t>OK</t>
        </is>
      </c>
      <c r="K51" s="24" t="inlineStr">
        <is>
          <t>데이터 사용 가능</t>
        </is>
      </c>
      <c r="L51" s="24" t="inlineStr">
        <is>
          <t>LOW</t>
        </is>
      </c>
      <c r="M51" s="24" t="inlineStr">
        <is>
          <t>LOW</t>
        </is>
      </c>
      <c r="N51" s="24" t="inlineStr">
        <is>
          <t>0.7522962962962964</t>
        </is>
      </c>
      <c r="O51" s="24" t="inlineStr">
        <is>
          <t>ATTRACTIVE</t>
        </is>
      </c>
      <c r="P51" s="24" t="inlineStr">
        <is>
          <t>가치 매력</t>
        </is>
      </c>
      <c r="Q51" s="24" t="inlineStr">
        <is>
          <t>ATTRACTIVE</t>
        </is>
      </c>
      <c r="R51" s="24" t="inlineStr">
        <is>
          <t>0.8724992666433111</t>
        </is>
      </c>
      <c r="S51" s="24" t="inlineStr">
        <is>
          <t>HIGH</t>
        </is>
      </c>
      <c r="T51" s="24" t="inlineStr">
        <is>
          <t>HIGH</t>
        </is>
      </c>
      <c r="U51" s="24" t="inlineStr">
        <is>
          <t>0.0714285714285714</t>
        </is>
      </c>
      <c r="V51" s="24" t="inlineStr">
        <is>
          <t>LOW_RISK</t>
        </is>
      </c>
      <c r="W51" s="24" t="inlineStr">
        <is>
          <t>저위험</t>
        </is>
      </c>
      <c r="X51" s="24" t="inlineStr">
        <is>
          <t>LOW_RISK</t>
        </is>
      </c>
      <c r="Y51" s="24" t="inlineStr">
        <is>
          <t>0.8663667518810074</t>
        </is>
      </c>
      <c r="Z51" s="24" t="inlineStr">
        <is>
          <t>HIGH</t>
        </is>
      </c>
      <c r="AA51" s="24" t="inlineStr">
        <is>
          <t>HIGH</t>
        </is>
      </c>
      <c r="AB51" s="24" t="inlineStr">
        <is>
          <t>0.1247344063934745</t>
        </is>
      </c>
      <c r="AC51" s="24" t="inlineStr">
        <is>
          <t>False</t>
        </is>
      </c>
      <c r="AD51" s="24" t="inlineStr">
        <is>
          <t>False</t>
        </is>
      </c>
      <c r="AE51" s="24" t="inlineStr">
        <is>
          <t>valuation_credit_ml_overlay_candidate.csv</t>
        </is>
      </c>
      <c r="AF51" s="24" t="inlineStr">
        <is>
          <t>208개 반도체 reference universe. Valuation Agent가 자체 intake 폴더로 복제해 Peer/ML/대시보드 비교에 사용.</t>
        </is>
      </c>
      <c r="AG51" s="24" t="inlineStr">
        <is>
          <t>TOP_REFERENCE</t>
        </is>
      </c>
      <c r="AH51" s="24" t="inlineStr">
        <is>
          <t>False</t>
        </is>
      </c>
    </row>
    <row r="52" ht="24" customHeight="1">
      <c r="A52" s="29" t="inlineStr">
        <is>
          <t>22</t>
        </is>
      </c>
      <c r="B52" s="29" t="inlineStr">
        <is>
          <t>해당 없음</t>
        </is>
      </c>
      <c r="C52" s="29" t="inlineStr">
        <is>
          <t>엘디티</t>
        </is>
      </c>
      <c r="D52" s="29" t="inlineStr">
        <is>
          <t>096870</t>
        </is>
      </c>
      <c r="E52" s="29" t="inlineStr">
        <is>
          <t>KOSDAQ</t>
        </is>
      </c>
      <c r="F52" s="29" t="inlineStr">
        <is>
          <t>IDM/제조/메모리</t>
        </is>
      </c>
      <c r="G52" s="29" t="inlineStr">
        <is>
          <t>IDM/제조/메모리</t>
        </is>
      </c>
      <c r="H52" s="29" t="inlineStr">
        <is>
          <t>False</t>
        </is>
      </c>
      <c r="I52" s="29" t="inlineStr">
        <is>
          <t>True</t>
        </is>
      </c>
      <c r="J52" s="29" t="inlineStr">
        <is>
          <t>OK</t>
        </is>
      </c>
      <c r="K52" s="29" t="inlineStr">
        <is>
          <t>데이터 사용 가능</t>
        </is>
      </c>
      <c r="L52" s="29" t="inlineStr">
        <is>
          <t>LOW</t>
        </is>
      </c>
      <c r="M52" s="29" t="inlineStr">
        <is>
          <t>LOW</t>
        </is>
      </c>
      <c r="N52" s="29" t="inlineStr">
        <is>
          <t>0.7518333333333332</t>
        </is>
      </c>
      <c r="O52" s="29" t="inlineStr">
        <is>
          <t>ATTRACTIVE</t>
        </is>
      </c>
      <c r="P52" s="29" t="inlineStr">
        <is>
          <t>가치 매력</t>
        </is>
      </c>
      <c r="Q52" s="29" t="inlineStr">
        <is>
          <t>ATTRACTIVE</t>
        </is>
      </c>
      <c r="R52" s="29" t="inlineStr">
        <is>
          <t>0.8817908899004964</t>
        </is>
      </c>
      <c r="S52" s="29" t="inlineStr">
        <is>
          <t>HIGH</t>
        </is>
      </c>
      <c r="T52" s="29" t="inlineStr">
        <is>
          <t>HIGH</t>
        </is>
      </c>
      <c r="U52" s="29" t="inlineStr">
        <is>
          <t>0.0714285714285714</t>
        </is>
      </c>
      <c r="V52" s="29" t="inlineStr">
        <is>
          <t>LOW_RISK</t>
        </is>
      </c>
      <c r="W52" s="29" t="inlineStr">
        <is>
          <t>저위험</t>
        </is>
      </c>
      <c r="X52" s="29" t="inlineStr">
        <is>
          <t>LOW_RISK</t>
        </is>
      </c>
      <c r="Y52" s="29" t="inlineStr">
        <is>
          <t>0.8068970516192283</t>
        </is>
      </c>
      <c r="Z52" s="29" t="inlineStr">
        <is>
          <t>HIGH</t>
        </is>
      </c>
      <c r="AA52" s="29" t="inlineStr">
        <is>
          <t>HIGH</t>
        </is>
      </c>
      <c r="AB52" s="29" t="inlineStr">
        <is>
          <t>0.2312715560027526</t>
        </is>
      </c>
      <c r="AC52" s="29" t="inlineStr">
        <is>
          <t>False</t>
        </is>
      </c>
      <c r="AD52" s="29" t="inlineStr">
        <is>
          <t>False</t>
        </is>
      </c>
      <c r="AE52" s="29" t="inlineStr">
        <is>
          <t>valuation_credit_ml_overlay_candidate.csv</t>
        </is>
      </c>
      <c r="AF52" s="29" t="inlineStr">
        <is>
          <t>208개 반도체 reference universe. Valuation Agent가 자체 intake 폴더로 복제해 Peer/ML/대시보드 비교에 사용.</t>
        </is>
      </c>
      <c r="AG52" s="29" t="inlineStr">
        <is>
          <t>TOP_REFERENCE</t>
        </is>
      </c>
      <c r="AH52" s="29" t="inlineStr">
        <is>
          <t>False</t>
        </is>
      </c>
    </row>
    <row r="53" ht="24" customHeight="1">
      <c r="A53" s="24" t="inlineStr">
        <is>
          <t>65</t>
        </is>
      </c>
      <c r="B53" s="24" t="inlineStr">
        <is>
          <t>해당 없음</t>
        </is>
      </c>
      <c r="C53" s="24" t="inlineStr">
        <is>
          <t>유니트론텍</t>
        </is>
      </c>
      <c r="D53" s="24" t="inlineStr">
        <is>
          <t>142210</t>
        </is>
      </c>
      <c r="E53" s="24" t="inlineStr">
        <is>
          <t>KOSDAQ</t>
        </is>
      </c>
      <c r="F53" s="24" t="inlineStr">
        <is>
          <t>팹리스/설계</t>
        </is>
      </c>
      <c r="G53" s="24" t="inlineStr">
        <is>
          <t>팹리스/설계</t>
        </is>
      </c>
      <c r="H53" s="24" t="inlineStr">
        <is>
          <t>False</t>
        </is>
      </c>
      <c r="I53" s="24" t="inlineStr">
        <is>
          <t>True</t>
        </is>
      </c>
      <c r="J53" s="24" t="inlineStr">
        <is>
          <t>OK</t>
        </is>
      </c>
      <c r="K53" s="24" t="inlineStr">
        <is>
          <t>데이터 사용 가능</t>
        </is>
      </c>
      <c r="L53" s="24" t="inlineStr">
        <is>
          <t>LOW</t>
        </is>
      </c>
      <c r="M53" s="24" t="inlineStr">
        <is>
          <t>LOW</t>
        </is>
      </c>
      <c r="N53" s="24" t="inlineStr">
        <is>
          <t>0.7478787878787879</t>
        </is>
      </c>
      <c r="O53" s="24" t="inlineStr">
        <is>
          <t>FAIR</t>
        </is>
      </c>
      <c r="P53" s="24" t="inlineStr">
        <is>
          <t>FAIR</t>
        </is>
      </c>
      <c r="Q53" s="24" t="inlineStr">
        <is>
          <t>FAIR</t>
        </is>
      </c>
      <c r="R53" s="24" t="inlineStr">
        <is>
          <t>0.8593164302034415</t>
        </is>
      </c>
      <c r="S53" s="24" t="inlineStr">
        <is>
          <t>HIGH</t>
        </is>
      </c>
      <c r="T53" s="24" t="inlineStr">
        <is>
          <t>HIGH</t>
        </is>
      </c>
      <c r="U53" s="24" t="inlineStr">
        <is>
          <t>0.3571428571428571</t>
        </is>
      </c>
      <c r="V53" s="24" t="inlineStr">
        <is>
          <t>MEDIUM_RISK</t>
        </is>
      </c>
      <c r="W53" s="24" t="inlineStr">
        <is>
          <t>중위험</t>
        </is>
      </c>
      <c r="X53" s="24" t="inlineStr">
        <is>
          <t>MEDIUM_RISK</t>
        </is>
      </c>
      <c r="Y53" s="24" t="inlineStr">
        <is>
          <t>0.6687746551665015</t>
        </is>
      </c>
      <c r="Z53" s="24" t="inlineStr">
        <is>
          <t>MEDIUM</t>
        </is>
      </c>
      <c r="AA53" s="24" t="inlineStr">
        <is>
          <t>MEDIUM</t>
        </is>
      </c>
      <c r="AB53" s="24" t="inlineStr">
        <is>
          <t>0.05354194050015521</t>
        </is>
      </c>
      <c r="AC53" s="24" t="inlineStr">
        <is>
          <t>False</t>
        </is>
      </c>
      <c r="AD53" s="24" t="inlineStr">
        <is>
          <t>False</t>
        </is>
      </c>
      <c r="AE53" s="24" t="inlineStr">
        <is>
          <t>valuation_credit_ml_overlay_candidate.csv</t>
        </is>
      </c>
      <c r="AF53" s="24" t="inlineStr">
        <is>
          <t>208개 반도체 reference universe. Valuation Agent가 자체 intake 폴더로 복제해 Peer/ML/대시보드 비교에 사용.</t>
        </is>
      </c>
      <c r="AG53" s="24" t="inlineStr">
        <is>
          <t>TOP_REFERENCE</t>
        </is>
      </c>
      <c r="AH53" s="24" t="inlineStr">
        <is>
          <t>False</t>
        </is>
      </c>
    </row>
    <row r="54" ht="24" customHeight="1">
      <c r="A54" s="29" t="inlineStr">
        <is>
          <t>9</t>
        </is>
      </c>
      <c r="B54" s="29" t="inlineStr">
        <is>
          <t>해당 없음</t>
        </is>
      </c>
      <c r="C54" s="29" t="inlineStr">
        <is>
          <t>메카로</t>
        </is>
      </c>
      <c r="D54" s="29" t="inlineStr">
        <is>
          <t>241770</t>
        </is>
      </c>
      <c r="E54" s="29" t="inlineStr">
        <is>
          <t>KOSDAQ</t>
        </is>
      </c>
      <c r="F54" s="29" t="inlineStr">
        <is>
          <t>IDM/제조/메모리</t>
        </is>
      </c>
      <c r="G54" s="29" t="inlineStr">
        <is>
          <t>IDM/제조/메모리</t>
        </is>
      </c>
      <c r="H54" s="29" t="inlineStr">
        <is>
          <t>False</t>
        </is>
      </c>
      <c r="I54" s="29" t="inlineStr">
        <is>
          <t>True</t>
        </is>
      </c>
      <c r="J54" s="29" t="inlineStr">
        <is>
          <t>OK</t>
        </is>
      </c>
      <c r="K54" s="29" t="inlineStr">
        <is>
          <t>데이터 사용 가능</t>
        </is>
      </c>
      <c r="L54" s="29" t="inlineStr">
        <is>
          <t>LOW</t>
        </is>
      </c>
      <c r="M54" s="29" t="inlineStr">
        <is>
          <t>LOW</t>
        </is>
      </c>
      <c r="N54" s="29" t="inlineStr">
        <is>
          <t>0.7476666666666667</t>
        </is>
      </c>
      <c r="O54" s="29" t="inlineStr">
        <is>
          <t>ATTRACTIVE</t>
        </is>
      </c>
      <c r="P54" s="29" t="inlineStr">
        <is>
          <t>가치 매력</t>
        </is>
      </c>
      <c r="Q54" s="29" t="inlineStr">
        <is>
          <t>ATTRACTIVE</t>
        </is>
      </c>
      <c r="R54" s="29" t="inlineStr">
        <is>
          <t>0.9154158498128573</t>
        </is>
      </c>
      <c r="S54" s="29" t="inlineStr">
        <is>
          <t>HIGH</t>
        </is>
      </c>
      <c r="T54" s="29" t="inlineStr">
        <is>
          <t>HIGH</t>
        </is>
      </c>
      <c r="U54" s="29" t="inlineStr">
        <is>
          <t>0.0</t>
        </is>
      </c>
      <c r="V54" s="29" t="inlineStr">
        <is>
          <t>LOW_RISK</t>
        </is>
      </c>
      <c r="W54" s="29" t="inlineStr">
        <is>
          <t>저위험</t>
        </is>
      </c>
      <c r="X54" s="29" t="inlineStr">
        <is>
          <t>LOW_RISK</t>
        </is>
      </c>
      <c r="Y54" s="29" t="inlineStr">
        <is>
          <t>0.9196609311939408</t>
        </is>
      </c>
      <c r="Z54" s="29" t="inlineStr">
        <is>
          <t>HIGH</t>
        </is>
      </c>
      <c r="AA54" s="29" t="inlineStr">
        <is>
          <t>HIGH</t>
        </is>
      </c>
      <c r="AB54" s="29" t="inlineStr">
        <is>
          <t>0.12775877727770685</t>
        </is>
      </c>
      <c r="AC54" s="29" t="inlineStr">
        <is>
          <t>False</t>
        </is>
      </c>
      <c r="AD54" s="29" t="inlineStr">
        <is>
          <t>False</t>
        </is>
      </c>
      <c r="AE54" s="29" t="inlineStr">
        <is>
          <t>valuation_credit_ml_overlay_candidate.csv</t>
        </is>
      </c>
      <c r="AF54" s="29" t="inlineStr">
        <is>
          <t>208개 반도체 reference universe. Valuation Agent가 자체 intake 폴더로 복제해 Peer/ML/대시보드 비교에 사용.</t>
        </is>
      </c>
      <c r="AG54" s="29" t="inlineStr">
        <is>
          <t>TOP_REFERENCE</t>
        </is>
      </c>
      <c r="AH54" s="29" t="inlineStr">
        <is>
          <t>False</t>
        </is>
      </c>
    </row>
    <row r="55" ht="24" customHeight="1">
      <c r="A55" s="24" t="inlineStr">
        <is>
          <t>60</t>
        </is>
      </c>
      <c r="B55" s="24" t="inlineStr">
        <is>
          <t>해당 없음</t>
        </is>
      </c>
      <c r="C55" s="24" t="inlineStr">
        <is>
          <t>앤씨앤</t>
        </is>
      </c>
      <c r="D55" s="24" t="inlineStr">
        <is>
          <t>092600</t>
        </is>
      </c>
      <c r="E55" s="24" t="inlineStr">
        <is>
          <t>KOSDAQ</t>
        </is>
      </c>
      <c r="F55" s="24" t="inlineStr">
        <is>
          <t>팹리스/설계</t>
        </is>
      </c>
      <c r="G55" s="24" t="inlineStr">
        <is>
          <t>팹리스/설계</t>
        </is>
      </c>
      <c r="H55" s="24" t="inlineStr">
        <is>
          <t>False</t>
        </is>
      </c>
      <c r="I55" s="24" t="inlineStr">
        <is>
          <t>True</t>
        </is>
      </c>
      <c r="J55" s="24" t="inlineStr">
        <is>
          <t>OK</t>
        </is>
      </c>
      <c r="K55" s="24" t="inlineStr">
        <is>
          <t>데이터 사용 가능</t>
        </is>
      </c>
      <c r="L55" s="24" t="inlineStr">
        <is>
          <t>LOW</t>
        </is>
      </c>
      <c r="M55" s="24" t="inlineStr">
        <is>
          <t>LOW</t>
        </is>
      </c>
      <c r="N55" s="24" t="inlineStr">
        <is>
          <t>0.7450505050505051</t>
        </is>
      </c>
      <c r="O55" s="24" t="inlineStr">
        <is>
          <t>FAIR</t>
        </is>
      </c>
      <c r="P55" s="24" t="inlineStr">
        <is>
          <t>FAIR</t>
        </is>
      </c>
      <c r="Q55" s="24" t="inlineStr">
        <is>
          <t>FAIR</t>
        </is>
      </c>
      <c r="R55" s="24" t="inlineStr">
        <is>
          <t>0.8450252323777523</t>
        </is>
      </c>
      <c r="S55" s="24" t="inlineStr">
        <is>
          <t>HIGH</t>
        </is>
      </c>
      <c r="T55" s="24" t="inlineStr">
        <is>
          <t>HIGH</t>
        </is>
      </c>
      <c r="U55" s="24" t="inlineStr">
        <is>
          <t>0.5</t>
        </is>
      </c>
      <c r="V55" s="24" t="inlineStr">
        <is>
          <t>HIGH_RISK</t>
        </is>
      </c>
      <c r="W55" s="24" t="inlineStr">
        <is>
          <t>고위험</t>
        </is>
      </c>
      <c r="X55" s="24" t="inlineStr">
        <is>
          <t>HIGH_RISK</t>
        </is>
      </c>
      <c r="Y55" s="24" t="inlineStr">
        <is>
          <t>0.6852720703017778</t>
        </is>
      </c>
      <c r="Z55" s="24" t="inlineStr">
        <is>
          <t>MEDIUM</t>
        </is>
      </c>
      <c r="AA55" s="24" t="inlineStr">
        <is>
          <t>MEDIUM</t>
        </is>
      </c>
      <c r="AB55" s="24" t="inlineStr">
        <is>
          <t>0.05126917274476802</t>
        </is>
      </c>
      <c r="AC55" s="24" t="inlineStr">
        <is>
          <t>False</t>
        </is>
      </c>
      <c r="AD55" s="24" t="inlineStr">
        <is>
          <t>False</t>
        </is>
      </c>
      <c r="AE55" s="24" t="inlineStr">
        <is>
          <t>valuation_credit_ml_overlay_candidate.csv</t>
        </is>
      </c>
      <c r="AF55" s="24" t="inlineStr">
        <is>
          <t>208개 반도체 reference universe. Valuation Agent가 자체 intake 폴더로 복제해 Peer/ML/대시보드 비교에 사용.</t>
        </is>
      </c>
      <c r="AG55" s="24" t="inlineStr">
        <is>
          <t>TOP_REFERENCE</t>
        </is>
      </c>
      <c r="AH55" s="24" t="inlineStr">
        <is>
          <t>False</t>
        </is>
      </c>
    </row>
    <row r="56" ht="24" customHeight="1">
      <c r="A56" s="29" t="inlineStr">
        <is>
          <t>47</t>
        </is>
      </c>
      <c r="B56" s="29" t="inlineStr">
        <is>
          <t>해당 없음</t>
        </is>
      </c>
      <c r="C56" s="29" t="inlineStr">
        <is>
          <t>마이크로컨텍솔</t>
        </is>
      </c>
      <c r="D56" s="29" t="inlineStr">
        <is>
          <t>098120</t>
        </is>
      </c>
      <c r="E56" s="29" t="inlineStr">
        <is>
          <t>KOSDAQ</t>
        </is>
      </c>
      <c r="F56" s="29" t="inlineStr">
        <is>
          <t>팹리스/설계</t>
        </is>
      </c>
      <c r="G56" s="29" t="inlineStr">
        <is>
          <t>팹리스/설계</t>
        </is>
      </c>
      <c r="H56" s="29" t="inlineStr">
        <is>
          <t>False</t>
        </is>
      </c>
      <c r="I56" s="29" t="inlineStr">
        <is>
          <t>True</t>
        </is>
      </c>
      <c r="J56" s="29" t="inlineStr">
        <is>
          <t>OK</t>
        </is>
      </c>
      <c r="K56" s="29" t="inlineStr">
        <is>
          <t>데이터 사용 가능</t>
        </is>
      </c>
      <c r="L56" s="29" t="inlineStr">
        <is>
          <t>LOW</t>
        </is>
      </c>
      <c r="M56" s="29" t="inlineStr">
        <is>
          <t>LOW</t>
        </is>
      </c>
      <c r="N56" s="29" t="inlineStr">
        <is>
          <t>0.7383838383838384</t>
        </is>
      </c>
      <c r="O56" s="29" t="inlineStr">
        <is>
          <t>ATTRACTIVE</t>
        </is>
      </c>
      <c r="P56" s="29" t="inlineStr">
        <is>
          <t>가치 매력</t>
        </is>
      </c>
      <c r="Q56" s="29" t="inlineStr">
        <is>
          <t>ATTRACTIVE</t>
        </is>
      </c>
      <c r="R56" s="29" t="inlineStr">
        <is>
          <t>0.8262966149459129</t>
        </is>
      </c>
      <c r="S56" s="29" t="inlineStr">
        <is>
          <t>HIGH</t>
        </is>
      </c>
      <c r="T56" s="29" t="inlineStr">
        <is>
          <t>HIGH</t>
        </is>
      </c>
      <c r="U56" s="29" t="inlineStr">
        <is>
          <t>0.1428571428571428</t>
        </is>
      </c>
      <c r="V56" s="29" t="inlineStr">
        <is>
          <t>LOW_RISK</t>
        </is>
      </c>
      <c r="W56" s="29" t="inlineStr">
        <is>
          <t>저위험</t>
        </is>
      </c>
      <c r="X56" s="29" t="inlineStr">
        <is>
          <t>LOW_RISK</t>
        </is>
      </c>
      <c r="Y56" s="29" t="inlineStr">
        <is>
          <t>0.7491981695245683</t>
        </is>
      </c>
      <c r="Z56" s="29" t="inlineStr">
        <is>
          <t>HIGH</t>
        </is>
      </c>
      <c r="AA56" s="29" t="inlineStr">
        <is>
          <t>HIGH</t>
        </is>
      </c>
      <c r="AB56" s="29" t="inlineStr">
        <is>
          <t>0.08427857084894262</t>
        </is>
      </c>
      <c r="AC56" s="29" t="inlineStr">
        <is>
          <t>False</t>
        </is>
      </c>
      <c r="AD56" s="29" t="inlineStr">
        <is>
          <t>False</t>
        </is>
      </c>
      <c r="AE56" s="29" t="inlineStr">
        <is>
          <t>valuation_credit_ml_overlay_candidate.csv</t>
        </is>
      </c>
      <c r="AF56" s="29" t="inlineStr">
        <is>
          <t>208개 반도체 reference universe. Valuation Agent가 자체 intake 폴더로 복제해 Peer/ML/대시보드 비교에 사용.</t>
        </is>
      </c>
      <c r="AG56" s="29" t="inlineStr">
        <is>
          <t>TOP_REFERENCE</t>
        </is>
      </c>
      <c r="AH56" s="29" t="inlineStr">
        <is>
          <t>False</t>
        </is>
      </c>
    </row>
    <row r="57" ht="24" customHeight="1">
      <c r="A57" s="24" t="inlineStr">
        <is>
          <t>189</t>
        </is>
      </c>
      <c r="B57" s="24" t="inlineStr">
        <is>
          <t>해당 없음</t>
        </is>
      </c>
      <c r="C57" s="24" t="inlineStr">
        <is>
          <t>프로텍</t>
        </is>
      </c>
      <c r="D57" s="24" t="inlineStr">
        <is>
          <t>053610</t>
        </is>
      </c>
      <c r="E57" s="24" t="inlineStr">
        <is>
          <t>KOSDAQ</t>
        </is>
      </c>
      <c r="F57" s="24" t="inlineStr">
        <is>
          <t>후공정/패키징/테스트</t>
        </is>
      </c>
      <c r="G57" s="24" t="inlineStr">
        <is>
          <t>후공정/패키징/테스트</t>
        </is>
      </c>
      <c r="H57" s="24" t="inlineStr">
        <is>
          <t>False</t>
        </is>
      </c>
      <c r="I57" s="24" t="inlineStr">
        <is>
          <t>True</t>
        </is>
      </c>
      <c r="J57" s="24" t="inlineStr">
        <is>
          <t>OK</t>
        </is>
      </c>
      <c r="K57" s="24" t="inlineStr">
        <is>
          <t>데이터 사용 가능</t>
        </is>
      </c>
      <c r="L57" s="24" t="inlineStr">
        <is>
          <t>LOW</t>
        </is>
      </c>
      <c r="M57" s="24" t="inlineStr">
        <is>
          <t>LOW</t>
        </is>
      </c>
      <c r="N57" s="24" t="inlineStr">
        <is>
          <t>0.7342222222222222</t>
        </is>
      </c>
      <c r="O57" s="24" t="inlineStr">
        <is>
          <t>FAIR</t>
        </is>
      </c>
      <c r="P57" s="24" t="inlineStr">
        <is>
          <t>FAIR</t>
        </is>
      </c>
      <c r="Q57" s="24" t="inlineStr">
        <is>
          <t>FAIR</t>
        </is>
      </c>
      <c r="R57" s="24" t="inlineStr">
        <is>
          <t>0.8971257561900263</t>
        </is>
      </c>
      <c r="S57" s="24" t="inlineStr">
        <is>
          <t>HIGH</t>
        </is>
      </c>
      <c r="T57" s="24" t="inlineStr">
        <is>
          <t>HIGH</t>
        </is>
      </c>
      <c r="U57" s="24" t="inlineStr">
        <is>
          <t>0.0714285714285714</t>
        </is>
      </c>
      <c r="V57" s="24" t="inlineStr">
        <is>
          <t>LOW_RISK</t>
        </is>
      </c>
      <c r="W57" s="24" t="inlineStr">
        <is>
          <t>저위험</t>
        </is>
      </c>
      <c r="X57" s="24" t="inlineStr">
        <is>
          <t>LOW_RISK</t>
        </is>
      </c>
      <c r="Y57" s="24" t="inlineStr">
        <is>
          <t>0.9163768919768406</t>
        </is>
      </c>
      <c r="Z57" s="24" t="inlineStr">
        <is>
          <t>HIGH</t>
        </is>
      </c>
      <c r="AA57" s="24" t="inlineStr">
        <is>
          <t>HIGH</t>
        </is>
      </c>
      <c r="AB57" s="24" t="inlineStr">
        <is>
          <t>0.04594870251712977</t>
        </is>
      </c>
      <c r="AC57" s="24" t="inlineStr">
        <is>
          <t>False</t>
        </is>
      </c>
      <c r="AD57" s="24" t="inlineStr">
        <is>
          <t>False</t>
        </is>
      </c>
      <c r="AE57" s="24" t="inlineStr">
        <is>
          <t>valuation_credit_ml_overlay_candidate.csv</t>
        </is>
      </c>
      <c r="AF57" s="24" t="inlineStr">
        <is>
          <t>208개 반도체 reference universe. Valuation Agent가 자체 intake 폴더로 복제해 Peer/ML/대시보드 비교에 사용.</t>
        </is>
      </c>
      <c r="AG57" s="24" t="inlineStr">
        <is>
          <t>TOP_REFERENCE</t>
        </is>
      </c>
      <c r="AH57" s="24" t="inlineStr">
        <is>
          <t>False</t>
        </is>
      </c>
    </row>
    <row r="58" ht="24" customHeight="1">
      <c r="A58" s="29" t="inlineStr">
        <is>
          <t>55</t>
        </is>
      </c>
      <c r="B58" s="29" t="inlineStr">
        <is>
          <t>해당 없음</t>
        </is>
      </c>
      <c r="C58" s="29" t="inlineStr">
        <is>
          <t>아이앤씨</t>
        </is>
      </c>
      <c r="D58" s="29" t="inlineStr">
        <is>
          <t>052860</t>
        </is>
      </c>
      <c r="E58" s="29" t="inlineStr">
        <is>
          <t>KOSDAQ</t>
        </is>
      </c>
      <c r="F58" s="29" t="inlineStr">
        <is>
          <t>팹리스/설계</t>
        </is>
      </c>
      <c r="G58" s="29" t="inlineStr">
        <is>
          <t>팹리스/설계</t>
        </is>
      </c>
      <c r="H58" s="29" t="inlineStr">
        <is>
          <t>False</t>
        </is>
      </c>
      <c r="I58" s="29" t="inlineStr">
        <is>
          <t>True</t>
        </is>
      </c>
      <c r="J58" s="29" t="inlineStr">
        <is>
          <t>OK</t>
        </is>
      </c>
      <c r="K58" s="29" t="inlineStr">
        <is>
          <t>데이터 사용 가능</t>
        </is>
      </c>
      <c r="L58" s="29" t="inlineStr">
        <is>
          <t>LOW</t>
        </is>
      </c>
      <c r="M58" s="29" t="inlineStr">
        <is>
          <t>LOW</t>
        </is>
      </c>
      <c r="N58" s="29" t="inlineStr">
        <is>
          <t>0.7325252525252526</t>
        </is>
      </c>
      <c r="O58" s="29" t="inlineStr">
        <is>
          <t>ATTRACTIVE</t>
        </is>
      </c>
      <c r="P58" s="29" t="inlineStr">
        <is>
          <t>가치 매력</t>
        </is>
      </c>
      <c r="Q58" s="29" t="inlineStr">
        <is>
          <t>ATTRACTIVE</t>
        </is>
      </c>
      <c r="R58" s="29" t="inlineStr">
        <is>
          <t>0.9267130449922303</t>
        </is>
      </c>
      <c r="S58" s="29" t="inlineStr">
        <is>
          <t>HIGH</t>
        </is>
      </c>
      <c r="T58" s="29" t="inlineStr">
        <is>
          <t>HIGH</t>
        </is>
      </c>
      <c r="U58" s="29" t="inlineStr">
        <is>
          <t>0.0</t>
        </is>
      </c>
      <c r="V58" s="29" t="inlineStr">
        <is>
          <t>LOW_RISK</t>
        </is>
      </c>
      <c r="W58" s="29" t="inlineStr">
        <is>
          <t>저위험</t>
        </is>
      </c>
      <c r="X58" s="29" t="inlineStr">
        <is>
          <t>LOW_RISK</t>
        </is>
      </c>
      <c r="Y58" s="29" t="inlineStr">
        <is>
          <t>0.8920304728976969</t>
        </is>
      </c>
      <c r="Z58" s="29" t="inlineStr">
        <is>
          <t>HIGH</t>
        </is>
      </c>
      <c r="AA58" s="29" t="inlineStr">
        <is>
          <t>HIGH</t>
        </is>
      </c>
      <c r="AB58" s="29" t="inlineStr">
        <is>
          <t>0.022475117759514655</t>
        </is>
      </c>
      <c r="AC58" s="29" t="inlineStr">
        <is>
          <t>False</t>
        </is>
      </c>
      <c r="AD58" s="29" t="inlineStr">
        <is>
          <t>False</t>
        </is>
      </c>
      <c r="AE58" s="29" t="inlineStr">
        <is>
          <t>valuation_credit_ml_overlay_candidate.csv</t>
        </is>
      </c>
      <c r="AF58" s="29" t="inlineStr">
        <is>
          <t>208개 반도체 reference universe. Valuation Agent가 자체 intake 폴더로 복제해 Peer/ML/대시보드 비교에 사용.</t>
        </is>
      </c>
      <c r="AG58" s="29" t="inlineStr">
        <is>
          <t>TOP_REFERENCE</t>
        </is>
      </c>
      <c r="AH58" s="29" t="inlineStr">
        <is>
          <t>False</t>
        </is>
      </c>
    </row>
    <row r="59" ht="24" customHeight="1">
      <c r="A59" s="24" t="inlineStr">
        <is>
          <t>88</t>
        </is>
      </c>
      <c r="B59" s="24" t="inlineStr">
        <is>
          <t>해당 없음</t>
        </is>
      </c>
      <c r="C59" s="24" t="inlineStr">
        <is>
          <t>비아트론</t>
        </is>
      </c>
      <c r="D59" s="24" t="inlineStr">
        <is>
          <t>141000</t>
        </is>
      </c>
      <c r="E59" s="24" t="inlineStr">
        <is>
          <t>KOSDAQ</t>
        </is>
      </c>
      <c r="F59" s="24" t="inlineStr">
        <is>
          <t>장비</t>
        </is>
      </c>
      <c r="G59" s="24" t="inlineStr">
        <is>
          <t>장비</t>
        </is>
      </c>
      <c r="H59" s="24" t="inlineStr">
        <is>
          <t>False</t>
        </is>
      </c>
      <c r="I59" s="24" t="inlineStr">
        <is>
          <t>True</t>
        </is>
      </c>
      <c r="J59" s="24" t="inlineStr">
        <is>
          <t>OK</t>
        </is>
      </c>
      <c r="K59" s="24" t="inlineStr">
        <is>
          <t>데이터 사용 가능</t>
        </is>
      </c>
      <c r="L59" s="24" t="inlineStr">
        <is>
          <t>LOW</t>
        </is>
      </c>
      <c r="M59" s="24" t="inlineStr">
        <is>
          <t>LOW</t>
        </is>
      </c>
      <c r="N59" s="24" t="inlineStr">
        <is>
          <t>0.7105333333333335</t>
        </is>
      </c>
      <c r="O59" s="24" t="inlineStr">
        <is>
          <t>ATTRACTIVE</t>
        </is>
      </c>
      <c r="P59" s="24" t="inlineStr">
        <is>
          <t>가치 매력</t>
        </is>
      </c>
      <c r="Q59" s="24" t="inlineStr">
        <is>
          <t>ATTRACTIVE</t>
        </is>
      </c>
      <c r="R59" s="24" t="inlineStr">
        <is>
          <t>0.934708213344448</t>
        </is>
      </c>
      <c r="S59" s="24" t="inlineStr">
        <is>
          <t>HIGH</t>
        </is>
      </c>
      <c r="T59" s="24" t="inlineStr">
        <is>
          <t>HIGH</t>
        </is>
      </c>
      <c r="U59" s="24" t="inlineStr">
        <is>
          <t>0.0</t>
        </is>
      </c>
      <c r="V59" s="24" t="inlineStr">
        <is>
          <t>LOW_RISK</t>
        </is>
      </c>
      <c r="W59" s="24" t="inlineStr">
        <is>
          <t>저위험</t>
        </is>
      </c>
      <c r="X59" s="24" t="inlineStr">
        <is>
          <t>LOW_RISK</t>
        </is>
      </c>
      <c r="Y59" s="24" t="inlineStr">
        <is>
          <t>0.9411184099481913</t>
        </is>
      </c>
      <c r="Z59" s="24" t="inlineStr">
        <is>
          <t>HIGH</t>
        </is>
      </c>
      <c r="AA59" s="24" t="inlineStr">
        <is>
          <t>HIGH</t>
        </is>
      </c>
      <c r="AB59" s="24" t="inlineStr">
        <is>
          <t>0.11715633071246634</t>
        </is>
      </c>
      <c r="AC59" s="24" t="inlineStr">
        <is>
          <t>False</t>
        </is>
      </c>
      <c r="AD59" s="24" t="inlineStr">
        <is>
          <t>False</t>
        </is>
      </c>
      <c r="AE59" s="24" t="inlineStr">
        <is>
          <t>valuation_credit_ml_overlay_candidate.csv</t>
        </is>
      </c>
      <c r="AF59" s="24" t="inlineStr">
        <is>
          <t>208개 반도체 reference universe. Valuation Agent가 자체 intake 폴더로 복제해 Peer/ML/대시보드 비교에 사용.</t>
        </is>
      </c>
      <c r="AG59" s="24" t="inlineStr">
        <is>
          <t>TOP_REFERENCE</t>
        </is>
      </c>
      <c r="AH59" s="24" t="inlineStr">
        <is>
          <t>False</t>
        </is>
      </c>
    </row>
    <row r="60" ht="24" customHeight="1">
      <c r="A60" s="29" t="inlineStr">
        <is>
          <t>203</t>
        </is>
      </c>
      <c r="B60" s="29" t="inlineStr">
        <is>
          <t>해당 없음</t>
        </is>
      </c>
      <c r="C60" s="29" t="inlineStr">
        <is>
          <t>인터플렉스</t>
        </is>
      </c>
      <c r="D60" s="29" t="inlineStr">
        <is>
          <t>051370</t>
        </is>
      </c>
      <c r="E60" s="29" t="inlineStr">
        <is>
          <t>KOSDAQ</t>
        </is>
      </c>
      <c r="F60" s="29" t="inlineStr">
        <is>
          <t>부품/기판</t>
        </is>
      </c>
      <c r="G60" s="29" t="inlineStr">
        <is>
          <t>부품/기판</t>
        </is>
      </c>
      <c r="H60" s="29" t="inlineStr">
        <is>
          <t>False</t>
        </is>
      </c>
      <c r="I60" s="29" t="inlineStr">
        <is>
          <t>True</t>
        </is>
      </c>
      <c r="J60" s="29" t="inlineStr">
        <is>
          <t>OK</t>
        </is>
      </c>
      <c r="K60" s="29" t="inlineStr">
        <is>
          <t>데이터 사용 가능</t>
        </is>
      </c>
      <c r="L60" s="29" t="inlineStr">
        <is>
          <t>LOW</t>
        </is>
      </c>
      <c r="M60" s="29" t="inlineStr">
        <is>
          <t>LOW</t>
        </is>
      </c>
      <c r="N60" s="29" t="inlineStr">
        <is>
          <t>0.709047619047619</t>
        </is>
      </c>
      <c r="O60" s="29" t="inlineStr">
        <is>
          <t>FAIR</t>
        </is>
      </c>
      <c r="P60" s="29" t="inlineStr">
        <is>
          <t>FAIR</t>
        </is>
      </c>
      <c r="Q60" s="29" t="inlineStr">
        <is>
          <t>FAIR</t>
        </is>
      </c>
      <c r="R60" s="29" t="inlineStr">
        <is>
          <t>0.904555257888918</t>
        </is>
      </c>
      <c r="S60" s="29" t="inlineStr">
        <is>
          <t>HIGH</t>
        </is>
      </c>
      <c r="T60" s="29" t="inlineStr">
        <is>
          <t>HIGH</t>
        </is>
      </c>
      <c r="U60" s="29" t="inlineStr">
        <is>
          <t>0.0714285714285714</t>
        </is>
      </c>
      <c r="V60" s="29" t="inlineStr">
        <is>
          <t>LOW_RISK</t>
        </is>
      </c>
      <c r="W60" s="29" t="inlineStr">
        <is>
          <t>저위험</t>
        </is>
      </c>
      <c r="X60" s="29" t="inlineStr">
        <is>
          <t>LOW_RISK</t>
        </is>
      </c>
      <c r="Y60" s="29" t="inlineStr">
        <is>
          <t>0.8421993774288782</t>
        </is>
      </c>
      <c r="Z60" s="29" t="inlineStr">
        <is>
          <t>HIGH</t>
        </is>
      </c>
      <c r="AA60" s="29" t="inlineStr">
        <is>
          <t>HIGH</t>
        </is>
      </c>
      <c r="AB60" s="29" t="inlineStr">
        <is>
          <t>0.04875174090091772</t>
        </is>
      </c>
      <c r="AC60" s="29" t="inlineStr">
        <is>
          <t>False</t>
        </is>
      </c>
      <c r="AD60" s="29" t="inlineStr">
        <is>
          <t>False</t>
        </is>
      </c>
      <c r="AE60" s="29" t="inlineStr">
        <is>
          <t>valuation_credit_ml_overlay_candidate.csv</t>
        </is>
      </c>
      <c r="AF60" s="29" t="inlineStr">
        <is>
          <t>208개 반도체 reference universe. Valuation Agent가 자체 intake 폴더로 복제해 Peer/ML/대시보드 비교에 사용.</t>
        </is>
      </c>
      <c r="AG60" s="29" t="inlineStr">
        <is>
          <t>TOP_REFERENCE</t>
        </is>
      </c>
      <c r="AH60" s="29" t="inlineStr">
        <is>
          <t>False</t>
        </is>
      </c>
    </row>
    <row r="61" ht="24" customHeight="1">
      <c r="A61" s="24" t="inlineStr">
        <is>
          <t>12</t>
        </is>
      </c>
      <c r="B61" s="24" t="inlineStr">
        <is>
          <t>해당 없음</t>
        </is>
      </c>
      <c r="C61" s="24" t="inlineStr">
        <is>
          <t>삼성전자</t>
        </is>
      </c>
      <c r="D61" s="24" t="inlineStr">
        <is>
          <t>005930</t>
        </is>
      </c>
      <c r="E61" s="24" t="inlineStr">
        <is>
          <t>KOSPI</t>
        </is>
      </c>
      <c r="F61" s="24" t="inlineStr">
        <is>
          <t>IDM/제조/메모리</t>
        </is>
      </c>
      <c r="G61" s="24" t="inlineStr">
        <is>
          <t>IDM/제조/메모리</t>
        </is>
      </c>
      <c r="H61" s="24" t="inlineStr">
        <is>
          <t>False</t>
        </is>
      </c>
      <c r="I61" s="24" t="inlineStr">
        <is>
          <t>True</t>
        </is>
      </c>
      <c r="J61" s="24" t="inlineStr">
        <is>
          <t>OK</t>
        </is>
      </c>
      <c r="K61" s="24" t="inlineStr">
        <is>
          <t>데이터 사용 가능</t>
        </is>
      </c>
      <c r="L61" s="24" t="inlineStr">
        <is>
          <t>LOW</t>
        </is>
      </c>
      <c r="M61" s="24" t="inlineStr">
        <is>
          <t>LOW</t>
        </is>
      </c>
      <c r="N61" s="24" t="inlineStr">
        <is>
          <t>0.7078333333333333</t>
        </is>
      </c>
      <c r="O61" s="24" t="inlineStr">
        <is>
          <t>ATTRACTIVE</t>
        </is>
      </c>
      <c r="P61" s="24" t="inlineStr">
        <is>
          <t>가치 매력</t>
        </is>
      </c>
      <c r="Q61" s="24" t="inlineStr">
        <is>
          <t>ATTRACTIVE</t>
        </is>
      </c>
      <c r="R61" s="24" t="inlineStr">
        <is>
          <t>0.9371541027950523</t>
        </is>
      </c>
      <c r="S61" s="24" t="inlineStr">
        <is>
          <t>HIGH</t>
        </is>
      </c>
      <c r="T61" s="24" t="inlineStr">
        <is>
          <t>HIGH</t>
        </is>
      </c>
      <c r="U61" s="24" t="inlineStr">
        <is>
          <t>0.0</t>
        </is>
      </c>
      <c r="V61" s="24" t="inlineStr">
        <is>
          <t>LOW_RISK</t>
        </is>
      </c>
      <c r="W61" s="24" t="inlineStr">
        <is>
          <t>저위험</t>
        </is>
      </c>
      <c r="X61" s="24" t="inlineStr">
        <is>
          <t>LOW_RISK</t>
        </is>
      </c>
      <c r="Y61" s="24" t="inlineStr">
        <is>
          <t>0.9760796731366836</t>
        </is>
      </c>
      <c r="Z61" s="24" t="inlineStr">
        <is>
          <t>HIGH</t>
        </is>
      </c>
      <c r="AA61" s="24" t="inlineStr">
        <is>
          <t>HIGH</t>
        </is>
      </c>
      <c r="AB61" s="24" t="inlineStr">
        <is>
          <t>0.4140062883705867</t>
        </is>
      </c>
      <c r="AC61" s="24" t="inlineStr">
        <is>
          <t>True</t>
        </is>
      </c>
      <c r="AD61" s="24" t="inlineStr">
        <is>
          <t>True</t>
        </is>
      </c>
      <c r="AE61" s="24" t="inlineStr">
        <is>
          <t>valuation_credit_ml_overlay_candidate.csv</t>
        </is>
      </c>
      <c r="AF61" s="24" t="inlineStr">
        <is>
          <t>208개 반도체 reference universe. Valuation Agent가 자체 intake 폴더로 복제해 Peer/ML/대시보드 비교에 사용.</t>
        </is>
      </c>
      <c r="AG61" s="24" t="inlineStr">
        <is>
          <t>TOP_REFERENCE</t>
        </is>
      </c>
      <c r="AH61" s="24" t="inlineStr">
        <is>
          <t>False</t>
        </is>
      </c>
    </row>
    <row r="62" ht="24" customHeight="1">
      <c r="A62" s="29" t="inlineStr">
        <is>
          <t>112</t>
        </is>
      </c>
      <c r="B62" s="29" t="inlineStr">
        <is>
          <t>해당 없음</t>
        </is>
      </c>
      <c r="C62" s="29" t="inlineStr">
        <is>
          <t>케이씨</t>
        </is>
      </c>
      <c r="D62" s="29" t="inlineStr">
        <is>
          <t>029460</t>
        </is>
      </c>
      <c r="E62" s="29" t="inlineStr">
        <is>
          <t>KOSPI</t>
        </is>
      </c>
      <c r="F62" s="29" t="inlineStr">
        <is>
          <t>장비</t>
        </is>
      </c>
      <c r="G62" s="29" t="inlineStr">
        <is>
          <t>장비</t>
        </is>
      </c>
      <c r="H62" s="29" t="inlineStr">
        <is>
          <t>False</t>
        </is>
      </c>
      <c r="I62" s="29" t="inlineStr">
        <is>
          <t>True</t>
        </is>
      </c>
      <c r="J62" s="29" t="inlineStr">
        <is>
          <t>OK</t>
        </is>
      </c>
      <c r="K62" s="29" t="inlineStr">
        <is>
          <t>데이터 사용 가능</t>
        </is>
      </c>
      <c r="L62" s="29" t="inlineStr">
        <is>
          <t>LOW</t>
        </is>
      </c>
      <c r="M62" s="29" t="inlineStr">
        <is>
          <t>LOW</t>
        </is>
      </c>
      <c r="N62" s="29" t="inlineStr">
        <is>
          <t>0.7065333333333332</t>
        </is>
      </c>
      <c r="O62" s="29" t="inlineStr">
        <is>
          <t>ATTRACTIVE</t>
        </is>
      </c>
      <c r="P62" s="29" t="inlineStr">
        <is>
          <t>가치 매력</t>
        </is>
      </c>
      <c r="Q62" s="29" t="inlineStr">
        <is>
          <t>ATTRACTIVE</t>
        </is>
      </c>
      <c r="R62" s="29" t="inlineStr">
        <is>
          <t>0.9151708177015135</t>
        </is>
      </c>
      <c r="S62" s="29" t="inlineStr">
        <is>
          <t>HIGH</t>
        </is>
      </c>
      <c r="T62" s="29" t="inlineStr">
        <is>
          <t>HIGH</t>
        </is>
      </c>
      <c r="U62" s="29" t="inlineStr">
        <is>
          <t>0.0</t>
        </is>
      </c>
      <c r="V62" s="29" t="inlineStr">
        <is>
          <t>LOW_RISK</t>
        </is>
      </c>
      <c r="W62" s="29" t="inlineStr">
        <is>
          <t>저위험</t>
        </is>
      </c>
      <c r="X62" s="29" t="inlineStr">
        <is>
          <t>LOW_RISK</t>
        </is>
      </c>
      <c r="Y62" s="29" t="inlineStr">
        <is>
          <t>0.883115363364621</t>
        </is>
      </c>
      <c r="Z62" s="29" t="inlineStr">
        <is>
          <t>HIGH</t>
        </is>
      </c>
      <c r="AA62" s="29" t="inlineStr">
        <is>
          <t>HIGH</t>
        </is>
      </c>
      <c r="AB62" s="29" t="inlineStr">
        <is>
          <t>0.07036651203602409</t>
        </is>
      </c>
      <c r="AC62" s="29" t="inlineStr">
        <is>
          <t>False</t>
        </is>
      </c>
      <c r="AD62" s="29" t="inlineStr">
        <is>
          <t>False</t>
        </is>
      </c>
      <c r="AE62" s="29" t="inlineStr">
        <is>
          <t>valuation_credit_ml_overlay_candidate.csv</t>
        </is>
      </c>
      <c r="AF62" s="29" t="inlineStr">
        <is>
          <t>208개 반도체 reference universe. Valuation Agent가 자체 intake 폴더로 복제해 Peer/ML/대시보드 비교에 사용.</t>
        </is>
      </c>
      <c r="AG62" s="29" t="inlineStr">
        <is>
          <t>TOP_REFERENCE</t>
        </is>
      </c>
      <c r="AH62" s="29" t="inlineStr">
        <is>
          <t>False</t>
        </is>
      </c>
    </row>
    <row r="63" ht="24" customHeight="1"/>
    <row r="64" ht="24" customHeight="1"/>
    <row r="65" ht="24" customHeight="1">
      <c r="A65" s="22" t="inlineStr">
        <is>
          <t>208개 전체 Universe</t>
        </is>
      </c>
    </row>
    <row r="66" ht="24" customHeight="1">
      <c r="A66" s="25" t="inlineStr">
        <is>
          <t>Universe 순번</t>
        </is>
      </c>
      <c r="B66" s="25" t="inlineStr">
        <is>
          <t>기업코드</t>
        </is>
      </c>
      <c r="C66" s="25" t="inlineStr">
        <is>
          <t>기업명</t>
        </is>
      </c>
      <c r="D66" s="25" t="inlineStr">
        <is>
          <t>종목코드</t>
        </is>
      </c>
      <c r="E66" s="25" t="inlineStr">
        <is>
          <t>시장</t>
        </is>
      </c>
      <c r="F66" s="25" t="inlineStr">
        <is>
          <t>피어 그룹</t>
        </is>
      </c>
      <c r="G66" s="25" t="inlineStr">
        <is>
          <t>반도체 세부군</t>
        </is>
      </c>
      <c r="H66" s="25" t="inlineStr">
        <is>
          <t>5개 핵심기업</t>
        </is>
      </c>
      <c r="I66" s="25" t="inlineStr">
        <is>
          <t>market_data_available</t>
        </is>
      </c>
      <c r="J66" s="25" t="inlineStr">
        <is>
          <t>데이터 품질</t>
        </is>
      </c>
      <c r="K66" s="25" t="inlineStr">
        <is>
          <t>데이터 품질 해석</t>
        </is>
      </c>
      <c r="L66" s="25" t="inlineStr">
        <is>
          <t>수동검토 우선순위</t>
        </is>
      </c>
      <c r="M66" s="25" t="inlineStr">
        <is>
          <t>수동검토 우선순위 해석</t>
        </is>
      </c>
      <c r="N66" s="25" t="inlineStr">
        <is>
          <t>Valuation Proxy 점수</t>
        </is>
      </c>
      <c r="O66" s="25" t="inlineStr">
        <is>
          <t>Valuation Proxy 라벨</t>
        </is>
      </c>
      <c r="P66" s="25" t="inlineStr">
        <is>
          <t>가치 라벨</t>
        </is>
      </c>
      <c r="Q66" s="25" t="inlineStr">
        <is>
          <t>valuation_pred_label</t>
        </is>
      </c>
      <c r="R66" s="25" t="inlineStr">
        <is>
          <t>Valuation 신뢰도</t>
        </is>
      </c>
      <c r="S66" s="25" t="inlineStr">
        <is>
          <t>valuation_confidence_bucket</t>
        </is>
      </c>
      <c r="T66" s="25" t="inlineStr">
        <is>
          <t>valuation_confidence_bucket_kr</t>
        </is>
      </c>
      <c r="U66" s="25" t="inlineStr">
        <is>
          <t>Credit Risk 점수</t>
        </is>
      </c>
      <c r="V66" s="25" t="inlineStr">
        <is>
          <t>Credit Risk 라벨</t>
        </is>
      </c>
      <c r="W66" s="25" t="inlineStr">
        <is>
          <t>신용위험 라벨</t>
        </is>
      </c>
      <c r="X66" s="25" t="inlineStr">
        <is>
          <t>credit_pred_label</t>
        </is>
      </c>
      <c r="Y66" s="25" t="inlineStr">
        <is>
          <t>Credit 신뢰도</t>
        </is>
      </c>
      <c r="Z66" s="25" t="inlineStr">
        <is>
          <t>credit_confidence_bucket</t>
        </is>
      </c>
      <c r="AA66" s="25" t="inlineStr">
        <is>
          <t>credit_confidence_bucket_kr</t>
        </is>
      </c>
      <c r="AB66" s="25" t="inlineStr">
        <is>
          <t>Credit 이상치 점수</t>
        </is>
      </c>
      <c r="AC66" s="25" t="inlineStr">
        <is>
          <t>credit_anomaly_flag_top15pct</t>
        </is>
      </c>
      <c r="AD66" s="25" t="inlineStr">
        <is>
          <t>auditor_requires_human_review</t>
        </is>
      </c>
      <c r="AE66" s="25" t="inlineStr">
        <is>
          <t>출처 유형</t>
        </is>
      </c>
      <c r="AF66" s="25" t="inlineStr">
        <is>
          <t>출처 설명</t>
        </is>
      </c>
    </row>
    <row r="67" ht="24" customHeight="1">
      <c r="A67" s="24" t="inlineStr">
        <is>
          <t>10</t>
        </is>
      </c>
      <c r="B67" s="24" t="inlineStr">
        <is>
          <t>해당 없음</t>
        </is>
      </c>
      <c r="C67" s="24" t="inlineStr">
        <is>
          <t>미코</t>
        </is>
      </c>
      <c r="D67" s="24" t="inlineStr">
        <is>
          <t>059090</t>
        </is>
      </c>
      <c r="E67" s="24" t="inlineStr">
        <is>
          <t>KOSDAQ</t>
        </is>
      </c>
      <c r="F67" s="24" t="inlineStr">
        <is>
          <t>IDM/제조/메모리</t>
        </is>
      </c>
      <c r="G67" s="24" t="inlineStr">
        <is>
          <t>IDM/제조/메모리</t>
        </is>
      </c>
      <c r="H67" s="24" t="inlineStr">
        <is>
          <t>False</t>
        </is>
      </c>
      <c r="I67" s="24" t="inlineStr">
        <is>
          <t>True</t>
        </is>
      </c>
      <c r="J67" s="24" t="inlineStr">
        <is>
          <t>OK</t>
        </is>
      </c>
      <c r="K67" s="24" t="inlineStr">
        <is>
          <t>데이터 사용 가능</t>
        </is>
      </c>
      <c r="L67" s="24" t="inlineStr">
        <is>
          <t>LOW</t>
        </is>
      </c>
      <c r="M67" s="24" t="inlineStr">
        <is>
          <t>LOW</t>
        </is>
      </c>
      <c r="N67" s="24" t="inlineStr">
        <is>
          <t>0.7733333333333334</t>
        </is>
      </c>
      <c r="O67" s="24" t="inlineStr">
        <is>
          <t>FAIR</t>
        </is>
      </c>
      <c r="P67" s="24" t="inlineStr">
        <is>
          <t>FAIR</t>
        </is>
      </c>
      <c r="Q67" s="24" t="inlineStr">
        <is>
          <t>FAIR</t>
        </is>
      </c>
      <c r="R67" s="24" t="inlineStr">
        <is>
          <t>0.9066669659525092</t>
        </is>
      </c>
      <c r="S67" s="24" t="inlineStr">
        <is>
          <t>HIGH</t>
        </is>
      </c>
      <c r="T67" s="24" t="inlineStr">
        <is>
          <t>HIGH</t>
        </is>
      </c>
      <c r="U67" s="24" t="inlineStr">
        <is>
          <t>0.2142857142857142</t>
        </is>
      </c>
      <c r="V67" s="24" t="inlineStr">
        <is>
          <t>MEDIUM_RISK</t>
        </is>
      </c>
      <c r="W67" s="24" t="inlineStr">
        <is>
          <t>중위험</t>
        </is>
      </c>
      <c r="X67" s="24" t="inlineStr">
        <is>
          <t>MEDIUM_RISK</t>
        </is>
      </c>
      <c r="Y67" s="24" t="inlineStr">
        <is>
          <t>0.6769145960065608</t>
        </is>
      </c>
      <c r="Z67" s="24" t="inlineStr">
        <is>
          <t>MEDIUM</t>
        </is>
      </c>
      <c r="AA67" s="24" t="inlineStr">
        <is>
          <t>MEDIUM</t>
        </is>
      </c>
      <c r="AB67" s="24" t="inlineStr">
        <is>
          <t>0.10646038380774528</t>
        </is>
      </c>
      <c r="AC67" s="24" t="inlineStr">
        <is>
          <t>False</t>
        </is>
      </c>
      <c r="AD67" s="24" t="inlineStr">
        <is>
          <t>False</t>
        </is>
      </c>
      <c r="AE67" s="24" t="inlineStr">
        <is>
          <t>valuation_credit_ml_overlay_candidate.csv</t>
        </is>
      </c>
      <c r="AF67" s="24" t="inlineStr">
        <is>
          <t>208개 반도체 reference universe. Valuation Agent가 자체 intake 폴더로 복제해 Peer/ML/대시보드 비교에 사용.</t>
        </is>
      </c>
    </row>
    <row r="68" ht="24" customHeight="1">
      <c r="A68" s="29" t="inlineStr">
        <is>
          <t>22</t>
        </is>
      </c>
      <c r="B68" s="29" t="inlineStr">
        <is>
          <t>해당 없음</t>
        </is>
      </c>
      <c r="C68" s="29" t="inlineStr">
        <is>
          <t>엘디티</t>
        </is>
      </c>
      <c r="D68" s="29" t="inlineStr">
        <is>
          <t>096870</t>
        </is>
      </c>
      <c r="E68" s="29" t="inlineStr">
        <is>
          <t>KOSDAQ</t>
        </is>
      </c>
      <c r="F68" s="29" t="inlineStr">
        <is>
          <t>IDM/제조/메모리</t>
        </is>
      </c>
      <c r="G68" s="29" t="inlineStr">
        <is>
          <t>IDM/제조/메모리</t>
        </is>
      </c>
      <c r="H68" s="29" t="inlineStr">
        <is>
          <t>False</t>
        </is>
      </c>
      <c r="I68" s="29" t="inlineStr">
        <is>
          <t>True</t>
        </is>
      </c>
      <c r="J68" s="29" t="inlineStr">
        <is>
          <t>OK</t>
        </is>
      </c>
      <c r="K68" s="29" t="inlineStr">
        <is>
          <t>데이터 사용 가능</t>
        </is>
      </c>
      <c r="L68" s="29" t="inlineStr">
        <is>
          <t>LOW</t>
        </is>
      </c>
      <c r="M68" s="29" t="inlineStr">
        <is>
          <t>LOW</t>
        </is>
      </c>
      <c r="N68" s="29" t="inlineStr">
        <is>
          <t>0.7518333333333332</t>
        </is>
      </c>
      <c r="O68" s="29" t="inlineStr">
        <is>
          <t>ATTRACTIVE</t>
        </is>
      </c>
      <c r="P68" s="29" t="inlineStr">
        <is>
          <t>가치 매력</t>
        </is>
      </c>
      <c r="Q68" s="29" t="inlineStr">
        <is>
          <t>ATTRACTIVE</t>
        </is>
      </c>
      <c r="R68" s="29" t="inlineStr">
        <is>
          <t>0.8817908899004964</t>
        </is>
      </c>
      <c r="S68" s="29" t="inlineStr">
        <is>
          <t>HIGH</t>
        </is>
      </c>
      <c r="T68" s="29" t="inlineStr">
        <is>
          <t>HIGH</t>
        </is>
      </c>
      <c r="U68" s="29" t="inlineStr">
        <is>
          <t>0.0714285714285714</t>
        </is>
      </c>
      <c r="V68" s="29" t="inlineStr">
        <is>
          <t>LOW_RISK</t>
        </is>
      </c>
      <c r="W68" s="29" t="inlineStr">
        <is>
          <t>저위험</t>
        </is>
      </c>
      <c r="X68" s="29" t="inlineStr">
        <is>
          <t>LOW_RISK</t>
        </is>
      </c>
      <c r="Y68" s="29" t="inlineStr">
        <is>
          <t>0.8068970516192283</t>
        </is>
      </c>
      <c r="Z68" s="29" t="inlineStr">
        <is>
          <t>HIGH</t>
        </is>
      </c>
      <c r="AA68" s="29" t="inlineStr">
        <is>
          <t>HIGH</t>
        </is>
      </c>
      <c r="AB68" s="29" t="inlineStr">
        <is>
          <t>0.2312715560027526</t>
        </is>
      </c>
      <c r="AC68" s="29" t="inlineStr">
        <is>
          <t>False</t>
        </is>
      </c>
      <c r="AD68" s="29" t="inlineStr">
        <is>
          <t>False</t>
        </is>
      </c>
      <c r="AE68" s="29" t="inlineStr">
        <is>
          <t>valuation_credit_ml_overlay_candidate.csv</t>
        </is>
      </c>
      <c r="AF68" s="29" t="inlineStr">
        <is>
          <t>208개 반도체 reference universe. Valuation Agent가 자체 intake 폴더로 복제해 Peer/ML/대시보드 비교에 사용.</t>
        </is>
      </c>
    </row>
    <row r="69" ht="24" customHeight="1">
      <c r="A69" s="24" t="inlineStr">
        <is>
          <t>9</t>
        </is>
      </c>
      <c r="B69" s="24" t="inlineStr">
        <is>
          <t>해당 없음</t>
        </is>
      </c>
      <c r="C69" s="24" t="inlineStr">
        <is>
          <t>메카로</t>
        </is>
      </c>
      <c r="D69" s="24" t="inlineStr">
        <is>
          <t>241770</t>
        </is>
      </c>
      <c r="E69" s="24" t="inlineStr">
        <is>
          <t>KOSDAQ</t>
        </is>
      </c>
      <c r="F69" s="24" t="inlineStr">
        <is>
          <t>IDM/제조/메모리</t>
        </is>
      </c>
      <c r="G69" s="24" t="inlineStr">
        <is>
          <t>IDM/제조/메모리</t>
        </is>
      </c>
      <c r="H69" s="24" t="inlineStr">
        <is>
          <t>False</t>
        </is>
      </c>
      <c r="I69" s="24" t="inlineStr">
        <is>
          <t>True</t>
        </is>
      </c>
      <c r="J69" s="24" t="inlineStr">
        <is>
          <t>OK</t>
        </is>
      </c>
      <c r="K69" s="24" t="inlineStr">
        <is>
          <t>데이터 사용 가능</t>
        </is>
      </c>
      <c r="L69" s="24" t="inlineStr">
        <is>
          <t>LOW</t>
        </is>
      </c>
      <c r="M69" s="24" t="inlineStr">
        <is>
          <t>LOW</t>
        </is>
      </c>
      <c r="N69" s="24" t="inlineStr">
        <is>
          <t>0.7476666666666667</t>
        </is>
      </c>
      <c r="O69" s="24" t="inlineStr">
        <is>
          <t>ATTRACTIVE</t>
        </is>
      </c>
      <c r="P69" s="24" t="inlineStr">
        <is>
          <t>가치 매력</t>
        </is>
      </c>
      <c r="Q69" s="24" t="inlineStr">
        <is>
          <t>ATTRACTIVE</t>
        </is>
      </c>
      <c r="R69" s="24" t="inlineStr">
        <is>
          <t>0.9154158498128573</t>
        </is>
      </c>
      <c r="S69" s="24" t="inlineStr">
        <is>
          <t>HIGH</t>
        </is>
      </c>
      <c r="T69" s="24" t="inlineStr">
        <is>
          <t>HIGH</t>
        </is>
      </c>
      <c r="U69" s="24" t="inlineStr">
        <is>
          <t>0.0</t>
        </is>
      </c>
      <c r="V69" s="24" t="inlineStr">
        <is>
          <t>LOW_RISK</t>
        </is>
      </c>
      <c r="W69" s="24" t="inlineStr">
        <is>
          <t>저위험</t>
        </is>
      </c>
      <c r="X69" s="24" t="inlineStr">
        <is>
          <t>LOW_RISK</t>
        </is>
      </c>
      <c r="Y69" s="24" t="inlineStr">
        <is>
          <t>0.9196609311939408</t>
        </is>
      </c>
      <c r="Z69" s="24" t="inlineStr">
        <is>
          <t>HIGH</t>
        </is>
      </c>
      <c r="AA69" s="24" t="inlineStr">
        <is>
          <t>HIGH</t>
        </is>
      </c>
      <c r="AB69" s="24" t="inlineStr">
        <is>
          <t>0.12775877727770685</t>
        </is>
      </c>
      <c r="AC69" s="24" t="inlineStr">
        <is>
          <t>False</t>
        </is>
      </c>
      <c r="AD69" s="24" t="inlineStr">
        <is>
          <t>False</t>
        </is>
      </c>
      <c r="AE69" s="24" t="inlineStr">
        <is>
          <t>valuation_credit_ml_overlay_candidate.csv</t>
        </is>
      </c>
      <c r="AF69" s="24" t="inlineStr">
        <is>
          <t>208개 반도체 reference universe. Valuation Agent가 자체 intake 폴더로 복제해 Peer/ML/대시보드 비교에 사용.</t>
        </is>
      </c>
    </row>
    <row r="70" ht="24" customHeight="1">
      <c r="A70" s="29" t="inlineStr">
        <is>
          <t>12</t>
        </is>
      </c>
      <c r="B70" s="29" t="inlineStr">
        <is>
          <t>해당 없음</t>
        </is>
      </c>
      <c r="C70" s="29" t="inlineStr">
        <is>
          <t>삼성전자</t>
        </is>
      </c>
      <c r="D70" s="29" t="inlineStr">
        <is>
          <t>005930</t>
        </is>
      </c>
      <c r="E70" s="29" t="inlineStr">
        <is>
          <t>KOSPI</t>
        </is>
      </c>
      <c r="F70" s="29" t="inlineStr">
        <is>
          <t>IDM/제조/메모리</t>
        </is>
      </c>
      <c r="G70" s="29" t="inlineStr">
        <is>
          <t>IDM/제조/메모리</t>
        </is>
      </c>
      <c r="H70" s="29" t="inlineStr">
        <is>
          <t>False</t>
        </is>
      </c>
      <c r="I70" s="29" t="inlineStr">
        <is>
          <t>True</t>
        </is>
      </c>
      <c r="J70" s="29" t="inlineStr">
        <is>
          <t>OK</t>
        </is>
      </c>
      <c r="K70" s="29" t="inlineStr">
        <is>
          <t>데이터 사용 가능</t>
        </is>
      </c>
      <c r="L70" s="29" t="inlineStr">
        <is>
          <t>LOW</t>
        </is>
      </c>
      <c r="M70" s="29" t="inlineStr">
        <is>
          <t>LOW</t>
        </is>
      </c>
      <c r="N70" s="29" t="inlineStr">
        <is>
          <t>0.7078333333333333</t>
        </is>
      </c>
      <c r="O70" s="29" t="inlineStr">
        <is>
          <t>ATTRACTIVE</t>
        </is>
      </c>
      <c r="P70" s="29" t="inlineStr">
        <is>
          <t>가치 매력</t>
        </is>
      </c>
      <c r="Q70" s="29" t="inlineStr">
        <is>
          <t>ATTRACTIVE</t>
        </is>
      </c>
      <c r="R70" s="29" t="inlineStr">
        <is>
          <t>0.9371541027950523</t>
        </is>
      </c>
      <c r="S70" s="29" t="inlineStr">
        <is>
          <t>HIGH</t>
        </is>
      </c>
      <c r="T70" s="29" t="inlineStr">
        <is>
          <t>HIGH</t>
        </is>
      </c>
      <c r="U70" s="29" t="inlineStr">
        <is>
          <t>0.0</t>
        </is>
      </c>
      <c r="V70" s="29" t="inlineStr">
        <is>
          <t>LOW_RISK</t>
        </is>
      </c>
      <c r="W70" s="29" t="inlineStr">
        <is>
          <t>저위험</t>
        </is>
      </c>
      <c r="X70" s="29" t="inlineStr">
        <is>
          <t>LOW_RISK</t>
        </is>
      </c>
      <c r="Y70" s="29" t="inlineStr">
        <is>
          <t>0.9760796731366836</t>
        </is>
      </c>
      <c r="Z70" s="29" t="inlineStr">
        <is>
          <t>HIGH</t>
        </is>
      </c>
      <c r="AA70" s="29" t="inlineStr">
        <is>
          <t>HIGH</t>
        </is>
      </c>
      <c r="AB70" s="29" t="inlineStr">
        <is>
          <t>0.4140062883705867</t>
        </is>
      </c>
      <c r="AC70" s="29" t="inlineStr">
        <is>
          <t>True</t>
        </is>
      </c>
      <c r="AD70" s="29" t="inlineStr">
        <is>
          <t>True</t>
        </is>
      </c>
      <c r="AE70" s="29" t="inlineStr">
        <is>
          <t>valuation_credit_ml_overlay_candidate.csv</t>
        </is>
      </c>
      <c r="AF70" s="29" t="inlineStr">
        <is>
          <t>208개 반도체 reference universe. Valuation Agent가 자체 intake 폴더로 복제해 Peer/ML/대시보드 비교에 사용.</t>
        </is>
      </c>
    </row>
    <row r="71" ht="24" customHeight="1">
      <c r="A71" s="24" t="inlineStr">
        <is>
          <t>4</t>
        </is>
      </c>
      <c r="B71" s="24" t="inlineStr">
        <is>
          <t>해당 없음</t>
        </is>
      </c>
      <c r="C71" s="24" t="inlineStr">
        <is>
          <t>SK하이닉스</t>
        </is>
      </c>
      <c r="D71" s="24" t="inlineStr">
        <is>
          <t>000660</t>
        </is>
      </c>
      <c r="E71" s="24" t="inlineStr">
        <is>
          <t>KOSPI</t>
        </is>
      </c>
      <c r="F71" s="24" t="inlineStr">
        <is>
          <t>IDM/제조/메모리</t>
        </is>
      </c>
      <c r="G71" s="24" t="inlineStr">
        <is>
          <t>IDM/제조/메모리</t>
        </is>
      </c>
      <c r="H71" s="24" t="inlineStr">
        <is>
          <t>False</t>
        </is>
      </c>
      <c r="I71" s="24" t="inlineStr">
        <is>
          <t>True</t>
        </is>
      </c>
      <c r="J71" s="24" t="inlineStr">
        <is>
          <t>OK</t>
        </is>
      </c>
      <c r="K71" s="24" t="inlineStr">
        <is>
          <t>데이터 사용 가능</t>
        </is>
      </c>
      <c r="L71" s="24" t="inlineStr">
        <is>
          <t>LOW</t>
        </is>
      </c>
      <c r="M71" s="24" t="inlineStr">
        <is>
          <t>LOW</t>
        </is>
      </c>
      <c r="N71" s="24" t="inlineStr">
        <is>
          <t>0.6933333333333334</t>
        </is>
      </c>
      <c r="O71" s="24" t="inlineStr">
        <is>
          <t>ATTRACTIVE</t>
        </is>
      </c>
      <c r="P71" s="24" t="inlineStr">
        <is>
          <t>가치 매력</t>
        </is>
      </c>
      <c r="Q71" s="24" t="inlineStr">
        <is>
          <t>ATTRACTIVE</t>
        </is>
      </c>
      <c r="R71" s="24" t="inlineStr">
        <is>
          <t>0.8582250965188642</t>
        </is>
      </c>
      <c r="S71" s="24" t="inlineStr">
        <is>
          <t>HIGH</t>
        </is>
      </c>
      <c r="T71" s="24" t="inlineStr">
        <is>
          <t>HIGH</t>
        </is>
      </c>
      <c r="U71" s="24" t="inlineStr">
        <is>
          <t>0.0</t>
        </is>
      </c>
      <c r="V71" s="24" t="inlineStr">
        <is>
          <t>LOW_RISK</t>
        </is>
      </c>
      <c r="W71" s="24" t="inlineStr">
        <is>
          <t>저위험</t>
        </is>
      </c>
      <c r="X71" s="24" t="inlineStr">
        <is>
          <t>LOW_RISK</t>
        </is>
      </c>
      <c r="Y71" s="24" t="inlineStr">
        <is>
          <t>0.9246810687108324</t>
        </is>
      </c>
      <c r="Z71" s="24" t="inlineStr">
        <is>
          <t>HIGH</t>
        </is>
      </c>
      <c r="AA71" s="24" t="inlineStr">
        <is>
          <t>HIGH</t>
        </is>
      </c>
      <c r="AB71" s="24" t="inlineStr">
        <is>
          <t>0.4530741670429333</t>
        </is>
      </c>
      <c r="AC71" s="24" t="inlineStr">
        <is>
          <t>True</t>
        </is>
      </c>
      <c r="AD71" s="24" t="inlineStr">
        <is>
          <t>True</t>
        </is>
      </c>
      <c r="AE71" s="24" t="inlineStr">
        <is>
          <t>valuation_credit_ml_overlay_candidate.csv</t>
        </is>
      </c>
      <c r="AF71" s="24" t="inlineStr">
        <is>
          <t>208개 반도체 reference universe. Valuation Agent가 자체 intake 폴더로 복제해 Peer/ML/대시보드 비교에 사용.</t>
        </is>
      </c>
    </row>
    <row r="72" ht="24" customHeight="1">
      <c r="A72" s="29" t="inlineStr">
        <is>
          <t>32</t>
        </is>
      </c>
      <c r="B72" s="29" t="inlineStr">
        <is>
          <t>해당 없음</t>
        </is>
      </c>
      <c r="C72" s="29" t="inlineStr">
        <is>
          <t>케이엔제이</t>
        </is>
      </c>
      <c r="D72" s="29" t="inlineStr">
        <is>
          <t>272110</t>
        </is>
      </c>
      <c r="E72" s="29" t="inlineStr">
        <is>
          <t>KOSDAQ</t>
        </is>
      </c>
      <c r="F72" s="29" t="inlineStr">
        <is>
          <t>IDM/제조/메모리</t>
        </is>
      </c>
      <c r="G72" s="29" t="inlineStr">
        <is>
          <t>IDM/제조/메모리</t>
        </is>
      </c>
      <c r="H72" s="29" t="inlineStr">
        <is>
          <t>False</t>
        </is>
      </c>
      <c r="I72" s="29" t="inlineStr">
        <is>
          <t>True</t>
        </is>
      </c>
      <c r="J72" s="29" t="inlineStr">
        <is>
          <t>OK</t>
        </is>
      </c>
      <c r="K72" s="29" t="inlineStr">
        <is>
          <t>데이터 사용 가능</t>
        </is>
      </c>
      <c r="L72" s="29" t="inlineStr">
        <is>
          <t>LOW</t>
        </is>
      </c>
      <c r="M72" s="29" t="inlineStr">
        <is>
          <t>LOW</t>
        </is>
      </c>
      <c r="N72" s="29" t="inlineStr">
        <is>
          <t>0.69</t>
        </is>
      </c>
      <c r="O72" s="29" t="inlineStr">
        <is>
          <t>FAIR</t>
        </is>
      </c>
      <c r="P72" s="29" t="inlineStr">
        <is>
          <t>FAIR</t>
        </is>
      </c>
      <c r="Q72" s="29" t="inlineStr">
        <is>
          <t>FAIR</t>
        </is>
      </c>
      <c r="R72" s="29" t="inlineStr">
        <is>
          <t>0.8941431334693103</t>
        </is>
      </c>
      <c r="S72" s="29" t="inlineStr">
        <is>
          <t>HIGH</t>
        </is>
      </c>
      <c r="T72" s="29" t="inlineStr">
        <is>
          <t>HIGH</t>
        </is>
      </c>
      <c r="U72" s="29" t="inlineStr">
        <is>
          <t>0.3571428571428571</t>
        </is>
      </c>
      <c r="V72" s="29" t="inlineStr">
        <is>
          <t>MEDIUM_RISK</t>
        </is>
      </c>
      <c r="W72" s="29" t="inlineStr">
        <is>
          <t>중위험</t>
        </is>
      </c>
      <c r="X72" s="29" t="inlineStr">
        <is>
          <t>MEDIUM_RISK</t>
        </is>
      </c>
      <c r="Y72" s="29" t="inlineStr">
        <is>
          <t>0.6916505304322266</t>
        </is>
      </c>
      <c r="Z72" s="29" t="inlineStr">
        <is>
          <t>MEDIUM</t>
        </is>
      </c>
      <c r="AA72" s="29" t="inlineStr">
        <is>
          <t>MEDIUM</t>
        </is>
      </c>
      <c r="AB72" s="29" t="inlineStr">
        <is>
          <t>0.08026450343217886</t>
        </is>
      </c>
      <c r="AC72" s="29" t="inlineStr">
        <is>
          <t>False</t>
        </is>
      </c>
      <c r="AD72" s="29" t="inlineStr">
        <is>
          <t>False</t>
        </is>
      </c>
      <c r="AE72" s="29" t="inlineStr">
        <is>
          <t>valuation_credit_ml_overlay_candidate.csv</t>
        </is>
      </c>
      <c r="AF72" s="29" t="inlineStr">
        <is>
          <t>208개 반도체 reference universe. Valuation Agent가 자체 intake 폴더로 복제해 Peer/ML/대시보드 비교에 사용.</t>
        </is>
      </c>
    </row>
    <row r="73" ht="24" customHeight="1">
      <c r="A73" s="24" t="inlineStr">
        <is>
          <t>40</t>
        </is>
      </c>
      <c r="B73" s="24" t="inlineStr">
        <is>
          <t>해당 없음</t>
        </is>
      </c>
      <c r="C73" s="24" t="inlineStr">
        <is>
          <t>한양디지텍</t>
        </is>
      </c>
      <c r="D73" s="24" t="inlineStr">
        <is>
          <t>078350</t>
        </is>
      </c>
      <c r="E73" s="24" t="inlineStr">
        <is>
          <t>KOSDAQ</t>
        </is>
      </c>
      <c r="F73" s="24" t="inlineStr">
        <is>
          <t>IDM/제조/메모리</t>
        </is>
      </c>
      <c r="G73" s="24" t="inlineStr">
        <is>
          <t>IDM/제조/메모리</t>
        </is>
      </c>
      <c r="H73" s="24" t="inlineStr">
        <is>
          <t>False</t>
        </is>
      </c>
      <c r="I73" s="24" t="inlineStr">
        <is>
          <t>True</t>
        </is>
      </c>
      <c r="J73" s="24" t="inlineStr">
        <is>
          <t>OK</t>
        </is>
      </c>
      <c r="K73" s="24" t="inlineStr">
        <is>
          <t>데이터 사용 가능</t>
        </is>
      </c>
      <c r="L73" s="24" t="inlineStr">
        <is>
          <t>LOW</t>
        </is>
      </c>
      <c r="M73" s="24" t="inlineStr">
        <is>
          <t>LOW</t>
        </is>
      </c>
      <c r="N73" s="24" t="inlineStr">
        <is>
          <t>0.6805000000000001</t>
        </is>
      </c>
      <c r="O73" s="24" t="inlineStr">
        <is>
          <t>ATTRACTIVE</t>
        </is>
      </c>
      <c r="P73" s="24" t="inlineStr">
        <is>
          <t>가치 매력</t>
        </is>
      </c>
      <c r="Q73" s="24" t="inlineStr">
        <is>
          <t>ATTRACTIVE</t>
        </is>
      </c>
      <c r="R73" s="24" t="inlineStr">
        <is>
          <t>0.8705426081647281</t>
        </is>
      </c>
      <c r="S73" s="24" t="inlineStr">
        <is>
          <t>HIGH</t>
        </is>
      </c>
      <c r="T73" s="24" t="inlineStr">
        <is>
          <t>HIGH</t>
        </is>
      </c>
      <c r="U73" s="24" t="inlineStr">
        <is>
          <t>0.0714285714285714</t>
        </is>
      </c>
      <c r="V73" s="24" t="inlineStr">
        <is>
          <t>LOW_RISK</t>
        </is>
      </c>
      <c r="W73" s="24" t="inlineStr">
        <is>
          <t>저위험</t>
        </is>
      </c>
      <c r="X73" s="24" t="inlineStr">
        <is>
          <t>LOW_RISK</t>
        </is>
      </c>
      <c r="Y73" s="24" t="inlineStr">
        <is>
          <t>0.7978732006060483</t>
        </is>
      </c>
      <c r="Z73" s="24" t="inlineStr">
        <is>
          <t>HIGH</t>
        </is>
      </c>
      <c r="AA73" s="24" t="inlineStr">
        <is>
          <t>HIGH</t>
        </is>
      </c>
      <c r="AB73" s="24" t="inlineStr">
        <is>
          <t>0.008155150389343335</t>
        </is>
      </c>
      <c r="AC73" s="24" t="inlineStr">
        <is>
          <t>False</t>
        </is>
      </c>
      <c r="AD73" s="24" t="inlineStr">
        <is>
          <t>False</t>
        </is>
      </c>
      <c r="AE73" s="24" t="inlineStr">
        <is>
          <t>valuation_credit_ml_overlay_candidate.csv</t>
        </is>
      </c>
      <c r="AF73" s="24" t="inlineStr">
        <is>
          <t>208개 반도체 reference universe. Valuation Agent가 자체 intake 폴더로 복제해 Peer/ML/대시보드 비교에 사용.</t>
        </is>
      </c>
    </row>
    <row r="74" ht="24" customHeight="1">
      <c r="A74" s="29" t="inlineStr">
        <is>
          <t>1</t>
        </is>
      </c>
      <c r="B74" s="29" t="inlineStr">
        <is>
          <t>해당 없음</t>
        </is>
      </c>
      <c r="C74" s="29" t="inlineStr">
        <is>
          <t>DB하이텍</t>
        </is>
      </c>
      <c r="D74" s="29" t="inlineStr">
        <is>
          <t>000990</t>
        </is>
      </c>
      <c r="E74" s="29" t="inlineStr">
        <is>
          <t>KOSPI</t>
        </is>
      </c>
      <c r="F74" s="29" t="inlineStr">
        <is>
          <t>IDM/제조/메모리</t>
        </is>
      </c>
      <c r="G74" s="29" t="inlineStr">
        <is>
          <t>IDM/제조/메모리</t>
        </is>
      </c>
      <c r="H74" s="29" t="inlineStr">
        <is>
          <t>False</t>
        </is>
      </c>
      <c r="I74" s="29" t="inlineStr">
        <is>
          <t>True</t>
        </is>
      </c>
      <c r="J74" s="29" t="inlineStr">
        <is>
          <t>OK</t>
        </is>
      </c>
      <c r="K74" s="29" t="inlineStr">
        <is>
          <t>데이터 사용 가능</t>
        </is>
      </c>
      <c r="L74" s="29" t="inlineStr">
        <is>
          <t>LOW</t>
        </is>
      </c>
      <c r="M74" s="29" t="inlineStr">
        <is>
          <t>LOW</t>
        </is>
      </c>
      <c r="N74" s="29" t="inlineStr">
        <is>
          <t>0.6653333333333333</t>
        </is>
      </c>
      <c r="O74" s="29" t="inlineStr">
        <is>
          <t>ATTRACTIVE</t>
        </is>
      </c>
      <c r="P74" s="29" t="inlineStr">
        <is>
          <t>가치 매력</t>
        </is>
      </c>
      <c r="Q74" s="29" t="inlineStr">
        <is>
          <t>ATTRACTIVE</t>
        </is>
      </c>
      <c r="R74" s="29" t="inlineStr">
        <is>
          <t>0.9104444876024207</t>
        </is>
      </c>
      <c r="S74" s="29" t="inlineStr">
        <is>
          <t>HIGH</t>
        </is>
      </c>
      <c r="T74" s="29" t="inlineStr">
        <is>
          <t>HIGH</t>
        </is>
      </c>
      <c r="U74" s="29" t="inlineStr">
        <is>
          <t>0.0</t>
        </is>
      </c>
      <c r="V74" s="29" t="inlineStr">
        <is>
          <t>LOW_RISK</t>
        </is>
      </c>
      <c r="W74" s="29" t="inlineStr">
        <is>
          <t>저위험</t>
        </is>
      </c>
      <c r="X74" s="29" t="inlineStr">
        <is>
          <t>LOW_RISK</t>
        </is>
      </c>
      <c r="Y74" s="29" t="inlineStr">
        <is>
          <t>0.9880726272379208</t>
        </is>
      </c>
      <c r="Z74" s="29" t="inlineStr">
        <is>
          <t>HIGH</t>
        </is>
      </c>
      <c r="AA74" s="29" t="inlineStr">
        <is>
          <t>HIGH</t>
        </is>
      </c>
      <c r="AB74" s="29" t="inlineStr">
        <is>
          <t>0.04988685023425709</t>
        </is>
      </c>
      <c r="AC74" s="29" t="inlineStr">
        <is>
          <t>False</t>
        </is>
      </c>
      <c r="AD74" s="29" t="inlineStr">
        <is>
          <t>False</t>
        </is>
      </c>
      <c r="AE74" s="29" t="inlineStr">
        <is>
          <t>valuation_credit_ml_overlay_candidate.csv</t>
        </is>
      </c>
      <c r="AF74" s="29" t="inlineStr">
        <is>
          <t>208개 반도체 reference universe. Valuation Agent가 자체 intake 폴더로 복제해 Peer/ML/대시보드 비교에 사용.</t>
        </is>
      </c>
    </row>
    <row r="75" ht="24" customHeight="1">
      <c r="A75" s="24" t="inlineStr">
        <is>
          <t>24</t>
        </is>
      </c>
      <c r="B75" s="24" t="inlineStr">
        <is>
          <t>해당 없음</t>
        </is>
      </c>
      <c r="C75" s="24" t="inlineStr">
        <is>
          <t>오디텍</t>
        </is>
      </c>
      <c r="D75" s="24" t="inlineStr">
        <is>
          <t>080520</t>
        </is>
      </c>
      <c r="E75" s="24" t="inlineStr">
        <is>
          <t>KOSDAQ</t>
        </is>
      </c>
      <c r="F75" s="24" t="inlineStr">
        <is>
          <t>IDM/제조/메모리</t>
        </is>
      </c>
      <c r="G75" s="24" t="inlineStr">
        <is>
          <t>IDM/제조/메모리</t>
        </is>
      </c>
      <c r="H75" s="24" t="inlineStr">
        <is>
          <t>False</t>
        </is>
      </c>
      <c r="I75" s="24" t="inlineStr">
        <is>
          <t>True</t>
        </is>
      </c>
      <c r="J75" s="24" t="inlineStr">
        <is>
          <t>OK</t>
        </is>
      </c>
      <c r="K75" s="24" t="inlineStr">
        <is>
          <t>데이터 사용 가능</t>
        </is>
      </c>
      <c r="L75" s="24" t="inlineStr">
        <is>
          <t>LOW</t>
        </is>
      </c>
      <c r="M75" s="24" t="inlineStr">
        <is>
          <t>LOW</t>
        </is>
      </c>
      <c r="N75" s="24" t="inlineStr">
        <is>
          <t>0.6083333333333334</t>
        </is>
      </c>
      <c r="O75" s="24" t="inlineStr">
        <is>
          <t>FAIR</t>
        </is>
      </c>
      <c r="P75" s="24" t="inlineStr">
        <is>
          <t>FAIR</t>
        </is>
      </c>
      <c r="Q75" s="24" t="inlineStr">
        <is>
          <t>FAIR</t>
        </is>
      </c>
      <c r="R75" s="24" t="inlineStr">
        <is>
          <t>0.8328575689014174</t>
        </is>
      </c>
      <c r="S75" s="24" t="inlineStr">
        <is>
          <t>HIGH</t>
        </is>
      </c>
      <c r="T75" s="24" t="inlineStr">
        <is>
          <t>HIGH</t>
        </is>
      </c>
      <c r="U75" s="24" t="inlineStr">
        <is>
          <t>0.4285714285714285</t>
        </is>
      </c>
      <c r="V75" s="24" t="inlineStr">
        <is>
          <t>HIGH_RISK</t>
        </is>
      </c>
      <c r="W75" s="24" t="inlineStr">
        <is>
          <t>고위험</t>
        </is>
      </c>
      <c r="X75" s="24" t="inlineStr">
        <is>
          <t>HIGH_RISK</t>
        </is>
      </c>
      <c r="Y75" s="24" t="inlineStr">
        <is>
          <t>0.5607063964580236</t>
        </is>
      </c>
      <c r="Z75" s="24" t="inlineStr">
        <is>
          <t>MEDIUM</t>
        </is>
      </c>
      <c r="AA75" s="24" t="inlineStr">
        <is>
          <t>MEDIUM</t>
        </is>
      </c>
      <c r="AB75" s="24" t="inlineStr">
        <is>
          <t>0.4397907707686155</t>
        </is>
      </c>
      <c r="AC75" s="24" t="inlineStr">
        <is>
          <t>True</t>
        </is>
      </c>
      <c r="AD75" s="24" t="inlineStr">
        <is>
          <t>True</t>
        </is>
      </c>
      <c r="AE75" s="24" t="inlineStr">
        <is>
          <t>valuation_credit_ml_overlay_candidate.csv</t>
        </is>
      </c>
      <c r="AF75" s="24" t="inlineStr">
        <is>
          <t>208개 반도체 reference universe. Valuation Agent가 자체 intake 폴더로 복제해 Peer/ML/대시보드 비교에 사용.</t>
        </is>
      </c>
    </row>
    <row r="76" ht="24" customHeight="1">
      <c r="A76" s="29" t="inlineStr">
        <is>
          <t>6</t>
        </is>
      </c>
      <c r="B76" s="29" t="inlineStr">
        <is>
          <t>해당 없음</t>
        </is>
      </c>
      <c r="C76" s="29" t="inlineStr">
        <is>
          <t>그린리소스</t>
        </is>
      </c>
      <c r="D76" s="29" t="inlineStr">
        <is>
          <t>402490</t>
        </is>
      </c>
      <c r="E76" s="29" t="inlineStr">
        <is>
          <t>KOSDAQ</t>
        </is>
      </c>
      <c r="F76" s="29" t="inlineStr">
        <is>
          <t>IDM/제조/메모리</t>
        </is>
      </c>
      <c r="G76" s="29" t="inlineStr">
        <is>
          <t>IDM/제조/메모리</t>
        </is>
      </c>
      <c r="H76" s="29" t="inlineStr">
        <is>
          <t>False</t>
        </is>
      </c>
      <c r="I76" s="29" t="inlineStr">
        <is>
          <t>True</t>
        </is>
      </c>
      <c r="J76" s="29" t="inlineStr">
        <is>
          <t>OK_LIMITED_HISTORY_OR_GROWTH_NA</t>
        </is>
      </c>
      <c r="K76" s="29" t="inlineStr">
        <is>
          <t>데이터 사용 가능</t>
        </is>
      </c>
      <c r="L76" s="29" t="inlineStr">
        <is>
          <t>LOW</t>
        </is>
      </c>
      <c r="M76" s="29" t="inlineStr">
        <is>
          <t>LOW</t>
        </is>
      </c>
      <c r="N76" s="29" t="inlineStr">
        <is>
          <t>0.6021666666666667</t>
        </is>
      </c>
      <c r="O76" s="29" t="inlineStr">
        <is>
          <t>FAIR</t>
        </is>
      </c>
      <c r="P76" s="29" t="inlineStr">
        <is>
          <t>FAIR</t>
        </is>
      </c>
      <c r="Q76" s="29" t="inlineStr">
        <is>
          <t>FAIR</t>
        </is>
      </c>
      <c r="R76" s="29" t="inlineStr">
        <is>
          <t>0.7869051998623771</t>
        </is>
      </c>
      <c r="S76" s="29" t="inlineStr">
        <is>
          <t>HIGH</t>
        </is>
      </c>
      <c r="T76" s="29" t="inlineStr">
        <is>
          <t>HIGH</t>
        </is>
      </c>
      <c r="U76" s="29" t="inlineStr">
        <is>
          <t>0.4285714285714285</t>
        </is>
      </c>
      <c r="V76" s="29" t="inlineStr">
        <is>
          <t>HIGH_RISK</t>
        </is>
      </c>
      <c r="W76" s="29" t="inlineStr">
        <is>
          <t>고위험</t>
        </is>
      </c>
      <c r="X76" s="29" t="inlineStr">
        <is>
          <t>HIGH_RISK</t>
        </is>
      </c>
      <c r="Y76" s="29" t="inlineStr">
        <is>
          <t>0.5860253292011965</t>
        </is>
      </c>
      <c r="Z76" s="29" t="inlineStr">
        <is>
          <t>MEDIUM</t>
        </is>
      </c>
      <c r="AA76" s="29" t="inlineStr">
        <is>
          <t>MEDIUM</t>
        </is>
      </c>
      <c r="AB76" s="29" t="inlineStr">
        <is>
          <t>0.04512954873345755</t>
        </is>
      </c>
      <c r="AC76" s="29" t="inlineStr">
        <is>
          <t>False</t>
        </is>
      </c>
      <c r="AD76" s="29" t="inlineStr">
        <is>
          <t>True</t>
        </is>
      </c>
      <c r="AE76" s="29" t="inlineStr">
        <is>
          <t>valuation_credit_ml_overlay_candidate.csv</t>
        </is>
      </c>
      <c r="AF76" s="29" t="inlineStr">
        <is>
          <t>208개 반도체 reference universe. Valuation Agent가 자체 intake 폴더로 복제해 Peer/ML/대시보드 비교에 사용.</t>
        </is>
      </c>
    </row>
    <row r="77" ht="24" customHeight="1">
      <c r="A77" s="24" t="inlineStr">
        <is>
          <t>8</t>
        </is>
      </c>
      <c r="B77" s="24" t="inlineStr">
        <is>
          <t>해당 없음</t>
        </is>
      </c>
      <c r="C77" s="24" t="inlineStr">
        <is>
          <t>루멘스</t>
        </is>
      </c>
      <c r="D77" s="24" t="inlineStr">
        <is>
          <t>038060</t>
        </is>
      </c>
      <c r="E77" s="24" t="inlineStr">
        <is>
          <t>KOSDAQ</t>
        </is>
      </c>
      <c r="F77" s="24" t="inlineStr">
        <is>
          <t>IDM/제조/메모리</t>
        </is>
      </c>
      <c r="G77" s="24" t="inlineStr">
        <is>
          <t>IDM/제조/메모리</t>
        </is>
      </c>
      <c r="H77" s="24" t="inlineStr">
        <is>
          <t>False</t>
        </is>
      </c>
      <c r="I77" s="24" t="inlineStr">
        <is>
          <t>True</t>
        </is>
      </c>
      <c r="J77" s="24" t="inlineStr">
        <is>
          <t>OK</t>
        </is>
      </c>
      <c r="K77" s="24" t="inlineStr">
        <is>
          <t>데이터 사용 가능</t>
        </is>
      </c>
      <c r="L77" s="24" t="inlineStr">
        <is>
          <t>LOW</t>
        </is>
      </c>
      <c r="M77" s="24" t="inlineStr">
        <is>
          <t>LOW</t>
        </is>
      </c>
      <c r="N77" s="24" t="inlineStr">
        <is>
          <t>0.5970000000000001</t>
        </is>
      </c>
      <c r="O77" s="24" t="inlineStr">
        <is>
          <t>FAIR</t>
        </is>
      </c>
      <c r="P77" s="24" t="inlineStr">
        <is>
          <t>FAIR</t>
        </is>
      </c>
      <c r="Q77" s="24" t="inlineStr">
        <is>
          <t>FAIR</t>
        </is>
      </c>
      <c r="R77" s="24" t="inlineStr">
        <is>
          <t>0.8437683700786414</t>
        </is>
      </c>
      <c r="S77" s="24" t="inlineStr">
        <is>
          <t>HIGH</t>
        </is>
      </c>
      <c r="T77" s="24" t="inlineStr">
        <is>
          <t>HIGH</t>
        </is>
      </c>
      <c r="U77" s="24" t="inlineStr">
        <is>
          <t>0.3571428571428571</t>
        </is>
      </c>
      <c r="V77" s="24" t="inlineStr">
        <is>
          <t>MEDIUM_RISK</t>
        </is>
      </c>
      <c r="W77" s="24" t="inlineStr">
        <is>
          <t>중위험</t>
        </is>
      </c>
      <c r="X77" s="24" t="inlineStr">
        <is>
          <t>MEDIUM_RISK</t>
        </is>
      </c>
      <c r="Y77" s="24" t="inlineStr">
        <is>
          <t>0.7365544810444915</t>
        </is>
      </c>
      <c r="Z77" s="24" t="inlineStr">
        <is>
          <t>HIGH</t>
        </is>
      </c>
      <c r="AA77" s="24" t="inlineStr">
        <is>
          <t>HIGH</t>
        </is>
      </c>
      <c r="AB77" s="24" t="inlineStr">
        <is>
          <t>0.0791711120821534</t>
        </is>
      </c>
      <c r="AC77" s="24" t="inlineStr">
        <is>
          <t>False</t>
        </is>
      </c>
      <c r="AD77" s="24" t="inlineStr">
        <is>
          <t>False</t>
        </is>
      </c>
      <c r="AE77" s="24" t="inlineStr">
        <is>
          <t>valuation_credit_ml_overlay_candidate.csv</t>
        </is>
      </c>
      <c r="AF77" s="24" t="inlineStr">
        <is>
          <t>208개 반도체 reference universe. Valuation Agent가 자체 intake 폴더로 복제해 Peer/ML/대시보드 비교에 사용.</t>
        </is>
      </c>
    </row>
    <row r="78" ht="24" customHeight="1">
      <c r="A78" s="29" t="inlineStr">
        <is>
          <t>37</t>
        </is>
      </c>
      <c r="B78" s="29" t="inlineStr">
        <is>
          <t>해당 없음</t>
        </is>
      </c>
      <c r="C78" s="29" t="inlineStr">
        <is>
          <t>피델릭스</t>
        </is>
      </c>
      <c r="D78" s="29" t="inlineStr">
        <is>
          <t>032580</t>
        </is>
      </c>
      <c r="E78" s="29" t="inlineStr">
        <is>
          <t>KOSDAQ</t>
        </is>
      </c>
      <c r="F78" s="29" t="inlineStr">
        <is>
          <t>IDM/제조/메모리</t>
        </is>
      </c>
      <c r="G78" s="29" t="inlineStr">
        <is>
          <t>IDM/제조/메모리</t>
        </is>
      </c>
      <c r="H78" s="29" t="inlineStr">
        <is>
          <t>False</t>
        </is>
      </c>
      <c r="I78" s="29" t="inlineStr">
        <is>
          <t>True</t>
        </is>
      </c>
      <c r="J78" s="29" t="inlineStr">
        <is>
          <t>OK</t>
        </is>
      </c>
      <c r="K78" s="29" t="inlineStr">
        <is>
          <t>데이터 사용 가능</t>
        </is>
      </c>
      <c r="L78" s="29" t="inlineStr">
        <is>
          <t>LOW</t>
        </is>
      </c>
      <c r="M78" s="29" t="inlineStr">
        <is>
          <t>LOW</t>
        </is>
      </c>
      <c r="N78" s="29" t="inlineStr">
        <is>
          <t>0.5873333333333334</t>
        </is>
      </c>
      <c r="O78" s="29" t="inlineStr">
        <is>
          <t>FAIR</t>
        </is>
      </c>
      <c r="P78" s="29" t="inlineStr">
        <is>
          <t>FAIR</t>
        </is>
      </c>
      <c r="Q78" s="29" t="inlineStr">
        <is>
          <t>FAIR</t>
        </is>
      </c>
      <c r="R78" s="29" t="inlineStr">
        <is>
          <t>0.8604826019551013</t>
        </is>
      </c>
      <c r="S78" s="29" t="inlineStr">
        <is>
          <t>HIGH</t>
        </is>
      </c>
      <c r="T78" s="29" t="inlineStr">
        <is>
          <t>HIGH</t>
        </is>
      </c>
      <c r="U78" s="29" t="inlineStr">
        <is>
          <t>0.5</t>
        </is>
      </c>
      <c r="V78" s="29" t="inlineStr">
        <is>
          <t>HIGH_RISK</t>
        </is>
      </c>
      <c r="W78" s="29" t="inlineStr">
        <is>
          <t>고위험</t>
        </is>
      </c>
      <c r="X78" s="29" t="inlineStr">
        <is>
          <t>HIGH_RISK</t>
        </is>
      </c>
      <c r="Y78" s="29" t="inlineStr">
        <is>
          <t>0.9138628953549666</t>
        </is>
      </c>
      <c r="Z78" s="29" t="inlineStr">
        <is>
          <t>HIGH</t>
        </is>
      </c>
      <c r="AA78" s="29" t="inlineStr">
        <is>
          <t>HIGH</t>
        </is>
      </c>
      <c r="AB78" s="29" t="inlineStr">
        <is>
          <t>0.0765288896391056</t>
        </is>
      </c>
      <c r="AC78" s="29" t="inlineStr">
        <is>
          <t>False</t>
        </is>
      </c>
      <c r="AD78" s="29" t="inlineStr">
        <is>
          <t>False</t>
        </is>
      </c>
      <c r="AE78" s="29" t="inlineStr">
        <is>
          <t>valuation_credit_ml_overlay_candidate.csv</t>
        </is>
      </c>
      <c r="AF78" s="29" t="inlineStr">
        <is>
          <t>208개 반도체 reference universe. Valuation Agent가 자체 intake 폴더로 복제해 Peer/ML/대시보드 비교에 사용.</t>
        </is>
      </c>
    </row>
    <row r="79" ht="24" customHeight="1">
      <c r="A79" s="24" t="inlineStr">
        <is>
          <t>21</t>
        </is>
      </c>
      <c r="B79" s="24" t="inlineStr">
        <is>
          <t>해당 없음</t>
        </is>
      </c>
      <c r="C79" s="24" t="inlineStr">
        <is>
          <t>엔시트론</t>
        </is>
      </c>
      <c r="D79" s="24" t="inlineStr">
        <is>
          <t>101400</t>
        </is>
      </c>
      <c r="E79" s="24" t="inlineStr">
        <is>
          <t>KOSDAQ</t>
        </is>
      </c>
      <c r="F79" s="24" t="inlineStr">
        <is>
          <t>IDM/제조/메모리</t>
        </is>
      </c>
      <c r="G79" s="24" t="inlineStr">
        <is>
          <t>IDM/제조/메모리</t>
        </is>
      </c>
      <c r="H79" s="24" t="inlineStr">
        <is>
          <t>False</t>
        </is>
      </c>
      <c r="I79" s="24" t="inlineStr">
        <is>
          <t>True</t>
        </is>
      </c>
      <c r="J79" s="24" t="inlineStr">
        <is>
          <t>OK</t>
        </is>
      </c>
      <c r="K79" s="24" t="inlineStr">
        <is>
          <t>데이터 사용 가능</t>
        </is>
      </c>
      <c r="L79" s="24" t="inlineStr">
        <is>
          <t>LOW</t>
        </is>
      </c>
      <c r="M79" s="24" t="inlineStr">
        <is>
          <t>LOW</t>
        </is>
      </c>
      <c r="N79" s="24" t="inlineStr">
        <is>
          <t>0.5773333333333333</t>
        </is>
      </c>
      <c r="O79" s="24" t="inlineStr">
        <is>
          <t>FAIR</t>
        </is>
      </c>
      <c r="P79" s="24" t="inlineStr">
        <is>
          <t>FAIR</t>
        </is>
      </c>
      <c r="Q79" s="24" t="inlineStr">
        <is>
          <t>FAIR</t>
        </is>
      </c>
      <c r="R79" s="24" t="inlineStr">
        <is>
          <t>0.8173941540342667</t>
        </is>
      </c>
      <c r="S79" s="24" t="inlineStr">
        <is>
          <t>HIGH</t>
        </is>
      </c>
      <c r="T79" s="24" t="inlineStr">
        <is>
          <t>HIGH</t>
        </is>
      </c>
      <c r="U79" s="24" t="inlineStr">
        <is>
          <t>0.3571428571428571</t>
        </is>
      </c>
      <c r="V79" s="24" t="inlineStr">
        <is>
          <t>MEDIUM_RISK</t>
        </is>
      </c>
      <c r="W79" s="24" t="inlineStr">
        <is>
          <t>중위험</t>
        </is>
      </c>
      <c r="X79" s="24" t="inlineStr">
        <is>
          <t>MEDIUM_RISK</t>
        </is>
      </c>
      <c r="Y79" s="24" t="inlineStr">
        <is>
          <t>0.7799614337035685</t>
        </is>
      </c>
      <c r="Z79" s="24" t="inlineStr">
        <is>
          <t>HIGH</t>
        </is>
      </c>
      <c r="AA79" s="24" t="inlineStr">
        <is>
          <t>HIGH</t>
        </is>
      </c>
      <c r="AB79" s="24" t="inlineStr">
        <is>
          <t>0.08202020185637905</t>
        </is>
      </c>
      <c r="AC79" s="24" t="inlineStr">
        <is>
          <t>False</t>
        </is>
      </c>
      <c r="AD79" s="24" t="inlineStr">
        <is>
          <t>False</t>
        </is>
      </c>
      <c r="AE79" s="24" t="inlineStr">
        <is>
          <t>valuation_credit_ml_overlay_candidate.csv</t>
        </is>
      </c>
      <c r="AF79" s="24" t="inlineStr">
        <is>
          <t>208개 반도체 reference universe. Valuation Agent가 자체 intake 폴더로 복제해 Peer/ML/대시보드 비교에 사용.</t>
        </is>
      </c>
    </row>
    <row r="80" ht="24" customHeight="1">
      <c r="A80" s="29" t="inlineStr">
        <is>
          <t>13</t>
        </is>
      </c>
      <c r="B80" s="29" t="inlineStr">
        <is>
          <t>해당 없음</t>
        </is>
      </c>
      <c r="C80" s="29" t="inlineStr">
        <is>
          <t>서울바이오시스</t>
        </is>
      </c>
      <c r="D80" s="29" t="inlineStr">
        <is>
          <t>092190</t>
        </is>
      </c>
      <c r="E80" s="29" t="inlineStr">
        <is>
          <t>KOSDAQ</t>
        </is>
      </c>
      <c r="F80" s="29" t="inlineStr">
        <is>
          <t>IDM/제조/메모리</t>
        </is>
      </c>
      <c r="G80" s="29" t="inlineStr">
        <is>
          <t>IDM/제조/메모리</t>
        </is>
      </c>
      <c r="H80" s="29" t="inlineStr">
        <is>
          <t>False</t>
        </is>
      </c>
      <c r="I80" s="29" t="inlineStr">
        <is>
          <t>True</t>
        </is>
      </c>
      <c r="J80" s="29" t="inlineStr">
        <is>
          <t>OK</t>
        </is>
      </c>
      <c r="K80" s="29" t="inlineStr">
        <is>
          <t>데이터 사용 가능</t>
        </is>
      </c>
      <c r="L80" s="29" t="inlineStr">
        <is>
          <t>LOW</t>
        </is>
      </c>
      <c r="M80" s="29" t="inlineStr">
        <is>
          <t>LOW</t>
        </is>
      </c>
      <c r="N80" s="29" t="inlineStr">
        <is>
          <t>0.5655</t>
        </is>
      </c>
      <c r="O80" s="29" t="inlineStr">
        <is>
          <t>FAIR</t>
        </is>
      </c>
      <c r="P80" s="29" t="inlineStr">
        <is>
          <t>FAIR</t>
        </is>
      </c>
      <c r="Q80" s="29" t="inlineStr">
        <is>
          <t>FAIR</t>
        </is>
      </c>
      <c r="R80" s="29" t="inlineStr">
        <is>
          <t>0.7336783523450653</t>
        </is>
      </c>
      <c r="S80" s="29" t="inlineStr">
        <is>
          <t>HIGH</t>
        </is>
      </c>
      <c r="T80" s="29" t="inlineStr">
        <is>
          <t>HIGH</t>
        </is>
      </c>
      <c r="U80" s="29" t="inlineStr">
        <is>
          <t>0.4285714285714285</t>
        </is>
      </c>
      <c r="V80" s="29" t="inlineStr">
        <is>
          <t>HIGH_RISK</t>
        </is>
      </c>
      <c r="W80" s="29" t="inlineStr">
        <is>
          <t>고위험</t>
        </is>
      </c>
      <c r="X80" s="29" t="inlineStr">
        <is>
          <t>MEDIUM_RISK</t>
        </is>
      </c>
      <c r="Y80" s="29" t="inlineStr">
        <is>
          <t>0.420701328500417</t>
        </is>
      </c>
      <c r="Z80" s="29" t="inlineStr">
        <is>
          <t>LOW</t>
        </is>
      </c>
      <c r="AA80" s="29" t="inlineStr">
        <is>
          <t>LOW</t>
        </is>
      </c>
      <c r="AB80" s="29" t="inlineStr">
        <is>
          <t>0.22867438374329632</t>
        </is>
      </c>
      <c r="AC80" s="29" t="inlineStr">
        <is>
          <t>False</t>
        </is>
      </c>
      <c r="AD80" s="29" t="inlineStr">
        <is>
          <t>True</t>
        </is>
      </c>
      <c r="AE80" s="29" t="inlineStr">
        <is>
          <t>valuation_credit_ml_overlay_candidate.csv</t>
        </is>
      </c>
      <c r="AF80" s="29" t="inlineStr">
        <is>
          <t>208개 반도체 reference universe. Valuation Agent가 자체 intake 폴더로 복제해 Peer/ML/대시보드 비교에 사용.</t>
        </is>
      </c>
    </row>
    <row r="81" ht="24" customHeight="1">
      <c r="A81" s="24" t="inlineStr">
        <is>
          <t>34</t>
        </is>
      </c>
      <c r="B81" s="24" t="inlineStr">
        <is>
          <t>해당 없음</t>
        </is>
      </c>
      <c r="C81" s="24" t="inlineStr">
        <is>
          <t>큐에스아이</t>
        </is>
      </c>
      <c r="D81" s="24" t="inlineStr">
        <is>
          <t>066310</t>
        </is>
      </c>
      <c r="E81" s="24" t="inlineStr">
        <is>
          <t>KOSDAQ</t>
        </is>
      </c>
      <c r="F81" s="24" t="inlineStr">
        <is>
          <t>IDM/제조/메모리</t>
        </is>
      </c>
      <c r="G81" s="24" t="inlineStr">
        <is>
          <t>IDM/제조/메모리</t>
        </is>
      </c>
      <c r="H81" s="24" t="inlineStr">
        <is>
          <t>False</t>
        </is>
      </c>
      <c r="I81" s="24" t="inlineStr">
        <is>
          <t>True</t>
        </is>
      </c>
      <c r="J81" s="24" t="inlineStr">
        <is>
          <t>OK</t>
        </is>
      </c>
      <c r="K81" s="24" t="inlineStr">
        <is>
          <t>데이터 사용 가능</t>
        </is>
      </c>
      <c r="L81" s="24" t="inlineStr">
        <is>
          <t>LOW</t>
        </is>
      </c>
      <c r="M81" s="24" t="inlineStr">
        <is>
          <t>LOW</t>
        </is>
      </c>
      <c r="N81" s="24" t="inlineStr">
        <is>
          <t>0.5423333333333333</t>
        </is>
      </c>
      <c r="O81" s="24" t="inlineStr">
        <is>
          <t>FAIR</t>
        </is>
      </c>
      <c r="P81" s="24" t="inlineStr">
        <is>
          <t>FAIR</t>
        </is>
      </c>
      <c r="Q81" s="24" t="inlineStr">
        <is>
          <t>FAIR</t>
        </is>
      </c>
      <c r="R81" s="24" t="inlineStr">
        <is>
          <t>0.5496283015517583</t>
        </is>
      </c>
      <c r="S81" s="24" t="inlineStr">
        <is>
          <t>MEDIUM</t>
        </is>
      </c>
      <c r="T81" s="24" t="inlineStr">
        <is>
          <t>MEDIUM</t>
        </is>
      </c>
      <c r="U81" s="24" t="inlineStr">
        <is>
          <t>0.0714285714285714</t>
        </is>
      </c>
      <c r="V81" s="24" t="inlineStr">
        <is>
          <t>LOW_RISK</t>
        </is>
      </c>
      <c r="W81" s="24" t="inlineStr">
        <is>
          <t>저위험</t>
        </is>
      </c>
      <c r="X81" s="24" t="inlineStr">
        <is>
          <t>LOW_RISK</t>
        </is>
      </c>
      <c r="Y81" s="24" t="inlineStr">
        <is>
          <t>0.8341403016587674</t>
        </is>
      </c>
      <c r="Z81" s="24" t="inlineStr">
        <is>
          <t>HIGH</t>
        </is>
      </c>
      <c r="AA81" s="24" t="inlineStr">
        <is>
          <t>HIGH</t>
        </is>
      </c>
      <c r="AB81" s="24" t="inlineStr">
        <is>
          <t>0.21446147407494193</t>
        </is>
      </c>
      <c r="AC81" s="24" t="inlineStr">
        <is>
          <t>False</t>
        </is>
      </c>
      <c r="AD81" s="24" t="inlineStr">
        <is>
          <t>False</t>
        </is>
      </c>
      <c r="AE81" s="24" t="inlineStr">
        <is>
          <t>valuation_credit_ml_overlay_candidate.csv</t>
        </is>
      </c>
      <c r="AF81" s="24" t="inlineStr">
        <is>
          <t>208개 반도체 reference universe. Valuation Agent가 자체 intake 폴더로 복제해 Peer/ML/대시보드 비교에 사용.</t>
        </is>
      </c>
    </row>
    <row r="82" ht="24" customHeight="1">
      <c r="A82" s="29" t="inlineStr">
        <is>
          <t>23</t>
        </is>
      </c>
      <c r="B82" s="29" t="inlineStr">
        <is>
          <t>해당 없음</t>
        </is>
      </c>
      <c r="C82" s="29" t="inlineStr">
        <is>
          <t>엘오티베큠</t>
        </is>
      </c>
      <c r="D82" s="29" t="inlineStr">
        <is>
          <t>083310</t>
        </is>
      </c>
      <c r="E82" s="29" t="inlineStr">
        <is>
          <t>KOSDAQ</t>
        </is>
      </c>
      <c r="F82" s="29" t="inlineStr">
        <is>
          <t>IDM/제조/메모리</t>
        </is>
      </c>
      <c r="G82" s="29" t="inlineStr">
        <is>
          <t>IDM/제조/메모리</t>
        </is>
      </c>
      <c r="H82" s="29" t="inlineStr">
        <is>
          <t>False</t>
        </is>
      </c>
      <c r="I82" s="29" t="inlineStr">
        <is>
          <t>True</t>
        </is>
      </c>
      <c r="J82" s="29" t="inlineStr">
        <is>
          <t>OK</t>
        </is>
      </c>
      <c r="K82" s="29" t="inlineStr">
        <is>
          <t>데이터 사용 가능</t>
        </is>
      </c>
      <c r="L82" s="29" t="inlineStr">
        <is>
          <t>LOW</t>
        </is>
      </c>
      <c r="M82" s="29" t="inlineStr">
        <is>
          <t>LOW</t>
        </is>
      </c>
      <c r="N82" s="29" t="inlineStr">
        <is>
          <t>0.538</t>
        </is>
      </c>
      <c r="O82" s="29" t="inlineStr">
        <is>
          <t>FAIR</t>
        </is>
      </c>
      <c r="P82" s="29" t="inlineStr">
        <is>
          <t>FAIR</t>
        </is>
      </c>
      <c r="Q82" s="29" t="inlineStr">
        <is>
          <t>FAIR</t>
        </is>
      </c>
      <c r="R82" s="29" t="inlineStr">
        <is>
          <t>0.860578291373445</t>
        </is>
      </c>
      <c r="S82" s="29" t="inlineStr">
        <is>
          <t>HIGH</t>
        </is>
      </c>
      <c r="T82" s="29" t="inlineStr">
        <is>
          <t>HIGH</t>
        </is>
      </c>
      <c r="U82" s="29" t="inlineStr">
        <is>
          <t>0.2142857142857142</t>
        </is>
      </c>
      <c r="V82" s="29" t="inlineStr">
        <is>
          <t>MEDIUM_RISK</t>
        </is>
      </c>
      <c r="W82" s="29" t="inlineStr">
        <is>
          <t>중위험</t>
        </is>
      </c>
      <c r="X82" s="29" t="inlineStr">
        <is>
          <t>MEDIUM_RISK</t>
        </is>
      </c>
      <c r="Y82" s="29" t="inlineStr">
        <is>
          <t>0.8356274138697954</t>
        </is>
      </c>
      <c r="Z82" s="29" t="inlineStr">
        <is>
          <t>HIGH</t>
        </is>
      </c>
      <c r="AA82" s="29" t="inlineStr">
        <is>
          <t>HIGH</t>
        </is>
      </c>
      <c r="AB82" s="29" t="inlineStr">
        <is>
          <t>0.04088276425948358</t>
        </is>
      </c>
      <c r="AC82" s="29" t="inlineStr">
        <is>
          <t>False</t>
        </is>
      </c>
      <c r="AD82" s="29" t="inlineStr">
        <is>
          <t>False</t>
        </is>
      </c>
      <c r="AE82" s="29" t="inlineStr">
        <is>
          <t>valuation_credit_ml_overlay_candidate.csv</t>
        </is>
      </c>
      <c r="AF82" s="29" t="inlineStr">
        <is>
          <t>208개 반도체 reference universe. Valuation Agent가 자체 intake 폴더로 복제해 Peer/ML/대시보드 비교에 사용.</t>
        </is>
      </c>
    </row>
    <row r="83" ht="24" customHeight="1">
      <c r="A83" s="24" t="inlineStr">
        <is>
          <t>11</t>
        </is>
      </c>
      <c r="B83" s="24" t="inlineStr">
        <is>
          <t>해당 없음</t>
        </is>
      </c>
      <c r="C83" s="24" t="inlineStr">
        <is>
          <t>비씨엔씨</t>
        </is>
      </c>
      <c r="D83" s="24" t="inlineStr">
        <is>
          <t>146320</t>
        </is>
      </c>
      <c r="E83" s="24" t="inlineStr">
        <is>
          <t>KOSDAQ</t>
        </is>
      </c>
      <c r="F83" s="24" t="inlineStr">
        <is>
          <t>IDM/제조/메모리</t>
        </is>
      </c>
      <c r="G83" s="24" t="inlineStr">
        <is>
          <t>IDM/제조/메모리</t>
        </is>
      </c>
      <c r="H83" s="24" t="inlineStr">
        <is>
          <t>False</t>
        </is>
      </c>
      <c r="I83" s="24" t="inlineStr">
        <is>
          <t>True</t>
        </is>
      </c>
      <c r="J83" s="24" t="inlineStr">
        <is>
          <t>KEY_ACCOUNT_PARTIAL_MISSING</t>
        </is>
      </c>
      <c r="K83" s="24" t="inlineStr">
        <is>
          <t>데이터 사용 가능</t>
        </is>
      </c>
      <c r="L83" s="24" t="inlineStr">
        <is>
          <t>MEDIUM</t>
        </is>
      </c>
      <c r="M83" s="24" t="inlineStr">
        <is>
          <t>MEDIUM</t>
        </is>
      </c>
      <c r="N83" s="24" t="inlineStr">
        <is>
          <t>0.5365833333333333</t>
        </is>
      </c>
      <c r="O83" s="24" t="inlineStr">
        <is>
          <t>FAIR</t>
        </is>
      </c>
      <c r="P83" s="24" t="inlineStr">
        <is>
          <t>FAIR</t>
        </is>
      </c>
      <c r="Q83" s="24" t="inlineStr">
        <is>
          <t>FAIR</t>
        </is>
      </c>
      <c r="R83" s="24" t="inlineStr">
        <is>
          <t>0.7033805368548921</t>
        </is>
      </c>
      <c r="S83" s="24" t="inlineStr">
        <is>
          <t>HIGH</t>
        </is>
      </c>
      <c r="T83" s="24" t="inlineStr">
        <is>
          <t>HIGH</t>
        </is>
      </c>
      <c r="U83" s="24" t="inlineStr">
        <is>
          <t>0.2857142857142857</t>
        </is>
      </c>
      <c r="V83" s="24" t="inlineStr">
        <is>
          <t>MEDIUM_RISK</t>
        </is>
      </c>
      <c r="W83" s="24" t="inlineStr">
        <is>
          <t>중위험</t>
        </is>
      </c>
      <c r="X83" s="24" t="inlineStr">
        <is>
          <t>MEDIUM_RISK</t>
        </is>
      </c>
      <c r="Y83" s="24" t="inlineStr">
        <is>
          <t>0.7333342608471988</t>
        </is>
      </c>
      <c r="Z83" s="24" t="inlineStr">
        <is>
          <t>HIGH</t>
        </is>
      </c>
      <c r="AA83" s="24" t="inlineStr">
        <is>
          <t>HIGH</t>
        </is>
      </c>
      <c r="AB83" s="24" t="inlineStr">
        <is>
          <t>0.031762409510830696</t>
        </is>
      </c>
      <c r="AC83" s="24" t="inlineStr">
        <is>
          <t>False</t>
        </is>
      </c>
      <c r="AD83" s="24" t="inlineStr">
        <is>
          <t>True</t>
        </is>
      </c>
      <c r="AE83" s="24" t="inlineStr">
        <is>
          <t>valuation_credit_ml_overlay_candidate.csv</t>
        </is>
      </c>
      <c r="AF83" s="24" t="inlineStr">
        <is>
          <t>208개 반도체 reference universe. Valuation Agent가 자체 intake 폴더로 복제해 Peer/ML/대시보드 비교에 사용.</t>
        </is>
      </c>
    </row>
    <row r="84" ht="24" customHeight="1">
      <c r="A84" s="29" t="inlineStr">
        <is>
          <t>36</t>
        </is>
      </c>
      <c r="B84" s="29" t="inlineStr">
        <is>
          <t>해당 없음</t>
        </is>
      </c>
      <c r="C84" s="29" t="inlineStr">
        <is>
          <t>티엘비</t>
        </is>
      </c>
      <c r="D84" s="29" t="inlineStr">
        <is>
          <t>356860</t>
        </is>
      </c>
      <c r="E84" s="29" t="inlineStr">
        <is>
          <t>KOSDAQ</t>
        </is>
      </c>
      <c r="F84" s="29" t="inlineStr">
        <is>
          <t>IDM/제조/메모리</t>
        </is>
      </c>
      <c r="G84" s="29" t="inlineStr">
        <is>
          <t>IDM/제조/메모리</t>
        </is>
      </c>
      <c r="H84" s="29" t="inlineStr">
        <is>
          <t>False</t>
        </is>
      </c>
      <c r="I84" s="29" t="inlineStr">
        <is>
          <t>True</t>
        </is>
      </c>
      <c r="J84" s="29" t="inlineStr">
        <is>
          <t>OK</t>
        </is>
      </c>
      <c r="K84" s="29" t="inlineStr">
        <is>
          <t>데이터 사용 가능</t>
        </is>
      </c>
      <c r="L84" s="29" t="inlineStr">
        <is>
          <t>LOW</t>
        </is>
      </c>
      <c r="M84" s="29" t="inlineStr">
        <is>
          <t>LOW</t>
        </is>
      </c>
      <c r="N84" s="29" t="inlineStr">
        <is>
          <t>0.5361666666666667</t>
        </is>
      </c>
      <c r="O84" s="29" t="inlineStr">
        <is>
          <t>FAIR</t>
        </is>
      </c>
      <c r="P84" s="29" t="inlineStr">
        <is>
          <t>FAIR</t>
        </is>
      </c>
      <c r="Q84" s="29" t="inlineStr">
        <is>
          <t>FAIR</t>
        </is>
      </c>
      <c r="R84" s="29" t="inlineStr">
        <is>
          <t>0.8509295904965918</t>
        </is>
      </c>
      <c r="S84" s="29" t="inlineStr">
        <is>
          <t>HIGH</t>
        </is>
      </c>
      <c r="T84" s="29" t="inlineStr">
        <is>
          <t>HIGH</t>
        </is>
      </c>
      <c r="U84" s="29" t="inlineStr">
        <is>
          <t>0.0714285714285714</t>
        </is>
      </c>
      <c r="V84" s="29" t="inlineStr">
        <is>
          <t>LOW_RISK</t>
        </is>
      </c>
      <c r="W84" s="29" t="inlineStr">
        <is>
          <t>저위험</t>
        </is>
      </c>
      <c r="X84" s="29" t="inlineStr">
        <is>
          <t>LOW_RISK</t>
        </is>
      </c>
      <c r="Y84" s="29" t="inlineStr">
        <is>
          <t>0.6625834729097503</t>
        </is>
      </c>
      <c r="Z84" s="29" t="inlineStr">
        <is>
          <t>MEDIUM</t>
        </is>
      </c>
      <c r="AA84" s="29" t="inlineStr">
        <is>
          <t>MEDIUM</t>
        </is>
      </c>
      <c r="AB84" s="29" t="inlineStr">
        <is>
          <t>0.01843936297746685</t>
        </is>
      </c>
      <c r="AC84" s="29" t="inlineStr">
        <is>
          <t>False</t>
        </is>
      </c>
      <c r="AD84" s="29" t="inlineStr">
        <is>
          <t>False</t>
        </is>
      </c>
      <c r="AE84" s="29" t="inlineStr">
        <is>
          <t>valuation_credit_ml_overlay_candidate.csv</t>
        </is>
      </c>
      <c r="AF84" s="29" t="inlineStr">
        <is>
          <t>208개 반도체 reference universe. Valuation Agent가 자체 intake 폴더로 복제해 Peer/ML/대시보드 비교에 사용.</t>
        </is>
      </c>
    </row>
    <row r="85" ht="24" customHeight="1">
      <c r="A85" s="24" t="inlineStr">
        <is>
          <t>38</t>
        </is>
      </c>
      <c r="B85" s="24" t="inlineStr">
        <is>
          <t>해당 없음</t>
        </is>
      </c>
      <c r="C85" s="24" t="inlineStr">
        <is>
          <t>하나머티리얼즈</t>
        </is>
      </c>
      <c r="D85" s="24" t="inlineStr">
        <is>
          <t>166090</t>
        </is>
      </c>
      <c r="E85" s="24" t="inlineStr">
        <is>
          <t>KOSDAQ GLOBAL</t>
        </is>
      </c>
      <c r="F85" s="24" t="inlineStr">
        <is>
          <t>IDM/제조/메모리</t>
        </is>
      </c>
      <c r="G85" s="24" t="inlineStr">
        <is>
          <t>IDM/제조/메모리</t>
        </is>
      </c>
      <c r="H85" s="24" t="inlineStr">
        <is>
          <t>False</t>
        </is>
      </c>
      <c r="I85" s="24" t="inlineStr">
        <is>
          <t>True</t>
        </is>
      </c>
      <c r="J85" s="24" t="inlineStr">
        <is>
          <t>OK</t>
        </is>
      </c>
      <c r="K85" s="24" t="inlineStr">
        <is>
          <t>데이터 사용 가능</t>
        </is>
      </c>
      <c r="L85" s="24" t="inlineStr">
        <is>
          <t>LOW</t>
        </is>
      </c>
      <c r="M85" s="24" t="inlineStr">
        <is>
          <t>LOW</t>
        </is>
      </c>
      <c r="N85" s="24" t="inlineStr">
        <is>
          <t>0.5321666666666667</t>
        </is>
      </c>
      <c r="O85" s="24" t="inlineStr">
        <is>
          <t>FAIR</t>
        </is>
      </c>
      <c r="P85" s="24" t="inlineStr">
        <is>
          <t>FAIR</t>
        </is>
      </c>
      <c r="Q85" s="24" t="inlineStr">
        <is>
          <t>ATTRACTIVE</t>
        </is>
      </c>
      <c r="R85" s="24" t="inlineStr">
        <is>
          <t>0.6425667923365267</t>
        </is>
      </c>
      <c r="S85" s="24" t="inlineStr">
        <is>
          <t>MEDIUM</t>
        </is>
      </c>
      <c r="T85" s="24" t="inlineStr">
        <is>
          <t>MEDIUM</t>
        </is>
      </c>
      <c r="U85" s="24" t="inlineStr">
        <is>
          <t>0.0</t>
        </is>
      </c>
      <c r="V85" s="24" t="inlineStr">
        <is>
          <t>LOW_RISK</t>
        </is>
      </c>
      <c r="W85" s="24" t="inlineStr">
        <is>
          <t>저위험</t>
        </is>
      </c>
      <c r="X85" s="24" t="inlineStr">
        <is>
          <t>LOW_RISK</t>
        </is>
      </c>
      <c r="Y85" s="24" t="inlineStr">
        <is>
          <t>0.9093779024453453</t>
        </is>
      </c>
      <c r="Z85" s="24" t="inlineStr">
        <is>
          <t>HIGH</t>
        </is>
      </c>
      <c r="AA85" s="24" t="inlineStr">
        <is>
          <t>HIGH</t>
        </is>
      </c>
      <c r="AB85" s="24" t="inlineStr">
        <is>
          <t>0.030620686282363033</t>
        </is>
      </c>
      <c r="AC85" s="24" t="inlineStr">
        <is>
          <t>False</t>
        </is>
      </c>
      <c r="AD85" s="24" t="inlineStr">
        <is>
          <t>False</t>
        </is>
      </c>
      <c r="AE85" s="24" t="inlineStr">
        <is>
          <t>valuation_credit_ml_overlay_candidate.csv</t>
        </is>
      </c>
      <c r="AF85" s="24" t="inlineStr">
        <is>
          <t>208개 반도체 reference universe. Valuation Agent가 자체 intake 폴더로 복제해 Peer/ML/대시보드 비교에 사용.</t>
        </is>
      </c>
    </row>
    <row r="86" ht="24" customHeight="1">
      <c r="A86" s="29" t="inlineStr">
        <is>
          <t>26</t>
        </is>
      </c>
      <c r="B86" s="29" t="inlineStr">
        <is>
          <t>해당 없음</t>
        </is>
      </c>
      <c r="C86" s="29" t="inlineStr">
        <is>
          <t>웰킵스하이텍</t>
        </is>
      </c>
      <c r="D86" s="29" t="inlineStr">
        <is>
          <t>043590</t>
        </is>
      </c>
      <c r="E86" s="29" t="inlineStr">
        <is>
          <t>KOSDAQ</t>
        </is>
      </c>
      <c r="F86" s="29" t="inlineStr">
        <is>
          <t>IDM/제조/메모리</t>
        </is>
      </c>
      <c r="G86" s="29" t="inlineStr">
        <is>
          <t>IDM/제조/메모리</t>
        </is>
      </c>
      <c r="H86" s="29" t="inlineStr">
        <is>
          <t>False</t>
        </is>
      </c>
      <c r="I86" s="29" t="inlineStr">
        <is>
          <t>True</t>
        </is>
      </c>
      <c r="J86" s="29" t="inlineStr">
        <is>
          <t>OK</t>
        </is>
      </c>
      <c r="K86" s="29" t="inlineStr">
        <is>
          <t>데이터 사용 가능</t>
        </is>
      </c>
      <c r="L86" s="29" t="inlineStr">
        <is>
          <t>LOW</t>
        </is>
      </c>
      <c r="M86" s="29" t="inlineStr">
        <is>
          <t>LOW</t>
        </is>
      </c>
      <c r="N86" s="29" t="inlineStr">
        <is>
          <t>0.5086666666666667</t>
        </is>
      </c>
      <c r="O86" s="29" t="inlineStr">
        <is>
          <t>FAIR</t>
        </is>
      </c>
      <c r="P86" s="29" t="inlineStr">
        <is>
          <t>FAIR</t>
        </is>
      </c>
      <c r="Q86" s="29" t="inlineStr">
        <is>
          <t>FAIR</t>
        </is>
      </c>
      <c r="R86" s="29" t="inlineStr">
        <is>
          <t>0.7753200487478359</t>
        </is>
      </c>
      <c r="S86" s="29" t="inlineStr">
        <is>
          <t>HIGH</t>
        </is>
      </c>
      <c r="T86" s="29" t="inlineStr">
        <is>
          <t>HIGH</t>
        </is>
      </c>
      <c r="U86" s="29" t="inlineStr">
        <is>
          <t>0.7142857142857143</t>
        </is>
      </c>
      <c r="V86" s="29" t="inlineStr">
        <is>
          <t>HIGH_RISK</t>
        </is>
      </c>
      <c r="W86" s="29" t="inlineStr">
        <is>
          <t>고위험</t>
        </is>
      </c>
      <c r="X86" s="29" t="inlineStr">
        <is>
          <t>HIGH_RISK</t>
        </is>
      </c>
      <c r="Y86" s="29" t="inlineStr">
        <is>
          <t>0.947839296487721</t>
        </is>
      </c>
      <c r="Z86" s="29" t="inlineStr">
        <is>
          <t>HIGH</t>
        </is>
      </c>
      <c r="AA86" s="29" t="inlineStr">
        <is>
          <t>HIGH</t>
        </is>
      </c>
      <c r="AB86" s="29" t="inlineStr">
        <is>
          <t>0.081041930024575</t>
        </is>
      </c>
      <c r="AC86" s="29" t="inlineStr">
        <is>
          <t>False</t>
        </is>
      </c>
      <c r="AD86" s="29" t="inlineStr">
        <is>
          <t>False</t>
        </is>
      </c>
      <c r="AE86" s="29" t="inlineStr">
        <is>
          <t>valuation_credit_ml_overlay_candidate.csv</t>
        </is>
      </c>
      <c r="AF86" s="29" t="inlineStr">
        <is>
          <t>208개 반도체 reference universe. Valuation Agent가 자체 intake 폴더로 복제해 Peer/ML/대시보드 비교에 사용.</t>
        </is>
      </c>
    </row>
    <row r="87" ht="24" customHeight="1">
      <c r="A87" s="24" t="inlineStr">
        <is>
          <t>35</t>
        </is>
      </c>
      <c r="B87" s="24" t="inlineStr">
        <is>
          <t>해당 없음</t>
        </is>
      </c>
      <c r="C87" s="24" t="inlineStr">
        <is>
          <t>테크엘</t>
        </is>
      </c>
      <c r="D87" s="24" t="inlineStr">
        <is>
          <t>064520</t>
        </is>
      </c>
      <c r="E87" s="24" t="inlineStr">
        <is>
          <t>KOSDAQ</t>
        </is>
      </c>
      <c r="F87" s="24" t="inlineStr">
        <is>
          <t>IDM/제조/메모리</t>
        </is>
      </c>
      <c r="G87" s="24" t="inlineStr">
        <is>
          <t>IDM/제조/메모리</t>
        </is>
      </c>
      <c r="H87" s="24" t="inlineStr">
        <is>
          <t>False</t>
        </is>
      </c>
      <c r="I87" s="24" t="inlineStr">
        <is>
          <t>True</t>
        </is>
      </c>
      <c r="J87" s="24" t="inlineStr">
        <is>
          <t>OK</t>
        </is>
      </c>
      <c r="K87" s="24" t="inlineStr">
        <is>
          <t>데이터 사용 가능</t>
        </is>
      </c>
      <c r="L87" s="24" t="inlineStr">
        <is>
          <t>LOW</t>
        </is>
      </c>
      <c r="M87" s="24" t="inlineStr">
        <is>
          <t>LOW</t>
        </is>
      </c>
      <c r="N87" s="24" t="inlineStr">
        <is>
          <t>0.4756666666666667</t>
        </is>
      </c>
      <c r="O87" s="24" t="inlineStr">
        <is>
          <t>FAIR</t>
        </is>
      </c>
      <c r="P87" s="24" t="inlineStr">
        <is>
          <t>FAIR</t>
        </is>
      </c>
      <c r="Q87" s="24" t="inlineStr">
        <is>
          <t>FAIR</t>
        </is>
      </c>
      <c r="R87" s="24" t="inlineStr">
        <is>
          <t>0.7806095936743286</t>
        </is>
      </c>
      <c r="S87" s="24" t="inlineStr">
        <is>
          <t>HIGH</t>
        </is>
      </c>
      <c r="T87" s="24" t="inlineStr">
        <is>
          <t>HIGH</t>
        </is>
      </c>
      <c r="U87" s="24" t="inlineStr">
        <is>
          <t>0.5</t>
        </is>
      </c>
      <c r="V87" s="24" t="inlineStr">
        <is>
          <t>HIGH_RISK</t>
        </is>
      </c>
      <c r="W87" s="24" t="inlineStr">
        <is>
          <t>고위험</t>
        </is>
      </c>
      <c r="X87" s="24" t="inlineStr">
        <is>
          <t>HIGH_RISK</t>
        </is>
      </c>
      <c r="Y87" s="24" t="inlineStr">
        <is>
          <t>0.8561648968032103</t>
        </is>
      </c>
      <c r="Z87" s="24" t="inlineStr">
        <is>
          <t>HIGH</t>
        </is>
      </c>
      <c r="AA87" s="24" t="inlineStr">
        <is>
          <t>HIGH</t>
        </is>
      </c>
      <c r="AB87" s="24" t="inlineStr">
        <is>
          <t>0.5330742789427354</t>
        </is>
      </c>
      <c r="AC87" s="24" t="inlineStr">
        <is>
          <t>True</t>
        </is>
      </c>
      <c r="AD87" s="24" t="inlineStr">
        <is>
          <t>True</t>
        </is>
      </c>
      <c r="AE87" s="24" t="inlineStr">
        <is>
          <t>valuation_credit_ml_overlay_candidate.csv</t>
        </is>
      </c>
      <c r="AF87" s="24" t="inlineStr">
        <is>
          <t>208개 반도체 reference universe. Valuation Agent가 자체 intake 폴더로 복제해 Peer/ML/대시보드 비교에 사용.</t>
        </is>
      </c>
    </row>
    <row r="88" ht="24" customHeight="1">
      <c r="A88" s="29" t="inlineStr">
        <is>
          <t>14</t>
        </is>
      </c>
      <c r="B88" s="29" t="inlineStr">
        <is>
          <t>해당 없음</t>
        </is>
      </c>
      <c r="C88" s="29" t="inlineStr">
        <is>
          <t>서울반도체</t>
        </is>
      </c>
      <c r="D88" s="29" t="inlineStr">
        <is>
          <t>046890</t>
        </is>
      </c>
      <c r="E88" s="29" t="inlineStr">
        <is>
          <t>KOSDAQ GLOBAL</t>
        </is>
      </c>
      <c r="F88" s="29" t="inlineStr">
        <is>
          <t>IDM/제조/메모리</t>
        </is>
      </c>
      <c r="G88" s="29" t="inlineStr">
        <is>
          <t>IDM/제조/메모리</t>
        </is>
      </c>
      <c r="H88" s="29" t="inlineStr">
        <is>
          <t>False</t>
        </is>
      </c>
      <c r="I88" s="29" t="inlineStr">
        <is>
          <t>True</t>
        </is>
      </c>
      <c r="J88" s="29" t="inlineStr">
        <is>
          <t>OK</t>
        </is>
      </c>
      <c r="K88" s="29" t="inlineStr">
        <is>
          <t>데이터 사용 가능</t>
        </is>
      </c>
      <c r="L88" s="29" t="inlineStr">
        <is>
          <t>LOW</t>
        </is>
      </c>
      <c r="M88" s="29" t="inlineStr">
        <is>
          <t>LOW</t>
        </is>
      </c>
      <c r="N88" s="29" t="inlineStr">
        <is>
          <t>0.4713333333333333</t>
        </is>
      </c>
      <c r="O88" s="29" t="inlineStr">
        <is>
          <t>FAIR</t>
        </is>
      </c>
      <c r="P88" s="29" t="inlineStr">
        <is>
          <t>FAIR</t>
        </is>
      </c>
      <c r="Q88" s="29" t="inlineStr">
        <is>
          <t>FAIR</t>
        </is>
      </c>
      <c r="R88" s="29" t="inlineStr">
        <is>
          <t>0.8223266790603506</t>
        </is>
      </c>
      <c r="S88" s="29" t="inlineStr">
        <is>
          <t>HIGH</t>
        </is>
      </c>
      <c r="T88" s="29" t="inlineStr">
        <is>
          <t>HIGH</t>
        </is>
      </c>
      <c r="U88" s="29" t="inlineStr">
        <is>
          <t>0.4285714285714285</t>
        </is>
      </c>
      <c r="V88" s="29" t="inlineStr">
        <is>
          <t>HIGH_RISK</t>
        </is>
      </c>
      <c r="W88" s="29" t="inlineStr">
        <is>
          <t>고위험</t>
        </is>
      </c>
      <c r="X88" s="29" t="inlineStr">
        <is>
          <t>HIGH_RISK</t>
        </is>
      </c>
      <c r="Y88" s="29" t="inlineStr">
        <is>
          <t>0.4638497062404094</t>
        </is>
      </c>
      <c r="Z88" s="29" t="inlineStr">
        <is>
          <t>LOW</t>
        </is>
      </c>
      <c r="AA88" s="29" t="inlineStr">
        <is>
          <t>LOW</t>
        </is>
      </c>
      <c r="AB88" s="29" t="inlineStr">
        <is>
          <t>0.03475805140959721</t>
        </is>
      </c>
      <c r="AC88" s="29" t="inlineStr">
        <is>
          <t>False</t>
        </is>
      </c>
      <c r="AD88" s="29" t="inlineStr">
        <is>
          <t>True</t>
        </is>
      </c>
      <c r="AE88" s="29" t="inlineStr">
        <is>
          <t>valuation_credit_ml_overlay_candidate.csv</t>
        </is>
      </c>
      <c r="AF88" s="29" t="inlineStr">
        <is>
          <t>208개 반도체 reference universe. Valuation Agent가 자체 intake 폴더로 복제해 Peer/ML/대시보드 비교에 사용.</t>
        </is>
      </c>
    </row>
    <row r="89" ht="24" customHeight="1">
      <c r="A89" s="24" t="inlineStr">
        <is>
          <t>2</t>
        </is>
      </c>
      <c r="B89" s="24" t="inlineStr">
        <is>
          <t>해당 없음</t>
        </is>
      </c>
      <c r="C89" s="24" t="inlineStr">
        <is>
          <t>HD현대에너지솔루션</t>
        </is>
      </c>
      <c r="D89" s="24" t="inlineStr">
        <is>
          <t>322000</t>
        </is>
      </c>
      <c r="E89" s="24" t="inlineStr">
        <is>
          <t>KOSPI</t>
        </is>
      </c>
      <c r="F89" s="24" t="inlineStr">
        <is>
          <t>IDM/제조/메모리</t>
        </is>
      </c>
      <c r="G89" s="24" t="inlineStr">
        <is>
          <t>IDM/제조/메모리</t>
        </is>
      </c>
      <c r="H89" s="24" t="inlineStr">
        <is>
          <t>False</t>
        </is>
      </c>
      <c r="I89" s="24" t="inlineStr">
        <is>
          <t>True</t>
        </is>
      </c>
      <c r="J89" s="24" t="inlineStr">
        <is>
          <t>OK</t>
        </is>
      </c>
      <c r="K89" s="24" t="inlineStr">
        <is>
          <t>데이터 사용 가능</t>
        </is>
      </c>
      <c r="L89" s="24" t="inlineStr">
        <is>
          <t>LOW</t>
        </is>
      </c>
      <c r="M89" s="24" t="inlineStr">
        <is>
          <t>LOW</t>
        </is>
      </c>
      <c r="N89" s="24" t="inlineStr">
        <is>
          <t>0.465</t>
        </is>
      </c>
      <c r="O89" s="24" t="inlineStr">
        <is>
          <t>FAIR</t>
        </is>
      </c>
      <c r="P89" s="24" t="inlineStr">
        <is>
          <t>FAIR</t>
        </is>
      </c>
      <c r="Q89" s="24" t="inlineStr">
        <is>
          <t>FAIR</t>
        </is>
      </c>
      <c r="R89" s="24" t="inlineStr">
        <is>
          <t>0.6226975287022534</t>
        </is>
      </c>
      <c r="S89" s="24" t="inlineStr">
        <is>
          <t>MEDIUM</t>
        </is>
      </c>
      <c r="T89" s="24" t="inlineStr">
        <is>
          <t>MEDIUM</t>
        </is>
      </c>
      <c r="U89" s="24" t="inlineStr">
        <is>
          <t>0.1428571428571428</t>
        </is>
      </c>
      <c r="V89" s="24" t="inlineStr">
        <is>
          <t>LOW_RISK</t>
        </is>
      </c>
      <c r="W89" s="24" t="inlineStr">
        <is>
          <t>저위험</t>
        </is>
      </c>
      <c r="X89" s="24" t="inlineStr">
        <is>
          <t>LOW_RISK</t>
        </is>
      </c>
      <c r="Y89" s="24" t="inlineStr">
        <is>
          <t>0.7991918320073205</t>
        </is>
      </c>
      <c r="Z89" s="24" t="inlineStr">
        <is>
          <t>HIGH</t>
        </is>
      </c>
      <c r="AA89" s="24" t="inlineStr">
        <is>
          <t>HIGH</t>
        </is>
      </c>
      <c r="AB89" s="24" t="inlineStr">
        <is>
          <t>0.09437249653360377</t>
        </is>
      </c>
      <c r="AC89" s="24" t="inlineStr">
        <is>
          <t>False</t>
        </is>
      </c>
      <c r="AD89" s="24" t="inlineStr">
        <is>
          <t>False</t>
        </is>
      </c>
      <c r="AE89" s="24" t="inlineStr">
        <is>
          <t>valuation_credit_ml_overlay_candidate.csv</t>
        </is>
      </c>
      <c r="AF89" s="24" t="inlineStr">
        <is>
          <t>208개 반도체 reference universe. Valuation Agent가 자체 intake 폴더로 복제해 Peer/ML/대시보드 비교에 사용.</t>
        </is>
      </c>
    </row>
    <row r="90" ht="24" customHeight="1">
      <c r="A90" s="29" t="inlineStr">
        <is>
          <t>25</t>
        </is>
      </c>
      <c r="B90" s="29" t="inlineStr">
        <is>
          <t>해당 없음</t>
        </is>
      </c>
      <c r="C90" s="29" t="inlineStr">
        <is>
          <t>와이투솔루션</t>
        </is>
      </c>
      <c r="D90" s="29" t="inlineStr">
        <is>
          <t>011690</t>
        </is>
      </c>
      <c r="E90" s="29" t="inlineStr">
        <is>
          <t>KOSPI</t>
        </is>
      </c>
      <c r="F90" s="29" t="inlineStr">
        <is>
          <t>IDM/제조/메모리</t>
        </is>
      </c>
      <c r="G90" s="29" t="inlineStr">
        <is>
          <t>IDM/제조/메모리</t>
        </is>
      </c>
      <c r="H90" s="29" t="inlineStr">
        <is>
          <t>False</t>
        </is>
      </c>
      <c r="I90" s="29" t="inlineStr">
        <is>
          <t>True</t>
        </is>
      </c>
      <c r="J90" s="29" t="inlineStr">
        <is>
          <t>OK</t>
        </is>
      </c>
      <c r="K90" s="29" t="inlineStr">
        <is>
          <t>데이터 사용 가능</t>
        </is>
      </c>
      <c r="L90" s="29" t="inlineStr">
        <is>
          <t>LOW</t>
        </is>
      </c>
      <c r="M90" s="29" t="inlineStr">
        <is>
          <t>LOW</t>
        </is>
      </c>
      <c r="N90" s="29" t="inlineStr">
        <is>
          <t>0.4601666666666666</t>
        </is>
      </c>
      <c r="O90" s="29" t="inlineStr">
        <is>
          <t>FAIR</t>
        </is>
      </c>
      <c r="P90" s="29" t="inlineStr">
        <is>
          <t>FAIR</t>
        </is>
      </c>
      <c r="Q90" s="29" t="inlineStr">
        <is>
          <t>FAIR</t>
        </is>
      </c>
      <c r="R90" s="29" t="inlineStr">
        <is>
          <t>0.7379153959384467</t>
        </is>
      </c>
      <c r="S90" s="29" t="inlineStr">
        <is>
          <t>HIGH</t>
        </is>
      </c>
      <c r="T90" s="29" t="inlineStr">
        <is>
          <t>HIGH</t>
        </is>
      </c>
      <c r="U90" s="29" t="inlineStr">
        <is>
          <t>0.5714285714285714</t>
        </is>
      </c>
      <c r="V90" s="29" t="inlineStr">
        <is>
          <t>HIGH_RISK</t>
        </is>
      </c>
      <c r="W90" s="29" t="inlineStr">
        <is>
          <t>고위험</t>
        </is>
      </c>
      <c r="X90" s="29" t="inlineStr">
        <is>
          <t>HIGH_RISK</t>
        </is>
      </c>
      <c r="Y90" s="29" t="inlineStr">
        <is>
          <t>0.8423633310679534</t>
        </is>
      </c>
      <c r="Z90" s="29" t="inlineStr">
        <is>
          <t>HIGH</t>
        </is>
      </c>
      <c r="AA90" s="29" t="inlineStr">
        <is>
          <t>HIGH</t>
        </is>
      </c>
      <c r="AB90" s="29" t="inlineStr">
        <is>
          <t>0.03670855345736708</t>
        </is>
      </c>
      <c r="AC90" s="29" t="inlineStr">
        <is>
          <t>False</t>
        </is>
      </c>
      <c r="AD90" s="29" t="inlineStr">
        <is>
          <t>False</t>
        </is>
      </c>
      <c r="AE90" s="29" t="inlineStr">
        <is>
          <t>valuation_credit_ml_overlay_candidate.csv</t>
        </is>
      </c>
      <c r="AF90" s="29" t="inlineStr">
        <is>
          <t>208개 반도체 reference universe. Valuation Agent가 자체 intake 폴더로 복제해 Peer/ML/대시보드 비교에 사용.</t>
        </is>
      </c>
    </row>
    <row r="91" ht="24" customHeight="1">
      <c r="A91" s="24" t="inlineStr">
        <is>
          <t>16</t>
        </is>
      </c>
      <c r="B91" s="24" t="inlineStr">
        <is>
          <t>해당 없음</t>
        </is>
      </c>
      <c r="C91" s="24" t="inlineStr">
        <is>
          <t>신성이엔지</t>
        </is>
      </c>
      <c r="D91" s="24" t="inlineStr">
        <is>
          <t>011930</t>
        </is>
      </c>
      <c r="E91" s="24" t="inlineStr">
        <is>
          <t>KOSPI</t>
        </is>
      </c>
      <c r="F91" s="24" t="inlineStr">
        <is>
          <t>IDM/제조/메모리</t>
        </is>
      </c>
      <c r="G91" s="24" t="inlineStr">
        <is>
          <t>IDM/제조/메모리</t>
        </is>
      </c>
      <c r="H91" s="24" t="inlineStr">
        <is>
          <t>False</t>
        </is>
      </c>
      <c r="I91" s="24" t="inlineStr">
        <is>
          <t>True</t>
        </is>
      </c>
      <c r="J91" s="24" t="inlineStr">
        <is>
          <t>OK</t>
        </is>
      </c>
      <c r="K91" s="24" t="inlineStr">
        <is>
          <t>데이터 사용 가능</t>
        </is>
      </c>
      <c r="L91" s="24" t="inlineStr">
        <is>
          <t>LOW</t>
        </is>
      </c>
      <c r="M91" s="24" t="inlineStr">
        <is>
          <t>LOW</t>
        </is>
      </c>
      <c r="N91" s="24" t="inlineStr">
        <is>
          <t>0.4551666666666667</t>
        </is>
      </c>
      <c r="O91" s="24" t="inlineStr">
        <is>
          <t>FAIR</t>
        </is>
      </c>
      <c r="P91" s="24" t="inlineStr">
        <is>
          <t>FAIR</t>
        </is>
      </c>
      <c r="Q91" s="24" t="inlineStr">
        <is>
          <t>FAIR</t>
        </is>
      </c>
      <c r="R91" s="24" t="inlineStr">
        <is>
          <t>0.7610157176994289</t>
        </is>
      </c>
      <c r="S91" s="24" t="inlineStr">
        <is>
          <t>HIGH</t>
        </is>
      </c>
      <c r="T91" s="24" t="inlineStr">
        <is>
          <t>HIGH</t>
        </is>
      </c>
      <c r="U91" s="24" t="inlineStr">
        <is>
          <t>0.5714285714285714</t>
        </is>
      </c>
      <c r="V91" s="24" t="inlineStr">
        <is>
          <t>HIGH_RISK</t>
        </is>
      </c>
      <c r="W91" s="24" t="inlineStr">
        <is>
          <t>고위험</t>
        </is>
      </c>
      <c r="X91" s="24" t="inlineStr">
        <is>
          <t>HIGH_RISK</t>
        </is>
      </c>
      <c r="Y91" s="24" t="inlineStr">
        <is>
          <t>0.8294308064443926</t>
        </is>
      </c>
      <c r="Z91" s="24" t="inlineStr">
        <is>
          <t>HIGH</t>
        </is>
      </c>
      <c r="AA91" s="24" t="inlineStr">
        <is>
          <t>HIGH</t>
        </is>
      </c>
      <c r="AB91" s="24" t="inlineStr">
        <is>
          <t>0.06151448502214275</t>
        </is>
      </c>
      <c r="AC91" s="24" t="inlineStr">
        <is>
          <t>False</t>
        </is>
      </c>
      <c r="AD91" s="24" t="inlineStr">
        <is>
          <t>False</t>
        </is>
      </c>
      <c r="AE91" s="24" t="inlineStr">
        <is>
          <t>valuation_credit_ml_overlay_candidate.csv</t>
        </is>
      </c>
      <c r="AF91" s="24" t="inlineStr">
        <is>
          <t>208개 반도체 reference universe. Valuation Agent가 자체 intake 폴더로 복제해 Peer/ML/대시보드 비교에 사용.</t>
        </is>
      </c>
    </row>
    <row r="92" ht="24" customHeight="1">
      <c r="A92" s="29" t="inlineStr">
        <is>
          <t>3</t>
        </is>
      </c>
      <c r="B92" s="29" t="inlineStr">
        <is>
          <t>해당 없음</t>
        </is>
      </c>
      <c r="C92" s="29" t="inlineStr">
        <is>
          <t>KEC</t>
        </is>
      </c>
      <c r="D92" s="29" t="inlineStr">
        <is>
          <t>092220</t>
        </is>
      </c>
      <c r="E92" s="29" t="inlineStr">
        <is>
          <t>KOSPI</t>
        </is>
      </c>
      <c r="F92" s="29" t="inlineStr">
        <is>
          <t>IDM/제조/메모리</t>
        </is>
      </c>
      <c r="G92" s="29" t="inlineStr">
        <is>
          <t>IDM/제조/메모리</t>
        </is>
      </c>
      <c r="H92" s="29" t="inlineStr">
        <is>
          <t>False</t>
        </is>
      </c>
      <c r="I92" s="29" t="inlineStr">
        <is>
          <t>True</t>
        </is>
      </c>
      <c r="J92" s="29" t="inlineStr">
        <is>
          <t>OK</t>
        </is>
      </c>
      <c r="K92" s="29" t="inlineStr">
        <is>
          <t>데이터 사용 가능</t>
        </is>
      </c>
      <c r="L92" s="29" t="inlineStr">
        <is>
          <t>LOW</t>
        </is>
      </c>
      <c r="M92" s="29" t="inlineStr">
        <is>
          <t>LOW</t>
        </is>
      </c>
      <c r="N92" s="29" t="inlineStr">
        <is>
          <t>0.4550000000000001</t>
        </is>
      </c>
      <c r="O92" s="29" t="inlineStr">
        <is>
          <t>FAIR</t>
        </is>
      </c>
      <c r="P92" s="29" t="inlineStr">
        <is>
          <t>FAIR</t>
        </is>
      </c>
      <c r="Q92" s="29" t="inlineStr">
        <is>
          <t>FAIR</t>
        </is>
      </c>
      <c r="R92" s="29" t="inlineStr">
        <is>
          <t>0.7937660338126779</t>
        </is>
      </c>
      <c r="S92" s="29" t="inlineStr">
        <is>
          <t>HIGH</t>
        </is>
      </c>
      <c r="T92" s="29" t="inlineStr">
        <is>
          <t>HIGH</t>
        </is>
      </c>
      <c r="U92" s="29" t="inlineStr">
        <is>
          <t>0.5</t>
        </is>
      </c>
      <c r="V92" s="29" t="inlineStr">
        <is>
          <t>HIGH_RISK</t>
        </is>
      </c>
      <c r="W92" s="29" t="inlineStr">
        <is>
          <t>고위험</t>
        </is>
      </c>
      <c r="X92" s="29" t="inlineStr">
        <is>
          <t>HIGH_RISK</t>
        </is>
      </c>
      <c r="Y92" s="29" t="inlineStr">
        <is>
          <t>0.7303610104178266</t>
        </is>
      </c>
      <c r="Z92" s="29" t="inlineStr">
        <is>
          <t>HIGH</t>
        </is>
      </c>
      <c r="AA92" s="29" t="inlineStr">
        <is>
          <t>HIGH</t>
        </is>
      </c>
      <c r="AB92" s="29" t="inlineStr">
        <is>
          <t>0.053989845114113894</t>
        </is>
      </c>
      <c r="AC92" s="29" t="inlineStr">
        <is>
          <t>False</t>
        </is>
      </c>
      <c r="AD92" s="29" t="inlineStr">
        <is>
          <t>False</t>
        </is>
      </c>
      <c r="AE92" s="29" t="inlineStr">
        <is>
          <t>valuation_credit_ml_overlay_candidate.csv</t>
        </is>
      </c>
      <c r="AF92" s="29" t="inlineStr">
        <is>
          <t>208개 반도체 reference universe. Valuation Agent가 자체 intake 폴더로 복제해 Peer/ML/대시보드 비교에 사용.</t>
        </is>
      </c>
    </row>
    <row r="93" ht="24" customHeight="1">
      <c r="A93" s="24" t="inlineStr">
        <is>
          <t>28</t>
        </is>
      </c>
      <c r="B93" s="24" t="inlineStr">
        <is>
          <t>해당 없음</t>
        </is>
      </c>
      <c r="C93" s="24" t="inlineStr">
        <is>
          <t>일진디스플</t>
        </is>
      </c>
      <c r="D93" s="24" t="inlineStr">
        <is>
          <t>020760</t>
        </is>
      </c>
      <c r="E93" s="24" t="inlineStr">
        <is>
          <t>KOSPI</t>
        </is>
      </c>
      <c r="F93" s="24" t="inlineStr">
        <is>
          <t>IDM/제조/메모리</t>
        </is>
      </c>
      <c r="G93" s="24" t="inlineStr">
        <is>
          <t>IDM/제조/메모리</t>
        </is>
      </c>
      <c r="H93" s="24" t="inlineStr">
        <is>
          <t>False</t>
        </is>
      </c>
      <c r="I93" s="24" t="inlineStr">
        <is>
          <t>True</t>
        </is>
      </c>
      <c r="J93" s="24" t="inlineStr">
        <is>
          <t>OK</t>
        </is>
      </c>
      <c r="K93" s="24" t="inlineStr">
        <is>
          <t>데이터 사용 가능</t>
        </is>
      </c>
      <c r="L93" s="24" t="inlineStr">
        <is>
          <t>LOW</t>
        </is>
      </c>
      <c r="M93" s="24" t="inlineStr">
        <is>
          <t>LOW</t>
        </is>
      </c>
      <c r="N93" s="24" t="inlineStr">
        <is>
          <t>0.4335</t>
        </is>
      </c>
      <c r="O93" s="24" t="inlineStr">
        <is>
          <t>FAIR</t>
        </is>
      </c>
      <c r="P93" s="24" t="inlineStr">
        <is>
          <t>FAIR</t>
        </is>
      </c>
      <c r="Q93" s="24" t="inlineStr">
        <is>
          <t>FAIR</t>
        </is>
      </c>
      <c r="R93" s="24" t="inlineStr">
        <is>
          <t>0.7887205359697603</t>
        </is>
      </c>
      <c r="S93" s="24" t="inlineStr">
        <is>
          <t>HIGH</t>
        </is>
      </c>
      <c r="T93" s="24" t="inlineStr">
        <is>
          <t>HIGH</t>
        </is>
      </c>
      <c r="U93" s="24" t="inlineStr">
        <is>
          <t>0.6428571428571429</t>
        </is>
      </c>
      <c r="V93" s="24" t="inlineStr">
        <is>
          <t>HIGH_RISK</t>
        </is>
      </c>
      <c r="W93" s="24" t="inlineStr">
        <is>
          <t>고위험</t>
        </is>
      </c>
      <c r="X93" s="24" t="inlineStr">
        <is>
          <t>HIGH_RISK</t>
        </is>
      </c>
      <c r="Y93" s="24" t="inlineStr">
        <is>
          <t>0.8165793827285804</t>
        </is>
      </c>
      <c r="Z93" s="24" t="inlineStr">
        <is>
          <t>HIGH</t>
        </is>
      </c>
      <c r="AA93" s="24" t="inlineStr">
        <is>
          <t>HIGH</t>
        </is>
      </c>
      <c r="AB93" s="24" t="inlineStr">
        <is>
          <t>0.21528045597611217</t>
        </is>
      </c>
      <c r="AC93" s="24" t="inlineStr">
        <is>
          <t>False</t>
        </is>
      </c>
      <c r="AD93" s="24" t="inlineStr">
        <is>
          <t>False</t>
        </is>
      </c>
      <c r="AE93" s="24" t="inlineStr">
        <is>
          <t>valuation_credit_ml_overlay_candidate.csv</t>
        </is>
      </c>
      <c r="AF93" s="24" t="inlineStr">
        <is>
          <t>208개 반도체 reference universe. Valuation Agent가 자체 intake 폴더로 복제해 Peer/ML/대시보드 비교에 사용.</t>
        </is>
      </c>
    </row>
    <row r="94" ht="24" customHeight="1">
      <c r="A94" s="29" t="inlineStr">
        <is>
          <t>7</t>
        </is>
      </c>
      <c r="B94" s="29" t="inlineStr">
        <is>
          <t>해당 없음</t>
        </is>
      </c>
      <c r="C94" s="29" t="inlineStr">
        <is>
          <t>덕산하이메탈</t>
        </is>
      </c>
      <c r="D94" s="29" t="inlineStr">
        <is>
          <t>077360</t>
        </is>
      </c>
      <c r="E94" s="29" t="inlineStr">
        <is>
          <t>KOSDAQ</t>
        </is>
      </c>
      <c r="F94" s="29" t="inlineStr">
        <is>
          <t>IDM/제조/메모리</t>
        </is>
      </c>
      <c r="G94" s="29" t="inlineStr">
        <is>
          <t>IDM/제조/메모리</t>
        </is>
      </c>
      <c r="H94" s="29" t="inlineStr">
        <is>
          <t>False</t>
        </is>
      </c>
      <c r="I94" s="29" t="inlineStr">
        <is>
          <t>True</t>
        </is>
      </c>
      <c r="J94" s="29" t="inlineStr">
        <is>
          <t>OK</t>
        </is>
      </c>
      <c r="K94" s="29" t="inlineStr">
        <is>
          <t>데이터 사용 가능</t>
        </is>
      </c>
      <c r="L94" s="29" t="inlineStr">
        <is>
          <t>LOW</t>
        </is>
      </c>
      <c r="M94" s="29" t="inlineStr">
        <is>
          <t>LOW</t>
        </is>
      </c>
      <c r="N94" s="29" t="inlineStr">
        <is>
          <t>0.4333333333333333</t>
        </is>
      </c>
      <c r="O94" s="29" t="inlineStr">
        <is>
          <t>FAIR</t>
        </is>
      </c>
      <c r="P94" s="29" t="inlineStr">
        <is>
          <t>FAIR</t>
        </is>
      </c>
      <c r="Q94" s="29" t="inlineStr">
        <is>
          <t>FAIR</t>
        </is>
      </c>
      <c r="R94" s="29" t="inlineStr">
        <is>
          <t>0.6698541971057747</t>
        </is>
      </c>
      <c r="S94" s="29" t="inlineStr">
        <is>
          <t>MEDIUM</t>
        </is>
      </c>
      <c r="T94" s="29" t="inlineStr">
        <is>
          <t>MEDIUM</t>
        </is>
      </c>
      <c r="U94" s="29" t="inlineStr">
        <is>
          <t>0.2857142857142857</t>
        </is>
      </c>
      <c r="V94" s="29" t="inlineStr">
        <is>
          <t>MEDIUM_RISK</t>
        </is>
      </c>
      <c r="W94" s="29" t="inlineStr">
        <is>
          <t>중위험</t>
        </is>
      </c>
      <c r="X94" s="29" t="inlineStr">
        <is>
          <t>MEDIUM_RISK</t>
        </is>
      </c>
      <c r="Y94" s="29" t="inlineStr">
        <is>
          <t>0.6576042698954024</t>
        </is>
      </c>
      <c r="Z94" s="29" t="inlineStr">
        <is>
          <t>MEDIUM</t>
        </is>
      </c>
      <c r="AA94" s="29" t="inlineStr">
        <is>
          <t>MEDIUM</t>
        </is>
      </c>
      <c r="AB94" s="29" t="inlineStr">
        <is>
          <t>0.07260471392088348</t>
        </is>
      </c>
      <c r="AC94" s="29" t="inlineStr">
        <is>
          <t>False</t>
        </is>
      </c>
      <c r="AD94" s="29" t="inlineStr">
        <is>
          <t>False</t>
        </is>
      </c>
      <c r="AE94" s="29" t="inlineStr">
        <is>
          <t>valuation_credit_ml_overlay_candidate.csv</t>
        </is>
      </c>
      <c r="AF94" s="29" t="inlineStr">
        <is>
          <t>208개 반도체 reference universe. Valuation Agent가 자체 intake 폴더로 복제해 Peer/ML/대시보드 비교에 사용.</t>
        </is>
      </c>
    </row>
    <row r="95" ht="24" customHeight="1">
      <c r="A95" s="24" t="inlineStr">
        <is>
          <t>20</t>
        </is>
      </c>
      <c r="B95" s="24" t="inlineStr">
        <is>
          <t>해당 없음</t>
        </is>
      </c>
      <c r="C95" s="24" t="inlineStr">
        <is>
          <t>에이디테크놀로지</t>
        </is>
      </c>
      <c r="D95" s="24" t="inlineStr">
        <is>
          <t>200710</t>
        </is>
      </c>
      <c r="E95" s="24" t="inlineStr">
        <is>
          <t>KOSDAQ</t>
        </is>
      </c>
      <c r="F95" s="24" t="inlineStr">
        <is>
          <t>IDM/제조/메모리</t>
        </is>
      </c>
      <c r="G95" s="24" t="inlineStr">
        <is>
          <t>IDM/제조/메모리</t>
        </is>
      </c>
      <c r="H95" s="24" t="inlineStr">
        <is>
          <t>False</t>
        </is>
      </c>
      <c r="I95" s="24" t="inlineStr">
        <is>
          <t>True</t>
        </is>
      </c>
      <c r="J95" s="24" t="inlineStr">
        <is>
          <t>OK</t>
        </is>
      </c>
      <c r="K95" s="24" t="inlineStr">
        <is>
          <t>데이터 사용 가능</t>
        </is>
      </c>
      <c r="L95" s="24" t="inlineStr">
        <is>
          <t>LOW</t>
        </is>
      </c>
      <c r="M95" s="24" t="inlineStr">
        <is>
          <t>LOW</t>
        </is>
      </c>
      <c r="N95" s="24" t="inlineStr">
        <is>
          <t>0.4271666666666666</t>
        </is>
      </c>
      <c r="O95" s="24" t="inlineStr">
        <is>
          <t>FAIR</t>
        </is>
      </c>
      <c r="P95" s="24" t="inlineStr">
        <is>
          <t>FAIR</t>
        </is>
      </c>
      <c r="Q95" s="24" t="inlineStr">
        <is>
          <t>FAIR</t>
        </is>
      </c>
      <c r="R95" s="24" t="inlineStr">
        <is>
          <t>0.6637416757093363</t>
        </is>
      </c>
      <c r="S95" s="24" t="inlineStr">
        <is>
          <t>MEDIUM</t>
        </is>
      </c>
      <c r="T95" s="24" t="inlineStr">
        <is>
          <t>MEDIUM</t>
        </is>
      </c>
      <c r="U95" s="24" t="inlineStr">
        <is>
          <t>0.2857142857142857</t>
        </is>
      </c>
      <c r="V95" s="24" t="inlineStr">
        <is>
          <t>MEDIUM_RISK</t>
        </is>
      </c>
      <c r="W95" s="24" t="inlineStr">
        <is>
          <t>중위험</t>
        </is>
      </c>
      <c r="X95" s="24" t="inlineStr">
        <is>
          <t>MEDIUM_RISK</t>
        </is>
      </c>
      <c r="Y95" s="24" t="inlineStr">
        <is>
          <t>0.4528354914042248</t>
        </is>
      </c>
      <c r="Z95" s="24" t="inlineStr">
        <is>
          <t>LOW</t>
        </is>
      </c>
      <c r="AA95" s="24" t="inlineStr">
        <is>
          <t>LOW</t>
        </is>
      </c>
      <c r="AB95" s="24" t="inlineStr">
        <is>
          <t>0.0588627097981607</t>
        </is>
      </c>
      <c r="AC95" s="24" t="inlineStr">
        <is>
          <t>False</t>
        </is>
      </c>
      <c r="AD95" s="24" t="inlineStr">
        <is>
          <t>True</t>
        </is>
      </c>
      <c r="AE95" s="24" t="inlineStr">
        <is>
          <t>valuation_credit_ml_overlay_candidate.csv</t>
        </is>
      </c>
      <c r="AF95" s="24" t="inlineStr">
        <is>
          <t>208개 반도체 reference universe. Valuation Agent가 자체 intake 폴더로 복제해 Peer/ML/대시보드 비교에 사용.</t>
        </is>
      </c>
    </row>
    <row r="96" ht="24" customHeight="1">
      <c r="A96" s="29" t="inlineStr">
        <is>
          <t>5</t>
        </is>
      </c>
      <c r="B96" s="29" t="inlineStr">
        <is>
          <t>해당 없음</t>
        </is>
      </c>
      <c r="C96" s="29" t="inlineStr">
        <is>
          <t>광전자</t>
        </is>
      </c>
      <c r="D96" s="29" t="inlineStr">
        <is>
          <t>017900</t>
        </is>
      </c>
      <c r="E96" s="29" t="inlineStr">
        <is>
          <t>KOSPI</t>
        </is>
      </c>
      <c r="F96" s="29" t="inlineStr">
        <is>
          <t>IDM/제조/메모리</t>
        </is>
      </c>
      <c r="G96" s="29" t="inlineStr">
        <is>
          <t>IDM/제조/메모리</t>
        </is>
      </c>
      <c r="H96" s="29" t="inlineStr">
        <is>
          <t>False</t>
        </is>
      </c>
      <c r="I96" s="29" t="inlineStr">
        <is>
          <t>True</t>
        </is>
      </c>
      <c r="J96" s="29" t="inlineStr">
        <is>
          <t>OK</t>
        </is>
      </c>
      <c r="K96" s="29" t="inlineStr">
        <is>
          <t>데이터 사용 가능</t>
        </is>
      </c>
      <c r="L96" s="29" t="inlineStr">
        <is>
          <t>LOW</t>
        </is>
      </c>
      <c r="M96" s="29" t="inlineStr">
        <is>
          <t>LOW</t>
        </is>
      </c>
      <c r="N96" s="29" t="inlineStr">
        <is>
          <t>0.4184166666666666</t>
        </is>
      </c>
      <c r="O96" s="29" t="inlineStr">
        <is>
          <t>EXPENSIVE</t>
        </is>
      </c>
      <c r="P96" s="29" t="inlineStr">
        <is>
          <t>EXPENSIVE</t>
        </is>
      </c>
      <c r="Q96" s="29" t="inlineStr">
        <is>
          <t>EXPENSIVE</t>
        </is>
      </c>
      <c r="R96" s="29" t="inlineStr">
        <is>
          <t>0.6817751829328556</t>
        </is>
      </c>
      <c r="S96" s="29" t="inlineStr">
        <is>
          <t>MEDIUM</t>
        </is>
      </c>
      <c r="T96" s="29" t="inlineStr">
        <is>
          <t>MEDIUM</t>
        </is>
      </c>
      <c r="U96" s="29" t="inlineStr">
        <is>
          <t>0.2142857142857142</t>
        </is>
      </c>
      <c r="V96" s="29" t="inlineStr">
        <is>
          <t>MEDIUM_RISK</t>
        </is>
      </c>
      <c r="W96" s="29" t="inlineStr">
        <is>
          <t>중위험</t>
        </is>
      </c>
      <c r="X96" s="29" t="inlineStr">
        <is>
          <t>LOW_RISK</t>
        </is>
      </c>
      <c r="Y96" s="29" t="inlineStr">
        <is>
          <t>0.4656539331033742</t>
        </is>
      </c>
      <c r="Z96" s="29" t="inlineStr">
        <is>
          <t>LOW</t>
        </is>
      </c>
      <c r="AA96" s="29" t="inlineStr">
        <is>
          <t>LOW</t>
        </is>
      </c>
      <c r="AB96" s="29" t="inlineStr">
        <is>
          <t>0.24789843408919227</t>
        </is>
      </c>
      <c r="AC96" s="29" t="inlineStr">
        <is>
          <t>True</t>
        </is>
      </c>
      <c r="AD96" s="29" t="inlineStr">
        <is>
          <t>True</t>
        </is>
      </c>
      <c r="AE96" s="29" t="inlineStr">
        <is>
          <t>valuation_credit_ml_overlay_candidate.csv</t>
        </is>
      </c>
      <c r="AF96" s="29" t="inlineStr">
        <is>
          <t>208개 반도체 reference universe. Valuation Agent가 자체 intake 폴더로 복제해 Peer/ML/대시보드 비교에 사용.</t>
        </is>
      </c>
    </row>
    <row r="97" ht="24" customHeight="1">
      <c r="A97" s="24" t="inlineStr">
        <is>
          <t>19</t>
        </is>
      </c>
      <c r="B97" s="24" t="inlineStr">
        <is>
          <t>해당 없음</t>
        </is>
      </c>
      <c r="C97" s="24" t="inlineStr">
        <is>
          <t>아진엑스텍</t>
        </is>
      </c>
      <c r="D97" s="24" t="inlineStr">
        <is>
          <t>059120</t>
        </is>
      </c>
      <c r="E97" s="24" t="inlineStr">
        <is>
          <t>KOSDAQ</t>
        </is>
      </c>
      <c r="F97" s="24" t="inlineStr">
        <is>
          <t>IDM/제조/메모리</t>
        </is>
      </c>
      <c r="G97" s="24" t="inlineStr">
        <is>
          <t>IDM/제조/메모리</t>
        </is>
      </c>
      <c r="H97" s="24" t="inlineStr">
        <is>
          <t>False</t>
        </is>
      </c>
      <c r="I97" s="24" t="inlineStr">
        <is>
          <t>True</t>
        </is>
      </c>
      <c r="J97" s="24" t="inlineStr">
        <is>
          <t>OK</t>
        </is>
      </c>
      <c r="K97" s="24" t="inlineStr">
        <is>
          <t>데이터 사용 가능</t>
        </is>
      </c>
      <c r="L97" s="24" t="inlineStr">
        <is>
          <t>LOW</t>
        </is>
      </c>
      <c r="M97" s="24" t="inlineStr">
        <is>
          <t>LOW</t>
        </is>
      </c>
      <c r="N97" s="24" t="inlineStr">
        <is>
          <t>0.4128333333333333</t>
        </is>
      </c>
      <c r="O97" s="24" t="inlineStr">
        <is>
          <t>EXPENSIVE</t>
        </is>
      </c>
      <c r="P97" s="24" t="inlineStr">
        <is>
          <t>EXPENSIVE</t>
        </is>
      </c>
      <c r="Q97" s="24" t="inlineStr">
        <is>
          <t>EXPENSIVE</t>
        </is>
      </c>
      <c r="R97" s="24" t="inlineStr">
        <is>
          <t>0.6635799672057409</t>
        </is>
      </c>
      <c r="S97" s="24" t="inlineStr">
        <is>
          <t>MEDIUM</t>
        </is>
      </c>
      <c r="T97" s="24" t="inlineStr">
        <is>
          <t>MEDIUM</t>
        </is>
      </c>
      <c r="U97" s="24" t="inlineStr">
        <is>
          <t>0.0714285714285714</t>
        </is>
      </c>
      <c r="V97" s="24" t="inlineStr">
        <is>
          <t>LOW_RISK</t>
        </is>
      </c>
      <c r="W97" s="24" t="inlineStr">
        <is>
          <t>저위험</t>
        </is>
      </c>
      <c r="X97" s="24" t="inlineStr">
        <is>
          <t>LOW_RISK</t>
        </is>
      </c>
      <c r="Y97" s="24" t="inlineStr">
        <is>
          <t>0.8000764213249202</t>
        </is>
      </c>
      <c r="Z97" s="24" t="inlineStr">
        <is>
          <t>HIGH</t>
        </is>
      </c>
      <c r="AA97" s="24" t="inlineStr">
        <is>
          <t>HIGH</t>
        </is>
      </c>
      <c r="AB97" s="24" t="inlineStr">
        <is>
          <t>0.21158533556078782</t>
        </is>
      </c>
      <c r="AC97" s="24" t="inlineStr">
        <is>
          <t>False</t>
        </is>
      </c>
      <c r="AD97" s="24" t="inlineStr">
        <is>
          <t>False</t>
        </is>
      </c>
      <c r="AE97" s="24" t="inlineStr">
        <is>
          <t>valuation_credit_ml_overlay_candidate.csv</t>
        </is>
      </c>
      <c r="AF97" s="24" t="inlineStr">
        <is>
          <t>208개 반도체 reference universe. Valuation Agent가 자체 intake 폴더로 복제해 Peer/ML/대시보드 비교에 사용.</t>
        </is>
      </c>
    </row>
    <row r="98" ht="24" customHeight="1">
      <c r="A98" s="29" t="inlineStr">
        <is>
          <t>33</t>
        </is>
      </c>
      <c r="B98" s="29" t="inlineStr">
        <is>
          <t>해당 없음</t>
        </is>
      </c>
      <c r="C98" s="29" t="inlineStr">
        <is>
          <t>코스텍시스</t>
        </is>
      </c>
      <c r="D98" s="29" t="inlineStr">
        <is>
          <t>355150</t>
        </is>
      </c>
      <c r="E98" s="29" t="inlineStr">
        <is>
          <t>KOSDAQ</t>
        </is>
      </c>
      <c r="F98" s="29" t="inlineStr">
        <is>
          <t>IDM/제조/메모리</t>
        </is>
      </c>
      <c r="G98" s="29" t="inlineStr">
        <is>
          <t>IDM/제조/메모리</t>
        </is>
      </c>
      <c r="H98" s="29" t="inlineStr">
        <is>
          <t>False</t>
        </is>
      </c>
      <c r="I98" s="29" t="inlineStr">
        <is>
          <t>True</t>
        </is>
      </c>
      <c r="J98" s="29" t="inlineStr">
        <is>
          <t>OK_LIMITED_HISTORY_OR_GROWTH_NA</t>
        </is>
      </c>
      <c r="K98" s="29" t="inlineStr">
        <is>
          <t>데이터 사용 가능</t>
        </is>
      </c>
      <c r="L98" s="29" t="inlineStr">
        <is>
          <t>LOW</t>
        </is>
      </c>
      <c r="M98" s="29" t="inlineStr">
        <is>
          <t>LOW</t>
        </is>
      </c>
      <c r="N98" s="29" t="inlineStr">
        <is>
          <t>0.4096666666666666</t>
        </is>
      </c>
      <c r="O98" s="29" t="inlineStr">
        <is>
          <t>EXPENSIVE</t>
        </is>
      </c>
      <c r="P98" s="29" t="inlineStr">
        <is>
          <t>EXPENSIVE</t>
        </is>
      </c>
      <c r="Q98" s="29" t="inlineStr">
        <is>
          <t>EXPENSIVE</t>
        </is>
      </c>
      <c r="R98" s="29" t="inlineStr">
        <is>
          <t>0.7518748972741711</t>
        </is>
      </c>
      <c r="S98" s="29" t="inlineStr">
        <is>
          <t>HIGH</t>
        </is>
      </c>
      <c r="T98" s="29" t="inlineStr">
        <is>
          <t>HIGH</t>
        </is>
      </c>
      <c r="U98" s="29" t="inlineStr">
        <is>
          <t>0.5</t>
        </is>
      </c>
      <c r="V98" s="29" t="inlineStr">
        <is>
          <t>HIGH_RISK</t>
        </is>
      </c>
      <c r="W98" s="29" t="inlineStr">
        <is>
          <t>고위험</t>
        </is>
      </c>
      <c r="X98" s="29" t="inlineStr">
        <is>
          <t>MEDIUM_RISK</t>
        </is>
      </c>
      <c r="Y98" s="29" t="inlineStr">
        <is>
          <t>0.4364687611213146</t>
        </is>
      </c>
      <c r="Z98" s="29" t="inlineStr">
        <is>
          <t>LOW</t>
        </is>
      </c>
      <c r="AA98" s="29" t="inlineStr">
        <is>
          <t>LOW</t>
        </is>
      </c>
      <c r="AB98" s="29" t="inlineStr">
        <is>
          <t>0.06817918975036392</t>
        </is>
      </c>
      <c r="AC98" s="29" t="inlineStr">
        <is>
          <t>False</t>
        </is>
      </c>
      <c r="AD98" s="29" t="inlineStr">
        <is>
          <t>True</t>
        </is>
      </c>
      <c r="AE98" s="29" t="inlineStr">
        <is>
          <t>valuation_credit_ml_overlay_candidate.csv</t>
        </is>
      </c>
      <c r="AF98" s="29" t="inlineStr">
        <is>
          <t>208개 반도체 reference universe. Valuation Agent가 자체 intake 폴더로 복제해 Peer/ML/대시보드 비교에 사용.</t>
        </is>
      </c>
    </row>
    <row r="99" ht="24" customHeight="1">
      <c r="A99" s="24" t="inlineStr">
        <is>
          <t>27</t>
        </is>
      </c>
      <c r="B99" s="24" t="inlineStr">
        <is>
          <t>해당 없음</t>
        </is>
      </c>
      <c r="C99" s="24" t="inlineStr">
        <is>
          <t>이미지스</t>
        </is>
      </c>
      <c r="D99" s="24" t="inlineStr">
        <is>
          <t>115610</t>
        </is>
      </c>
      <c r="E99" s="24" t="inlineStr">
        <is>
          <t>KOSDAQ</t>
        </is>
      </c>
      <c r="F99" s="24" t="inlineStr">
        <is>
          <t>IDM/제조/메모리</t>
        </is>
      </c>
      <c r="G99" s="24" t="inlineStr">
        <is>
          <t>IDM/제조/메모리</t>
        </is>
      </c>
      <c r="H99" s="24" t="inlineStr">
        <is>
          <t>False</t>
        </is>
      </c>
      <c r="I99" s="24" t="inlineStr">
        <is>
          <t>True</t>
        </is>
      </c>
      <c r="J99" s="24" t="inlineStr">
        <is>
          <t>OK</t>
        </is>
      </c>
      <c r="K99" s="24" t="inlineStr">
        <is>
          <t>데이터 사용 가능</t>
        </is>
      </c>
      <c r="L99" s="24" t="inlineStr">
        <is>
          <t>LOW</t>
        </is>
      </c>
      <c r="M99" s="24" t="inlineStr">
        <is>
          <t>LOW</t>
        </is>
      </c>
      <c r="N99" s="24" t="inlineStr">
        <is>
          <t>0.3633333333333334</t>
        </is>
      </c>
      <c r="O99" s="24" t="inlineStr">
        <is>
          <t>EXPENSIVE</t>
        </is>
      </c>
      <c r="P99" s="24" t="inlineStr">
        <is>
          <t>EXPENSIVE</t>
        </is>
      </c>
      <c r="Q99" s="24" t="inlineStr">
        <is>
          <t>EXPENSIVE</t>
        </is>
      </c>
      <c r="R99" s="24" t="inlineStr">
        <is>
          <t>0.7470098487547145</t>
        </is>
      </c>
      <c r="S99" s="24" t="inlineStr">
        <is>
          <t>HIGH</t>
        </is>
      </c>
      <c r="T99" s="24" t="inlineStr">
        <is>
          <t>HIGH</t>
        </is>
      </c>
      <c r="U99" s="24" t="inlineStr">
        <is>
          <t>0.6428571428571429</t>
        </is>
      </c>
      <c r="V99" s="24" t="inlineStr">
        <is>
          <t>HIGH_RISK</t>
        </is>
      </c>
      <c r="W99" s="24" t="inlineStr">
        <is>
          <t>고위험</t>
        </is>
      </c>
      <c r="X99" s="24" t="inlineStr">
        <is>
          <t>HIGH_RISK</t>
        </is>
      </c>
      <c r="Y99" s="24" t="inlineStr">
        <is>
          <t>0.935919815850912</t>
        </is>
      </c>
      <c r="Z99" s="24" t="inlineStr">
        <is>
          <t>HIGH</t>
        </is>
      </c>
      <c r="AA99" s="24" t="inlineStr">
        <is>
          <t>HIGH</t>
        </is>
      </c>
      <c r="AB99" s="24" t="inlineStr">
        <is>
          <t>0.1192433333650954</t>
        </is>
      </c>
      <c r="AC99" s="24" t="inlineStr">
        <is>
          <t>False</t>
        </is>
      </c>
      <c r="AD99" s="24" t="inlineStr">
        <is>
          <t>False</t>
        </is>
      </c>
      <c r="AE99" s="24" t="inlineStr">
        <is>
          <t>valuation_credit_ml_overlay_candidate.csv</t>
        </is>
      </c>
      <c r="AF99" s="24" t="inlineStr">
        <is>
          <t>208개 반도체 reference universe. Valuation Agent가 자체 intake 폴더로 복제해 Peer/ML/대시보드 비교에 사용.</t>
        </is>
      </c>
    </row>
    <row r="100" ht="24" customHeight="1">
      <c r="A100" s="29" t="inlineStr">
        <is>
          <t>15</t>
        </is>
      </c>
      <c r="B100" s="29" t="inlineStr">
        <is>
          <t>해당 없음</t>
        </is>
      </c>
      <c r="C100" s="29" t="inlineStr">
        <is>
          <t>시지트로닉스</t>
        </is>
      </c>
      <c r="D100" s="29" t="inlineStr">
        <is>
          <t>429270</t>
        </is>
      </c>
      <c r="E100" s="29" t="inlineStr">
        <is>
          <t>KOSDAQ</t>
        </is>
      </c>
      <c r="F100" s="29" t="inlineStr">
        <is>
          <t>IDM/제조/메모리</t>
        </is>
      </c>
      <c r="G100" s="29" t="inlineStr">
        <is>
          <t>IDM/제조/메모리</t>
        </is>
      </c>
      <c r="H100" s="29" t="inlineStr">
        <is>
          <t>False</t>
        </is>
      </c>
      <c r="I100" s="29" t="inlineStr">
        <is>
          <t>True</t>
        </is>
      </c>
      <c r="J100" s="29" t="inlineStr">
        <is>
          <t>OK_LIMITED_HISTORY_OR_GROWTH_NA</t>
        </is>
      </c>
      <c r="K100" s="29" t="inlineStr">
        <is>
          <t>데이터 사용 가능</t>
        </is>
      </c>
      <c r="L100" s="29" t="inlineStr">
        <is>
          <t>LOW</t>
        </is>
      </c>
      <c r="M100" s="29" t="inlineStr">
        <is>
          <t>LOW</t>
        </is>
      </c>
      <c r="N100" s="29" t="inlineStr">
        <is>
          <t>0.3513333333333333</t>
        </is>
      </c>
      <c r="O100" s="29" t="inlineStr">
        <is>
          <t>EXPENSIVE</t>
        </is>
      </c>
      <c r="P100" s="29" t="inlineStr">
        <is>
          <t>EXPENSIVE</t>
        </is>
      </c>
      <c r="Q100" s="29" t="inlineStr">
        <is>
          <t>EXPENSIVE</t>
        </is>
      </c>
      <c r="R100" s="29" t="inlineStr">
        <is>
          <t>0.8423539115807104</t>
        </is>
      </c>
      <c r="S100" s="29" t="inlineStr">
        <is>
          <t>HIGH</t>
        </is>
      </c>
      <c r="T100" s="29" t="inlineStr">
        <is>
          <t>HIGH</t>
        </is>
      </c>
      <c r="U100" s="29" t="inlineStr">
        <is>
          <t>0.7142857142857143</t>
        </is>
      </c>
      <c r="V100" s="29" t="inlineStr">
        <is>
          <t>HIGH_RISK</t>
        </is>
      </c>
      <c r="W100" s="29" t="inlineStr">
        <is>
          <t>고위험</t>
        </is>
      </c>
      <c r="X100" s="29" t="inlineStr">
        <is>
          <t>HIGH_RISK</t>
        </is>
      </c>
      <c r="Y100" s="29" t="inlineStr">
        <is>
          <t>0.981613431413146</t>
        </is>
      </c>
      <c r="Z100" s="29" t="inlineStr">
        <is>
          <t>HIGH</t>
        </is>
      </c>
      <c r="AA100" s="29" t="inlineStr">
        <is>
          <t>HIGH</t>
        </is>
      </c>
      <c r="AB100" s="29" t="inlineStr">
        <is>
          <t>0.19555712998632233</t>
        </is>
      </c>
      <c r="AC100" s="29" t="inlineStr">
        <is>
          <t>False</t>
        </is>
      </c>
      <c r="AD100" s="29" t="inlineStr">
        <is>
          <t>True</t>
        </is>
      </c>
      <c r="AE100" s="29" t="inlineStr">
        <is>
          <t>valuation_credit_ml_overlay_candidate.csv</t>
        </is>
      </c>
      <c r="AF100" s="29" t="inlineStr">
        <is>
          <t>208개 반도체 reference universe. Valuation Agent가 자체 intake 폴더로 복제해 Peer/ML/대시보드 비교에 사용.</t>
        </is>
      </c>
    </row>
    <row r="101" ht="24" customHeight="1">
      <c r="A101" s="24" t="inlineStr">
        <is>
          <t>30</t>
        </is>
      </c>
      <c r="B101" s="24" t="inlineStr">
        <is>
          <t>해당 없음</t>
        </is>
      </c>
      <c r="C101" s="24" t="inlineStr">
        <is>
          <t>지니틱스</t>
        </is>
      </c>
      <c r="D101" s="24" t="inlineStr">
        <is>
          <t>303030</t>
        </is>
      </c>
      <c r="E101" s="24" t="inlineStr">
        <is>
          <t>KOSDAQ</t>
        </is>
      </c>
      <c r="F101" s="24" t="inlineStr">
        <is>
          <t>IDM/제조/메모리</t>
        </is>
      </c>
      <c r="G101" s="24" t="inlineStr">
        <is>
          <t>IDM/제조/메모리</t>
        </is>
      </c>
      <c r="H101" s="24" t="inlineStr">
        <is>
          <t>False</t>
        </is>
      </c>
      <c r="I101" s="24" t="inlineStr">
        <is>
          <t>True</t>
        </is>
      </c>
      <c r="J101" s="24" t="inlineStr">
        <is>
          <t>OK</t>
        </is>
      </c>
      <c r="K101" s="24" t="inlineStr">
        <is>
          <t>데이터 사용 가능</t>
        </is>
      </c>
      <c r="L101" s="24" t="inlineStr">
        <is>
          <t>LOW</t>
        </is>
      </c>
      <c r="M101" s="24" t="inlineStr">
        <is>
          <t>LOW</t>
        </is>
      </c>
      <c r="N101" s="24" t="inlineStr">
        <is>
          <t>0.3293333333333333</t>
        </is>
      </c>
      <c r="O101" s="24" t="inlineStr">
        <is>
          <t>EXPENSIVE</t>
        </is>
      </c>
      <c r="P101" s="24" t="inlineStr">
        <is>
          <t>EXPENSIVE</t>
        </is>
      </c>
      <c r="Q101" s="24" t="inlineStr">
        <is>
          <t>EXPENSIVE</t>
        </is>
      </c>
      <c r="R101" s="24" t="inlineStr">
        <is>
          <t>0.6029464801919612</t>
        </is>
      </c>
      <c r="S101" s="24" t="inlineStr">
        <is>
          <t>MEDIUM</t>
        </is>
      </c>
      <c r="T101" s="24" t="inlineStr">
        <is>
          <t>MEDIUM</t>
        </is>
      </c>
      <c r="U101" s="24" t="inlineStr">
        <is>
          <t>0.7142857142857143</t>
        </is>
      </c>
      <c r="V101" s="24" t="inlineStr">
        <is>
          <t>HIGH_RISK</t>
        </is>
      </c>
      <c r="W101" s="24" t="inlineStr">
        <is>
          <t>고위험</t>
        </is>
      </c>
      <c r="X101" s="24" t="inlineStr">
        <is>
          <t>HIGH_RISK</t>
        </is>
      </c>
      <c r="Y101" s="24" t="inlineStr">
        <is>
          <t>0.9659545889371735</t>
        </is>
      </c>
      <c r="Z101" s="24" t="inlineStr">
        <is>
          <t>HIGH</t>
        </is>
      </c>
      <c r="AA101" s="24" t="inlineStr">
        <is>
          <t>HIGH</t>
        </is>
      </c>
      <c r="AB101" s="24" t="inlineStr">
        <is>
          <t>0.16363869698938038</t>
        </is>
      </c>
      <c r="AC101" s="24" t="inlineStr">
        <is>
          <t>False</t>
        </is>
      </c>
      <c r="AD101" s="24" t="inlineStr">
        <is>
          <t>False</t>
        </is>
      </c>
      <c r="AE101" s="24" t="inlineStr">
        <is>
          <t>valuation_credit_ml_overlay_candidate.csv</t>
        </is>
      </c>
      <c r="AF101" s="24" t="inlineStr">
        <is>
          <t>208개 반도체 reference universe. Valuation Agent가 자체 intake 폴더로 복제해 Peer/ML/대시보드 비교에 사용.</t>
        </is>
      </c>
    </row>
    <row r="102" ht="24" customHeight="1">
      <c r="A102" s="29" t="inlineStr">
        <is>
          <t>18</t>
        </is>
      </c>
      <c r="B102" s="29" t="inlineStr">
        <is>
          <t>해당 없음</t>
        </is>
      </c>
      <c r="C102" s="29" t="inlineStr">
        <is>
          <t>아이에스티이</t>
        </is>
      </c>
      <c r="D102" s="29" t="inlineStr">
        <is>
          <t>212710</t>
        </is>
      </c>
      <c r="E102" s="29" t="inlineStr">
        <is>
          <t>KOSDAQ</t>
        </is>
      </c>
      <c r="F102" s="29" t="inlineStr">
        <is>
          <t>IDM/제조/메모리</t>
        </is>
      </c>
      <c r="G102" s="29" t="inlineStr">
        <is>
          <t>IDM/제조/메모리</t>
        </is>
      </c>
      <c r="H102" s="29" t="inlineStr">
        <is>
          <t>False</t>
        </is>
      </c>
      <c r="I102" s="29" t="inlineStr">
        <is>
          <t>True</t>
        </is>
      </c>
      <c r="J102" s="29" t="inlineStr">
        <is>
          <t>OK_LIMITED_HISTORY_OR_GROWTH_NA</t>
        </is>
      </c>
      <c r="K102" s="29" t="inlineStr">
        <is>
          <t>데이터 사용 가능</t>
        </is>
      </c>
      <c r="L102" s="29" t="inlineStr">
        <is>
          <t>LOW</t>
        </is>
      </c>
      <c r="M102" s="29" t="inlineStr">
        <is>
          <t>LOW</t>
        </is>
      </c>
      <c r="N102" s="29" t="inlineStr">
        <is>
          <t>0.3126666666666666</t>
        </is>
      </c>
      <c r="O102" s="29" t="inlineStr">
        <is>
          <t>EXPENSIVE</t>
        </is>
      </c>
      <c r="P102" s="29" t="inlineStr">
        <is>
          <t>EXPENSIVE</t>
        </is>
      </c>
      <c r="Q102" s="29" t="inlineStr">
        <is>
          <t>EXPENSIVE</t>
        </is>
      </c>
      <c r="R102" s="29" t="inlineStr">
        <is>
          <t>0.6642993493743579</t>
        </is>
      </c>
      <c r="S102" s="29" t="inlineStr">
        <is>
          <t>MEDIUM</t>
        </is>
      </c>
      <c r="T102" s="29" t="inlineStr">
        <is>
          <t>MEDIUM</t>
        </is>
      </c>
      <c r="U102" s="29" t="inlineStr">
        <is>
          <t>0.7142857142857143</t>
        </is>
      </c>
      <c r="V102" s="29" t="inlineStr">
        <is>
          <t>HIGH_RISK</t>
        </is>
      </c>
      <c r="W102" s="29" t="inlineStr">
        <is>
          <t>고위험</t>
        </is>
      </c>
      <c r="X102" s="29" t="inlineStr">
        <is>
          <t>HIGH_RISK</t>
        </is>
      </c>
      <c r="Y102" s="29" t="inlineStr">
        <is>
          <t>0.7912115569930538</t>
        </is>
      </c>
      <c r="Z102" s="29" t="inlineStr">
        <is>
          <t>HIGH</t>
        </is>
      </c>
      <c r="AA102" s="29" t="inlineStr">
        <is>
          <t>HIGH</t>
        </is>
      </c>
      <c r="AB102" s="29" t="inlineStr">
        <is>
          <t>0.13664093420882184</t>
        </is>
      </c>
      <c r="AC102" s="29" t="inlineStr">
        <is>
          <t>False</t>
        </is>
      </c>
      <c r="AD102" s="29" t="inlineStr">
        <is>
          <t>True</t>
        </is>
      </c>
      <c r="AE102" s="29" t="inlineStr">
        <is>
          <t>valuation_credit_ml_overlay_candidate.csv</t>
        </is>
      </c>
      <c r="AF102" s="29" t="inlineStr">
        <is>
          <t>208개 반도체 reference universe. Valuation Agent가 자체 intake 폴더로 복제해 Peer/ML/대시보드 비교에 사용.</t>
        </is>
      </c>
    </row>
    <row r="103" ht="24" customHeight="1">
      <c r="A103" s="24" t="inlineStr">
        <is>
          <t>31</t>
        </is>
      </c>
      <c r="B103" s="24" t="inlineStr">
        <is>
          <t>해당 없음</t>
        </is>
      </c>
      <c r="C103" s="24" t="inlineStr">
        <is>
          <t>케이알엠</t>
        </is>
      </c>
      <c r="D103" s="24" t="inlineStr">
        <is>
          <t>093640</t>
        </is>
      </c>
      <c r="E103" s="24" t="inlineStr">
        <is>
          <t>KOSDAQ</t>
        </is>
      </c>
      <c r="F103" s="24" t="inlineStr">
        <is>
          <t>IDM/제조/메모리</t>
        </is>
      </c>
      <c r="G103" s="24" t="inlineStr">
        <is>
          <t>IDM/제조/메모리</t>
        </is>
      </c>
      <c r="H103" s="24" t="inlineStr">
        <is>
          <t>False</t>
        </is>
      </c>
      <c r="I103" s="24" t="inlineStr">
        <is>
          <t>True</t>
        </is>
      </c>
      <c r="J103" s="24" t="inlineStr">
        <is>
          <t>OK</t>
        </is>
      </c>
      <c r="K103" s="24" t="inlineStr">
        <is>
          <t>데이터 사용 가능</t>
        </is>
      </c>
      <c r="L103" s="24" t="inlineStr">
        <is>
          <t>LOW</t>
        </is>
      </c>
      <c r="M103" s="24" t="inlineStr">
        <is>
          <t>LOW</t>
        </is>
      </c>
      <c r="N103" s="24" t="inlineStr">
        <is>
          <t>0.301</t>
        </is>
      </c>
      <c r="O103" s="24" t="inlineStr">
        <is>
          <t>EXPENSIVE</t>
        </is>
      </c>
      <c r="P103" s="24" t="inlineStr">
        <is>
          <t>EXPENSIVE</t>
        </is>
      </c>
      <c r="Q103" s="24" t="inlineStr">
        <is>
          <t>EXPENSIVE</t>
        </is>
      </c>
      <c r="R103" s="24" t="inlineStr">
        <is>
          <t>0.7957205872008264</t>
        </is>
      </c>
      <c r="S103" s="24" t="inlineStr">
        <is>
          <t>HIGH</t>
        </is>
      </c>
      <c r="T103" s="24" t="inlineStr">
        <is>
          <t>HIGH</t>
        </is>
      </c>
      <c r="U103" s="24" t="inlineStr">
        <is>
          <t>0.4285714285714285</t>
        </is>
      </c>
      <c r="V103" s="24" t="inlineStr">
        <is>
          <t>HIGH_RISK</t>
        </is>
      </c>
      <c r="W103" s="24" t="inlineStr">
        <is>
          <t>고위험</t>
        </is>
      </c>
      <c r="X103" s="24" t="inlineStr">
        <is>
          <t>HIGH_RISK</t>
        </is>
      </c>
      <c r="Y103" s="24" t="inlineStr">
        <is>
          <t>0.9569765609780977</t>
        </is>
      </c>
      <c r="Z103" s="24" t="inlineStr">
        <is>
          <t>HIGH</t>
        </is>
      </c>
      <c r="AA103" s="24" t="inlineStr">
        <is>
          <t>HIGH</t>
        </is>
      </c>
      <c r="AB103" s="24" t="inlineStr">
        <is>
          <t>0.2926124347647049</t>
        </is>
      </c>
      <c r="AC103" s="24" t="inlineStr">
        <is>
          <t>True</t>
        </is>
      </c>
      <c r="AD103" s="24" t="inlineStr">
        <is>
          <t>True</t>
        </is>
      </c>
      <c r="AE103" s="24" t="inlineStr">
        <is>
          <t>valuation_credit_ml_overlay_candidate.csv</t>
        </is>
      </c>
      <c r="AF103" s="24" t="inlineStr">
        <is>
          <t>208개 반도체 reference universe. Valuation Agent가 자체 intake 폴더로 복제해 Peer/ML/대시보드 비교에 사용.</t>
        </is>
      </c>
    </row>
    <row r="104" ht="24" customHeight="1">
      <c r="A104" s="29" t="inlineStr">
        <is>
          <t>17</t>
        </is>
      </c>
      <c r="B104" s="29" t="inlineStr">
        <is>
          <t>해당 없음</t>
        </is>
      </c>
      <c r="C104" s="29" t="inlineStr">
        <is>
          <t>쏘닉스</t>
        </is>
      </c>
      <c r="D104" s="29" t="inlineStr">
        <is>
          <t>088280</t>
        </is>
      </c>
      <c r="E104" s="29" t="inlineStr">
        <is>
          <t>KOSDAQ</t>
        </is>
      </c>
      <c r="F104" s="29" t="inlineStr">
        <is>
          <t>IDM/제조/메모리</t>
        </is>
      </c>
      <c r="G104" s="29" t="inlineStr">
        <is>
          <t>IDM/제조/메모리</t>
        </is>
      </c>
      <c r="H104" s="29" t="inlineStr">
        <is>
          <t>False</t>
        </is>
      </c>
      <c r="I104" s="29" t="inlineStr">
        <is>
          <t>True</t>
        </is>
      </c>
      <c r="J104" s="29" t="inlineStr">
        <is>
          <t>OK_LIMITED_HISTORY_OR_GROWTH_NA</t>
        </is>
      </c>
      <c r="K104" s="29" t="inlineStr">
        <is>
          <t>데이터 사용 가능</t>
        </is>
      </c>
      <c r="L104" s="29" t="inlineStr">
        <is>
          <t>LOW</t>
        </is>
      </c>
      <c r="M104" s="29" t="inlineStr">
        <is>
          <t>LOW</t>
        </is>
      </c>
      <c r="N104" s="29" t="inlineStr">
        <is>
          <t>0.2925</t>
        </is>
      </c>
      <c r="O104" s="29" t="inlineStr">
        <is>
          <t>EXPENSIVE</t>
        </is>
      </c>
      <c r="P104" s="29" t="inlineStr">
        <is>
          <t>EXPENSIVE</t>
        </is>
      </c>
      <c r="Q104" s="29" t="inlineStr">
        <is>
          <t>EXPENSIVE</t>
        </is>
      </c>
      <c r="R104" s="29" t="inlineStr">
        <is>
          <t>0.9167677788852596</t>
        </is>
      </c>
      <c r="S104" s="29" t="inlineStr">
        <is>
          <t>HIGH</t>
        </is>
      </c>
      <c r="T104" s="29" t="inlineStr">
        <is>
          <t>HIGH</t>
        </is>
      </c>
      <c r="U104" s="29" t="inlineStr">
        <is>
          <t>0.5714285714285714</t>
        </is>
      </c>
      <c r="V104" s="29" t="inlineStr">
        <is>
          <t>HIGH_RISK</t>
        </is>
      </c>
      <c r="W104" s="29" t="inlineStr">
        <is>
          <t>고위험</t>
        </is>
      </c>
      <c r="X104" s="29" t="inlineStr">
        <is>
          <t>HIGH_RISK</t>
        </is>
      </c>
      <c r="Y104" s="29" t="inlineStr">
        <is>
          <t>0.9751947390683402</t>
        </is>
      </c>
      <c r="Z104" s="29" t="inlineStr">
        <is>
          <t>HIGH</t>
        </is>
      </c>
      <c r="AA104" s="29" t="inlineStr">
        <is>
          <t>HIGH</t>
        </is>
      </c>
      <c r="AB104" s="29" t="inlineStr">
        <is>
          <t>0.11312412490832129</t>
        </is>
      </c>
      <c r="AC104" s="29" t="inlineStr">
        <is>
          <t>False</t>
        </is>
      </c>
      <c r="AD104" s="29" t="inlineStr">
        <is>
          <t>True</t>
        </is>
      </c>
      <c r="AE104" s="29" t="inlineStr">
        <is>
          <t>valuation_credit_ml_overlay_candidate.csv</t>
        </is>
      </c>
      <c r="AF104" s="29" t="inlineStr">
        <is>
          <t>208개 반도체 reference universe. Valuation Agent가 자체 intake 폴더로 복제해 Peer/ML/대시보드 비교에 사용.</t>
        </is>
      </c>
    </row>
    <row r="105" ht="24" customHeight="1">
      <c r="A105" s="24" t="inlineStr">
        <is>
          <t>29</t>
        </is>
      </c>
      <c r="B105" s="24" t="inlineStr">
        <is>
          <t>해당 없음</t>
        </is>
      </c>
      <c r="C105" s="24" t="inlineStr">
        <is>
          <t>자람테크놀로지</t>
        </is>
      </c>
      <c r="D105" s="24" t="inlineStr">
        <is>
          <t>389020</t>
        </is>
      </c>
      <c r="E105" s="24" t="inlineStr">
        <is>
          <t>KOSDAQ</t>
        </is>
      </c>
      <c r="F105" s="24" t="inlineStr">
        <is>
          <t>IDM/제조/메모리</t>
        </is>
      </c>
      <c r="G105" s="24" t="inlineStr">
        <is>
          <t>IDM/제조/메모리</t>
        </is>
      </c>
      <c r="H105" s="24" t="inlineStr">
        <is>
          <t>False</t>
        </is>
      </c>
      <c r="I105" s="24" t="inlineStr">
        <is>
          <t>True</t>
        </is>
      </c>
      <c r="J105" s="24" t="inlineStr">
        <is>
          <t>OK</t>
        </is>
      </c>
      <c r="K105" s="24" t="inlineStr">
        <is>
          <t>데이터 사용 가능</t>
        </is>
      </c>
      <c r="L105" s="24" t="inlineStr">
        <is>
          <t>LOW</t>
        </is>
      </c>
      <c r="M105" s="24" t="inlineStr">
        <is>
          <t>LOW</t>
        </is>
      </c>
      <c r="N105" s="24" t="inlineStr">
        <is>
          <t>0.1995</t>
        </is>
      </c>
      <c r="O105" s="24" t="inlineStr">
        <is>
          <t>EXPENSIVE</t>
        </is>
      </c>
      <c r="P105" s="24" t="inlineStr">
        <is>
          <t>EXPENSIVE</t>
        </is>
      </c>
      <c r="Q105" s="24" t="inlineStr">
        <is>
          <t>EXPENSIVE</t>
        </is>
      </c>
      <c r="R105" s="24" t="inlineStr">
        <is>
          <t>0.6873284389381621</t>
        </is>
      </c>
      <c r="S105" s="24" t="inlineStr">
        <is>
          <t>MEDIUM</t>
        </is>
      </c>
      <c r="T105" s="24" t="inlineStr">
        <is>
          <t>MEDIUM</t>
        </is>
      </c>
      <c r="U105" s="24" t="inlineStr">
        <is>
          <t>0.2142857142857142</t>
        </is>
      </c>
      <c r="V105" s="24" t="inlineStr">
        <is>
          <t>MEDIUM_RISK</t>
        </is>
      </c>
      <c r="W105" s="24" t="inlineStr">
        <is>
          <t>중위험</t>
        </is>
      </c>
      <c r="X105" s="24" t="inlineStr">
        <is>
          <t>MEDIUM_RISK</t>
        </is>
      </c>
      <c r="Y105" s="24" t="inlineStr">
        <is>
          <t>0.7087592263635621</t>
        </is>
      </c>
      <c r="Z105" s="24" t="inlineStr">
        <is>
          <t>HIGH</t>
        </is>
      </c>
      <c r="AA105" s="24" t="inlineStr">
        <is>
          <t>HIGH</t>
        </is>
      </c>
      <c r="AB105" s="24" t="inlineStr">
        <is>
          <t>0.14222896108498048</t>
        </is>
      </c>
      <c r="AC105" s="24" t="inlineStr">
        <is>
          <t>False</t>
        </is>
      </c>
      <c r="AD105" s="24" t="inlineStr">
        <is>
          <t>False</t>
        </is>
      </c>
      <c r="AE105" s="24" t="inlineStr">
        <is>
          <t>valuation_credit_ml_overlay_candidate.csv</t>
        </is>
      </c>
      <c r="AF105" s="24" t="inlineStr">
        <is>
          <t>208개 반도체 reference universe. Valuation Agent가 자체 intake 폴더로 복제해 Peer/ML/대시보드 비교에 사용.</t>
        </is>
      </c>
    </row>
    <row r="106" ht="24" customHeight="1">
      <c r="A106" s="29" t="inlineStr">
        <is>
          <t>39</t>
        </is>
      </c>
      <c r="B106" s="29" t="inlineStr">
        <is>
          <t>해당 없음</t>
        </is>
      </c>
      <c r="C106" s="29" t="inlineStr">
        <is>
          <t>하이딥</t>
        </is>
      </c>
      <c r="D106" s="29" t="inlineStr">
        <is>
          <t>365590</t>
        </is>
      </c>
      <c r="E106" s="29" t="inlineStr">
        <is>
          <t>KOSDAQ</t>
        </is>
      </c>
      <c r="F106" s="29" t="inlineStr">
        <is>
          <t>IDM/제조/메모리</t>
        </is>
      </c>
      <c r="G106" s="29" t="inlineStr">
        <is>
          <t>IDM/제조/메모리</t>
        </is>
      </c>
      <c r="H106" s="29" t="inlineStr">
        <is>
          <t>False</t>
        </is>
      </c>
      <c r="I106" s="29" t="inlineStr">
        <is>
          <t>True</t>
        </is>
      </c>
      <c r="J106" s="29" t="inlineStr">
        <is>
          <t>OK</t>
        </is>
      </c>
      <c r="K106" s="29" t="inlineStr">
        <is>
          <t>데이터 사용 가능</t>
        </is>
      </c>
      <c r="L106" s="29" t="inlineStr">
        <is>
          <t>LOW</t>
        </is>
      </c>
      <c r="M106" s="29" t="inlineStr">
        <is>
          <t>LOW</t>
        </is>
      </c>
      <c r="N106" s="29" t="inlineStr">
        <is>
          <t>0.125</t>
        </is>
      </c>
      <c r="O106" s="29" t="inlineStr">
        <is>
          <t>EXPENSIVE</t>
        </is>
      </c>
      <c r="P106" s="29" t="inlineStr">
        <is>
          <t>EXPENSIVE</t>
        </is>
      </c>
      <c r="Q106" s="29" t="inlineStr">
        <is>
          <t>EXPENSIVE</t>
        </is>
      </c>
      <c r="R106" s="29" t="inlineStr">
        <is>
          <t>0.93355514861914</t>
        </is>
      </c>
      <c r="S106" s="29" t="inlineStr">
        <is>
          <t>HIGH</t>
        </is>
      </c>
      <c r="T106" s="29" t="inlineStr">
        <is>
          <t>HIGH</t>
        </is>
      </c>
      <c r="U106" s="29" t="inlineStr">
        <is>
          <t>0.8571428571428571</t>
        </is>
      </c>
      <c r="V106" s="29" t="inlineStr">
        <is>
          <t>HIGH_RISK</t>
        </is>
      </c>
      <c r="W106" s="29" t="inlineStr">
        <is>
          <t>고위험</t>
        </is>
      </c>
      <c r="X106" s="29" t="inlineStr">
        <is>
          <t>HIGH_RISK</t>
        </is>
      </c>
      <c r="Y106" s="29" t="inlineStr">
        <is>
          <t>0.9622719553866781</t>
        </is>
      </c>
      <c r="Z106" s="29" t="inlineStr">
        <is>
          <t>HIGH</t>
        </is>
      </c>
      <c r="AA106" s="29" t="inlineStr">
        <is>
          <t>HIGH</t>
        </is>
      </c>
      <c r="AB106" s="29" t="inlineStr">
        <is>
          <t>0.9999999977412558</t>
        </is>
      </c>
      <c r="AC106" s="29" t="inlineStr">
        <is>
          <t>True</t>
        </is>
      </c>
      <c r="AD106" s="29" t="inlineStr">
        <is>
          <t>True</t>
        </is>
      </c>
      <c r="AE106" s="29" t="inlineStr">
        <is>
          <t>valuation_credit_ml_overlay_candidate.csv</t>
        </is>
      </c>
      <c r="AF106" s="29" t="inlineStr">
        <is>
          <t>208개 반도체 reference universe. Valuation Agent가 자체 intake 폴더로 복제해 Peer/ML/대시보드 비교에 사용.</t>
        </is>
      </c>
    </row>
    <row r="107" ht="24" customHeight="1">
      <c r="A107" s="24" t="inlineStr">
        <is>
          <t>203</t>
        </is>
      </c>
      <c r="B107" s="24" t="inlineStr">
        <is>
          <t>해당 없음</t>
        </is>
      </c>
      <c r="C107" s="24" t="inlineStr">
        <is>
          <t>인터플렉스</t>
        </is>
      </c>
      <c r="D107" s="24" t="inlineStr">
        <is>
          <t>051370</t>
        </is>
      </c>
      <c r="E107" s="24" t="inlineStr">
        <is>
          <t>KOSDAQ</t>
        </is>
      </c>
      <c r="F107" s="24" t="inlineStr">
        <is>
          <t>부품/기판</t>
        </is>
      </c>
      <c r="G107" s="24" t="inlineStr">
        <is>
          <t>부품/기판</t>
        </is>
      </c>
      <c r="H107" s="24" t="inlineStr">
        <is>
          <t>False</t>
        </is>
      </c>
      <c r="I107" s="24" t="inlineStr">
        <is>
          <t>True</t>
        </is>
      </c>
      <c r="J107" s="24" t="inlineStr">
        <is>
          <t>OK</t>
        </is>
      </c>
      <c r="K107" s="24" t="inlineStr">
        <is>
          <t>데이터 사용 가능</t>
        </is>
      </c>
      <c r="L107" s="24" t="inlineStr">
        <is>
          <t>LOW</t>
        </is>
      </c>
      <c r="M107" s="24" t="inlineStr">
        <is>
          <t>LOW</t>
        </is>
      </c>
      <c r="N107" s="24" t="inlineStr">
        <is>
          <t>0.709047619047619</t>
        </is>
      </c>
      <c r="O107" s="24" t="inlineStr">
        <is>
          <t>FAIR</t>
        </is>
      </c>
      <c r="P107" s="24" t="inlineStr">
        <is>
          <t>FAIR</t>
        </is>
      </c>
      <c r="Q107" s="24" t="inlineStr">
        <is>
          <t>FAIR</t>
        </is>
      </c>
      <c r="R107" s="24" t="inlineStr">
        <is>
          <t>0.904555257888918</t>
        </is>
      </c>
      <c r="S107" s="24" t="inlineStr">
        <is>
          <t>HIGH</t>
        </is>
      </c>
      <c r="T107" s="24" t="inlineStr">
        <is>
          <t>HIGH</t>
        </is>
      </c>
      <c r="U107" s="24" t="inlineStr">
        <is>
          <t>0.0714285714285714</t>
        </is>
      </c>
      <c r="V107" s="24" t="inlineStr">
        <is>
          <t>LOW_RISK</t>
        </is>
      </c>
      <c r="W107" s="24" t="inlineStr">
        <is>
          <t>저위험</t>
        </is>
      </c>
      <c r="X107" s="24" t="inlineStr">
        <is>
          <t>LOW_RISK</t>
        </is>
      </c>
      <c r="Y107" s="24" t="inlineStr">
        <is>
          <t>0.8421993774288782</t>
        </is>
      </c>
      <c r="Z107" s="24" t="inlineStr">
        <is>
          <t>HIGH</t>
        </is>
      </c>
      <c r="AA107" s="24" t="inlineStr">
        <is>
          <t>HIGH</t>
        </is>
      </c>
      <c r="AB107" s="24" t="inlineStr">
        <is>
          <t>0.04875174090091772</t>
        </is>
      </c>
      <c r="AC107" s="24" t="inlineStr">
        <is>
          <t>False</t>
        </is>
      </c>
      <c r="AD107" s="24" t="inlineStr">
        <is>
          <t>False</t>
        </is>
      </c>
      <c r="AE107" s="24" t="inlineStr">
        <is>
          <t>valuation_credit_ml_overlay_candidate.csv</t>
        </is>
      </c>
      <c r="AF107" s="24" t="inlineStr">
        <is>
          <t>208개 반도체 reference universe. Valuation Agent가 자체 intake 폴더로 복제해 Peer/ML/대시보드 비교에 사용.</t>
        </is>
      </c>
    </row>
    <row r="108" ht="24" customHeight="1">
      <c r="A108" s="29" t="inlineStr">
        <is>
          <t>204</t>
        </is>
      </c>
      <c r="B108" s="29" t="inlineStr">
        <is>
          <t>해당 없음</t>
        </is>
      </c>
      <c r="C108" s="29" t="inlineStr">
        <is>
          <t>자화전자</t>
        </is>
      </c>
      <c r="D108" s="29" t="inlineStr">
        <is>
          <t>033240</t>
        </is>
      </c>
      <c r="E108" s="29" t="inlineStr">
        <is>
          <t>KOSPI</t>
        </is>
      </c>
      <c r="F108" s="29" t="inlineStr">
        <is>
          <t>부품/기판</t>
        </is>
      </c>
      <c r="G108" s="29" t="inlineStr">
        <is>
          <t>부품/기판</t>
        </is>
      </c>
      <c r="H108" s="29" t="inlineStr">
        <is>
          <t>False</t>
        </is>
      </c>
      <c r="I108" s="29" t="inlineStr">
        <is>
          <t>True</t>
        </is>
      </c>
      <c r="J108" s="29" t="inlineStr">
        <is>
          <t>OK</t>
        </is>
      </c>
      <c r="K108" s="29" t="inlineStr">
        <is>
          <t>데이터 사용 가능</t>
        </is>
      </c>
      <c r="L108" s="29" t="inlineStr">
        <is>
          <t>LOW</t>
        </is>
      </c>
      <c r="M108" s="29" t="inlineStr">
        <is>
          <t>LOW</t>
        </is>
      </c>
      <c r="N108" s="29" t="inlineStr">
        <is>
          <t>0.6647619047619049</t>
        </is>
      </c>
      <c r="O108" s="29" t="inlineStr">
        <is>
          <t>FAIR</t>
        </is>
      </c>
      <c r="P108" s="29" t="inlineStr">
        <is>
          <t>FAIR</t>
        </is>
      </c>
      <c r="Q108" s="29" t="inlineStr">
        <is>
          <t>FAIR</t>
        </is>
      </c>
      <c r="R108" s="29" t="inlineStr">
        <is>
          <t>0.9380223994723259</t>
        </is>
      </c>
      <c r="S108" s="29" t="inlineStr">
        <is>
          <t>HIGH</t>
        </is>
      </c>
      <c r="T108" s="29" t="inlineStr">
        <is>
          <t>HIGH</t>
        </is>
      </c>
      <c r="U108" s="29" t="inlineStr">
        <is>
          <t>0.0714285714285714</t>
        </is>
      </c>
      <c r="V108" s="29" t="inlineStr">
        <is>
          <t>LOW_RISK</t>
        </is>
      </c>
      <c r="W108" s="29" t="inlineStr">
        <is>
          <t>저위험</t>
        </is>
      </c>
      <c r="X108" s="29" t="inlineStr">
        <is>
          <t>LOW_RISK</t>
        </is>
      </c>
      <c r="Y108" s="29" t="inlineStr">
        <is>
          <t>0.7827117376718701</t>
        </is>
      </c>
      <c r="Z108" s="29" t="inlineStr">
        <is>
          <t>HIGH</t>
        </is>
      </c>
      <c r="AA108" s="29" t="inlineStr">
        <is>
          <t>HIGH</t>
        </is>
      </c>
      <c r="AB108" s="29" t="inlineStr">
        <is>
          <t>0.004560941446629287</t>
        </is>
      </c>
      <c r="AC108" s="29" t="inlineStr">
        <is>
          <t>False</t>
        </is>
      </c>
      <c r="AD108" s="29" t="inlineStr">
        <is>
          <t>False</t>
        </is>
      </c>
      <c r="AE108" s="29" t="inlineStr">
        <is>
          <t>valuation_credit_ml_overlay_candidate.csv</t>
        </is>
      </c>
      <c r="AF108" s="29" t="inlineStr">
        <is>
          <t>208개 반도체 reference universe. Valuation Agent가 자체 intake 폴더로 복제해 Peer/ML/대시보드 비교에 사용.</t>
        </is>
      </c>
    </row>
    <row r="109" ht="24" customHeight="1">
      <c r="A109" s="24" t="inlineStr">
        <is>
          <t>206</t>
        </is>
      </c>
      <c r="B109" s="24" t="inlineStr">
        <is>
          <t>해당 없음</t>
        </is>
      </c>
      <c r="C109" s="24" t="inlineStr">
        <is>
          <t>코미코</t>
        </is>
      </c>
      <c r="D109" s="24" t="inlineStr">
        <is>
          <t>183300</t>
        </is>
      </c>
      <c r="E109" s="24" t="inlineStr">
        <is>
          <t>KOSDAQ GLOBAL</t>
        </is>
      </c>
      <c r="F109" s="24" t="inlineStr">
        <is>
          <t>부품/기판</t>
        </is>
      </c>
      <c r="G109" s="24" t="inlineStr">
        <is>
          <t>부품/기판</t>
        </is>
      </c>
      <c r="H109" s="24" t="inlineStr">
        <is>
          <t>False</t>
        </is>
      </c>
      <c r="I109" s="24" t="inlineStr">
        <is>
          <t>True</t>
        </is>
      </c>
      <c r="J109" s="24" t="inlineStr">
        <is>
          <t>OK</t>
        </is>
      </c>
      <c r="K109" s="24" t="inlineStr">
        <is>
          <t>데이터 사용 가능</t>
        </is>
      </c>
      <c r="L109" s="24" t="inlineStr">
        <is>
          <t>LOW</t>
        </is>
      </c>
      <c r="M109" s="24" t="inlineStr">
        <is>
          <t>LOW</t>
        </is>
      </c>
      <c r="N109" s="24" t="inlineStr">
        <is>
          <t>0.6342857142857143</t>
        </is>
      </c>
      <c r="O109" s="24" t="inlineStr">
        <is>
          <t>FAIR</t>
        </is>
      </c>
      <c r="P109" s="24" t="inlineStr">
        <is>
          <t>FAIR</t>
        </is>
      </c>
      <c r="Q109" s="24" t="inlineStr">
        <is>
          <t>FAIR</t>
        </is>
      </c>
      <c r="R109" s="24" t="inlineStr">
        <is>
          <t>0.8305894153326006</t>
        </is>
      </c>
      <c r="S109" s="24" t="inlineStr">
        <is>
          <t>HIGH</t>
        </is>
      </c>
      <c r="T109" s="24" t="inlineStr">
        <is>
          <t>HIGH</t>
        </is>
      </c>
      <c r="U109" s="24" t="inlineStr">
        <is>
          <t>0.3571428571428571</t>
        </is>
      </c>
      <c r="V109" s="24" t="inlineStr">
        <is>
          <t>MEDIUM_RISK</t>
        </is>
      </c>
      <c r="W109" s="24" t="inlineStr">
        <is>
          <t>중위험</t>
        </is>
      </c>
      <c r="X109" s="24" t="inlineStr">
        <is>
          <t>MEDIUM_RISK</t>
        </is>
      </c>
      <c r="Y109" s="24" t="inlineStr">
        <is>
          <t>0.6510391794232897</t>
        </is>
      </c>
      <c r="Z109" s="24" t="inlineStr">
        <is>
          <t>MEDIUM</t>
        </is>
      </c>
      <c r="AA109" s="24" t="inlineStr">
        <is>
          <t>MEDIUM</t>
        </is>
      </c>
      <c r="AB109" s="24" t="inlineStr">
        <is>
          <t>0.08075637337557524</t>
        </is>
      </c>
      <c r="AC109" s="24" t="inlineStr">
        <is>
          <t>False</t>
        </is>
      </c>
      <c r="AD109" s="24" t="inlineStr">
        <is>
          <t>False</t>
        </is>
      </c>
      <c r="AE109" s="24" t="inlineStr">
        <is>
          <t>valuation_credit_ml_overlay_candidate.csv</t>
        </is>
      </c>
      <c r="AF109" s="24" t="inlineStr">
        <is>
          <t>208개 반도체 reference universe. Valuation Agent가 자체 intake 폴더로 복제해 Peer/ML/대시보드 비교에 사용.</t>
        </is>
      </c>
    </row>
    <row r="110" ht="24" customHeight="1">
      <c r="A110" s="29" t="inlineStr">
        <is>
          <t>196</t>
        </is>
      </c>
      <c r="B110" s="29" t="inlineStr">
        <is>
          <t>해당 없음</t>
        </is>
      </c>
      <c r="C110" s="29" t="inlineStr">
        <is>
          <t>비에이치</t>
        </is>
      </c>
      <c r="D110" s="29" t="inlineStr">
        <is>
          <t>090460</t>
        </is>
      </c>
      <c r="E110" s="29" t="inlineStr">
        <is>
          <t>KOSPI</t>
        </is>
      </c>
      <c r="F110" s="29" t="inlineStr">
        <is>
          <t>부품/기판</t>
        </is>
      </c>
      <c r="G110" s="29" t="inlineStr">
        <is>
          <t>부품/기판</t>
        </is>
      </c>
      <c r="H110" s="29" t="inlineStr">
        <is>
          <t>False</t>
        </is>
      </c>
      <c r="I110" s="29" t="inlineStr">
        <is>
          <t>True</t>
        </is>
      </c>
      <c r="J110" s="29" t="inlineStr">
        <is>
          <t>OK</t>
        </is>
      </c>
      <c r="K110" s="29" t="inlineStr">
        <is>
          <t>데이터 사용 가능</t>
        </is>
      </c>
      <c r="L110" s="29" t="inlineStr">
        <is>
          <t>LOW</t>
        </is>
      </c>
      <c r="M110" s="29" t="inlineStr">
        <is>
          <t>LOW</t>
        </is>
      </c>
      <c r="N110" s="29" t="inlineStr">
        <is>
          <t>0.5752380952380951</t>
        </is>
      </c>
      <c r="O110" s="29" t="inlineStr">
        <is>
          <t>FAIR</t>
        </is>
      </c>
      <c r="P110" s="29" t="inlineStr">
        <is>
          <t>FAIR</t>
        </is>
      </c>
      <c r="Q110" s="29" t="inlineStr">
        <is>
          <t>FAIR</t>
        </is>
      </c>
      <c r="R110" s="29" t="inlineStr">
        <is>
          <t>0.5078538652826</t>
        </is>
      </c>
      <c r="S110" s="29" t="inlineStr">
        <is>
          <t>MEDIUM</t>
        </is>
      </c>
      <c r="T110" s="29" t="inlineStr">
        <is>
          <t>MEDIUM</t>
        </is>
      </c>
      <c r="U110" s="29" t="inlineStr">
        <is>
          <t>0.0</t>
        </is>
      </c>
      <c r="V110" s="29" t="inlineStr">
        <is>
          <t>LOW_RISK</t>
        </is>
      </c>
      <c r="W110" s="29" t="inlineStr">
        <is>
          <t>저위험</t>
        </is>
      </c>
      <c r="X110" s="29" t="inlineStr">
        <is>
          <t>LOW_RISK</t>
        </is>
      </c>
      <c r="Y110" s="29" t="inlineStr">
        <is>
          <t>0.8498731799769995</t>
        </is>
      </c>
      <c r="Z110" s="29" t="inlineStr">
        <is>
          <t>HIGH</t>
        </is>
      </c>
      <c r="AA110" s="29" t="inlineStr">
        <is>
          <t>HIGH</t>
        </is>
      </c>
      <c r="AB110" s="29" t="inlineStr">
        <is>
          <t>0.004189789054000619</t>
        </is>
      </c>
      <c r="AC110" s="29" t="inlineStr">
        <is>
          <t>False</t>
        </is>
      </c>
      <c r="AD110" s="29" t="inlineStr">
        <is>
          <t>False</t>
        </is>
      </c>
      <c r="AE110" s="29" t="inlineStr">
        <is>
          <t>valuation_credit_ml_overlay_candidate.csv</t>
        </is>
      </c>
      <c r="AF110" s="29" t="inlineStr">
        <is>
          <t>208개 반도체 reference universe. Valuation Agent가 자체 intake 폴더로 복제해 Peer/ML/대시보드 비교에 사용.</t>
        </is>
      </c>
    </row>
    <row r="111" ht="24" customHeight="1">
      <c r="A111" s="24" t="inlineStr">
        <is>
          <t>198</t>
        </is>
      </c>
      <c r="B111" s="24" t="inlineStr">
        <is>
          <t>해당 없음</t>
        </is>
      </c>
      <c r="C111" s="24" t="inlineStr">
        <is>
          <t>심텍홀딩스</t>
        </is>
      </c>
      <c r="D111" s="24" t="inlineStr">
        <is>
          <t>036710</t>
        </is>
      </c>
      <c r="E111" s="24" t="inlineStr">
        <is>
          <t>KOSDAQ</t>
        </is>
      </c>
      <c r="F111" s="24" t="inlineStr">
        <is>
          <t>부품/기판</t>
        </is>
      </c>
      <c r="G111" s="24" t="inlineStr">
        <is>
          <t>부품/기판</t>
        </is>
      </c>
      <c r="H111" s="24" t="inlineStr">
        <is>
          <t>False</t>
        </is>
      </c>
      <c r="I111" s="24" t="inlineStr">
        <is>
          <t>True</t>
        </is>
      </c>
      <c r="J111" s="24" t="inlineStr">
        <is>
          <t>OK</t>
        </is>
      </c>
      <c r="K111" s="24" t="inlineStr">
        <is>
          <t>데이터 사용 가능</t>
        </is>
      </c>
      <c r="L111" s="24" t="inlineStr">
        <is>
          <t>LOW</t>
        </is>
      </c>
      <c r="M111" s="24" t="inlineStr">
        <is>
          <t>LOW</t>
        </is>
      </c>
      <c r="N111" s="24" t="inlineStr">
        <is>
          <t>0.5323809523809524</t>
        </is>
      </c>
      <c r="O111" s="24" t="inlineStr">
        <is>
          <t>FAIR</t>
        </is>
      </c>
      <c r="P111" s="24" t="inlineStr">
        <is>
          <t>FAIR</t>
        </is>
      </c>
      <c r="Q111" s="24" t="inlineStr">
        <is>
          <t>FAIR</t>
        </is>
      </c>
      <c r="R111" s="24" t="inlineStr">
        <is>
          <t>0.726519318190825</t>
        </is>
      </c>
      <c r="S111" s="24" t="inlineStr">
        <is>
          <t>HIGH</t>
        </is>
      </c>
      <c r="T111" s="24" t="inlineStr">
        <is>
          <t>HIGH</t>
        </is>
      </c>
      <c r="U111" s="24" t="inlineStr">
        <is>
          <t>0.7857142857142857</t>
        </is>
      </c>
      <c r="V111" s="24" t="inlineStr">
        <is>
          <t>HIGH_RISK</t>
        </is>
      </c>
      <c r="W111" s="24" t="inlineStr">
        <is>
          <t>고위험</t>
        </is>
      </c>
      <c r="X111" s="24" t="inlineStr">
        <is>
          <t>HIGH_RISK</t>
        </is>
      </c>
      <c r="Y111" s="24" t="inlineStr">
        <is>
          <t>0.9494990496511118</t>
        </is>
      </c>
      <c r="Z111" s="24" t="inlineStr">
        <is>
          <t>HIGH</t>
        </is>
      </c>
      <c r="AA111" s="24" t="inlineStr">
        <is>
          <t>HIGH</t>
        </is>
      </c>
      <c r="AB111" s="24" t="inlineStr">
        <is>
          <t>0.2133344405871512</t>
        </is>
      </c>
      <c r="AC111" s="24" t="inlineStr">
        <is>
          <t>False</t>
        </is>
      </c>
      <c r="AD111" s="24" t="inlineStr">
        <is>
          <t>False</t>
        </is>
      </c>
      <c r="AE111" s="24" t="inlineStr">
        <is>
          <t>valuation_credit_ml_overlay_candidate.csv</t>
        </is>
      </c>
      <c r="AF111" s="24" t="inlineStr">
        <is>
          <t>208개 반도체 reference universe. Valuation Agent가 자체 intake 폴더로 복제해 Peer/ML/대시보드 비교에 사용.</t>
        </is>
      </c>
    </row>
    <row r="112" ht="24" customHeight="1">
      <c r="A112" s="29" t="inlineStr">
        <is>
          <t>201</t>
        </is>
      </c>
      <c r="B112" s="29" t="inlineStr">
        <is>
          <t>해당 없음</t>
        </is>
      </c>
      <c r="C112" s="29" t="inlineStr">
        <is>
          <t>엠디바이스</t>
        </is>
      </c>
      <c r="D112" s="29" t="inlineStr">
        <is>
          <t>226590</t>
        </is>
      </c>
      <c r="E112" s="29" t="inlineStr">
        <is>
          <t>KOSDAQ</t>
        </is>
      </c>
      <c r="F112" s="29" t="inlineStr">
        <is>
          <t>부품/기판</t>
        </is>
      </c>
      <c r="G112" s="29" t="inlineStr">
        <is>
          <t>부품/기판</t>
        </is>
      </c>
      <c r="H112" s="29" t="inlineStr">
        <is>
          <t>False</t>
        </is>
      </c>
      <c r="I112" s="29" t="inlineStr">
        <is>
          <t>True</t>
        </is>
      </c>
      <c r="J112" s="29" t="inlineStr">
        <is>
          <t>OK_LIMITED_HISTORY_OR_GROWTH_NA</t>
        </is>
      </c>
      <c r="K112" s="29" t="inlineStr">
        <is>
          <t>데이터 사용 가능</t>
        </is>
      </c>
      <c r="L112" s="29" t="inlineStr">
        <is>
          <t>LOW</t>
        </is>
      </c>
      <c r="M112" s="29" t="inlineStr">
        <is>
          <t>LOW</t>
        </is>
      </c>
      <c r="N112" s="29" t="inlineStr">
        <is>
          <t>0.531904761904762</t>
        </is>
      </c>
      <c r="O112" s="29" t="inlineStr">
        <is>
          <t>FAIR</t>
        </is>
      </c>
      <c r="P112" s="29" t="inlineStr">
        <is>
          <t>FAIR</t>
        </is>
      </c>
      <c r="Q112" s="29" t="inlineStr">
        <is>
          <t>FAIR</t>
        </is>
      </c>
      <c r="R112" s="29" t="inlineStr">
        <is>
          <t>0.7655361666958056</t>
        </is>
      </c>
      <c r="S112" s="29" t="inlineStr">
        <is>
          <t>HIGH</t>
        </is>
      </c>
      <c r="T112" s="29" t="inlineStr">
        <is>
          <t>HIGH</t>
        </is>
      </c>
      <c r="U112" s="29" t="inlineStr">
        <is>
          <t>0.4285714285714285</t>
        </is>
      </c>
      <c r="V112" s="29" t="inlineStr">
        <is>
          <t>HIGH_RISK</t>
        </is>
      </c>
      <c r="W112" s="29" t="inlineStr">
        <is>
          <t>고위험</t>
        </is>
      </c>
      <c r="X112" s="29" t="inlineStr">
        <is>
          <t>HIGH_RISK</t>
        </is>
      </c>
      <c r="Y112" s="29" t="inlineStr">
        <is>
          <t>0.5435613311923726</t>
        </is>
      </c>
      <c r="Z112" s="29" t="inlineStr">
        <is>
          <t>MEDIUM</t>
        </is>
      </c>
      <c r="AA112" s="29" t="inlineStr">
        <is>
          <t>MEDIUM</t>
        </is>
      </c>
      <c r="AB112" s="29" t="inlineStr">
        <is>
          <t>0.09953338023728169</t>
        </is>
      </c>
      <c r="AC112" s="29" t="inlineStr">
        <is>
          <t>False</t>
        </is>
      </c>
      <c r="AD112" s="29" t="inlineStr">
        <is>
          <t>True</t>
        </is>
      </c>
      <c r="AE112" s="29" t="inlineStr">
        <is>
          <t>valuation_credit_ml_overlay_candidate.csv</t>
        </is>
      </c>
      <c r="AF112" s="29" t="inlineStr">
        <is>
          <t>208개 반도체 reference universe. Valuation Agent가 자체 intake 폴더로 복제해 Peer/ML/대시보드 비교에 사용.</t>
        </is>
      </c>
    </row>
    <row r="113" ht="24" customHeight="1">
      <c r="A113" s="24" t="inlineStr">
        <is>
          <t>207</t>
        </is>
      </c>
      <c r="B113" s="24" t="inlineStr">
        <is>
          <t>해당 없음</t>
        </is>
      </c>
      <c r="C113" s="24" t="inlineStr">
        <is>
          <t>타이거일렉</t>
        </is>
      </c>
      <c r="D113" s="24" t="inlineStr">
        <is>
          <t>219130</t>
        </is>
      </c>
      <c r="E113" s="24" t="inlineStr">
        <is>
          <t>KOSDAQ</t>
        </is>
      </c>
      <c r="F113" s="24" t="inlineStr">
        <is>
          <t>부품/기판</t>
        </is>
      </c>
      <c r="G113" s="24" t="inlineStr">
        <is>
          <t>부품/기판</t>
        </is>
      </c>
      <c r="H113" s="24" t="inlineStr">
        <is>
          <t>False</t>
        </is>
      </c>
      <c r="I113" s="24" t="inlineStr">
        <is>
          <t>True</t>
        </is>
      </c>
      <c r="J113" s="24" t="inlineStr">
        <is>
          <t>OK</t>
        </is>
      </c>
      <c r="K113" s="24" t="inlineStr">
        <is>
          <t>데이터 사용 가능</t>
        </is>
      </c>
      <c r="L113" s="24" t="inlineStr">
        <is>
          <t>LOW</t>
        </is>
      </c>
      <c r="M113" s="24" t="inlineStr">
        <is>
          <t>LOW</t>
        </is>
      </c>
      <c r="N113" s="24" t="inlineStr">
        <is>
          <t>0.5066666666666667</t>
        </is>
      </c>
      <c r="O113" s="24" t="inlineStr">
        <is>
          <t>FAIR</t>
        </is>
      </c>
      <c r="P113" s="24" t="inlineStr">
        <is>
          <t>FAIR</t>
        </is>
      </c>
      <c r="Q113" s="24" t="inlineStr">
        <is>
          <t>FAIR</t>
        </is>
      </c>
      <c r="R113" s="24" t="inlineStr">
        <is>
          <t>0.6463040733623892</t>
        </is>
      </c>
      <c r="S113" s="24" t="inlineStr">
        <is>
          <t>MEDIUM</t>
        </is>
      </c>
      <c r="T113" s="24" t="inlineStr">
        <is>
          <t>MEDIUM</t>
        </is>
      </c>
      <c r="U113" s="24" t="inlineStr">
        <is>
          <t>0.1428571428571428</t>
        </is>
      </c>
      <c r="V113" s="24" t="inlineStr">
        <is>
          <t>LOW_RISK</t>
        </is>
      </c>
      <c r="W113" s="24" t="inlineStr">
        <is>
          <t>저위험</t>
        </is>
      </c>
      <c r="X113" s="24" t="inlineStr">
        <is>
          <t>LOW_RISK</t>
        </is>
      </c>
      <c r="Y113" s="24" t="inlineStr">
        <is>
          <t>0.6693838501840603</t>
        </is>
      </c>
      <c r="Z113" s="24" t="inlineStr">
        <is>
          <t>MEDIUM</t>
        </is>
      </c>
      <c r="AA113" s="24" t="inlineStr">
        <is>
          <t>MEDIUM</t>
        </is>
      </c>
      <c r="AB113" s="24" t="inlineStr">
        <is>
          <t>0.019101509586453232</t>
        </is>
      </c>
      <c r="AC113" s="24" t="inlineStr">
        <is>
          <t>False</t>
        </is>
      </c>
      <c r="AD113" s="24" t="inlineStr">
        <is>
          <t>False</t>
        </is>
      </c>
      <c r="AE113" s="24" t="inlineStr">
        <is>
          <t>valuation_credit_ml_overlay_candidate.csv</t>
        </is>
      </c>
      <c r="AF113" s="24" t="inlineStr">
        <is>
          <t>208개 반도체 reference universe. Valuation Agent가 자체 intake 폴더로 복제해 Peer/ML/대시보드 비교에 사용.</t>
        </is>
      </c>
    </row>
    <row r="114" ht="24" customHeight="1">
      <c r="A114" s="29" t="inlineStr">
        <is>
          <t>202</t>
        </is>
      </c>
      <c r="B114" s="29" t="inlineStr">
        <is>
          <t>해당 없음</t>
        </is>
      </c>
      <c r="C114" s="29" t="inlineStr">
        <is>
          <t>이수페타시스</t>
        </is>
      </c>
      <c r="D114" s="29" t="inlineStr">
        <is>
          <t>007660</t>
        </is>
      </c>
      <c r="E114" s="29" t="inlineStr">
        <is>
          <t>KOSPI</t>
        </is>
      </c>
      <c r="F114" s="29" t="inlineStr">
        <is>
          <t>부품/기판</t>
        </is>
      </c>
      <c r="G114" s="29" t="inlineStr">
        <is>
          <t>부품/기판</t>
        </is>
      </c>
      <c r="H114" s="29" t="inlineStr">
        <is>
          <t>False</t>
        </is>
      </c>
      <c r="I114" s="29" t="inlineStr">
        <is>
          <t>True</t>
        </is>
      </c>
      <c r="J114" s="29" t="inlineStr">
        <is>
          <t>OK</t>
        </is>
      </c>
      <c r="K114" s="29" t="inlineStr">
        <is>
          <t>데이터 사용 가능</t>
        </is>
      </c>
      <c r="L114" s="29" t="inlineStr">
        <is>
          <t>LOW</t>
        </is>
      </c>
      <c r="M114" s="29" t="inlineStr">
        <is>
          <t>LOW</t>
        </is>
      </c>
      <c r="N114" s="29" t="inlineStr">
        <is>
          <t>0.5061904761904762</t>
        </is>
      </c>
      <c r="O114" s="29" t="inlineStr">
        <is>
          <t>FAIR</t>
        </is>
      </c>
      <c r="P114" s="29" t="inlineStr">
        <is>
          <t>FAIR</t>
        </is>
      </c>
      <c r="Q114" s="29" t="inlineStr">
        <is>
          <t>FAIR</t>
        </is>
      </c>
      <c r="R114" s="29" t="inlineStr">
        <is>
          <t>0.599589540069591</t>
        </is>
      </c>
      <c r="S114" s="29" t="inlineStr">
        <is>
          <t>MEDIUM</t>
        </is>
      </c>
      <c r="T114" s="29" t="inlineStr">
        <is>
          <t>MEDIUM</t>
        </is>
      </c>
      <c r="U114" s="29" t="inlineStr">
        <is>
          <t>0.0</t>
        </is>
      </c>
      <c r="V114" s="29" t="inlineStr">
        <is>
          <t>LOW_RISK</t>
        </is>
      </c>
      <c r="W114" s="29" t="inlineStr">
        <is>
          <t>저위험</t>
        </is>
      </c>
      <c r="X114" s="29" t="inlineStr">
        <is>
          <t>LOW_RISK</t>
        </is>
      </c>
      <c r="Y114" s="29" t="inlineStr">
        <is>
          <t>0.8732919913777979</t>
        </is>
      </c>
      <c r="Z114" s="29" t="inlineStr">
        <is>
          <t>HIGH</t>
        </is>
      </c>
      <c r="AA114" s="29" t="inlineStr">
        <is>
          <t>HIGH</t>
        </is>
      </c>
      <c r="AB114" s="29" t="inlineStr">
        <is>
          <t>0.038896158054804106</t>
        </is>
      </c>
      <c r="AC114" s="29" t="inlineStr">
        <is>
          <t>False</t>
        </is>
      </c>
      <c r="AD114" s="29" t="inlineStr">
        <is>
          <t>False</t>
        </is>
      </c>
      <c r="AE114" s="29" t="inlineStr">
        <is>
          <t>valuation_credit_ml_overlay_candidate.csv</t>
        </is>
      </c>
      <c r="AF114" s="29" t="inlineStr">
        <is>
          <t>208개 반도체 reference universe. Valuation Agent가 자체 intake 폴더로 복제해 Peer/ML/대시보드 비교에 사용.</t>
        </is>
      </c>
    </row>
    <row r="115" ht="24" customHeight="1">
      <c r="A115" s="24" t="inlineStr">
        <is>
          <t>205</t>
        </is>
      </c>
      <c r="B115" s="24" t="inlineStr">
        <is>
          <t>해당 없음</t>
        </is>
      </c>
      <c r="C115" s="24" t="inlineStr">
        <is>
          <t>코리아써키트</t>
        </is>
      </c>
      <c r="D115" s="24" t="inlineStr">
        <is>
          <t>007810</t>
        </is>
      </c>
      <c r="E115" s="24" t="inlineStr">
        <is>
          <t>KOSPI</t>
        </is>
      </c>
      <c r="F115" s="24" t="inlineStr">
        <is>
          <t>부품/기판</t>
        </is>
      </c>
      <c r="G115" s="24" t="inlineStr">
        <is>
          <t>부품/기판</t>
        </is>
      </c>
      <c r="H115" s="24" t="inlineStr">
        <is>
          <t>False</t>
        </is>
      </c>
      <c r="I115" s="24" t="inlineStr">
        <is>
          <t>True</t>
        </is>
      </c>
      <c r="J115" s="24" t="inlineStr">
        <is>
          <t>OK</t>
        </is>
      </c>
      <c r="K115" s="24" t="inlineStr">
        <is>
          <t>데이터 사용 가능</t>
        </is>
      </c>
      <c r="L115" s="24" t="inlineStr">
        <is>
          <t>LOW</t>
        </is>
      </c>
      <c r="M115" s="24" t="inlineStr">
        <is>
          <t>LOW</t>
        </is>
      </c>
      <c r="N115" s="24" t="inlineStr">
        <is>
          <t>0.4676190476190476</t>
        </is>
      </c>
      <c r="O115" s="24" t="inlineStr">
        <is>
          <t>FAIR</t>
        </is>
      </c>
      <c r="P115" s="24" t="inlineStr">
        <is>
          <t>FAIR</t>
        </is>
      </c>
      <c r="Q115" s="24" t="inlineStr">
        <is>
          <t>FAIR</t>
        </is>
      </c>
      <c r="R115" s="24" t="inlineStr">
        <is>
          <t>0.8409076697911426</t>
        </is>
      </c>
      <c r="S115" s="24" t="inlineStr">
        <is>
          <t>HIGH</t>
        </is>
      </c>
      <c r="T115" s="24" t="inlineStr">
        <is>
          <t>HIGH</t>
        </is>
      </c>
      <c r="U115" s="24" t="inlineStr">
        <is>
          <t>0.2857142857142857</t>
        </is>
      </c>
      <c r="V115" s="24" t="inlineStr">
        <is>
          <t>MEDIUM_RISK</t>
        </is>
      </c>
      <c r="W115" s="24" t="inlineStr">
        <is>
          <t>중위험</t>
        </is>
      </c>
      <c r="X115" s="24" t="inlineStr">
        <is>
          <t>LOW_RISK</t>
        </is>
      </c>
      <c r="Y115" s="24" t="inlineStr">
        <is>
          <t>0.5792263126697852</t>
        </is>
      </c>
      <c r="Z115" s="24" t="inlineStr">
        <is>
          <t>MEDIUM</t>
        </is>
      </c>
      <c r="AA115" s="24" t="inlineStr">
        <is>
          <t>MEDIUM</t>
        </is>
      </c>
      <c r="AB115" s="24" t="inlineStr">
        <is>
          <t>0.03298450854390864</t>
        </is>
      </c>
      <c r="AC115" s="24" t="inlineStr">
        <is>
          <t>False</t>
        </is>
      </c>
      <c r="AD115" s="24" t="inlineStr">
        <is>
          <t>False</t>
        </is>
      </c>
      <c r="AE115" s="24" t="inlineStr">
        <is>
          <t>valuation_credit_ml_overlay_candidate.csv</t>
        </is>
      </c>
      <c r="AF115" s="24" t="inlineStr">
        <is>
          <t>208개 반도체 reference universe. Valuation Agent가 자체 intake 폴더로 복제해 Peer/ML/대시보드 비교에 사용.</t>
        </is>
      </c>
    </row>
    <row r="116" ht="24" customHeight="1">
      <c r="A116" s="29" t="inlineStr">
        <is>
          <t>200</t>
        </is>
      </c>
      <c r="B116" s="29" t="inlineStr">
        <is>
          <t>해당 없음</t>
        </is>
      </c>
      <c r="C116" s="29" t="inlineStr">
        <is>
          <t>아이티엠반도체</t>
        </is>
      </c>
      <c r="D116" s="29" t="inlineStr">
        <is>
          <t>084850</t>
        </is>
      </c>
      <c r="E116" s="29" t="inlineStr">
        <is>
          <t>KOSDAQ GLOBAL</t>
        </is>
      </c>
      <c r="F116" s="29" t="inlineStr">
        <is>
          <t>부품/기판</t>
        </is>
      </c>
      <c r="G116" s="29" t="inlineStr">
        <is>
          <t>부품/기판</t>
        </is>
      </c>
      <c r="H116" s="29" t="inlineStr">
        <is>
          <t>False</t>
        </is>
      </c>
      <c r="I116" s="29" t="inlineStr">
        <is>
          <t>True</t>
        </is>
      </c>
      <c r="J116" s="29" t="inlineStr">
        <is>
          <t>OK</t>
        </is>
      </c>
      <c r="K116" s="29" t="inlineStr">
        <is>
          <t>데이터 사용 가능</t>
        </is>
      </c>
      <c r="L116" s="29" t="inlineStr">
        <is>
          <t>LOW</t>
        </is>
      </c>
      <c r="M116" s="29" t="inlineStr">
        <is>
          <t>LOW</t>
        </is>
      </c>
      <c r="N116" s="29" t="inlineStr">
        <is>
          <t>0.4123809523809524</t>
        </is>
      </c>
      <c r="O116" s="29" t="inlineStr">
        <is>
          <t>EXPENSIVE</t>
        </is>
      </c>
      <c r="P116" s="29" t="inlineStr">
        <is>
          <t>EXPENSIVE</t>
        </is>
      </c>
      <c r="Q116" s="29" t="inlineStr">
        <is>
          <t>EXPENSIVE</t>
        </is>
      </c>
      <c r="R116" s="29" t="inlineStr">
        <is>
          <t>0.599341656390115</t>
        </is>
      </c>
      <c r="S116" s="29" t="inlineStr">
        <is>
          <t>MEDIUM</t>
        </is>
      </c>
      <c r="T116" s="29" t="inlineStr">
        <is>
          <t>MEDIUM</t>
        </is>
      </c>
      <c r="U116" s="29" t="inlineStr">
        <is>
          <t>0.5</t>
        </is>
      </c>
      <c r="V116" s="29" t="inlineStr">
        <is>
          <t>HIGH_RISK</t>
        </is>
      </c>
      <c r="W116" s="29" t="inlineStr">
        <is>
          <t>고위험</t>
        </is>
      </c>
      <c r="X116" s="29" t="inlineStr">
        <is>
          <t>HIGH_RISK</t>
        </is>
      </c>
      <c r="Y116" s="29" t="inlineStr">
        <is>
          <t>0.5842218052758918</t>
        </is>
      </c>
      <c r="Z116" s="29" t="inlineStr">
        <is>
          <t>MEDIUM</t>
        </is>
      </c>
      <c r="AA116" s="29" t="inlineStr">
        <is>
          <t>MEDIUM</t>
        </is>
      </c>
      <c r="AB116" s="29" t="inlineStr">
        <is>
          <t>0.24031195088694401</t>
        </is>
      </c>
      <c r="AC116" s="29" t="inlineStr">
        <is>
          <t>True</t>
        </is>
      </c>
      <c r="AD116" s="29" t="inlineStr">
        <is>
          <t>True</t>
        </is>
      </c>
      <c r="AE116" s="29" t="inlineStr">
        <is>
          <t>valuation_credit_ml_overlay_candidate.csv</t>
        </is>
      </c>
      <c r="AF116" s="29" t="inlineStr">
        <is>
          <t>208개 반도체 reference universe. Valuation Agent가 자체 intake 폴더로 복제해 Peer/ML/대시보드 비교에 사용.</t>
        </is>
      </c>
    </row>
    <row r="117" ht="24" customHeight="1">
      <c r="A117" s="24" t="inlineStr">
        <is>
          <t>195</t>
        </is>
      </c>
      <c r="B117" s="24" t="inlineStr">
        <is>
          <t>해당 없음</t>
        </is>
      </c>
      <c r="C117" s="24" t="inlineStr">
        <is>
          <t>대덕전자</t>
        </is>
      </c>
      <c r="D117" s="24" t="inlineStr">
        <is>
          <t>353200</t>
        </is>
      </c>
      <c r="E117" s="24" t="inlineStr">
        <is>
          <t>KOSPI</t>
        </is>
      </c>
      <c r="F117" s="24" t="inlineStr">
        <is>
          <t>부품/기판</t>
        </is>
      </c>
      <c r="G117" s="24" t="inlineStr">
        <is>
          <t>부품/기판</t>
        </is>
      </c>
      <c r="H117" s="24" t="inlineStr">
        <is>
          <t>False</t>
        </is>
      </c>
      <c r="I117" s="24" t="inlineStr">
        <is>
          <t>True</t>
        </is>
      </c>
      <c r="J117" s="24" t="inlineStr">
        <is>
          <t>OK</t>
        </is>
      </c>
      <c r="K117" s="24" t="inlineStr">
        <is>
          <t>데이터 사용 가능</t>
        </is>
      </c>
      <c r="L117" s="24" t="inlineStr">
        <is>
          <t>LOW</t>
        </is>
      </c>
      <c r="M117" s="24" t="inlineStr">
        <is>
          <t>LOW</t>
        </is>
      </c>
      <c r="N117" s="24" t="inlineStr">
        <is>
          <t>0.3966666666666666</t>
        </is>
      </c>
      <c r="O117" s="24" t="inlineStr">
        <is>
          <t>EXPENSIVE</t>
        </is>
      </c>
      <c r="P117" s="24" t="inlineStr">
        <is>
          <t>EXPENSIVE</t>
        </is>
      </c>
      <c r="Q117" s="24" t="inlineStr">
        <is>
          <t>EXPENSIVE</t>
        </is>
      </c>
      <c r="R117" s="24" t="inlineStr">
        <is>
          <t>0.6645756407915718</t>
        </is>
      </c>
      <c r="S117" s="24" t="inlineStr">
        <is>
          <t>MEDIUM</t>
        </is>
      </c>
      <c r="T117" s="24" t="inlineStr">
        <is>
          <t>MEDIUM</t>
        </is>
      </c>
      <c r="U117" s="24" t="inlineStr">
        <is>
          <t>0.1428571428571428</t>
        </is>
      </c>
      <c r="V117" s="24" t="inlineStr">
        <is>
          <t>LOW_RISK</t>
        </is>
      </c>
      <c r="W117" s="24" t="inlineStr">
        <is>
          <t>저위험</t>
        </is>
      </c>
      <c r="X117" s="24" t="inlineStr">
        <is>
          <t>LOW_RISK</t>
        </is>
      </c>
      <c r="Y117" s="24" t="inlineStr">
        <is>
          <t>0.8790575945794377</t>
        </is>
      </c>
      <c r="Z117" s="24" t="inlineStr">
        <is>
          <t>HIGH</t>
        </is>
      </c>
      <c r="AA117" s="24" t="inlineStr">
        <is>
          <t>HIGH</t>
        </is>
      </c>
      <c r="AB117" s="24" t="inlineStr">
        <is>
          <t>0.04079572535822507</t>
        </is>
      </c>
      <c r="AC117" s="24" t="inlineStr">
        <is>
          <t>False</t>
        </is>
      </c>
      <c r="AD117" s="24" t="inlineStr">
        <is>
          <t>False</t>
        </is>
      </c>
      <c r="AE117" s="24" t="inlineStr">
        <is>
          <t>valuation_credit_ml_overlay_candidate.csv</t>
        </is>
      </c>
      <c r="AF117" s="24" t="inlineStr">
        <is>
          <t>208개 반도체 reference universe. Valuation Agent가 자체 intake 폴더로 복제해 Peer/ML/대시보드 비교에 사용.</t>
        </is>
      </c>
    </row>
    <row r="118" ht="24" customHeight="1">
      <c r="A118" s="29" t="inlineStr">
        <is>
          <t>197</t>
        </is>
      </c>
      <c r="B118" s="29" t="inlineStr">
        <is>
          <t>해당 없음</t>
        </is>
      </c>
      <c r="C118" s="29" t="inlineStr">
        <is>
          <t>심텍</t>
        </is>
      </c>
      <c r="D118" s="29" t="inlineStr">
        <is>
          <t>222800</t>
        </is>
      </c>
      <c r="E118" s="29" t="inlineStr">
        <is>
          <t>KOSDAQ GLOBAL</t>
        </is>
      </c>
      <c r="F118" s="29" t="inlineStr">
        <is>
          <t>부품/기판</t>
        </is>
      </c>
      <c r="G118" s="29" t="inlineStr">
        <is>
          <t>부품/기판</t>
        </is>
      </c>
      <c r="H118" s="29" t="inlineStr">
        <is>
          <t>False</t>
        </is>
      </c>
      <c r="I118" s="29" t="inlineStr">
        <is>
          <t>True</t>
        </is>
      </c>
      <c r="J118" s="29" t="inlineStr">
        <is>
          <t>OK</t>
        </is>
      </c>
      <c r="K118" s="29" t="inlineStr">
        <is>
          <t>데이터 사용 가능</t>
        </is>
      </c>
      <c r="L118" s="29" t="inlineStr">
        <is>
          <t>LOW</t>
        </is>
      </c>
      <c r="M118" s="29" t="inlineStr">
        <is>
          <t>LOW</t>
        </is>
      </c>
      <c r="N118" s="29" t="inlineStr">
        <is>
          <t>0.3776190476190476</t>
        </is>
      </c>
      <c r="O118" s="29" t="inlineStr">
        <is>
          <t>EXPENSIVE</t>
        </is>
      </c>
      <c r="P118" s="29" t="inlineStr">
        <is>
          <t>EXPENSIVE</t>
        </is>
      </c>
      <c r="Q118" s="29" t="inlineStr">
        <is>
          <t>EXPENSIVE</t>
        </is>
      </c>
      <c r="R118" s="29" t="inlineStr">
        <is>
          <t>0.5170784842162837</t>
        </is>
      </c>
      <c r="S118" s="29" t="inlineStr">
        <is>
          <t>MEDIUM</t>
        </is>
      </c>
      <c r="T118" s="29" t="inlineStr">
        <is>
          <t>MEDIUM</t>
        </is>
      </c>
      <c r="U118" s="29" t="inlineStr">
        <is>
          <t>0.5714285714285714</t>
        </is>
      </c>
      <c r="V118" s="29" t="inlineStr">
        <is>
          <t>HIGH_RISK</t>
        </is>
      </c>
      <c r="W118" s="29" t="inlineStr">
        <is>
          <t>고위험</t>
        </is>
      </c>
      <c r="X118" s="29" t="inlineStr">
        <is>
          <t>HIGH_RISK</t>
        </is>
      </c>
      <c r="Y118" s="29" t="inlineStr">
        <is>
          <t>0.8465973773812472</t>
        </is>
      </c>
      <c r="Z118" s="29" t="inlineStr">
        <is>
          <t>HIGH</t>
        </is>
      </c>
      <c r="AA118" s="29" t="inlineStr">
        <is>
          <t>HIGH</t>
        </is>
      </c>
      <c r="AB118" s="29" t="inlineStr">
        <is>
          <t>0.10596332114746113</t>
        </is>
      </c>
      <c r="AC118" s="29" t="inlineStr">
        <is>
          <t>False</t>
        </is>
      </c>
      <c r="AD118" s="29" t="inlineStr">
        <is>
          <t>False</t>
        </is>
      </c>
      <c r="AE118" s="29" t="inlineStr">
        <is>
          <t>valuation_credit_ml_overlay_candidate.csv</t>
        </is>
      </c>
      <c r="AF118" s="29" t="inlineStr">
        <is>
          <t>208개 반도체 reference universe. Valuation Agent가 자체 intake 폴더로 복제해 Peer/ML/대시보드 비교에 사용.</t>
        </is>
      </c>
    </row>
    <row r="119" ht="24" customHeight="1">
      <c r="A119" s="24" t="inlineStr">
        <is>
          <t>199</t>
        </is>
      </c>
      <c r="B119" s="24" t="inlineStr">
        <is>
          <t>해당 없음</t>
        </is>
      </c>
      <c r="C119" s="24" t="inlineStr">
        <is>
          <t>아이에이</t>
        </is>
      </c>
      <c r="D119" s="24" t="inlineStr">
        <is>
          <t>038880</t>
        </is>
      </c>
      <c r="E119" s="24" t="inlineStr">
        <is>
          <t>KOSDAQ</t>
        </is>
      </c>
      <c r="F119" s="24" t="inlineStr">
        <is>
          <t>부품/기판</t>
        </is>
      </c>
      <c r="G119" s="24" t="inlineStr">
        <is>
          <t>부품/기판</t>
        </is>
      </c>
      <c r="H119" s="24" t="inlineStr">
        <is>
          <t>False</t>
        </is>
      </c>
      <c r="I119" s="24" t="inlineStr">
        <is>
          <t>True</t>
        </is>
      </c>
      <c r="J119" s="24" t="inlineStr">
        <is>
          <t>OK</t>
        </is>
      </c>
      <c r="K119" s="24" t="inlineStr">
        <is>
          <t>데이터 사용 가능</t>
        </is>
      </c>
      <c r="L119" s="24" t="inlineStr">
        <is>
          <t>LOW</t>
        </is>
      </c>
      <c r="M119" s="24" t="inlineStr">
        <is>
          <t>LOW</t>
        </is>
      </c>
      <c r="N119" s="24" t="inlineStr">
        <is>
          <t>0.3776190476190476</t>
        </is>
      </c>
      <c r="O119" s="24" t="inlineStr">
        <is>
          <t>EXPENSIVE</t>
        </is>
      </c>
      <c r="P119" s="24" t="inlineStr">
        <is>
          <t>EXPENSIVE</t>
        </is>
      </c>
      <c r="Q119" s="24" t="inlineStr">
        <is>
          <t>EXPENSIVE</t>
        </is>
      </c>
      <c r="R119" s="24" t="inlineStr">
        <is>
          <t>0.7739089828714508</t>
        </is>
      </c>
      <c r="S119" s="24" t="inlineStr">
        <is>
          <t>HIGH</t>
        </is>
      </c>
      <c r="T119" s="24" t="inlineStr">
        <is>
          <t>HIGH</t>
        </is>
      </c>
      <c r="U119" s="24" t="inlineStr">
        <is>
          <t>0.7142857142857143</t>
        </is>
      </c>
      <c r="V119" s="24" t="inlineStr">
        <is>
          <t>HIGH_RISK</t>
        </is>
      </c>
      <c r="W119" s="24" t="inlineStr">
        <is>
          <t>고위험</t>
        </is>
      </c>
      <c r="X119" s="24" t="inlineStr">
        <is>
          <t>HIGH_RISK</t>
        </is>
      </c>
      <c r="Y119" s="24" t="inlineStr">
        <is>
          <t>0.9768034906818953</t>
        </is>
      </c>
      <c r="Z119" s="24" t="inlineStr">
        <is>
          <t>HIGH</t>
        </is>
      </c>
      <c r="AA119" s="24" t="inlineStr">
        <is>
          <t>HIGH</t>
        </is>
      </c>
      <c r="AB119" s="24" t="inlineStr">
        <is>
          <t>0.2681205370430481</t>
        </is>
      </c>
      <c r="AC119" s="24" t="inlineStr">
        <is>
          <t>True</t>
        </is>
      </c>
      <c r="AD119" s="24" t="inlineStr">
        <is>
          <t>True</t>
        </is>
      </c>
      <c r="AE119" s="24" t="inlineStr">
        <is>
          <t>valuation_credit_ml_overlay_candidate.csv</t>
        </is>
      </c>
      <c r="AF119" s="24" t="inlineStr">
        <is>
          <t>208개 반도체 reference universe. Valuation Agent가 자체 intake 폴더로 복제해 Peer/ML/대시보드 비교에 사용.</t>
        </is>
      </c>
    </row>
    <row r="120" ht="24" customHeight="1">
      <c r="A120" s="29" t="inlineStr">
        <is>
          <t>208</t>
        </is>
      </c>
      <c r="B120" s="29" t="inlineStr">
        <is>
          <t>해당 없음</t>
        </is>
      </c>
      <c r="C120" s="29" t="inlineStr">
        <is>
          <t>3S</t>
        </is>
      </c>
      <c r="D120" s="29" t="inlineStr">
        <is>
          <t>060310</t>
        </is>
      </c>
      <c r="E120" s="29" t="inlineStr">
        <is>
          <t>KOSDAQ</t>
        </is>
      </c>
      <c r="F120" s="29" t="inlineStr">
        <is>
          <t>부품/기판</t>
        </is>
      </c>
      <c r="G120" s="29" t="inlineStr">
        <is>
          <t>부품/웨이퍼캐리어</t>
        </is>
      </c>
      <c r="H120" s="29" t="inlineStr">
        <is>
          <t>False</t>
        </is>
      </c>
      <c r="I120" s="29" t="inlineStr">
        <is>
          <t>True</t>
        </is>
      </c>
      <c r="J120" s="29" t="inlineStr">
        <is>
          <t>OK</t>
        </is>
      </c>
      <c r="K120" s="29" t="inlineStr">
        <is>
          <t>데이터 사용 가능</t>
        </is>
      </c>
      <c r="L120" s="29" t="inlineStr">
        <is>
          <t>LOW</t>
        </is>
      </c>
      <c r="M120" s="29" t="inlineStr">
        <is>
          <t>LOW</t>
        </is>
      </c>
      <c r="N120" s="29" t="inlineStr">
        <is>
          <t>0.3409523809523809</t>
        </is>
      </c>
      <c r="O120" s="29" t="inlineStr">
        <is>
          <t>EXPENSIVE</t>
        </is>
      </c>
      <c r="P120" s="29" t="inlineStr">
        <is>
          <t>EXPENSIVE</t>
        </is>
      </c>
      <c r="Q120" s="29" t="inlineStr">
        <is>
          <t>EXPENSIVE</t>
        </is>
      </c>
      <c r="R120" s="29" t="inlineStr">
        <is>
          <t>0.8755971854841007</t>
        </is>
      </c>
      <c r="S120" s="29" t="inlineStr">
        <is>
          <t>HIGH</t>
        </is>
      </c>
      <c r="T120" s="29" t="inlineStr">
        <is>
          <t>HIGH</t>
        </is>
      </c>
      <c r="U120" s="29" t="inlineStr">
        <is>
          <t>0.5714285714285714</t>
        </is>
      </c>
      <c r="V120" s="29" t="inlineStr">
        <is>
          <t>HIGH_RISK</t>
        </is>
      </c>
      <c r="W120" s="29" t="inlineStr">
        <is>
          <t>고위험</t>
        </is>
      </c>
      <c r="X120" s="29" t="inlineStr">
        <is>
          <t>HIGH_RISK</t>
        </is>
      </c>
      <c r="Y120" s="29" t="inlineStr">
        <is>
          <t>0.9688627439088098</t>
        </is>
      </c>
      <c r="Z120" s="29" t="inlineStr">
        <is>
          <t>HIGH</t>
        </is>
      </c>
      <c r="AA120" s="29" t="inlineStr">
        <is>
          <t>HIGH</t>
        </is>
      </c>
      <c r="AB120" s="29" t="inlineStr">
        <is>
          <t>0.13174199880530135</t>
        </is>
      </c>
      <c r="AC120" s="29" t="inlineStr">
        <is>
          <t>False</t>
        </is>
      </c>
      <c r="AD120" s="29" t="inlineStr">
        <is>
          <t>False</t>
        </is>
      </c>
      <c r="AE120" s="29" t="inlineStr">
        <is>
          <t>valuation_credit_ml_overlay_candidate.csv</t>
        </is>
      </c>
      <c r="AF120" s="29" t="inlineStr">
        <is>
          <t>208개 반도체 reference universe. Valuation Agent가 자체 intake 폴더로 복제해 Peer/ML/대시보드 비교에 사용.</t>
        </is>
      </c>
    </row>
    <row r="121" ht="24" customHeight="1">
      <c r="A121" s="24" t="inlineStr">
        <is>
          <t>139</t>
        </is>
      </c>
      <c r="B121" s="24" t="inlineStr">
        <is>
          <t>해당 없음</t>
        </is>
      </c>
      <c r="C121" s="24" t="inlineStr">
        <is>
          <t>월덱스</t>
        </is>
      </c>
      <c r="D121" s="24" t="inlineStr">
        <is>
          <t>101160</t>
        </is>
      </c>
      <c r="E121" s="24" t="inlineStr">
        <is>
          <t>KOSDAQ</t>
        </is>
      </c>
      <c r="F121" s="24" t="inlineStr">
        <is>
          <t>소재</t>
        </is>
      </c>
      <c r="G121" s="24" t="inlineStr">
        <is>
          <t>소재</t>
        </is>
      </c>
      <c r="H121" s="24" t="inlineStr">
        <is>
          <t>False</t>
        </is>
      </c>
      <c r="I121" s="24" t="inlineStr">
        <is>
          <t>True</t>
        </is>
      </c>
      <c r="J121" s="24" t="inlineStr">
        <is>
          <t>OK</t>
        </is>
      </c>
      <c r="K121" s="24" t="inlineStr">
        <is>
          <t>데이터 사용 가능</t>
        </is>
      </c>
      <c r="L121" s="24" t="inlineStr">
        <is>
          <t>LOW</t>
        </is>
      </c>
      <c r="M121" s="24" t="inlineStr">
        <is>
          <t>LOW</t>
        </is>
      </c>
      <c r="N121" s="24" t="inlineStr">
        <is>
          <t>0.745897435897436</t>
        </is>
      </c>
      <c r="O121" s="24" t="inlineStr">
        <is>
          <t>ATTRACTIVE</t>
        </is>
      </c>
      <c r="P121" s="24" t="inlineStr">
        <is>
          <t>가치 매력</t>
        </is>
      </c>
      <c r="Q121" s="24" t="inlineStr">
        <is>
          <t>ATTRACTIVE</t>
        </is>
      </c>
      <c r="R121" s="24" t="inlineStr">
        <is>
          <t>0.9476922450763601</t>
        </is>
      </c>
      <c r="S121" s="24" t="inlineStr">
        <is>
          <t>HIGH</t>
        </is>
      </c>
      <c r="T121" s="24" t="inlineStr">
        <is>
          <t>HIGH</t>
        </is>
      </c>
      <c r="U121" s="24" t="inlineStr">
        <is>
          <t>0.0</t>
        </is>
      </c>
      <c r="V121" s="24" t="inlineStr">
        <is>
          <t>LOW_RISK</t>
        </is>
      </c>
      <c r="W121" s="24" t="inlineStr">
        <is>
          <t>저위험</t>
        </is>
      </c>
      <c r="X121" s="24" t="inlineStr">
        <is>
          <t>LOW_RISK</t>
        </is>
      </c>
      <c r="Y121" s="24" t="inlineStr">
        <is>
          <t>0.9681016473230849</t>
        </is>
      </c>
      <c r="Z121" s="24" t="inlineStr">
        <is>
          <t>HIGH</t>
        </is>
      </c>
      <c r="AA121" s="24" t="inlineStr">
        <is>
          <t>HIGH</t>
        </is>
      </c>
      <c r="AB121" s="24" t="inlineStr">
        <is>
          <t>0.15527064195126172</t>
        </is>
      </c>
      <c r="AC121" s="24" t="inlineStr">
        <is>
          <t>False</t>
        </is>
      </c>
      <c r="AD121" s="24" t="inlineStr">
        <is>
          <t>False</t>
        </is>
      </c>
      <c r="AE121" s="24" t="inlineStr">
        <is>
          <t>valuation_credit_ml_overlay_candidate.csv</t>
        </is>
      </c>
      <c r="AF121" s="24" t="inlineStr">
        <is>
          <t>208개 반도체 reference universe. Valuation Agent가 자체 intake 폴더로 복제해 Peer/ML/대시보드 비교에 사용.</t>
        </is>
      </c>
    </row>
    <row r="122" ht="24" customHeight="1">
      <c r="A122" s="29" t="inlineStr">
        <is>
          <t>147</t>
        </is>
      </c>
      <c r="B122" s="29" t="inlineStr">
        <is>
          <t>해당 없음</t>
        </is>
      </c>
      <c r="C122" s="29" t="inlineStr">
        <is>
          <t>퓨릿</t>
        </is>
      </c>
      <c r="D122" s="29" t="inlineStr">
        <is>
          <t>445180</t>
        </is>
      </c>
      <c r="E122" s="29" t="inlineStr">
        <is>
          <t>KOSDAQ</t>
        </is>
      </c>
      <c r="F122" s="29" t="inlineStr">
        <is>
          <t>소재</t>
        </is>
      </c>
      <c r="G122" s="29" t="inlineStr">
        <is>
          <t>소재</t>
        </is>
      </c>
      <c r="H122" s="29" t="inlineStr">
        <is>
          <t>False</t>
        </is>
      </c>
      <c r="I122" s="29" t="inlineStr">
        <is>
          <t>True</t>
        </is>
      </c>
      <c r="J122" s="29" t="inlineStr">
        <is>
          <t>OK_LIMITED_HISTORY_OR_GROWTH_NA</t>
        </is>
      </c>
      <c r="K122" s="29" t="inlineStr">
        <is>
          <t>데이터 사용 가능</t>
        </is>
      </c>
      <c r="L122" s="29" t="inlineStr">
        <is>
          <t>LOW</t>
        </is>
      </c>
      <c r="M122" s="29" t="inlineStr">
        <is>
          <t>LOW</t>
        </is>
      </c>
      <c r="N122" s="29" t="inlineStr">
        <is>
          <t>0.7448717948717948</t>
        </is>
      </c>
      <c r="O122" s="29" t="inlineStr">
        <is>
          <t>ATTRACTIVE</t>
        </is>
      </c>
      <c r="P122" s="29" t="inlineStr">
        <is>
          <t>가치 매력</t>
        </is>
      </c>
      <c r="Q122" s="29" t="inlineStr">
        <is>
          <t>ATTRACTIVE</t>
        </is>
      </c>
      <c r="R122" s="29" t="inlineStr">
        <is>
          <t>0.8817607106455689</t>
        </is>
      </c>
      <c r="S122" s="29" t="inlineStr">
        <is>
          <t>HIGH</t>
        </is>
      </c>
      <c r="T122" s="29" t="inlineStr">
        <is>
          <t>HIGH</t>
        </is>
      </c>
      <c r="U122" s="29" t="inlineStr">
        <is>
          <t>0.0714285714285714</t>
        </is>
      </c>
      <c r="V122" s="29" t="inlineStr">
        <is>
          <t>LOW_RISK</t>
        </is>
      </c>
      <c r="W122" s="29" t="inlineStr">
        <is>
          <t>저위험</t>
        </is>
      </c>
      <c r="X122" s="29" t="inlineStr">
        <is>
          <t>LOW_RISK</t>
        </is>
      </c>
      <c r="Y122" s="29" t="inlineStr">
        <is>
          <t>0.9587686707140917</t>
        </is>
      </c>
      <c r="Z122" s="29" t="inlineStr">
        <is>
          <t>HIGH</t>
        </is>
      </c>
      <c r="AA122" s="29" t="inlineStr">
        <is>
          <t>HIGH</t>
        </is>
      </c>
      <c r="AB122" s="29" t="inlineStr">
        <is>
          <t>0.09055441585311619</t>
        </is>
      </c>
      <c r="AC122" s="29" t="inlineStr">
        <is>
          <t>False</t>
        </is>
      </c>
      <c r="AD122" s="29" t="inlineStr">
        <is>
          <t>True</t>
        </is>
      </c>
      <c r="AE122" s="29" t="inlineStr">
        <is>
          <t>valuation_credit_ml_overlay_candidate.csv</t>
        </is>
      </c>
      <c r="AF122" s="29" t="inlineStr">
        <is>
          <t>208개 반도체 reference universe. Valuation Agent가 자체 intake 폴더로 복제해 Peer/ML/대시보드 비교에 사용.</t>
        </is>
      </c>
    </row>
    <row r="123" ht="24" customHeight="1">
      <c r="A123" s="24" t="inlineStr">
        <is>
          <t>141</t>
        </is>
      </c>
      <c r="B123" s="24" t="inlineStr">
        <is>
          <t>해당 없음</t>
        </is>
      </c>
      <c r="C123" s="24" t="inlineStr">
        <is>
          <t>이엔에프테크놀로지</t>
        </is>
      </c>
      <c r="D123" s="24" t="inlineStr">
        <is>
          <t>102710</t>
        </is>
      </c>
      <c r="E123" s="24" t="inlineStr">
        <is>
          <t>KOSDAQ</t>
        </is>
      </c>
      <c r="F123" s="24" t="inlineStr">
        <is>
          <t>소재</t>
        </is>
      </c>
      <c r="G123" s="24" t="inlineStr">
        <is>
          <t>소재</t>
        </is>
      </c>
      <c r="H123" s="24" t="inlineStr">
        <is>
          <t>False</t>
        </is>
      </c>
      <c r="I123" s="24" t="inlineStr">
        <is>
          <t>True</t>
        </is>
      </c>
      <c r="J123" s="24" t="inlineStr">
        <is>
          <t>OK</t>
        </is>
      </c>
      <c r="K123" s="24" t="inlineStr">
        <is>
          <t>데이터 사용 가능</t>
        </is>
      </c>
      <c r="L123" s="24" t="inlineStr">
        <is>
          <t>LOW</t>
        </is>
      </c>
      <c r="M123" s="24" t="inlineStr">
        <is>
          <t>LOW</t>
        </is>
      </c>
      <c r="N123" s="24" t="inlineStr">
        <is>
          <t>0.7061538461538462</t>
        </is>
      </c>
      <c r="O123" s="24" t="inlineStr">
        <is>
          <t>ATTRACTIVE</t>
        </is>
      </c>
      <c r="P123" s="24" t="inlineStr">
        <is>
          <t>가치 매력</t>
        </is>
      </c>
      <c r="Q123" s="24" t="inlineStr">
        <is>
          <t>ATTRACTIVE</t>
        </is>
      </c>
      <c r="R123" s="24" t="inlineStr">
        <is>
          <t>0.9371627732042065</t>
        </is>
      </c>
      <c r="S123" s="24" t="inlineStr">
        <is>
          <t>HIGH</t>
        </is>
      </c>
      <c r="T123" s="24" t="inlineStr">
        <is>
          <t>HIGH</t>
        </is>
      </c>
      <c r="U123" s="24" t="inlineStr">
        <is>
          <t>0.0</t>
        </is>
      </c>
      <c r="V123" s="24" t="inlineStr">
        <is>
          <t>LOW_RISK</t>
        </is>
      </c>
      <c r="W123" s="24" t="inlineStr">
        <is>
          <t>저위험</t>
        </is>
      </c>
      <c r="X123" s="24" t="inlineStr">
        <is>
          <t>LOW_RISK</t>
        </is>
      </c>
      <c r="Y123" s="24" t="inlineStr">
        <is>
          <t>0.8730332003988217</t>
        </is>
      </c>
      <c r="Z123" s="24" t="inlineStr">
        <is>
          <t>HIGH</t>
        </is>
      </c>
      <c r="AA123" s="24" t="inlineStr">
        <is>
          <t>HIGH</t>
        </is>
      </c>
      <c r="AB123" s="24" t="inlineStr">
        <is>
          <t>0.01762692878431683</t>
        </is>
      </c>
      <c r="AC123" s="24" t="inlineStr">
        <is>
          <t>False</t>
        </is>
      </c>
      <c r="AD123" s="24" t="inlineStr">
        <is>
          <t>False</t>
        </is>
      </c>
      <c r="AE123" s="24" t="inlineStr">
        <is>
          <t>valuation_credit_ml_overlay_candidate.csv</t>
        </is>
      </c>
      <c r="AF123" s="24" t="inlineStr">
        <is>
          <t>208개 반도체 reference universe. Valuation Agent가 자체 intake 폴더로 복제해 Peer/ML/대시보드 비교에 사용.</t>
        </is>
      </c>
    </row>
    <row r="124" ht="24" customHeight="1">
      <c r="A124" s="29" t="inlineStr">
        <is>
          <t>138</t>
        </is>
      </c>
      <c r="B124" s="29" t="inlineStr">
        <is>
          <t>해당 없음</t>
        </is>
      </c>
      <c r="C124" s="29" t="inlineStr">
        <is>
          <t>원익머트리얼즈</t>
        </is>
      </c>
      <c r="D124" s="29" t="inlineStr">
        <is>
          <t>104830</t>
        </is>
      </c>
      <c r="E124" s="29" t="inlineStr">
        <is>
          <t>KOSDAQ</t>
        </is>
      </c>
      <c r="F124" s="29" t="inlineStr">
        <is>
          <t>소재</t>
        </is>
      </c>
      <c r="G124" s="29" t="inlineStr">
        <is>
          <t>소재</t>
        </is>
      </c>
      <c r="H124" s="29" t="inlineStr">
        <is>
          <t>False</t>
        </is>
      </c>
      <c r="I124" s="29" t="inlineStr">
        <is>
          <t>True</t>
        </is>
      </c>
      <c r="J124" s="29" t="inlineStr">
        <is>
          <t>OK</t>
        </is>
      </c>
      <c r="K124" s="29" t="inlineStr">
        <is>
          <t>데이터 사용 가능</t>
        </is>
      </c>
      <c r="L124" s="29" t="inlineStr">
        <is>
          <t>LOW</t>
        </is>
      </c>
      <c r="M124" s="29" t="inlineStr">
        <is>
          <t>LOW</t>
        </is>
      </c>
      <c r="N124" s="29" t="inlineStr">
        <is>
          <t>0.6682051282051282</t>
        </is>
      </c>
      <c r="O124" s="29" t="inlineStr">
        <is>
          <t>FAIR</t>
        </is>
      </c>
      <c r="P124" s="29" t="inlineStr">
        <is>
          <t>FAIR</t>
        </is>
      </c>
      <c r="Q124" s="29" t="inlineStr">
        <is>
          <t>FAIR</t>
        </is>
      </c>
      <c r="R124" s="29" t="inlineStr">
        <is>
          <t>0.9160049727267536</t>
        </is>
      </c>
      <c r="S124" s="29" t="inlineStr">
        <is>
          <t>HIGH</t>
        </is>
      </c>
      <c r="T124" s="29" t="inlineStr">
        <is>
          <t>HIGH</t>
        </is>
      </c>
      <c r="U124" s="29" t="inlineStr">
        <is>
          <t>0.0714285714285714</t>
        </is>
      </c>
      <c r="V124" s="29" t="inlineStr">
        <is>
          <t>LOW_RISK</t>
        </is>
      </c>
      <c r="W124" s="29" t="inlineStr">
        <is>
          <t>저위험</t>
        </is>
      </c>
      <c r="X124" s="29" t="inlineStr">
        <is>
          <t>LOW_RISK</t>
        </is>
      </c>
      <c r="Y124" s="29" t="inlineStr">
        <is>
          <t>0.9269592012859288</t>
        </is>
      </c>
      <c r="Z124" s="29" t="inlineStr">
        <is>
          <t>HIGH</t>
        </is>
      </c>
      <c r="AA124" s="29" t="inlineStr">
        <is>
          <t>HIGH</t>
        </is>
      </c>
      <c r="AB124" s="29" t="inlineStr">
        <is>
          <t>0.08809933839296093</t>
        </is>
      </c>
      <c r="AC124" s="29" t="inlineStr">
        <is>
          <t>False</t>
        </is>
      </c>
      <c r="AD124" s="29" t="inlineStr">
        <is>
          <t>False</t>
        </is>
      </c>
      <c r="AE124" s="29" t="inlineStr">
        <is>
          <t>valuation_credit_ml_overlay_candidate.csv</t>
        </is>
      </c>
      <c r="AF124" s="29" t="inlineStr">
        <is>
          <t>208개 반도체 reference universe. Valuation Agent가 자체 intake 폴더로 복제해 Peer/ML/대시보드 비교에 사용.</t>
        </is>
      </c>
    </row>
    <row r="125" ht="24" customHeight="1">
      <c r="A125" s="24" t="inlineStr">
        <is>
          <t>130</t>
        </is>
      </c>
      <c r="B125" s="24" t="inlineStr">
        <is>
          <t>해당 없음</t>
        </is>
      </c>
      <c r="C125" s="24" t="inlineStr">
        <is>
          <t>솔브레인홀딩스</t>
        </is>
      </c>
      <c r="D125" s="24" t="inlineStr">
        <is>
          <t>036830</t>
        </is>
      </c>
      <c r="E125" s="24" t="inlineStr">
        <is>
          <t>KOSDAQ GLOBAL</t>
        </is>
      </c>
      <c r="F125" s="24" t="inlineStr">
        <is>
          <t>소재</t>
        </is>
      </c>
      <c r="G125" s="24" t="inlineStr">
        <is>
          <t>소재</t>
        </is>
      </c>
      <c r="H125" s="24" t="inlineStr">
        <is>
          <t>False</t>
        </is>
      </c>
      <c r="I125" s="24" t="inlineStr">
        <is>
          <t>True</t>
        </is>
      </c>
      <c r="J125" s="24" t="inlineStr">
        <is>
          <t>OK</t>
        </is>
      </c>
      <c r="K125" s="24" t="inlineStr">
        <is>
          <t>데이터 사용 가능</t>
        </is>
      </c>
      <c r="L125" s="24" t="inlineStr">
        <is>
          <t>LOW</t>
        </is>
      </c>
      <c r="M125" s="24" t="inlineStr">
        <is>
          <t>LOW</t>
        </is>
      </c>
      <c r="N125" s="24" t="inlineStr">
        <is>
          <t>0.6666666666666667</t>
        </is>
      </c>
      <c r="O125" s="24" t="inlineStr">
        <is>
          <t>ATTRACTIVE</t>
        </is>
      </c>
      <c r="P125" s="24" t="inlineStr">
        <is>
          <t>가치 매력</t>
        </is>
      </c>
      <c r="Q125" s="24" t="inlineStr">
        <is>
          <t>ATTRACTIVE</t>
        </is>
      </c>
      <c r="R125" s="24" t="inlineStr">
        <is>
          <t>0.5229115612060397</t>
        </is>
      </c>
      <c r="S125" s="24" t="inlineStr">
        <is>
          <t>MEDIUM</t>
        </is>
      </c>
      <c r="T125" s="24" t="inlineStr">
        <is>
          <t>MEDIUM</t>
        </is>
      </c>
      <c r="U125" s="24" t="inlineStr">
        <is>
          <t>0.0</t>
        </is>
      </c>
      <c r="V125" s="24" t="inlineStr">
        <is>
          <t>LOW_RISK</t>
        </is>
      </c>
      <c r="W125" s="24" t="inlineStr">
        <is>
          <t>저위험</t>
        </is>
      </c>
      <c r="X125" s="24" t="inlineStr">
        <is>
          <t>LOW_RISK</t>
        </is>
      </c>
      <c r="Y125" s="24" t="inlineStr">
        <is>
          <t>0.8942479649490351</t>
        </is>
      </c>
      <c r="Z125" s="24" t="inlineStr">
        <is>
          <t>HIGH</t>
        </is>
      </c>
      <c r="AA125" s="24" t="inlineStr">
        <is>
          <t>HIGH</t>
        </is>
      </c>
      <c r="AB125" s="24" t="inlineStr">
        <is>
          <t>0.13058276838656327</t>
        </is>
      </c>
      <c r="AC125" s="24" t="inlineStr">
        <is>
          <t>False</t>
        </is>
      </c>
      <c r="AD125" s="24" t="inlineStr">
        <is>
          <t>False</t>
        </is>
      </c>
      <c r="AE125" s="24" t="inlineStr">
        <is>
          <t>valuation_credit_ml_overlay_candidate.csv</t>
        </is>
      </c>
      <c r="AF125" s="24" t="inlineStr">
        <is>
          <t>208개 반도체 reference universe. Valuation Agent가 자체 intake 폴더로 복제해 Peer/ML/대시보드 비교에 사용.</t>
        </is>
      </c>
    </row>
    <row r="126" ht="24" customHeight="1">
      <c r="A126" s="29" t="inlineStr">
        <is>
          <t>148</t>
        </is>
      </c>
      <c r="B126" s="29" t="inlineStr">
        <is>
          <t>hansol</t>
        </is>
      </c>
      <c r="C126" s="29" t="inlineStr">
        <is>
          <t>한솔케미칼</t>
        </is>
      </c>
      <c r="D126" s="29" t="inlineStr">
        <is>
          <t>014680</t>
        </is>
      </c>
      <c r="E126" s="29" t="inlineStr">
        <is>
          <t>KOSPI</t>
        </is>
      </c>
      <c r="F126" s="29" t="inlineStr">
        <is>
          <t>소재</t>
        </is>
      </c>
      <c r="G126" s="29" t="inlineStr">
        <is>
          <t>소재</t>
        </is>
      </c>
      <c r="H126" s="29" t="inlineStr">
        <is>
          <t>True</t>
        </is>
      </c>
      <c r="I126" s="29" t="inlineStr">
        <is>
          <t>True</t>
        </is>
      </c>
      <c r="J126" s="29" t="inlineStr">
        <is>
          <t>OK</t>
        </is>
      </c>
      <c r="K126" s="29" t="inlineStr">
        <is>
          <t>데이터 사용 가능</t>
        </is>
      </c>
      <c r="L126" s="29" t="inlineStr">
        <is>
          <t>LOW</t>
        </is>
      </c>
      <c r="M126" s="29" t="inlineStr">
        <is>
          <t>LOW</t>
        </is>
      </c>
      <c r="N126" s="29" t="inlineStr">
        <is>
          <t>0.6330769230769231</t>
        </is>
      </c>
      <c r="O126" s="29" t="inlineStr">
        <is>
          <t>ATTRACTIVE</t>
        </is>
      </c>
      <c r="P126" s="29" t="inlineStr">
        <is>
          <t>가치 매력</t>
        </is>
      </c>
      <c r="Q126" s="29" t="inlineStr">
        <is>
          <t>ATTRACTIVE</t>
        </is>
      </c>
      <c r="R126" s="29" t="inlineStr">
        <is>
          <t>0.8364696976606926</t>
        </is>
      </c>
      <c r="S126" s="29" t="inlineStr">
        <is>
          <t>HIGH</t>
        </is>
      </c>
      <c r="T126" s="29" t="inlineStr">
        <is>
          <t>HIGH</t>
        </is>
      </c>
      <c r="U126" s="29" t="inlineStr">
        <is>
          <t>0.0</t>
        </is>
      </c>
      <c r="V126" s="29" t="inlineStr">
        <is>
          <t>LOW_RISK</t>
        </is>
      </c>
      <c r="W126" s="29" t="inlineStr">
        <is>
          <t>저위험</t>
        </is>
      </c>
      <c r="X126" s="29" t="inlineStr">
        <is>
          <t>LOW_RISK</t>
        </is>
      </c>
      <c r="Y126" s="29" t="inlineStr">
        <is>
          <t>0.9711543901439185</t>
        </is>
      </c>
      <c r="Z126" s="29" t="inlineStr">
        <is>
          <t>HIGH</t>
        </is>
      </c>
      <c r="AA126" s="29" t="inlineStr">
        <is>
          <t>HIGH</t>
        </is>
      </c>
      <c r="AB126" s="29" t="inlineStr">
        <is>
          <t>0.058190310497948615</t>
        </is>
      </c>
      <c r="AC126" s="29" t="inlineStr">
        <is>
          <t>False</t>
        </is>
      </c>
      <c r="AD126" s="29" t="inlineStr">
        <is>
          <t>False</t>
        </is>
      </c>
      <c r="AE126" s="29" t="inlineStr">
        <is>
          <t>valuation_credit_ml_overlay_candidate.csv</t>
        </is>
      </c>
      <c r="AF126" s="29" t="inlineStr">
        <is>
          <t>208개 반도체 reference universe. Valuation Agent가 자체 intake 폴더로 복제해 Peer/ML/대시보드 비교에 사용.</t>
        </is>
      </c>
    </row>
    <row r="127" ht="24" customHeight="1">
      <c r="A127" s="24" t="inlineStr">
        <is>
          <t>140</t>
        </is>
      </c>
      <c r="B127" s="24" t="inlineStr">
        <is>
          <t>해당 없음</t>
        </is>
      </c>
      <c r="C127" s="24" t="inlineStr">
        <is>
          <t>이녹스첨단소재</t>
        </is>
      </c>
      <c r="D127" s="24" t="inlineStr">
        <is>
          <t>272290</t>
        </is>
      </c>
      <c r="E127" s="24" t="inlineStr">
        <is>
          <t>KOSDAQ GLOBAL</t>
        </is>
      </c>
      <c r="F127" s="24" t="inlineStr">
        <is>
          <t>소재</t>
        </is>
      </c>
      <c r="G127" s="24" t="inlineStr">
        <is>
          <t>소재</t>
        </is>
      </c>
      <c r="H127" s="24" t="inlineStr">
        <is>
          <t>False</t>
        </is>
      </c>
      <c r="I127" s="24" t="inlineStr">
        <is>
          <t>True</t>
        </is>
      </c>
      <c r="J127" s="24" t="inlineStr">
        <is>
          <t>OK</t>
        </is>
      </c>
      <c r="K127" s="24" t="inlineStr">
        <is>
          <t>데이터 사용 가능</t>
        </is>
      </c>
      <c r="L127" s="24" t="inlineStr">
        <is>
          <t>LOW</t>
        </is>
      </c>
      <c r="M127" s="24" t="inlineStr">
        <is>
          <t>LOW</t>
        </is>
      </c>
      <c r="N127" s="24" t="inlineStr">
        <is>
          <t>0.6312820512820514</t>
        </is>
      </c>
      <c r="O127" s="24" t="inlineStr">
        <is>
          <t>FAIR</t>
        </is>
      </c>
      <c r="P127" s="24" t="inlineStr">
        <is>
          <t>FAIR</t>
        </is>
      </c>
      <c r="Q127" s="24" t="inlineStr">
        <is>
          <t>FAIR</t>
        </is>
      </c>
      <c r="R127" s="24" t="inlineStr">
        <is>
          <t>0.900184891106931</t>
        </is>
      </c>
      <c r="S127" s="24" t="inlineStr">
        <is>
          <t>HIGH</t>
        </is>
      </c>
      <c r="T127" s="24" t="inlineStr">
        <is>
          <t>HIGH</t>
        </is>
      </c>
      <c r="U127" s="24" t="inlineStr">
        <is>
          <t>0.0714285714285714</t>
        </is>
      </c>
      <c r="V127" s="24" t="inlineStr">
        <is>
          <t>LOW_RISK</t>
        </is>
      </c>
      <c r="W127" s="24" t="inlineStr">
        <is>
          <t>저위험</t>
        </is>
      </c>
      <c r="X127" s="24" t="inlineStr">
        <is>
          <t>LOW_RISK</t>
        </is>
      </c>
      <c r="Y127" s="24" t="inlineStr">
        <is>
          <t>0.7417939360948919</t>
        </is>
      </c>
      <c r="Z127" s="24" t="inlineStr">
        <is>
          <t>HIGH</t>
        </is>
      </c>
      <c r="AA127" s="24" t="inlineStr">
        <is>
          <t>HIGH</t>
        </is>
      </c>
      <c r="AB127" s="24" t="inlineStr">
        <is>
          <t>0.06763542968359648</t>
        </is>
      </c>
      <c r="AC127" s="24" t="inlineStr">
        <is>
          <t>False</t>
        </is>
      </c>
      <c r="AD127" s="24" t="inlineStr">
        <is>
          <t>False</t>
        </is>
      </c>
      <c r="AE127" s="24" t="inlineStr">
        <is>
          <t>valuation_credit_ml_overlay_candidate.csv</t>
        </is>
      </c>
      <c r="AF127" s="24" t="inlineStr">
        <is>
          <t>208개 반도체 reference universe. Valuation Agent가 자체 intake 폴더로 복제해 Peer/ML/대시보드 비교에 사용.</t>
        </is>
      </c>
    </row>
    <row r="128" ht="24" customHeight="1">
      <c r="A128" s="29" t="inlineStr">
        <is>
          <t>133</t>
        </is>
      </c>
      <c r="B128" s="29" t="inlineStr">
        <is>
          <t>ltc</t>
        </is>
      </c>
      <c r="C128" s="29" t="inlineStr">
        <is>
          <t>엘티씨</t>
        </is>
      </c>
      <c r="D128" s="29" t="inlineStr">
        <is>
          <t>170920</t>
        </is>
      </c>
      <c r="E128" s="29" t="inlineStr">
        <is>
          <t>KOSDAQ</t>
        </is>
      </c>
      <c r="F128" s="29" t="inlineStr">
        <is>
          <t>소재</t>
        </is>
      </c>
      <c r="G128" s="29" t="inlineStr">
        <is>
          <t>소재</t>
        </is>
      </c>
      <c r="H128" s="29" t="inlineStr">
        <is>
          <t>True</t>
        </is>
      </c>
      <c r="I128" s="29" t="inlineStr">
        <is>
          <t>True</t>
        </is>
      </c>
      <c r="J128" s="29" t="inlineStr">
        <is>
          <t>OK</t>
        </is>
      </c>
      <c r="K128" s="29" t="inlineStr">
        <is>
          <t>데이터 사용 가능</t>
        </is>
      </c>
      <c r="L128" s="29" t="inlineStr">
        <is>
          <t>LOW</t>
        </is>
      </c>
      <c r="M128" s="29" t="inlineStr">
        <is>
          <t>LOW</t>
        </is>
      </c>
      <c r="N128" s="29" t="inlineStr">
        <is>
          <t>0.5838461538461538</t>
        </is>
      </c>
      <c r="O128" s="29" t="inlineStr">
        <is>
          <t>FAIR</t>
        </is>
      </c>
      <c r="P128" s="29" t="inlineStr">
        <is>
          <t>FAIR</t>
        </is>
      </c>
      <c r="Q128" s="29" t="inlineStr">
        <is>
          <t>ATTRACTIVE</t>
        </is>
      </c>
      <c r="R128" s="29" t="inlineStr">
        <is>
          <t>0.6353016273848794</t>
        </is>
      </c>
      <c r="S128" s="29" t="inlineStr">
        <is>
          <t>MEDIUM</t>
        </is>
      </c>
      <c r="T128" s="29" t="inlineStr">
        <is>
          <t>MEDIUM</t>
        </is>
      </c>
      <c r="U128" s="29" t="inlineStr">
        <is>
          <t>0.0</t>
        </is>
      </c>
      <c r="V128" s="29" t="inlineStr">
        <is>
          <t>LOW_RISK</t>
        </is>
      </c>
      <c r="W128" s="29" t="inlineStr">
        <is>
          <t>저위험</t>
        </is>
      </c>
      <c r="X128" s="29" t="inlineStr">
        <is>
          <t>LOW_RISK</t>
        </is>
      </c>
      <c r="Y128" s="29" t="inlineStr">
        <is>
          <t>0.9205018564538214</t>
        </is>
      </c>
      <c r="Z128" s="29" t="inlineStr">
        <is>
          <t>HIGH</t>
        </is>
      </c>
      <c r="AA128" s="29" t="inlineStr">
        <is>
          <t>HIGH</t>
        </is>
      </c>
      <c r="AB128" s="29" t="inlineStr">
        <is>
          <t>0.0038993876391341673</t>
        </is>
      </c>
      <c r="AC128" s="29" t="inlineStr">
        <is>
          <t>False</t>
        </is>
      </c>
      <c r="AD128" s="29" t="inlineStr">
        <is>
          <t>False</t>
        </is>
      </c>
      <c r="AE128" s="29" t="inlineStr">
        <is>
          <t>valuation_credit_ml_overlay_candidate.csv</t>
        </is>
      </c>
      <c r="AF128" s="29" t="inlineStr">
        <is>
          <t>208개 반도체 reference universe. Valuation Agent가 자체 intake 폴더로 복제해 Peer/ML/대시보드 비교에 사용.</t>
        </is>
      </c>
    </row>
    <row r="129" ht="24" customHeight="1">
      <c r="A129" s="24" t="inlineStr">
        <is>
          <t>146</t>
        </is>
      </c>
      <c r="B129" s="24" t="inlineStr">
        <is>
          <t>해당 없음</t>
        </is>
      </c>
      <c r="C129" s="24" t="inlineStr">
        <is>
          <t>티이엠씨</t>
        </is>
      </c>
      <c r="D129" s="24" t="inlineStr">
        <is>
          <t>425040</t>
        </is>
      </c>
      <c r="E129" s="24" t="inlineStr">
        <is>
          <t>KOSDAQ</t>
        </is>
      </c>
      <c r="F129" s="24" t="inlineStr">
        <is>
          <t>소재</t>
        </is>
      </c>
      <c r="G129" s="24" t="inlineStr">
        <is>
          <t>소재</t>
        </is>
      </c>
      <c r="H129" s="24" t="inlineStr">
        <is>
          <t>False</t>
        </is>
      </c>
      <c r="I129" s="24" t="inlineStr">
        <is>
          <t>True</t>
        </is>
      </c>
      <c r="J129" s="24" t="inlineStr">
        <is>
          <t>OK</t>
        </is>
      </c>
      <c r="K129" s="24" t="inlineStr">
        <is>
          <t>데이터 사용 가능</t>
        </is>
      </c>
      <c r="L129" s="24" t="inlineStr">
        <is>
          <t>LOW</t>
        </is>
      </c>
      <c r="M129" s="24" t="inlineStr">
        <is>
          <t>LOW</t>
        </is>
      </c>
      <c r="N129" s="24" t="inlineStr">
        <is>
          <t>0.5666666666666668</t>
        </is>
      </c>
      <c r="O129" s="24" t="inlineStr">
        <is>
          <t>FAIR</t>
        </is>
      </c>
      <c r="P129" s="24" t="inlineStr">
        <is>
          <t>FAIR</t>
        </is>
      </c>
      <c r="Q129" s="24" t="inlineStr">
        <is>
          <t>FAIR</t>
        </is>
      </c>
      <c r="R129" s="24" t="inlineStr">
        <is>
          <t>0.8720430887980049</t>
        </is>
      </c>
      <c r="S129" s="24" t="inlineStr">
        <is>
          <t>HIGH</t>
        </is>
      </c>
      <c r="T129" s="24" t="inlineStr">
        <is>
          <t>HIGH</t>
        </is>
      </c>
      <c r="U129" s="24" t="inlineStr">
        <is>
          <t>0.0714285714285714</t>
        </is>
      </c>
      <c r="V129" s="24" t="inlineStr">
        <is>
          <t>LOW_RISK</t>
        </is>
      </c>
      <c r="W129" s="24" t="inlineStr">
        <is>
          <t>저위험</t>
        </is>
      </c>
      <c r="X129" s="24" t="inlineStr">
        <is>
          <t>LOW_RISK</t>
        </is>
      </c>
      <c r="Y129" s="24" t="inlineStr">
        <is>
          <t>0.7252297088077002</t>
        </is>
      </c>
      <c r="Z129" s="24" t="inlineStr">
        <is>
          <t>HIGH</t>
        </is>
      </c>
      <c r="AA129" s="24" t="inlineStr">
        <is>
          <t>HIGH</t>
        </is>
      </c>
      <c r="AB129" s="24" t="inlineStr">
        <is>
          <t>0.006424650558916757</t>
        </is>
      </c>
      <c r="AC129" s="24" t="inlineStr">
        <is>
          <t>False</t>
        </is>
      </c>
      <c r="AD129" s="24" t="inlineStr">
        <is>
          <t>False</t>
        </is>
      </c>
      <c r="AE129" s="24" t="inlineStr">
        <is>
          <t>valuation_credit_ml_overlay_candidate.csv</t>
        </is>
      </c>
      <c r="AF129" s="24" t="inlineStr">
        <is>
          <t>208개 반도체 reference universe. Valuation Agent가 자체 intake 폴더로 복제해 Peer/ML/대시보드 비교에 사용.</t>
        </is>
      </c>
    </row>
    <row r="130" ht="24" customHeight="1">
      <c r="A130" s="29" t="inlineStr">
        <is>
          <t>131</t>
        </is>
      </c>
      <c r="B130" s="29" t="inlineStr">
        <is>
          <t>해당 없음</t>
        </is>
      </c>
      <c r="C130" s="29" t="inlineStr">
        <is>
          <t>에스앤에스텍</t>
        </is>
      </c>
      <c r="D130" s="29" t="inlineStr">
        <is>
          <t>101490</t>
        </is>
      </c>
      <c r="E130" s="29" t="inlineStr">
        <is>
          <t>KOSDAQ</t>
        </is>
      </c>
      <c r="F130" s="29" t="inlineStr">
        <is>
          <t>소재</t>
        </is>
      </c>
      <c r="G130" s="29" t="inlineStr">
        <is>
          <t>소재</t>
        </is>
      </c>
      <c r="H130" s="29" t="inlineStr">
        <is>
          <t>False</t>
        </is>
      </c>
      <c r="I130" s="29" t="inlineStr">
        <is>
          <t>True</t>
        </is>
      </c>
      <c r="J130" s="29" t="inlineStr">
        <is>
          <t>OK</t>
        </is>
      </c>
      <c r="K130" s="29" t="inlineStr">
        <is>
          <t>데이터 사용 가능</t>
        </is>
      </c>
      <c r="L130" s="29" t="inlineStr">
        <is>
          <t>LOW</t>
        </is>
      </c>
      <c r="M130" s="29" t="inlineStr">
        <is>
          <t>LOW</t>
        </is>
      </c>
      <c r="N130" s="29" t="inlineStr">
        <is>
          <t>0.5653846153846155</t>
        </is>
      </c>
      <c r="O130" s="29" t="inlineStr">
        <is>
          <t>FAIR</t>
        </is>
      </c>
      <c r="P130" s="29" t="inlineStr">
        <is>
          <t>FAIR</t>
        </is>
      </c>
      <c r="Q130" s="29" t="inlineStr">
        <is>
          <t>FAIR</t>
        </is>
      </c>
      <c r="R130" s="29" t="inlineStr">
        <is>
          <t>0.7907123507381016</t>
        </is>
      </c>
      <c r="S130" s="29" t="inlineStr">
        <is>
          <t>HIGH</t>
        </is>
      </c>
      <c r="T130" s="29" t="inlineStr">
        <is>
          <t>HIGH</t>
        </is>
      </c>
      <c r="U130" s="29" t="inlineStr">
        <is>
          <t>0.0714285714285714</t>
        </is>
      </c>
      <c r="V130" s="29" t="inlineStr">
        <is>
          <t>LOW_RISK</t>
        </is>
      </c>
      <c r="W130" s="29" t="inlineStr">
        <is>
          <t>저위험</t>
        </is>
      </c>
      <c r="X130" s="29" t="inlineStr">
        <is>
          <t>LOW_RISK</t>
        </is>
      </c>
      <c r="Y130" s="29" t="inlineStr">
        <is>
          <t>0.877704032267338</t>
        </is>
      </c>
      <c r="Z130" s="29" t="inlineStr">
        <is>
          <t>HIGH</t>
        </is>
      </c>
      <c r="AA130" s="29" t="inlineStr">
        <is>
          <t>HIGH</t>
        </is>
      </c>
      <c r="AB130" s="29" t="inlineStr">
        <is>
          <t>0.05130595484789171</t>
        </is>
      </c>
      <c r="AC130" s="29" t="inlineStr">
        <is>
          <t>False</t>
        </is>
      </c>
      <c r="AD130" s="29" t="inlineStr">
        <is>
          <t>False</t>
        </is>
      </c>
      <c r="AE130" s="29" t="inlineStr">
        <is>
          <t>valuation_credit_ml_overlay_candidate.csv</t>
        </is>
      </c>
      <c r="AF130" s="29" t="inlineStr">
        <is>
          <t>208개 반도체 reference universe. Valuation Agent가 자체 intake 폴더로 복제해 Peer/ML/대시보드 비교에 사용.</t>
        </is>
      </c>
    </row>
    <row r="131" ht="24" customHeight="1">
      <c r="A131" s="24" t="inlineStr">
        <is>
          <t>142</t>
        </is>
      </c>
      <c r="B131" s="24" t="inlineStr">
        <is>
          <t>해당 없음</t>
        </is>
      </c>
      <c r="C131" s="24" t="inlineStr">
        <is>
          <t>제이아이테크</t>
        </is>
      </c>
      <c r="D131" s="24" t="inlineStr">
        <is>
          <t>417500</t>
        </is>
      </c>
      <c r="E131" s="24" t="inlineStr">
        <is>
          <t>KOSDAQ</t>
        </is>
      </c>
      <c r="F131" s="24" t="inlineStr">
        <is>
          <t>소재</t>
        </is>
      </c>
      <c r="G131" s="24" t="inlineStr">
        <is>
          <t>소재</t>
        </is>
      </c>
      <c r="H131" s="24" t="inlineStr">
        <is>
          <t>False</t>
        </is>
      </c>
      <c r="I131" s="24" t="inlineStr">
        <is>
          <t>True</t>
        </is>
      </c>
      <c r="J131" s="24" t="inlineStr">
        <is>
          <t>OK</t>
        </is>
      </c>
      <c r="K131" s="24" t="inlineStr">
        <is>
          <t>데이터 사용 가능</t>
        </is>
      </c>
      <c r="L131" s="24" t="inlineStr">
        <is>
          <t>LOW</t>
        </is>
      </c>
      <c r="M131" s="24" t="inlineStr">
        <is>
          <t>LOW</t>
        </is>
      </c>
      <c r="N131" s="24" t="inlineStr">
        <is>
          <t>0.5264102564102564</t>
        </is>
      </c>
      <c r="O131" s="24" t="inlineStr">
        <is>
          <t>FAIR</t>
        </is>
      </c>
      <c r="P131" s="24" t="inlineStr">
        <is>
          <t>FAIR</t>
        </is>
      </c>
      <c r="Q131" s="24" t="inlineStr">
        <is>
          <t>FAIR</t>
        </is>
      </c>
      <c r="R131" s="24" t="inlineStr">
        <is>
          <t>0.8525733569966568</t>
        </is>
      </c>
      <c r="S131" s="24" t="inlineStr">
        <is>
          <t>HIGH</t>
        </is>
      </c>
      <c r="T131" s="24" t="inlineStr">
        <is>
          <t>HIGH</t>
        </is>
      </c>
      <c r="U131" s="24" t="inlineStr">
        <is>
          <t>0.0714285714285714</t>
        </is>
      </c>
      <c r="V131" s="24" t="inlineStr">
        <is>
          <t>LOW_RISK</t>
        </is>
      </c>
      <c r="W131" s="24" t="inlineStr">
        <is>
          <t>저위험</t>
        </is>
      </c>
      <c r="X131" s="24" t="inlineStr">
        <is>
          <t>LOW_RISK</t>
        </is>
      </c>
      <c r="Y131" s="24" t="inlineStr">
        <is>
          <t>0.7562204122456074</t>
        </is>
      </c>
      <c r="Z131" s="24" t="inlineStr">
        <is>
          <t>HIGH</t>
        </is>
      </c>
      <c r="AA131" s="24" t="inlineStr">
        <is>
          <t>HIGH</t>
        </is>
      </c>
      <c r="AB131" s="24" t="inlineStr">
        <is>
          <t>0.026961826720125225</t>
        </is>
      </c>
      <c r="AC131" s="24" t="inlineStr">
        <is>
          <t>False</t>
        </is>
      </c>
      <c r="AD131" s="24" t="inlineStr">
        <is>
          <t>False</t>
        </is>
      </c>
      <c r="AE131" s="24" t="inlineStr">
        <is>
          <t>valuation_credit_ml_overlay_candidate.csv</t>
        </is>
      </c>
      <c r="AF131" s="24" t="inlineStr">
        <is>
          <t>208개 반도체 reference universe. Valuation Agent가 자체 intake 폴더로 복제해 Peer/ML/대시보드 비교에 사용.</t>
        </is>
      </c>
    </row>
    <row r="132" ht="24" customHeight="1">
      <c r="A132" s="29" t="inlineStr">
        <is>
          <t>137</t>
        </is>
      </c>
      <c r="B132" s="29" t="inlineStr">
        <is>
          <t>해당 없음</t>
        </is>
      </c>
      <c r="C132" s="29" t="inlineStr">
        <is>
          <t>원익QnC</t>
        </is>
      </c>
      <c r="D132" s="29" t="inlineStr">
        <is>
          <t>074600</t>
        </is>
      </c>
      <c r="E132" s="29" t="inlineStr">
        <is>
          <t>KOSDAQ GLOBAL</t>
        </is>
      </c>
      <c r="F132" s="29" t="inlineStr">
        <is>
          <t>소재</t>
        </is>
      </c>
      <c r="G132" s="29" t="inlineStr">
        <is>
          <t>소재</t>
        </is>
      </c>
      <c r="H132" s="29" t="inlineStr">
        <is>
          <t>False</t>
        </is>
      </c>
      <c r="I132" s="29" t="inlineStr">
        <is>
          <t>True</t>
        </is>
      </c>
      <c r="J132" s="29" t="inlineStr">
        <is>
          <t>OK</t>
        </is>
      </c>
      <c r="K132" s="29" t="inlineStr">
        <is>
          <t>데이터 사용 가능</t>
        </is>
      </c>
      <c r="L132" s="29" t="inlineStr">
        <is>
          <t>LOW</t>
        </is>
      </c>
      <c r="M132" s="29" t="inlineStr">
        <is>
          <t>LOW</t>
        </is>
      </c>
      <c r="N132" s="29" t="inlineStr">
        <is>
          <t>0.5156410256410257</t>
        </is>
      </c>
      <c r="O132" s="29" t="inlineStr">
        <is>
          <t>FAIR</t>
        </is>
      </c>
      <c r="P132" s="29" t="inlineStr">
        <is>
          <t>FAIR</t>
        </is>
      </c>
      <c r="Q132" s="29" t="inlineStr">
        <is>
          <t>ATTRACTIVE</t>
        </is>
      </c>
      <c r="R132" s="29" t="inlineStr">
        <is>
          <t>0.4211836082778998</t>
        </is>
      </c>
      <c r="S132" s="29" t="inlineStr">
        <is>
          <t>LOW</t>
        </is>
      </c>
      <c r="T132" s="29" t="inlineStr">
        <is>
          <t>LOW</t>
        </is>
      </c>
      <c r="U132" s="29" t="inlineStr">
        <is>
          <t>0.2857142857142857</t>
        </is>
      </c>
      <c r="V132" s="29" t="inlineStr">
        <is>
          <t>MEDIUM_RISK</t>
        </is>
      </c>
      <c r="W132" s="29" t="inlineStr">
        <is>
          <t>중위험</t>
        </is>
      </c>
      <c r="X132" s="29" t="inlineStr">
        <is>
          <t>MEDIUM_RISK</t>
        </is>
      </c>
      <c r="Y132" s="29" t="inlineStr">
        <is>
          <t>0.6182675579184692</t>
        </is>
      </c>
      <c r="Z132" s="29" t="inlineStr">
        <is>
          <t>MEDIUM</t>
        </is>
      </c>
      <c r="AA132" s="29" t="inlineStr">
        <is>
          <t>MEDIUM</t>
        </is>
      </c>
      <c r="AB132" s="29" t="inlineStr">
        <is>
          <t>0.07153695388648715</t>
        </is>
      </c>
      <c r="AC132" s="29" t="inlineStr">
        <is>
          <t>False</t>
        </is>
      </c>
      <c r="AD132" s="29" t="inlineStr">
        <is>
          <t>True</t>
        </is>
      </c>
      <c r="AE132" s="29" t="inlineStr">
        <is>
          <t>valuation_credit_ml_overlay_candidate.csv</t>
        </is>
      </c>
      <c r="AF132" s="29" t="inlineStr">
        <is>
          <t>208개 반도체 reference universe. Valuation Agent가 자체 intake 폴더로 복제해 Peer/ML/대시보드 비교에 사용.</t>
        </is>
      </c>
    </row>
    <row r="133" ht="24" customHeight="1">
      <c r="A133" s="24" t="inlineStr">
        <is>
          <t>134</t>
        </is>
      </c>
      <c r="B133" s="24" t="inlineStr">
        <is>
          <t>해당 없음</t>
        </is>
      </c>
      <c r="C133" s="24" t="inlineStr">
        <is>
          <t>엠케이전자</t>
        </is>
      </c>
      <c r="D133" s="24" t="inlineStr">
        <is>
          <t>033160</t>
        </is>
      </c>
      <c r="E133" s="24" t="inlineStr">
        <is>
          <t>KOSDAQ</t>
        </is>
      </c>
      <c r="F133" s="24" t="inlineStr">
        <is>
          <t>소재</t>
        </is>
      </c>
      <c r="G133" s="24" t="inlineStr">
        <is>
          <t>소재</t>
        </is>
      </c>
      <c r="H133" s="24" t="inlineStr">
        <is>
          <t>False</t>
        </is>
      </c>
      <c r="I133" s="24" t="inlineStr">
        <is>
          <t>True</t>
        </is>
      </c>
      <c r="J133" s="24" t="inlineStr">
        <is>
          <t>OK</t>
        </is>
      </c>
      <c r="K133" s="24" t="inlineStr">
        <is>
          <t>데이터 사용 가능</t>
        </is>
      </c>
      <c r="L133" s="24" t="inlineStr">
        <is>
          <t>LOW</t>
        </is>
      </c>
      <c r="M133" s="24" t="inlineStr">
        <is>
          <t>LOW</t>
        </is>
      </c>
      <c r="N133" s="24" t="inlineStr">
        <is>
          <t>0.5105128205128205</t>
        </is>
      </c>
      <c r="O133" s="24" t="inlineStr">
        <is>
          <t>FAIR</t>
        </is>
      </c>
      <c r="P133" s="24" t="inlineStr">
        <is>
          <t>FAIR</t>
        </is>
      </c>
      <c r="Q133" s="24" t="inlineStr">
        <is>
          <t>FAIR</t>
        </is>
      </c>
      <c r="R133" s="24" t="inlineStr">
        <is>
          <t>0.801168459079624</t>
        </is>
      </c>
      <c r="S133" s="24" t="inlineStr">
        <is>
          <t>HIGH</t>
        </is>
      </c>
      <c r="T133" s="24" t="inlineStr">
        <is>
          <t>HIGH</t>
        </is>
      </c>
      <c r="U133" s="24" t="inlineStr">
        <is>
          <t>0.5714285714285714</t>
        </is>
      </c>
      <c r="V133" s="24" t="inlineStr">
        <is>
          <t>HIGH_RISK</t>
        </is>
      </c>
      <c r="W133" s="24" t="inlineStr">
        <is>
          <t>고위험</t>
        </is>
      </c>
      <c r="X133" s="24" t="inlineStr">
        <is>
          <t>HIGH_RISK</t>
        </is>
      </c>
      <c r="Y133" s="24" t="inlineStr">
        <is>
          <t>0.6458821552404778</t>
        </is>
      </c>
      <c r="Z133" s="24" t="inlineStr">
        <is>
          <t>MEDIUM</t>
        </is>
      </c>
      <c r="AA133" s="24" t="inlineStr">
        <is>
          <t>MEDIUM</t>
        </is>
      </c>
      <c r="AB133" s="24" t="inlineStr">
        <is>
          <t>0.06935231891152775</t>
        </is>
      </c>
      <c r="AC133" s="24" t="inlineStr">
        <is>
          <t>False</t>
        </is>
      </c>
      <c r="AD133" s="24" t="inlineStr">
        <is>
          <t>False</t>
        </is>
      </c>
      <c r="AE133" s="24" t="inlineStr">
        <is>
          <t>valuation_credit_ml_overlay_candidate.csv</t>
        </is>
      </c>
      <c r="AF133" s="24" t="inlineStr">
        <is>
          <t>208개 반도체 reference universe. Valuation Agent가 자체 intake 폴더로 복제해 Peer/ML/대시보드 비교에 사용.</t>
        </is>
      </c>
    </row>
    <row r="134" ht="24" customHeight="1">
      <c r="A134" s="29" t="inlineStr">
        <is>
          <t>136</t>
        </is>
      </c>
      <c r="B134" s="29" t="inlineStr">
        <is>
          <t>해당 없음</t>
        </is>
      </c>
      <c r="C134" s="29" t="inlineStr">
        <is>
          <t>와이엠티</t>
        </is>
      </c>
      <c r="D134" s="29" t="inlineStr">
        <is>
          <t>251370</t>
        </is>
      </c>
      <c r="E134" s="29" t="inlineStr">
        <is>
          <t>KOSDAQ</t>
        </is>
      </c>
      <c r="F134" s="29" t="inlineStr">
        <is>
          <t>소재</t>
        </is>
      </c>
      <c r="G134" s="29" t="inlineStr">
        <is>
          <t>소재</t>
        </is>
      </c>
      <c r="H134" s="29" t="inlineStr">
        <is>
          <t>False</t>
        </is>
      </c>
      <c r="I134" s="29" t="inlineStr">
        <is>
          <t>True</t>
        </is>
      </c>
      <c r="J134" s="29" t="inlineStr">
        <is>
          <t>OK</t>
        </is>
      </c>
      <c r="K134" s="29" t="inlineStr">
        <is>
          <t>데이터 사용 가능</t>
        </is>
      </c>
      <c r="L134" s="29" t="inlineStr">
        <is>
          <t>LOW</t>
        </is>
      </c>
      <c r="M134" s="29" t="inlineStr">
        <is>
          <t>LOW</t>
        </is>
      </c>
      <c r="N134" s="29" t="inlineStr">
        <is>
          <t>0.4989743589743589</t>
        </is>
      </c>
      <c r="O134" s="29" t="inlineStr">
        <is>
          <t>FAIR</t>
        </is>
      </c>
      <c r="P134" s="29" t="inlineStr">
        <is>
          <t>FAIR</t>
        </is>
      </c>
      <c r="Q134" s="29" t="inlineStr">
        <is>
          <t>FAIR</t>
        </is>
      </c>
      <c r="R134" s="29" t="inlineStr">
        <is>
          <t>0.730943868859095</t>
        </is>
      </c>
      <c r="S134" s="29" t="inlineStr">
        <is>
          <t>HIGH</t>
        </is>
      </c>
      <c r="T134" s="29" t="inlineStr">
        <is>
          <t>HIGH</t>
        </is>
      </c>
      <c r="U134" s="29" t="inlineStr">
        <is>
          <t>0.2142857142857142</t>
        </is>
      </c>
      <c r="V134" s="29" t="inlineStr">
        <is>
          <t>MEDIUM_RISK</t>
        </is>
      </c>
      <c r="W134" s="29" t="inlineStr">
        <is>
          <t>중위험</t>
        </is>
      </c>
      <c r="X134" s="29" t="inlineStr">
        <is>
          <t>MEDIUM_RISK</t>
        </is>
      </c>
      <c r="Y134" s="29" t="inlineStr">
        <is>
          <t>0.4510396871808976</t>
        </is>
      </c>
      <c r="Z134" s="29" t="inlineStr">
        <is>
          <t>LOW</t>
        </is>
      </c>
      <c r="AA134" s="29" t="inlineStr">
        <is>
          <t>LOW</t>
        </is>
      </c>
      <c r="AB134" s="29" t="inlineStr">
        <is>
          <t>0.021802364937517606</t>
        </is>
      </c>
      <c r="AC134" s="29" t="inlineStr">
        <is>
          <t>False</t>
        </is>
      </c>
      <c r="AD134" s="29" t="inlineStr">
        <is>
          <t>True</t>
        </is>
      </c>
      <c r="AE134" s="29" t="inlineStr">
        <is>
          <t>valuation_credit_ml_overlay_candidate.csv</t>
        </is>
      </c>
      <c r="AF134" s="29" t="inlineStr">
        <is>
          <t>208개 반도체 reference universe. Valuation Agent가 자체 intake 폴더로 복제해 Peer/ML/대시보드 비교에 사용.</t>
        </is>
      </c>
    </row>
    <row r="135" ht="24" customHeight="1">
      <c r="A135" s="24" t="inlineStr">
        <is>
          <t>145</t>
        </is>
      </c>
      <c r="B135" s="24" t="inlineStr">
        <is>
          <t>해당 없음</t>
        </is>
      </c>
      <c r="C135" s="24" t="inlineStr">
        <is>
          <t>티씨케이</t>
        </is>
      </c>
      <c r="D135" s="24" t="inlineStr">
        <is>
          <t>064760</t>
        </is>
      </c>
      <c r="E135" s="24" t="inlineStr">
        <is>
          <t>KOSDAQ GLOBAL</t>
        </is>
      </c>
      <c r="F135" s="24" t="inlineStr">
        <is>
          <t>소재</t>
        </is>
      </c>
      <c r="G135" s="24" t="inlineStr">
        <is>
          <t>소재</t>
        </is>
      </c>
      <c r="H135" s="24" t="inlineStr">
        <is>
          <t>False</t>
        </is>
      </c>
      <c r="I135" s="24" t="inlineStr">
        <is>
          <t>True</t>
        </is>
      </c>
      <c r="J135" s="24" t="inlineStr">
        <is>
          <t>OK</t>
        </is>
      </c>
      <c r="K135" s="24" t="inlineStr">
        <is>
          <t>데이터 사용 가능</t>
        </is>
      </c>
      <c r="L135" s="24" t="inlineStr">
        <is>
          <t>LOW</t>
        </is>
      </c>
      <c r="M135" s="24" t="inlineStr">
        <is>
          <t>LOW</t>
        </is>
      </c>
      <c r="N135" s="24" t="inlineStr">
        <is>
          <t>0.4956410256410256</t>
        </is>
      </c>
      <c r="O135" s="24" t="inlineStr">
        <is>
          <t>FAIR</t>
        </is>
      </c>
      <c r="P135" s="24" t="inlineStr">
        <is>
          <t>FAIR</t>
        </is>
      </c>
      <c r="Q135" s="24" t="inlineStr">
        <is>
          <t>FAIR</t>
        </is>
      </c>
      <c r="R135" s="24" t="inlineStr">
        <is>
          <t>0.6535546916238612</t>
        </is>
      </c>
      <c r="S135" s="24" t="inlineStr">
        <is>
          <t>MEDIUM</t>
        </is>
      </c>
      <c r="T135" s="24" t="inlineStr">
        <is>
          <t>MEDIUM</t>
        </is>
      </c>
      <c r="U135" s="24" t="inlineStr">
        <is>
          <t>0.0</t>
        </is>
      </c>
      <c r="V135" s="24" t="inlineStr">
        <is>
          <t>LOW_RISK</t>
        </is>
      </c>
      <c r="W135" s="24" t="inlineStr">
        <is>
          <t>저위험</t>
        </is>
      </c>
      <c r="X135" s="24" t="inlineStr">
        <is>
          <t>LOW_RISK</t>
        </is>
      </c>
      <c r="Y135" s="24" t="inlineStr">
        <is>
          <t>0.7960429313317705</t>
        </is>
      </c>
      <c r="Z135" s="24" t="inlineStr">
        <is>
          <t>HIGH</t>
        </is>
      </c>
      <c r="AA135" s="24" t="inlineStr">
        <is>
          <t>HIGH</t>
        </is>
      </c>
      <c r="AB135" s="24" t="inlineStr">
        <is>
          <t>0.151556576218825</t>
        </is>
      </c>
      <c r="AC135" s="24" t="inlineStr">
        <is>
          <t>False</t>
        </is>
      </c>
      <c r="AD135" s="24" t="inlineStr">
        <is>
          <t>False</t>
        </is>
      </c>
      <c r="AE135" s="24" t="inlineStr">
        <is>
          <t>valuation_credit_ml_overlay_candidate.csv</t>
        </is>
      </c>
      <c r="AF135" s="24" t="inlineStr">
        <is>
          <t>208개 반도체 reference universe. Valuation Agent가 자체 intake 폴더로 복제해 Peer/ML/대시보드 비교에 사용.</t>
        </is>
      </c>
    </row>
    <row r="136" ht="24" customHeight="1">
      <c r="A136" s="29" t="inlineStr">
        <is>
          <t>126</t>
        </is>
      </c>
      <c r="B136" s="29" t="inlineStr">
        <is>
          <t>해당 없음</t>
        </is>
      </c>
      <c r="C136" s="29" t="inlineStr">
        <is>
          <t>동진쎄미켐</t>
        </is>
      </c>
      <c r="D136" s="29" t="inlineStr">
        <is>
          <t>005290</t>
        </is>
      </c>
      <c r="E136" s="29" t="inlineStr">
        <is>
          <t>KOSDAQ</t>
        </is>
      </c>
      <c r="F136" s="29" t="inlineStr">
        <is>
          <t>소재</t>
        </is>
      </c>
      <c r="G136" s="29" t="inlineStr">
        <is>
          <t>소재</t>
        </is>
      </c>
      <c r="H136" s="29" t="inlineStr">
        <is>
          <t>False</t>
        </is>
      </c>
      <c r="I136" s="29" t="inlineStr">
        <is>
          <t>True</t>
        </is>
      </c>
      <c r="J136" s="29" t="inlineStr">
        <is>
          <t>OK</t>
        </is>
      </c>
      <c r="K136" s="29" t="inlineStr">
        <is>
          <t>데이터 사용 가능</t>
        </is>
      </c>
      <c r="L136" s="29" t="inlineStr">
        <is>
          <t>LOW</t>
        </is>
      </c>
      <c r="M136" s="29" t="inlineStr">
        <is>
          <t>LOW</t>
        </is>
      </c>
      <c r="N136" s="29" t="inlineStr">
        <is>
          <t>0.4702564102564102</t>
        </is>
      </c>
      <c r="O136" s="29" t="inlineStr">
        <is>
          <t>FAIR</t>
        </is>
      </c>
      <c r="P136" s="29" t="inlineStr">
        <is>
          <t>FAIR</t>
        </is>
      </c>
      <c r="Q136" s="29" t="inlineStr">
        <is>
          <t>ATTRACTIVE</t>
        </is>
      </c>
      <c r="R136" s="29" t="inlineStr">
        <is>
          <t>0.48929755601795294</t>
        </is>
      </c>
      <c r="S136" s="29" t="inlineStr">
        <is>
          <t>LOW</t>
        </is>
      </c>
      <c r="T136" s="29" t="inlineStr">
        <is>
          <t>LOW</t>
        </is>
      </c>
      <c r="U136" s="29" t="inlineStr">
        <is>
          <t>0.0</t>
        </is>
      </c>
      <c r="V136" s="29" t="inlineStr">
        <is>
          <t>LOW_RISK</t>
        </is>
      </c>
      <c r="W136" s="29" t="inlineStr">
        <is>
          <t>저위험</t>
        </is>
      </c>
      <c r="X136" s="29" t="inlineStr">
        <is>
          <t>LOW_RISK</t>
        </is>
      </c>
      <c r="Y136" s="29" t="inlineStr">
        <is>
          <t>0.9474461757717627</t>
        </is>
      </c>
      <c r="Z136" s="29" t="inlineStr">
        <is>
          <t>HIGH</t>
        </is>
      </c>
      <c r="AA136" s="29" t="inlineStr">
        <is>
          <t>HIGH</t>
        </is>
      </c>
      <c r="AB136" s="29" t="inlineStr">
        <is>
          <t>0.021813937556984325</t>
        </is>
      </c>
      <c r="AC136" s="29" t="inlineStr">
        <is>
          <t>False</t>
        </is>
      </c>
      <c r="AD136" s="29" t="inlineStr">
        <is>
          <t>True</t>
        </is>
      </c>
      <c r="AE136" s="29" t="inlineStr">
        <is>
          <t>valuation_credit_ml_overlay_candidate.csv</t>
        </is>
      </c>
      <c r="AF136" s="29" t="inlineStr">
        <is>
          <t>208개 반도체 reference universe. Valuation Agent가 자체 intake 폴더로 복제해 Peer/ML/대시보드 비교에 사용.</t>
        </is>
      </c>
    </row>
    <row r="137" ht="24" customHeight="1">
      <c r="A137" s="24" t="inlineStr">
        <is>
          <t>144</t>
        </is>
      </c>
      <c r="B137" s="24" t="inlineStr">
        <is>
          <t>해당 없음</t>
        </is>
      </c>
      <c r="C137" s="24" t="inlineStr">
        <is>
          <t>켐트로닉스</t>
        </is>
      </c>
      <c r="D137" s="24" t="inlineStr">
        <is>
          <t>089010</t>
        </is>
      </c>
      <c r="E137" s="24" t="inlineStr">
        <is>
          <t>KOSDAQ</t>
        </is>
      </c>
      <c r="F137" s="24" t="inlineStr">
        <is>
          <t>소재</t>
        </is>
      </c>
      <c r="G137" s="24" t="inlineStr">
        <is>
          <t>소재</t>
        </is>
      </c>
      <c r="H137" s="24" t="inlineStr">
        <is>
          <t>False</t>
        </is>
      </c>
      <c r="I137" s="24" t="inlineStr">
        <is>
          <t>True</t>
        </is>
      </c>
      <c r="J137" s="24" t="inlineStr">
        <is>
          <t>OK</t>
        </is>
      </c>
      <c r="K137" s="24" t="inlineStr">
        <is>
          <t>데이터 사용 가능</t>
        </is>
      </c>
      <c r="L137" s="24" t="inlineStr">
        <is>
          <t>LOW</t>
        </is>
      </c>
      <c r="M137" s="24" t="inlineStr">
        <is>
          <t>LOW</t>
        </is>
      </c>
      <c r="N137" s="24" t="inlineStr">
        <is>
          <t>0.4412820512820513</t>
        </is>
      </c>
      <c r="O137" s="24" t="inlineStr">
        <is>
          <t>FAIR</t>
        </is>
      </c>
      <c r="P137" s="24" t="inlineStr">
        <is>
          <t>FAIR</t>
        </is>
      </c>
      <c r="Q137" s="24" t="inlineStr">
        <is>
          <t>FAIR</t>
        </is>
      </c>
      <c r="R137" s="24" t="inlineStr">
        <is>
          <t>0.7697961799623572</t>
        </is>
      </c>
      <c r="S137" s="24" t="inlineStr">
        <is>
          <t>HIGH</t>
        </is>
      </c>
      <c r="T137" s="24" t="inlineStr">
        <is>
          <t>HIGH</t>
        </is>
      </c>
      <c r="U137" s="24" t="inlineStr">
        <is>
          <t>0.3571428571428571</t>
        </is>
      </c>
      <c r="V137" s="24" t="inlineStr">
        <is>
          <t>MEDIUM_RISK</t>
        </is>
      </c>
      <c r="W137" s="24" t="inlineStr">
        <is>
          <t>중위험</t>
        </is>
      </c>
      <c r="X137" s="24" t="inlineStr">
        <is>
          <t>MEDIUM_RISK</t>
        </is>
      </c>
      <c r="Y137" s="24" t="inlineStr">
        <is>
          <t>0.46850853772952833</t>
        </is>
      </c>
      <c r="Z137" s="24" t="inlineStr">
        <is>
          <t>LOW</t>
        </is>
      </c>
      <c r="AA137" s="24" t="inlineStr">
        <is>
          <t>LOW</t>
        </is>
      </c>
      <c r="AB137" s="24" t="inlineStr">
        <is>
          <t>0.08001716573230905</t>
        </is>
      </c>
      <c r="AC137" s="24" t="inlineStr">
        <is>
          <t>False</t>
        </is>
      </c>
      <c r="AD137" s="24" t="inlineStr">
        <is>
          <t>True</t>
        </is>
      </c>
      <c r="AE137" s="24" t="inlineStr">
        <is>
          <t>valuation_credit_ml_overlay_candidate.csv</t>
        </is>
      </c>
      <c r="AF137" s="24" t="inlineStr">
        <is>
          <t>208개 반도체 reference universe. Valuation Agent가 자체 intake 폴더로 복제해 Peer/ML/대시보드 비교에 사용.</t>
        </is>
      </c>
    </row>
    <row r="138" ht="24" customHeight="1">
      <c r="A138" s="29" t="inlineStr">
        <is>
          <t>129</t>
        </is>
      </c>
      <c r="B138" s="29" t="inlineStr">
        <is>
          <t>해당 없음</t>
        </is>
      </c>
      <c r="C138" s="29" t="inlineStr">
        <is>
          <t>솔브레인</t>
        </is>
      </c>
      <c r="D138" s="29" t="inlineStr">
        <is>
          <t>357780</t>
        </is>
      </c>
      <c r="E138" s="29" t="inlineStr">
        <is>
          <t>KOSDAQ GLOBAL</t>
        </is>
      </c>
      <c r="F138" s="29" t="inlineStr">
        <is>
          <t>소재</t>
        </is>
      </c>
      <c r="G138" s="29" t="inlineStr">
        <is>
          <t>소재</t>
        </is>
      </c>
      <c r="H138" s="29" t="inlineStr">
        <is>
          <t>False</t>
        </is>
      </c>
      <c r="I138" s="29" t="inlineStr">
        <is>
          <t>True</t>
        </is>
      </c>
      <c r="J138" s="29" t="inlineStr">
        <is>
          <t>OK</t>
        </is>
      </c>
      <c r="K138" s="29" t="inlineStr">
        <is>
          <t>데이터 사용 가능</t>
        </is>
      </c>
      <c r="L138" s="29" t="inlineStr">
        <is>
          <t>LOW</t>
        </is>
      </c>
      <c r="M138" s="29" t="inlineStr">
        <is>
          <t>LOW</t>
        </is>
      </c>
      <c r="N138" s="29" t="inlineStr">
        <is>
          <t>0.4330769230769231</t>
        </is>
      </c>
      <c r="O138" s="29" t="inlineStr">
        <is>
          <t>FAIR</t>
        </is>
      </c>
      <c r="P138" s="29" t="inlineStr">
        <is>
          <t>FAIR</t>
        </is>
      </c>
      <c r="Q138" s="29" t="inlineStr">
        <is>
          <t>FAIR</t>
        </is>
      </c>
      <c r="R138" s="29" t="inlineStr">
        <is>
          <t>0.6367158518654258</t>
        </is>
      </c>
      <c r="S138" s="29" t="inlineStr">
        <is>
          <t>MEDIUM</t>
        </is>
      </c>
      <c r="T138" s="29" t="inlineStr">
        <is>
          <t>MEDIUM</t>
        </is>
      </c>
      <c r="U138" s="29" t="inlineStr">
        <is>
          <t>0.0</t>
        </is>
      </c>
      <c r="V138" s="29" t="inlineStr">
        <is>
          <t>LOW_RISK</t>
        </is>
      </c>
      <c r="W138" s="29" t="inlineStr">
        <is>
          <t>저위험</t>
        </is>
      </c>
      <c r="X138" s="29" t="inlineStr">
        <is>
          <t>LOW_RISK</t>
        </is>
      </c>
      <c r="Y138" s="29" t="inlineStr">
        <is>
          <t>0.9460528189989016</t>
        </is>
      </c>
      <c r="Z138" s="29" t="inlineStr">
        <is>
          <t>HIGH</t>
        </is>
      </c>
      <c r="AA138" s="29" t="inlineStr">
        <is>
          <t>HIGH</t>
        </is>
      </c>
      <c r="AB138" s="29" t="inlineStr">
        <is>
          <t>0.0320761550307272</t>
        </is>
      </c>
      <c r="AC138" s="29" t="inlineStr">
        <is>
          <t>False</t>
        </is>
      </c>
      <c r="AD138" s="29" t="inlineStr">
        <is>
          <t>False</t>
        </is>
      </c>
      <c r="AE138" s="29" t="inlineStr">
        <is>
          <t>valuation_credit_ml_overlay_candidate.csv</t>
        </is>
      </c>
      <c r="AF138" s="29" t="inlineStr">
        <is>
          <t>208개 반도체 reference universe. Valuation Agent가 자체 intake 폴더로 복제해 Peer/ML/대시보드 비교에 사용.</t>
        </is>
      </c>
    </row>
    <row r="139" ht="24" customHeight="1">
      <c r="A139" s="24" t="inlineStr">
        <is>
          <t>127</t>
        </is>
      </c>
      <c r="B139" s="24" t="inlineStr">
        <is>
          <t>해당 없음</t>
        </is>
      </c>
      <c r="C139" s="24" t="inlineStr">
        <is>
          <t>디엔에프</t>
        </is>
      </c>
      <c r="D139" s="24" t="inlineStr">
        <is>
          <t>092070</t>
        </is>
      </c>
      <c r="E139" s="24" t="inlineStr">
        <is>
          <t>KOSDAQ</t>
        </is>
      </c>
      <c r="F139" s="24" t="inlineStr">
        <is>
          <t>소재</t>
        </is>
      </c>
      <c r="G139" s="24" t="inlineStr">
        <is>
          <t>소재</t>
        </is>
      </c>
      <c r="H139" s="24" t="inlineStr">
        <is>
          <t>False</t>
        </is>
      </c>
      <c r="I139" s="24" t="inlineStr">
        <is>
          <t>True</t>
        </is>
      </c>
      <c r="J139" s="24" t="inlineStr">
        <is>
          <t>OK</t>
        </is>
      </c>
      <c r="K139" s="24" t="inlineStr">
        <is>
          <t>데이터 사용 가능</t>
        </is>
      </c>
      <c r="L139" s="24" t="inlineStr">
        <is>
          <t>LOW</t>
        </is>
      </c>
      <c r="M139" s="24" t="inlineStr">
        <is>
          <t>LOW</t>
        </is>
      </c>
      <c r="N139" s="24" t="inlineStr">
        <is>
          <t>0.4041025641025642</t>
        </is>
      </c>
      <c r="O139" s="24" t="inlineStr">
        <is>
          <t>EXPENSIVE</t>
        </is>
      </c>
      <c r="P139" s="24" t="inlineStr">
        <is>
          <t>EXPENSIVE</t>
        </is>
      </c>
      <c r="Q139" s="24" t="inlineStr">
        <is>
          <t>EXPENSIVE</t>
        </is>
      </c>
      <c r="R139" s="24" t="inlineStr">
        <is>
          <t>0.6833535693717029</t>
        </is>
      </c>
      <c r="S139" s="24" t="inlineStr">
        <is>
          <t>MEDIUM</t>
        </is>
      </c>
      <c r="T139" s="24" t="inlineStr">
        <is>
          <t>MEDIUM</t>
        </is>
      </c>
      <c r="U139" s="24" t="inlineStr">
        <is>
          <t>0.1428571428571428</t>
        </is>
      </c>
      <c r="V139" s="24" t="inlineStr">
        <is>
          <t>LOW_RISK</t>
        </is>
      </c>
      <c r="W139" s="24" t="inlineStr">
        <is>
          <t>저위험</t>
        </is>
      </c>
      <c r="X139" s="24" t="inlineStr">
        <is>
          <t>LOW_RISK</t>
        </is>
      </c>
      <c r="Y139" s="24" t="inlineStr">
        <is>
          <t>0.5929893794662974</t>
        </is>
      </c>
      <c r="Z139" s="24" t="inlineStr">
        <is>
          <t>MEDIUM</t>
        </is>
      </c>
      <c r="AA139" s="24" t="inlineStr">
        <is>
          <t>MEDIUM</t>
        </is>
      </c>
      <c r="AB139" s="24" t="inlineStr">
        <is>
          <t>0.12453521172683771</t>
        </is>
      </c>
      <c r="AC139" s="24" t="inlineStr">
        <is>
          <t>False</t>
        </is>
      </c>
      <c r="AD139" s="24" t="inlineStr">
        <is>
          <t>False</t>
        </is>
      </c>
      <c r="AE139" s="24" t="inlineStr">
        <is>
          <t>valuation_credit_ml_overlay_candidate.csv</t>
        </is>
      </c>
      <c r="AF139" s="24" t="inlineStr">
        <is>
          <t>208개 반도체 reference universe. Valuation Agent가 자체 intake 폴더로 복제해 Peer/ML/대시보드 비교에 사용.</t>
        </is>
      </c>
    </row>
    <row r="140" ht="24" customHeight="1">
      <c r="A140" s="29" t="inlineStr">
        <is>
          <t>135</t>
        </is>
      </c>
      <c r="B140" s="29" t="inlineStr">
        <is>
          <t>해당 없음</t>
        </is>
      </c>
      <c r="C140" s="29" t="inlineStr">
        <is>
          <t>와이씨켐</t>
        </is>
      </c>
      <c r="D140" s="29" t="inlineStr">
        <is>
          <t>112290</t>
        </is>
      </c>
      <c r="E140" s="29" t="inlineStr">
        <is>
          <t>KOSDAQ</t>
        </is>
      </c>
      <c r="F140" s="29" t="inlineStr">
        <is>
          <t>소재</t>
        </is>
      </c>
      <c r="G140" s="29" t="inlineStr">
        <is>
          <t>소재</t>
        </is>
      </c>
      <c r="H140" s="29" t="inlineStr">
        <is>
          <t>False</t>
        </is>
      </c>
      <c r="I140" s="29" t="inlineStr">
        <is>
          <t>True</t>
        </is>
      </c>
      <c r="J140" s="29" t="inlineStr">
        <is>
          <t>OK</t>
        </is>
      </c>
      <c r="K140" s="29" t="inlineStr">
        <is>
          <t>데이터 사용 가능</t>
        </is>
      </c>
      <c r="L140" s="29" t="inlineStr">
        <is>
          <t>LOW</t>
        </is>
      </c>
      <c r="M140" s="29" t="inlineStr">
        <is>
          <t>LOW</t>
        </is>
      </c>
      <c r="N140" s="29" t="inlineStr">
        <is>
          <t>0.3835897435897436</t>
        </is>
      </c>
      <c r="O140" s="29" t="inlineStr">
        <is>
          <t>EXPENSIVE</t>
        </is>
      </c>
      <c r="P140" s="29" t="inlineStr">
        <is>
          <t>EXPENSIVE</t>
        </is>
      </c>
      <c r="Q140" s="29" t="inlineStr">
        <is>
          <t>EXPENSIVE</t>
        </is>
      </c>
      <c r="R140" s="29" t="inlineStr">
        <is>
          <t>0.7576999610053956</t>
        </is>
      </c>
      <c r="S140" s="29" t="inlineStr">
        <is>
          <t>HIGH</t>
        </is>
      </c>
      <c r="T140" s="29" t="inlineStr">
        <is>
          <t>HIGH</t>
        </is>
      </c>
      <c r="U140" s="29" t="inlineStr">
        <is>
          <t>0.5</t>
        </is>
      </c>
      <c r="V140" s="29" t="inlineStr">
        <is>
          <t>HIGH_RISK</t>
        </is>
      </c>
      <c r="W140" s="29" t="inlineStr">
        <is>
          <t>고위험</t>
        </is>
      </c>
      <c r="X140" s="29" t="inlineStr">
        <is>
          <t>HIGH_RISK</t>
        </is>
      </c>
      <c r="Y140" s="29" t="inlineStr">
        <is>
          <t>0.5943318096005836</t>
        </is>
      </c>
      <c r="Z140" s="29" t="inlineStr">
        <is>
          <t>MEDIUM</t>
        </is>
      </c>
      <c r="AA140" s="29" t="inlineStr">
        <is>
          <t>MEDIUM</t>
        </is>
      </c>
      <c r="AB140" s="29" t="inlineStr">
        <is>
          <t>0.09923299749910795</t>
        </is>
      </c>
      <c r="AC140" s="29" t="inlineStr">
        <is>
          <t>False</t>
        </is>
      </c>
      <c r="AD140" s="29" t="inlineStr">
        <is>
          <t>False</t>
        </is>
      </c>
      <c r="AE140" s="29" t="inlineStr">
        <is>
          <t>valuation_credit_ml_overlay_candidate.csv</t>
        </is>
      </c>
      <c r="AF140" s="29" t="inlineStr">
        <is>
          <t>208개 반도체 reference universe. Valuation Agent가 자체 intake 폴더로 복제해 Peer/ML/대시보드 비교에 사용.</t>
        </is>
      </c>
    </row>
    <row r="141" ht="24" customHeight="1">
      <c r="A141" s="24" t="inlineStr">
        <is>
          <t>143</t>
        </is>
      </c>
      <c r="B141" s="24" t="inlineStr">
        <is>
          <t>해당 없음</t>
        </is>
      </c>
      <c r="C141" s="24" t="inlineStr">
        <is>
          <t>천보</t>
        </is>
      </c>
      <c r="D141" s="24" t="inlineStr">
        <is>
          <t>278280</t>
        </is>
      </c>
      <c r="E141" s="24" t="inlineStr">
        <is>
          <t>KOSDAQ</t>
        </is>
      </c>
      <c r="F141" s="24" t="inlineStr">
        <is>
          <t>소재</t>
        </is>
      </c>
      <c r="G141" s="24" t="inlineStr">
        <is>
          <t>소재</t>
        </is>
      </c>
      <c r="H141" s="24" t="inlineStr">
        <is>
          <t>False</t>
        </is>
      </c>
      <c r="I141" s="24" t="inlineStr">
        <is>
          <t>True</t>
        </is>
      </c>
      <c r="J141" s="24" t="inlineStr">
        <is>
          <t>OK</t>
        </is>
      </c>
      <c r="K141" s="24" t="inlineStr">
        <is>
          <t>데이터 사용 가능</t>
        </is>
      </c>
      <c r="L141" s="24" t="inlineStr">
        <is>
          <t>LOW</t>
        </is>
      </c>
      <c r="M141" s="24" t="inlineStr">
        <is>
          <t>LOW</t>
        </is>
      </c>
      <c r="N141" s="24" t="inlineStr">
        <is>
          <t>0.3387179487179487</t>
        </is>
      </c>
      <c r="O141" s="24" t="inlineStr">
        <is>
          <t>EXPENSIVE</t>
        </is>
      </c>
      <c r="P141" s="24" t="inlineStr">
        <is>
          <t>EXPENSIVE</t>
        </is>
      </c>
      <c r="Q141" s="24" t="inlineStr">
        <is>
          <t>EXPENSIVE</t>
        </is>
      </c>
      <c r="R141" s="24" t="inlineStr">
        <is>
          <t>0.5721835844163214</t>
        </is>
      </c>
      <c r="S141" s="24" t="inlineStr">
        <is>
          <t>MEDIUM</t>
        </is>
      </c>
      <c r="T141" s="24" t="inlineStr">
        <is>
          <t>MEDIUM</t>
        </is>
      </c>
      <c r="U141" s="24" t="inlineStr">
        <is>
          <t>0.3571428571428571</t>
        </is>
      </c>
      <c r="V141" s="24" t="inlineStr">
        <is>
          <t>MEDIUM_RISK</t>
        </is>
      </c>
      <c r="W141" s="24" t="inlineStr">
        <is>
          <t>중위험</t>
        </is>
      </c>
      <c r="X141" s="24" t="inlineStr">
        <is>
          <t>MEDIUM_RISK</t>
        </is>
      </c>
      <c r="Y141" s="24" t="inlineStr">
        <is>
          <t>0.6610625585827647</t>
        </is>
      </c>
      <c r="Z141" s="24" t="inlineStr">
        <is>
          <t>MEDIUM</t>
        </is>
      </c>
      <c r="AA141" s="24" t="inlineStr">
        <is>
          <t>MEDIUM</t>
        </is>
      </c>
      <c r="AB141" s="24" t="inlineStr">
        <is>
          <t>0.09911108426869078</t>
        </is>
      </c>
      <c r="AC141" s="24" t="inlineStr">
        <is>
          <t>False</t>
        </is>
      </c>
      <c r="AD141" s="24" t="inlineStr">
        <is>
          <t>False</t>
        </is>
      </c>
      <c r="AE141" s="24" t="inlineStr">
        <is>
          <t>valuation_credit_ml_overlay_candidate.csv</t>
        </is>
      </c>
      <c r="AF141" s="24" t="inlineStr">
        <is>
          <t>208개 반도체 reference universe. Valuation Agent가 자체 intake 폴더로 복제해 Peer/ML/대시보드 비교에 사용.</t>
        </is>
      </c>
    </row>
    <row r="142" ht="24" customHeight="1">
      <c r="A142" s="29" t="inlineStr">
        <is>
          <t>149</t>
        </is>
      </c>
      <c r="B142" s="29" t="inlineStr">
        <is>
          <t>해당 없음</t>
        </is>
      </c>
      <c r="C142" s="29" t="inlineStr">
        <is>
          <t>후성</t>
        </is>
      </c>
      <c r="D142" s="29" t="inlineStr">
        <is>
          <t>093370</t>
        </is>
      </c>
      <c r="E142" s="29" t="inlineStr">
        <is>
          <t>KOSPI</t>
        </is>
      </c>
      <c r="F142" s="29" t="inlineStr">
        <is>
          <t>소재</t>
        </is>
      </c>
      <c r="G142" s="29" t="inlineStr">
        <is>
          <t>소재</t>
        </is>
      </c>
      <c r="H142" s="29" t="inlineStr">
        <is>
          <t>False</t>
        </is>
      </c>
      <c r="I142" s="29" t="inlineStr">
        <is>
          <t>True</t>
        </is>
      </c>
      <c r="J142" s="29" t="inlineStr">
        <is>
          <t>OK</t>
        </is>
      </c>
      <c r="K142" s="29" t="inlineStr">
        <is>
          <t>데이터 사용 가능</t>
        </is>
      </c>
      <c r="L142" s="29" t="inlineStr">
        <is>
          <t>LOW</t>
        </is>
      </c>
      <c r="M142" s="29" t="inlineStr">
        <is>
          <t>LOW</t>
        </is>
      </c>
      <c r="N142" s="29" t="inlineStr">
        <is>
          <t>0.3387179487179487</t>
        </is>
      </c>
      <c r="O142" s="29" t="inlineStr">
        <is>
          <t>EXPENSIVE</t>
        </is>
      </c>
      <c r="P142" s="29" t="inlineStr">
        <is>
          <t>EXPENSIVE</t>
        </is>
      </c>
      <c r="Q142" s="29" t="inlineStr">
        <is>
          <t>EXPENSIVE</t>
        </is>
      </c>
      <c r="R142" s="29" t="inlineStr">
        <is>
          <t>0.7388215177779633</t>
        </is>
      </c>
      <c r="S142" s="29" t="inlineStr">
        <is>
          <t>HIGH</t>
        </is>
      </c>
      <c r="T142" s="29" t="inlineStr">
        <is>
          <t>HIGH</t>
        </is>
      </c>
      <c r="U142" s="29" t="inlineStr">
        <is>
          <t>0.1428571428571428</t>
        </is>
      </c>
      <c r="V142" s="29" t="inlineStr">
        <is>
          <t>LOW_RISK</t>
        </is>
      </c>
      <c r="W142" s="29" t="inlineStr">
        <is>
          <t>저위험</t>
        </is>
      </c>
      <c r="X142" s="29" t="inlineStr">
        <is>
          <t>LOW_RISK</t>
        </is>
      </c>
      <c r="Y142" s="29" t="inlineStr">
        <is>
          <t>0.6020102100460379</t>
        </is>
      </c>
      <c r="Z142" s="29" t="inlineStr">
        <is>
          <t>MEDIUM</t>
        </is>
      </c>
      <c r="AA142" s="29" t="inlineStr">
        <is>
          <t>MEDIUM</t>
        </is>
      </c>
      <c r="AB142" s="29" t="inlineStr">
        <is>
          <t>0.03702349009826696</t>
        </is>
      </c>
      <c r="AC142" s="29" t="inlineStr">
        <is>
          <t>False</t>
        </is>
      </c>
      <c r="AD142" s="29" t="inlineStr">
        <is>
          <t>False</t>
        </is>
      </c>
      <c r="AE142" s="29" t="inlineStr">
        <is>
          <t>valuation_credit_ml_overlay_candidate.csv</t>
        </is>
      </c>
      <c r="AF142" s="29" t="inlineStr">
        <is>
          <t>208개 반도체 reference universe. Valuation Agent가 자체 intake 폴더로 복제해 Peer/ML/대시보드 비교에 사용.</t>
        </is>
      </c>
    </row>
    <row r="143" ht="24" customHeight="1">
      <c r="A143" s="24" t="inlineStr">
        <is>
          <t>132</t>
        </is>
      </c>
      <c r="B143" s="24" t="inlineStr">
        <is>
          <t>해당 없음</t>
        </is>
      </c>
      <c r="C143" s="24" t="inlineStr">
        <is>
          <t>엘케이켐</t>
        </is>
      </c>
      <c r="D143" s="24" t="inlineStr">
        <is>
          <t>489500</t>
        </is>
      </c>
      <c r="E143" s="24" t="inlineStr">
        <is>
          <t>KOSDAQ</t>
        </is>
      </c>
      <c r="F143" s="24" t="inlineStr">
        <is>
          <t>소재</t>
        </is>
      </c>
      <c r="G143" s="24" t="inlineStr">
        <is>
          <t>소재</t>
        </is>
      </c>
      <c r="H143" s="24" t="inlineStr">
        <is>
          <t>False</t>
        </is>
      </c>
      <c r="I143" s="24" t="inlineStr">
        <is>
          <t>True</t>
        </is>
      </c>
      <c r="J143" s="24" t="inlineStr">
        <is>
          <t>OK_LIMITED_HISTORY_OR_GROWTH_NA</t>
        </is>
      </c>
      <c r="K143" s="24" t="inlineStr">
        <is>
          <t>데이터 사용 가능</t>
        </is>
      </c>
      <c r="L143" s="24" t="inlineStr">
        <is>
          <t>LOW</t>
        </is>
      </c>
      <c r="M143" s="24" t="inlineStr">
        <is>
          <t>LOW</t>
        </is>
      </c>
      <c r="N143" s="24" t="inlineStr">
        <is>
          <t>0.3238461538461538</t>
        </is>
      </c>
      <c r="O143" s="24" t="inlineStr">
        <is>
          <t>EXPENSIVE</t>
        </is>
      </c>
      <c r="P143" s="24" t="inlineStr">
        <is>
          <t>EXPENSIVE</t>
        </is>
      </c>
      <c r="Q143" s="24" t="inlineStr">
        <is>
          <t>EXPENSIVE</t>
        </is>
      </c>
      <c r="R143" s="24" t="inlineStr">
        <is>
          <t>0.702794478496214</t>
        </is>
      </c>
      <c r="S143" s="24" t="inlineStr">
        <is>
          <t>HIGH</t>
        </is>
      </c>
      <c r="T143" s="24" t="inlineStr">
        <is>
          <t>HIGH</t>
        </is>
      </c>
      <c r="U143" s="24" t="inlineStr">
        <is>
          <t>0.2857142857142857</t>
        </is>
      </c>
      <c r="V143" s="24" t="inlineStr">
        <is>
          <t>MEDIUM_RISK</t>
        </is>
      </c>
      <c r="W143" s="24" t="inlineStr">
        <is>
          <t>중위험</t>
        </is>
      </c>
      <c r="X143" s="24" t="inlineStr">
        <is>
          <t>MEDIUM_RISK</t>
        </is>
      </c>
      <c r="Y143" s="24" t="inlineStr">
        <is>
          <t>0.5536965458646373</t>
        </is>
      </c>
      <c r="Z143" s="24" t="inlineStr">
        <is>
          <t>MEDIUM</t>
        </is>
      </c>
      <c r="AA143" s="24" t="inlineStr">
        <is>
          <t>MEDIUM</t>
        </is>
      </c>
      <c r="AB143" s="24" t="inlineStr">
        <is>
          <t>0.25181847400004714</t>
        </is>
      </c>
      <c r="AC143" s="24" t="inlineStr">
        <is>
          <t>True</t>
        </is>
      </c>
      <c r="AD143" s="24" t="inlineStr">
        <is>
          <t>True</t>
        </is>
      </c>
      <c r="AE143" s="24" t="inlineStr">
        <is>
          <t>valuation_credit_ml_overlay_candidate.csv</t>
        </is>
      </c>
      <c r="AF143" s="24" t="inlineStr">
        <is>
          <t>208개 반도체 reference universe. Valuation Agent가 자체 intake 폴더로 복제해 Peer/ML/대시보드 비교에 사용.</t>
        </is>
      </c>
    </row>
    <row r="144" ht="24" customHeight="1">
      <c r="A144" s="29" t="inlineStr">
        <is>
          <t>124</t>
        </is>
      </c>
      <c r="B144" s="29" t="inlineStr">
        <is>
          <t>해당 없음</t>
        </is>
      </c>
      <c r="C144" s="29" t="inlineStr">
        <is>
          <t>SKC</t>
        </is>
      </c>
      <c r="D144" s="29" t="inlineStr">
        <is>
          <t>011790</t>
        </is>
      </c>
      <c r="E144" s="29" t="inlineStr">
        <is>
          <t>KOSPI</t>
        </is>
      </c>
      <c r="F144" s="29" t="inlineStr">
        <is>
          <t>소재</t>
        </is>
      </c>
      <c r="G144" s="29" t="inlineStr">
        <is>
          <t>소재</t>
        </is>
      </c>
      <c r="H144" s="29" t="inlineStr">
        <is>
          <t>False</t>
        </is>
      </c>
      <c r="I144" s="29" t="inlineStr">
        <is>
          <t>True</t>
        </is>
      </c>
      <c r="J144" s="29" t="inlineStr">
        <is>
          <t>OK</t>
        </is>
      </c>
      <c r="K144" s="29" t="inlineStr">
        <is>
          <t>데이터 사용 가능</t>
        </is>
      </c>
      <c r="L144" s="29" t="inlineStr">
        <is>
          <t>LOW</t>
        </is>
      </c>
      <c r="M144" s="29" t="inlineStr">
        <is>
          <t>LOW</t>
        </is>
      </c>
      <c r="N144" s="29" t="inlineStr">
        <is>
          <t>0.3217948717948718</t>
        </is>
      </c>
      <c r="O144" s="29" t="inlineStr">
        <is>
          <t>EXPENSIVE</t>
        </is>
      </c>
      <c r="P144" s="29" t="inlineStr">
        <is>
          <t>EXPENSIVE</t>
        </is>
      </c>
      <c r="Q144" s="29" t="inlineStr">
        <is>
          <t>EXPENSIVE</t>
        </is>
      </c>
      <c r="R144" s="29" t="inlineStr">
        <is>
          <t>0.865330691240198</t>
        </is>
      </c>
      <c r="S144" s="29" t="inlineStr">
        <is>
          <t>HIGH</t>
        </is>
      </c>
      <c r="T144" s="29" t="inlineStr">
        <is>
          <t>HIGH</t>
        </is>
      </c>
      <c r="U144" s="29" t="inlineStr">
        <is>
          <t>0.7142857142857143</t>
        </is>
      </c>
      <c r="V144" s="29" t="inlineStr">
        <is>
          <t>HIGH_RISK</t>
        </is>
      </c>
      <c r="W144" s="29" t="inlineStr">
        <is>
          <t>고위험</t>
        </is>
      </c>
      <c r="X144" s="29" t="inlineStr">
        <is>
          <t>HIGH_RISK</t>
        </is>
      </c>
      <c r="Y144" s="29" t="inlineStr">
        <is>
          <t>0.9272418560336225</t>
        </is>
      </c>
      <c r="Z144" s="29" t="inlineStr">
        <is>
          <t>HIGH</t>
        </is>
      </c>
      <c r="AA144" s="29" t="inlineStr">
        <is>
          <t>HIGH</t>
        </is>
      </c>
      <c r="AB144" s="29" t="inlineStr">
        <is>
          <t>0.23200310396853355</t>
        </is>
      </c>
      <c r="AC144" s="29" t="inlineStr">
        <is>
          <t>False</t>
        </is>
      </c>
      <c r="AD144" s="29" t="inlineStr">
        <is>
          <t>False</t>
        </is>
      </c>
      <c r="AE144" s="29" t="inlineStr">
        <is>
          <t>valuation_credit_ml_overlay_candidate.csv</t>
        </is>
      </c>
      <c r="AF144" s="29" t="inlineStr">
        <is>
          <t>208개 반도체 reference universe. Valuation Agent가 자체 intake 폴더로 복제해 Peer/ML/대시보드 비교에 사용.</t>
        </is>
      </c>
    </row>
    <row r="145" ht="24" customHeight="1">
      <c r="A145" s="24" t="inlineStr">
        <is>
          <t>128</t>
        </is>
      </c>
      <c r="B145" s="24" t="inlineStr">
        <is>
          <t>해당 없음</t>
        </is>
      </c>
      <c r="C145" s="24" t="inlineStr">
        <is>
          <t>레이크머티리얼즈</t>
        </is>
      </c>
      <c r="D145" s="24" t="inlineStr">
        <is>
          <t>281740</t>
        </is>
      </c>
      <c r="E145" s="24" t="inlineStr">
        <is>
          <t>KOSDAQ</t>
        </is>
      </c>
      <c r="F145" s="24" t="inlineStr">
        <is>
          <t>소재</t>
        </is>
      </c>
      <c r="G145" s="24" t="inlineStr">
        <is>
          <t>소재</t>
        </is>
      </c>
      <c r="H145" s="24" t="inlineStr">
        <is>
          <t>False</t>
        </is>
      </c>
      <c r="I145" s="24" t="inlineStr">
        <is>
          <t>True</t>
        </is>
      </c>
      <c r="J145" s="24" t="inlineStr">
        <is>
          <t>OK</t>
        </is>
      </c>
      <c r="K145" s="24" t="inlineStr">
        <is>
          <t>데이터 사용 가능</t>
        </is>
      </c>
      <c r="L145" s="24" t="inlineStr">
        <is>
          <t>LOW</t>
        </is>
      </c>
      <c r="M145" s="24" t="inlineStr">
        <is>
          <t>LOW</t>
        </is>
      </c>
      <c r="N145" s="24" t="inlineStr">
        <is>
          <t>0.2676923076923077</t>
        </is>
      </c>
      <c r="O145" s="24" t="inlineStr">
        <is>
          <t>EXPENSIVE</t>
        </is>
      </c>
      <c r="P145" s="24" t="inlineStr">
        <is>
          <t>EXPENSIVE</t>
        </is>
      </c>
      <c r="Q145" s="24" t="inlineStr">
        <is>
          <t>EXPENSIVE</t>
        </is>
      </c>
      <c r="R145" s="24" t="inlineStr">
        <is>
          <t>0.7822727417954645</t>
        </is>
      </c>
      <c r="S145" s="24" t="inlineStr">
        <is>
          <t>HIGH</t>
        </is>
      </c>
      <c r="T145" s="24" t="inlineStr">
        <is>
          <t>HIGH</t>
        </is>
      </c>
      <c r="U145" s="24" t="inlineStr">
        <is>
          <t>0.2857142857142857</t>
        </is>
      </c>
      <c r="V145" s="24" t="inlineStr">
        <is>
          <t>MEDIUM_RISK</t>
        </is>
      </c>
      <c r="W145" s="24" t="inlineStr">
        <is>
          <t>중위험</t>
        </is>
      </c>
      <c r="X145" s="24" t="inlineStr">
        <is>
          <t>LOW_RISK</t>
        </is>
      </c>
      <c r="Y145" s="24" t="inlineStr">
        <is>
          <t>0.44190315892256776</t>
        </is>
      </c>
      <c r="Z145" s="24" t="inlineStr">
        <is>
          <t>LOW</t>
        </is>
      </c>
      <c r="AA145" s="24" t="inlineStr">
        <is>
          <t>LOW</t>
        </is>
      </c>
      <c r="AB145" s="24" t="inlineStr">
        <is>
          <t>0.0525163305941587</t>
        </is>
      </c>
      <c r="AC145" s="24" t="inlineStr">
        <is>
          <t>False</t>
        </is>
      </c>
      <c r="AD145" s="24" t="inlineStr">
        <is>
          <t>True</t>
        </is>
      </c>
      <c r="AE145" s="24" t="inlineStr">
        <is>
          <t>valuation_credit_ml_overlay_candidate.csv</t>
        </is>
      </c>
      <c r="AF145" s="24" t="inlineStr">
        <is>
          <t>208개 반도체 reference universe. Valuation Agent가 자체 intake 폴더로 복제해 Peer/ML/대시보드 비교에 사용.</t>
        </is>
      </c>
    </row>
    <row r="146" ht="24" customHeight="1">
      <c r="A146" s="29" t="inlineStr">
        <is>
          <t>125</t>
        </is>
      </c>
      <c r="B146" s="29" t="inlineStr">
        <is>
          <t>duksan</t>
        </is>
      </c>
      <c r="C146" s="29" t="inlineStr">
        <is>
          <t>덕산테코피아</t>
        </is>
      </c>
      <c r="D146" s="29" t="inlineStr">
        <is>
          <t>317330</t>
        </is>
      </c>
      <c r="E146" s="29" t="inlineStr">
        <is>
          <t>KOSDAQ</t>
        </is>
      </c>
      <c r="F146" s="29" t="inlineStr">
        <is>
          <t>소재</t>
        </is>
      </c>
      <c r="G146" s="29" t="inlineStr">
        <is>
          <t>소재</t>
        </is>
      </c>
      <c r="H146" s="29" t="inlineStr">
        <is>
          <t>True</t>
        </is>
      </c>
      <c r="I146" s="29" t="inlineStr">
        <is>
          <t>True</t>
        </is>
      </c>
      <c r="J146" s="29" t="inlineStr">
        <is>
          <t>OK</t>
        </is>
      </c>
      <c r="K146" s="29" t="inlineStr">
        <is>
          <t>데이터 사용 가능</t>
        </is>
      </c>
      <c r="L146" s="29" t="inlineStr">
        <is>
          <t>LOW</t>
        </is>
      </c>
      <c r="M146" s="29" t="inlineStr">
        <is>
          <t>LOW</t>
        </is>
      </c>
      <c r="N146" s="29" t="inlineStr">
        <is>
          <t>0.251025641025641</t>
        </is>
      </c>
      <c r="O146" s="29" t="inlineStr">
        <is>
          <t>EXPENSIVE</t>
        </is>
      </c>
      <c r="P146" s="29" t="inlineStr">
        <is>
          <t>EXPENSIVE</t>
        </is>
      </c>
      <c r="Q146" s="29" t="inlineStr">
        <is>
          <t>EXPENSIVE</t>
        </is>
      </c>
      <c r="R146" s="29" t="inlineStr">
        <is>
          <t>0.9683283970250778</t>
        </is>
      </c>
      <c r="S146" s="29" t="inlineStr">
        <is>
          <t>HIGH</t>
        </is>
      </c>
      <c r="T146" s="29" t="inlineStr">
        <is>
          <t>HIGH</t>
        </is>
      </c>
      <c r="U146" s="29" t="inlineStr">
        <is>
          <t>0.7142857142857143</t>
        </is>
      </c>
      <c r="V146" s="29" t="inlineStr">
        <is>
          <t>HIGH_RISK</t>
        </is>
      </c>
      <c r="W146" s="29" t="inlineStr">
        <is>
          <t>고위험</t>
        </is>
      </c>
      <c r="X146" s="29" t="inlineStr">
        <is>
          <t>HIGH_RISK</t>
        </is>
      </c>
      <c r="Y146" s="29" t="inlineStr">
        <is>
          <t>0.9663044353705786</t>
        </is>
      </c>
      <c r="Z146" s="29" t="inlineStr">
        <is>
          <t>HIGH</t>
        </is>
      </c>
      <c r="AA146" s="29" t="inlineStr">
        <is>
          <t>HIGH</t>
        </is>
      </c>
      <c r="AB146" s="29" t="inlineStr">
        <is>
          <t>0.3843555232614074</t>
        </is>
      </c>
      <c r="AC146" s="29" t="inlineStr">
        <is>
          <t>True</t>
        </is>
      </c>
      <c r="AD146" s="29" t="inlineStr">
        <is>
          <t>True</t>
        </is>
      </c>
      <c r="AE146" s="29" t="inlineStr">
        <is>
          <t>valuation_credit_ml_overlay_candidate.csv</t>
        </is>
      </c>
      <c r="AF146" s="29" t="inlineStr">
        <is>
          <t>208개 반도체 reference universe. Valuation Agent가 자체 intake 폴더로 복제해 Peer/ML/대시보드 비교에 사용.</t>
        </is>
      </c>
    </row>
    <row r="147" ht="24" customHeight="1">
      <c r="A147" s="24" t="inlineStr">
        <is>
          <t>99</t>
        </is>
      </c>
      <c r="B147" s="24" t="inlineStr">
        <is>
          <t>해당 없음</t>
        </is>
      </c>
      <c r="C147" s="24" t="inlineStr">
        <is>
          <t>엔투텍</t>
        </is>
      </c>
      <c r="D147" s="24" t="inlineStr">
        <is>
          <t>227950</t>
        </is>
      </c>
      <c r="E147" s="24" t="inlineStr">
        <is>
          <t>KOSDAQ</t>
        </is>
      </c>
      <c r="F147" s="24" t="inlineStr">
        <is>
          <t>장비</t>
        </is>
      </c>
      <c r="G147" s="24" t="inlineStr">
        <is>
          <t>장비</t>
        </is>
      </c>
      <c r="H147" s="24" t="inlineStr">
        <is>
          <t>False</t>
        </is>
      </c>
      <c r="I147" s="24" t="inlineStr">
        <is>
          <t>True</t>
        </is>
      </c>
      <c r="J147" s="24" t="inlineStr">
        <is>
          <t>OK</t>
        </is>
      </c>
      <c r="K147" s="24" t="inlineStr">
        <is>
          <t>데이터 사용 가능</t>
        </is>
      </c>
      <c r="L147" s="24" t="inlineStr">
        <is>
          <t>LOW</t>
        </is>
      </c>
      <c r="M147" s="24" t="inlineStr">
        <is>
          <t>LOW</t>
        </is>
      </c>
      <c r="N147" s="24" t="inlineStr">
        <is>
          <t>0.8128666666666667</t>
        </is>
      </c>
      <c r="O147" s="24" t="inlineStr">
        <is>
          <t>ATTRACTIVE</t>
        </is>
      </c>
      <c r="P147" s="24" t="inlineStr">
        <is>
          <t>가치 매력</t>
        </is>
      </c>
      <c r="Q147" s="24" t="inlineStr">
        <is>
          <t>ATTRACTIVE</t>
        </is>
      </c>
      <c r="R147" s="24" t="inlineStr">
        <is>
          <t>0.8347222629406851</t>
        </is>
      </c>
      <c r="S147" s="24" t="inlineStr">
        <is>
          <t>HIGH</t>
        </is>
      </c>
      <c r="T147" s="24" t="inlineStr">
        <is>
          <t>HIGH</t>
        </is>
      </c>
      <c r="U147" s="24" t="inlineStr">
        <is>
          <t>0.2142857142857142</t>
        </is>
      </c>
      <c r="V147" s="24" t="inlineStr">
        <is>
          <t>MEDIUM_RISK</t>
        </is>
      </c>
      <c r="W147" s="24" t="inlineStr">
        <is>
          <t>중위험</t>
        </is>
      </c>
      <c r="X147" s="24" t="inlineStr">
        <is>
          <t>MEDIUM_RISK</t>
        </is>
      </c>
      <c r="Y147" s="24" t="inlineStr">
        <is>
          <t>0.5142933547274794</t>
        </is>
      </c>
      <c r="Z147" s="24" t="inlineStr">
        <is>
          <t>MEDIUM</t>
        </is>
      </c>
      <c r="AA147" s="24" t="inlineStr">
        <is>
          <t>MEDIUM</t>
        </is>
      </c>
      <c r="AB147" s="24" t="inlineStr">
        <is>
          <t>0.21193857896314997</t>
        </is>
      </c>
      <c r="AC147" s="24" t="inlineStr">
        <is>
          <t>False</t>
        </is>
      </c>
      <c r="AD147" s="24" t="inlineStr">
        <is>
          <t>False</t>
        </is>
      </c>
      <c r="AE147" s="24" t="inlineStr">
        <is>
          <t>valuation_credit_ml_overlay_candidate.csv</t>
        </is>
      </c>
      <c r="AF147" s="24" t="inlineStr">
        <is>
          <t>208개 반도체 reference universe. Valuation Agent가 자체 intake 폴더로 복제해 Peer/ML/대시보드 비교에 사용.</t>
        </is>
      </c>
    </row>
    <row r="148" ht="24" customHeight="1">
      <c r="A148" s="29" t="inlineStr">
        <is>
          <t>88</t>
        </is>
      </c>
      <c r="B148" s="29" t="inlineStr">
        <is>
          <t>해당 없음</t>
        </is>
      </c>
      <c r="C148" s="29" t="inlineStr">
        <is>
          <t>비아트론</t>
        </is>
      </c>
      <c r="D148" s="29" t="inlineStr">
        <is>
          <t>141000</t>
        </is>
      </c>
      <c r="E148" s="29" t="inlineStr">
        <is>
          <t>KOSDAQ</t>
        </is>
      </c>
      <c r="F148" s="29" t="inlineStr">
        <is>
          <t>장비</t>
        </is>
      </c>
      <c r="G148" s="29" t="inlineStr">
        <is>
          <t>장비</t>
        </is>
      </c>
      <c r="H148" s="29" t="inlineStr">
        <is>
          <t>False</t>
        </is>
      </c>
      <c r="I148" s="29" t="inlineStr">
        <is>
          <t>True</t>
        </is>
      </c>
      <c r="J148" s="29" t="inlineStr">
        <is>
          <t>OK</t>
        </is>
      </c>
      <c r="K148" s="29" t="inlineStr">
        <is>
          <t>데이터 사용 가능</t>
        </is>
      </c>
      <c r="L148" s="29" t="inlineStr">
        <is>
          <t>LOW</t>
        </is>
      </c>
      <c r="M148" s="29" t="inlineStr">
        <is>
          <t>LOW</t>
        </is>
      </c>
      <c r="N148" s="29" t="inlineStr">
        <is>
          <t>0.7105333333333335</t>
        </is>
      </c>
      <c r="O148" s="29" t="inlineStr">
        <is>
          <t>ATTRACTIVE</t>
        </is>
      </c>
      <c r="P148" s="29" t="inlineStr">
        <is>
          <t>가치 매력</t>
        </is>
      </c>
      <c r="Q148" s="29" t="inlineStr">
        <is>
          <t>ATTRACTIVE</t>
        </is>
      </c>
      <c r="R148" s="29" t="inlineStr">
        <is>
          <t>0.934708213344448</t>
        </is>
      </c>
      <c r="S148" s="29" t="inlineStr">
        <is>
          <t>HIGH</t>
        </is>
      </c>
      <c r="T148" s="29" t="inlineStr">
        <is>
          <t>HIGH</t>
        </is>
      </c>
      <c r="U148" s="29" t="inlineStr">
        <is>
          <t>0.0</t>
        </is>
      </c>
      <c r="V148" s="29" t="inlineStr">
        <is>
          <t>LOW_RISK</t>
        </is>
      </c>
      <c r="W148" s="29" t="inlineStr">
        <is>
          <t>저위험</t>
        </is>
      </c>
      <c r="X148" s="29" t="inlineStr">
        <is>
          <t>LOW_RISK</t>
        </is>
      </c>
      <c r="Y148" s="29" t="inlineStr">
        <is>
          <t>0.9411184099481913</t>
        </is>
      </c>
      <c r="Z148" s="29" t="inlineStr">
        <is>
          <t>HIGH</t>
        </is>
      </c>
      <c r="AA148" s="29" t="inlineStr">
        <is>
          <t>HIGH</t>
        </is>
      </c>
      <c r="AB148" s="29" t="inlineStr">
        <is>
          <t>0.11715633071246634</t>
        </is>
      </c>
      <c r="AC148" s="29" t="inlineStr">
        <is>
          <t>False</t>
        </is>
      </c>
      <c r="AD148" s="29" t="inlineStr">
        <is>
          <t>False</t>
        </is>
      </c>
      <c r="AE148" s="29" t="inlineStr">
        <is>
          <t>valuation_credit_ml_overlay_candidate.csv</t>
        </is>
      </c>
      <c r="AF148" s="29" t="inlineStr">
        <is>
          <t>208개 반도체 reference universe. Valuation Agent가 자체 intake 폴더로 복제해 Peer/ML/대시보드 비교에 사용.</t>
        </is>
      </c>
    </row>
    <row r="149" ht="24" customHeight="1">
      <c r="A149" s="24" t="inlineStr">
        <is>
          <t>112</t>
        </is>
      </c>
      <c r="B149" s="24" t="inlineStr">
        <is>
          <t>해당 없음</t>
        </is>
      </c>
      <c r="C149" s="24" t="inlineStr">
        <is>
          <t>케이씨</t>
        </is>
      </c>
      <c r="D149" s="24" t="inlineStr">
        <is>
          <t>029460</t>
        </is>
      </c>
      <c r="E149" s="24" t="inlineStr">
        <is>
          <t>KOSPI</t>
        </is>
      </c>
      <c r="F149" s="24" t="inlineStr">
        <is>
          <t>장비</t>
        </is>
      </c>
      <c r="G149" s="24" t="inlineStr">
        <is>
          <t>장비</t>
        </is>
      </c>
      <c r="H149" s="24" t="inlineStr">
        <is>
          <t>False</t>
        </is>
      </c>
      <c r="I149" s="24" t="inlineStr">
        <is>
          <t>True</t>
        </is>
      </c>
      <c r="J149" s="24" t="inlineStr">
        <is>
          <t>OK</t>
        </is>
      </c>
      <c r="K149" s="24" t="inlineStr">
        <is>
          <t>데이터 사용 가능</t>
        </is>
      </c>
      <c r="L149" s="24" t="inlineStr">
        <is>
          <t>LOW</t>
        </is>
      </c>
      <c r="M149" s="24" t="inlineStr">
        <is>
          <t>LOW</t>
        </is>
      </c>
      <c r="N149" s="24" t="inlineStr">
        <is>
          <t>0.7065333333333332</t>
        </is>
      </c>
      <c r="O149" s="24" t="inlineStr">
        <is>
          <t>ATTRACTIVE</t>
        </is>
      </c>
      <c r="P149" s="24" t="inlineStr">
        <is>
          <t>가치 매력</t>
        </is>
      </c>
      <c r="Q149" s="24" t="inlineStr">
        <is>
          <t>ATTRACTIVE</t>
        </is>
      </c>
      <c r="R149" s="24" t="inlineStr">
        <is>
          <t>0.9151708177015135</t>
        </is>
      </c>
      <c r="S149" s="24" t="inlineStr">
        <is>
          <t>HIGH</t>
        </is>
      </c>
      <c r="T149" s="24" t="inlineStr">
        <is>
          <t>HIGH</t>
        </is>
      </c>
      <c r="U149" s="24" t="inlineStr">
        <is>
          <t>0.0</t>
        </is>
      </c>
      <c r="V149" s="24" t="inlineStr">
        <is>
          <t>LOW_RISK</t>
        </is>
      </c>
      <c r="W149" s="24" t="inlineStr">
        <is>
          <t>저위험</t>
        </is>
      </c>
      <c r="X149" s="24" t="inlineStr">
        <is>
          <t>LOW_RISK</t>
        </is>
      </c>
      <c r="Y149" s="24" t="inlineStr">
        <is>
          <t>0.883115363364621</t>
        </is>
      </c>
      <c r="Z149" s="24" t="inlineStr">
        <is>
          <t>HIGH</t>
        </is>
      </c>
      <c r="AA149" s="24" t="inlineStr">
        <is>
          <t>HIGH</t>
        </is>
      </c>
      <c r="AB149" s="24" t="inlineStr">
        <is>
          <t>0.07036651203602409</t>
        </is>
      </c>
      <c r="AC149" s="24" t="inlineStr">
        <is>
          <t>False</t>
        </is>
      </c>
      <c r="AD149" s="24" t="inlineStr">
        <is>
          <t>False</t>
        </is>
      </c>
      <c r="AE149" s="24" t="inlineStr">
        <is>
          <t>valuation_credit_ml_overlay_candidate.csv</t>
        </is>
      </c>
      <c r="AF149" s="24" t="inlineStr">
        <is>
          <t>208개 반도체 reference universe. Valuation Agent가 자체 intake 폴더로 복제해 Peer/ML/대시보드 비교에 사용.</t>
        </is>
      </c>
    </row>
    <row r="150" ht="24" customHeight="1">
      <c r="A150" s="29" t="inlineStr">
        <is>
          <t>81</t>
        </is>
      </c>
      <c r="B150" s="29" t="inlineStr">
        <is>
          <t>해당 없음</t>
        </is>
      </c>
      <c r="C150" s="29" t="inlineStr">
        <is>
          <t>더코디</t>
        </is>
      </c>
      <c r="D150" s="29" t="inlineStr">
        <is>
          <t>224060</t>
        </is>
      </c>
      <c r="E150" s="29" t="inlineStr">
        <is>
          <t>KOSDAQ</t>
        </is>
      </c>
      <c r="F150" s="29" t="inlineStr">
        <is>
          <t>장비</t>
        </is>
      </c>
      <c r="G150" s="29" t="inlineStr">
        <is>
          <t>장비</t>
        </is>
      </c>
      <c r="H150" s="29" t="inlineStr">
        <is>
          <t>False</t>
        </is>
      </c>
      <c r="I150" s="29" t="inlineStr">
        <is>
          <t>True</t>
        </is>
      </c>
      <c r="J150" s="29" t="inlineStr">
        <is>
          <t>OK</t>
        </is>
      </c>
      <c r="K150" s="29" t="inlineStr">
        <is>
          <t>데이터 사용 가능</t>
        </is>
      </c>
      <c r="L150" s="29" t="inlineStr">
        <is>
          <t>LOW</t>
        </is>
      </c>
      <c r="M150" s="29" t="inlineStr">
        <is>
          <t>LOW</t>
        </is>
      </c>
      <c r="N150" s="29" t="inlineStr">
        <is>
          <t>0.6908666666666667</t>
        </is>
      </c>
      <c r="O150" s="29" t="inlineStr">
        <is>
          <t>FAIR</t>
        </is>
      </c>
      <c r="P150" s="29" t="inlineStr">
        <is>
          <t>FAIR</t>
        </is>
      </c>
      <c r="Q150" s="29" t="inlineStr">
        <is>
          <t>FAIR</t>
        </is>
      </c>
      <c r="R150" s="29" t="inlineStr">
        <is>
          <t>0.6613330626239345</t>
        </is>
      </c>
      <c r="S150" s="29" t="inlineStr">
        <is>
          <t>MEDIUM</t>
        </is>
      </c>
      <c r="T150" s="29" t="inlineStr">
        <is>
          <t>MEDIUM</t>
        </is>
      </c>
      <c r="U150" s="29" t="inlineStr">
        <is>
          <t>0.8571428571428571</t>
        </is>
      </c>
      <c r="V150" s="29" t="inlineStr">
        <is>
          <t>HIGH_RISK</t>
        </is>
      </c>
      <c r="W150" s="29" t="inlineStr">
        <is>
          <t>고위험</t>
        </is>
      </c>
      <c r="X150" s="29" t="inlineStr">
        <is>
          <t>HIGH_RISK</t>
        </is>
      </c>
      <c r="Y150" s="29" t="inlineStr">
        <is>
          <t>0.5690179270143122</t>
        </is>
      </c>
      <c r="Z150" s="29" t="inlineStr">
        <is>
          <t>MEDIUM</t>
        </is>
      </c>
      <c r="AA150" s="29" t="inlineStr">
        <is>
          <t>MEDIUM</t>
        </is>
      </c>
      <c r="AB150" s="29" t="inlineStr">
        <is>
          <t>0.3728446721783581</t>
        </is>
      </c>
      <c r="AC150" s="29" t="inlineStr">
        <is>
          <t>True</t>
        </is>
      </c>
      <c r="AD150" s="29" t="inlineStr">
        <is>
          <t>True</t>
        </is>
      </c>
      <c r="AE150" s="29" t="inlineStr">
        <is>
          <t>valuation_credit_ml_overlay_candidate.csv</t>
        </is>
      </c>
      <c r="AF150" s="29" t="inlineStr">
        <is>
          <t>208개 반도체 reference universe. Valuation Agent가 자체 intake 폴더로 복제해 Peer/ML/대시보드 비교에 사용.</t>
        </is>
      </c>
    </row>
    <row r="151" ht="24" customHeight="1">
      <c r="A151" s="24" t="inlineStr">
        <is>
          <t>76</t>
        </is>
      </c>
      <c r="B151" s="24" t="inlineStr">
        <is>
          <t>해당 없음</t>
        </is>
      </c>
      <c r="C151" s="24" t="inlineStr">
        <is>
          <t>KPX케미칼</t>
        </is>
      </c>
      <c r="D151" s="24" t="inlineStr">
        <is>
          <t>025000</t>
        </is>
      </c>
      <c r="E151" s="24" t="inlineStr">
        <is>
          <t>KOSPI</t>
        </is>
      </c>
      <c r="F151" s="24" t="inlineStr">
        <is>
          <t>장비</t>
        </is>
      </c>
      <c r="G151" s="24" t="inlineStr">
        <is>
          <t>장비</t>
        </is>
      </c>
      <c r="H151" s="24" t="inlineStr">
        <is>
          <t>False</t>
        </is>
      </c>
      <c r="I151" s="24" t="inlineStr">
        <is>
          <t>True</t>
        </is>
      </c>
      <c r="J151" s="24" t="inlineStr">
        <is>
          <t>OK</t>
        </is>
      </c>
      <c r="K151" s="24" t="inlineStr">
        <is>
          <t>데이터 사용 가능</t>
        </is>
      </c>
      <c r="L151" s="24" t="inlineStr">
        <is>
          <t>LOW</t>
        </is>
      </c>
      <c r="M151" s="24" t="inlineStr">
        <is>
          <t>LOW</t>
        </is>
      </c>
      <c r="N151" s="24" t="inlineStr">
        <is>
          <t>0.6876</t>
        </is>
      </c>
      <c r="O151" s="24" t="inlineStr">
        <is>
          <t>ATTRACTIVE</t>
        </is>
      </c>
      <c r="P151" s="24" t="inlineStr">
        <is>
          <t>가치 매력</t>
        </is>
      </c>
      <c r="Q151" s="24" t="inlineStr">
        <is>
          <t>ATTRACTIVE</t>
        </is>
      </c>
      <c r="R151" s="24" t="inlineStr">
        <is>
          <t>0.9091955435785402</t>
        </is>
      </c>
      <c r="S151" s="24" t="inlineStr">
        <is>
          <t>HIGH</t>
        </is>
      </c>
      <c r="T151" s="24" t="inlineStr">
        <is>
          <t>HIGH</t>
        </is>
      </c>
      <c r="U151" s="24" t="inlineStr">
        <is>
          <t>0.0</t>
        </is>
      </c>
      <c r="V151" s="24" t="inlineStr">
        <is>
          <t>LOW_RISK</t>
        </is>
      </c>
      <c r="W151" s="24" t="inlineStr">
        <is>
          <t>저위험</t>
        </is>
      </c>
      <c r="X151" s="24" t="inlineStr">
        <is>
          <t>LOW_RISK</t>
        </is>
      </c>
      <c r="Y151" s="24" t="inlineStr">
        <is>
          <t>0.9222174142026104</t>
        </is>
      </c>
      <c r="Z151" s="24" t="inlineStr">
        <is>
          <t>HIGH</t>
        </is>
      </c>
      <c r="AA151" s="24" t="inlineStr">
        <is>
          <t>HIGH</t>
        </is>
      </c>
      <c r="AB151" s="24" t="inlineStr">
        <is>
          <t>0.13901835477996793</t>
        </is>
      </c>
      <c r="AC151" s="24" t="inlineStr">
        <is>
          <t>False</t>
        </is>
      </c>
      <c r="AD151" s="24" t="inlineStr">
        <is>
          <t>False</t>
        </is>
      </c>
      <c r="AE151" s="24" t="inlineStr">
        <is>
          <t>valuation_credit_ml_overlay_candidate.csv</t>
        </is>
      </c>
      <c r="AF151" s="24" t="inlineStr">
        <is>
          <t>208개 반도체 reference universe. Valuation Agent가 자체 intake 폴더로 복제해 Peer/ML/대시보드 비교에 사용.</t>
        </is>
      </c>
    </row>
    <row r="152" ht="24" customHeight="1">
      <c r="A152" s="29" t="inlineStr">
        <is>
          <t>91</t>
        </is>
      </c>
      <c r="B152" s="29" t="inlineStr">
        <is>
          <t>해당 없음</t>
        </is>
      </c>
      <c r="C152" s="29" t="inlineStr">
        <is>
          <t>성도이엔지</t>
        </is>
      </c>
      <c r="D152" s="29" t="inlineStr">
        <is>
          <t>037350</t>
        </is>
      </c>
      <c r="E152" s="29" t="inlineStr">
        <is>
          <t>KOSDAQ</t>
        </is>
      </c>
      <c r="F152" s="29" t="inlineStr">
        <is>
          <t>장비</t>
        </is>
      </c>
      <c r="G152" s="29" t="inlineStr">
        <is>
          <t>장비</t>
        </is>
      </c>
      <c r="H152" s="29" t="inlineStr">
        <is>
          <t>False</t>
        </is>
      </c>
      <c r="I152" s="29" t="inlineStr">
        <is>
          <t>True</t>
        </is>
      </c>
      <c r="J152" s="29" t="inlineStr">
        <is>
          <t>OK</t>
        </is>
      </c>
      <c r="K152" s="29" t="inlineStr">
        <is>
          <t>데이터 사용 가능</t>
        </is>
      </c>
      <c r="L152" s="29" t="inlineStr">
        <is>
          <t>LOW</t>
        </is>
      </c>
      <c r="M152" s="29" t="inlineStr">
        <is>
          <t>LOW</t>
        </is>
      </c>
      <c r="N152" s="29" t="inlineStr">
        <is>
          <t>0.6874666666666667</t>
        </is>
      </c>
      <c r="O152" s="29" t="inlineStr">
        <is>
          <t>ATTRACTIVE</t>
        </is>
      </c>
      <c r="P152" s="29" t="inlineStr">
        <is>
          <t>가치 매력</t>
        </is>
      </c>
      <c r="Q152" s="29" t="inlineStr">
        <is>
          <t>ATTRACTIVE</t>
        </is>
      </c>
      <c r="R152" s="29" t="inlineStr">
        <is>
          <t>0.9250659167833418</t>
        </is>
      </c>
      <c r="S152" s="29" t="inlineStr">
        <is>
          <t>HIGH</t>
        </is>
      </c>
      <c r="T152" s="29" t="inlineStr">
        <is>
          <t>HIGH</t>
        </is>
      </c>
      <c r="U152" s="29" t="inlineStr">
        <is>
          <t>0.0</t>
        </is>
      </c>
      <c r="V152" s="29" t="inlineStr">
        <is>
          <t>LOW_RISK</t>
        </is>
      </c>
      <c r="W152" s="29" t="inlineStr">
        <is>
          <t>저위험</t>
        </is>
      </c>
      <c r="X152" s="29" t="inlineStr">
        <is>
          <t>LOW_RISK</t>
        </is>
      </c>
      <c r="Y152" s="29" t="inlineStr">
        <is>
          <t>0.7848826000183735</t>
        </is>
      </c>
      <c r="Z152" s="29" t="inlineStr">
        <is>
          <t>HIGH</t>
        </is>
      </c>
      <c r="AA152" s="29" t="inlineStr">
        <is>
          <t>HIGH</t>
        </is>
      </c>
      <c r="AB152" s="29" t="inlineStr">
        <is>
          <t>0.02320770424808947</t>
        </is>
      </c>
      <c r="AC152" s="29" t="inlineStr">
        <is>
          <t>False</t>
        </is>
      </c>
      <c r="AD152" s="29" t="inlineStr">
        <is>
          <t>False</t>
        </is>
      </c>
      <c r="AE152" s="29" t="inlineStr">
        <is>
          <t>valuation_credit_ml_overlay_candidate.csv</t>
        </is>
      </c>
      <c r="AF152" s="29" t="inlineStr">
        <is>
          <t>208개 반도체 reference universe. Valuation Agent가 자체 intake 폴더로 복제해 Peer/ML/대시보드 비교에 사용.</t>
        </is>
      </c>
    </row>
    <row r="153" ht="24" customHeight="1">
      <c r="A153" s="24" t="inlineStr">
        <is>
          <t>105</t>
        </is>
      </c>
      <c r="B153" s="24" t="inlineStr">
        <is>
          <t>해당 없음</t>
        </is>
      </c>
      <c r="C153" s="24" t="inlineStr">
        <is>
          <t>유니퀘스트</t>
        </is>
      </c>
      <c r="D153" s="24" t="inlineStr">
        <is>
          <t>077500</t>
        </is>
      </c>
      <c r="E153" s="24" t="inlineStr">
        <is>
          <t>KOSPI</t>
        </is>
      </c>
      <c r="F153" s="24" t="inlineStr">
        <is>
          <t>장비</t>
        </is>
      </c>
      <c r="G153" s="24" t="inlineStr">
        <is>
          <t>장비</t>
        </is>
      </c>
      <c r="H153" s="24" t="inlineStr">
        <is>
          <t>False</t>
        </is>
      </c>
      <c r="I153" s="24" t="inlineStr">
        <is>
          <t>True</t>
        </is>
      </c>
      <c r="J153" s="24" t="inlineStr">
        <is>
          <t>OK</t>
        </is>
      </c>
      <c r="K153" s="24" t="inlineStr">
        <is>
          <t>데이터 사용 가능</t>
        </is>
      </c>
      <c r="L153" s="24" t="inlineStr">
        <is>
          <t>LOW</t>
        </is>
      </c>
      <c r="M153" s="24" t="inlineStr">
        <is>
          <t>LOW</t>
        </is>
      </c>
      <c r="N153" s="24" t="inlineStr">
        <is>
          <t>0.6784</t>
        </is>
      </c>
      <c r="O153" s="24" t="inlineStr">
        <is>
          <t>ATTRACTIVE</t>
        </is>
      </c>
      <c r="P153" s="24" t="inlineStr">
        <is>
          <t>가치 매력</t>
        </is>
      </c>
      <c r="Q153" s="24" t="inlineStr">
        <is>
          <t>ATTRACTIVE</t>
        </is>
      </c>
      <c r="R153" s="24" t="inlineStr">
        <is>
          <t>0.8881603628406226</t>
        </is>
      </c>
      <c r="S153" s="24" t="inlineStr">
        <is>
          <t>HIGH</t>
        </is>
      </c>
      <c r="T153" s="24" t="inlineStr">
        <is>
          <t>HIGH</t>
        </is>
      </c>
      <c r="U153" s="24" t="inlineStr">
        <is>
          <t>0.0</t>
        </is>
      </c>
      <c r="V153" s="24" t="inlineStr">
        <is>
          <t>LOW_RISK</t>
        </is>
      </c>
      <c r="W153" s="24" t="inlineStr">
        <is>
          <t>저위험</t>
        </is>
      </c>
      <c r="X153" s="24" t="inlineStr">
        <is>
          <t>LOW_RISK</t>
        </is>
      </c>
      <c r="Y153" s="24" t="inlineStr">
        <is>
          <t>0.8138676885332061</t>
        </is>
      </c>
      <c r="Z153" s="24" t="inlineStr">
        <is>
          <t>HIGH</t>
        </is>
      </c>
      <c r="AA153" s="24" t="inlineStr">
        <is>
          <t>HIGH</t>
        </is>
      </c>
      <c r="AB153" s="24" t="inlineStr">
        <is>
          <t>0.042139285734196785</t>
        </is>
      </c>
      <c r="AC153" s="24" t="inlineStr">
        <is>
          <t>False</t>
        </is>
      </c>
      <c r="AD153" s="24" t="inlineStr">
        <is>
          <t>False</t>
        </is>
      </c>
      <c r="AE153" s="24" t="inlineStr">
        <is>
          <t>valuation_credit_ml_overlay_candidate.csv</t>
        </is>
      </c>
      <c r="AF153" s="24" t="inlineStr">
        <is>
          <t>208개 반도체 reference universe. Valuation Agent가 자체 intake 폴더로 복제해 Peer/ML/대시보드 비교에 사용.</t>
        </is>
      </c>
    </row>
    <row r="154" ht="24" customHeight="1">
      <c r="A154" s="29" t="inlineStr">
        <is>
          <t>123</t>
        </is>
      </c>
      <c r="B154" s="29" t="inlineStr">
        <is>
          <t>해당 없음</t>
        </is>
      </c>
      <c r="C154" s="29" t="inlineStr">
        <is>
          <t>한솔아이원스</t>
        </is>
      </c>
      <c r="D154" s="29" t="inlineStr">
        <is>
          <t>114810</t>
        </is>
      </c>
      <c r="E154" s="29" t="inlineStr">
        <is>
          <t>KOSDAQ</t>
        </is>
      </c>
      <c r="F154" s="29" t="inlineStr">
        <is>
          <t>장비</t>
        </is>
      </c>
      <c r="G154" s="29" t="inlineStr">
        <is>
          <t>장비</t>
        </is>
      </c>
      <c r="H154" s="29" t="inlineStr">
        <is>
          <t>False</t>
        </is>
      </c>
      <c r="I154" s="29" t="inlineStr">
        <is>
          <t>True</t>
        </is>
      </c>
      <c r="J154" s="29" t="inlineStr">
        <is>
          <t>OK</t>
        </is>
      </c>
      <c r="K154" s="29" t="inlineStr">
        <is>
          <t>데이터 사용 가능</t>
        </is>
      </c>
      <c r="L154" s="29" t="inlineStr">
        <is>
          <t>LOW</t>
        </is>
      </c>
      <c r="M154" s="29" t="inlineStr">
        <is>
          <t>LOW</t>
        </is>
      </c>
      <c r="N154" s="29" t="inlineStr">
        <is>
          <t>0.6648</t>
        </is>
      </c>
      <c r="O154" s="29" t="inlineStr">
        <is>
          <t>ATTRACTIVE</t>
        </is>
      </c>
      <c r="P154" s="29" t="inlineStr">
        <is>
          <t>가치 매력</t>
        </is>
      </c>
      <c r="Q154" s="29" t="inlineStr">
        <is>
          <t>ATTRACTIVE</t>
        </is>
      </c>
      <c r="R154" s="29" t="inlineStr">
        <is>
          <t>0.9031428820161691</t>
        </is>
      </c>
      <c r="S154" s="29" t="inlineStr">
        <is>
          <t>HIGH</t>
        </is>
      </c>
      <c r="T154" s="29" t="inlineStr">
        <is>
          <t>HIGH</t>
        </is>
      </c>
      <c r="U154" s="29" t="inlineStr">
        <is>
          <t>0.1428571428571428</t>
        </is>
      </c>
      <c r="V154" s="29" t="inlineStr">
        <is>
          <t>LOW_RISK</t>
        </is>
      </c>
      <c r="W154" s="29" t="inlineStr">
        <is>
          <t>저위험</t>
        </is>
      </c>
      <c r="X154" s="29" t="inlineStr">
        <is>
          <t>LOW_RISK</t>
        </is>
      </c>
      <c r="Y154" s="29" t="inlineStr">
        <is>
          <t>0.8626763542915618</t>
        </is>
      </c>
      <c r="Z154" s="29" t="inlineStr">
        <is>
          <t>HIGH</t>
        </is>
      </c>
      <c r="AA154" s="29" t="inlineStr">
        <is>
          <t>HIGH</t>
        </is>
      </c>
      <c r="AB154" s="29" t="inlineStr">
        <is>
          <t>0.040357003305963514</t>
        </is>
      </c>
      <c r="AC154" s="29" t="inlineStr">
        <is>
          <t>False</t>
        </is>
      </c>
      <c r="AD154" s="29" t="inlineStr">
        <is>
          <t>False</t>
        </is>
      </c>
      <c r="AE154" s="29" t="inlineStr">
        <is>
          <t>valuation_credit_ml_overlay_candidate.csv</t>
        </is>
      </c>
      <c r="AF154" s="29" t="inlineStr">
        <is>
          <t>208개 반도체 reference universe. Valuation Agent가 자체 intake 폴더로 복제해 Peer/ML/대시보드 비교에 사용.</t>
        </is>
      </c>
    </row>
    <row r="155" ht="24" customHeight="1">
      <c r="A155" s="24" t="inlineStr">
        <is>
          <t>74</t>
        </is>
      </c>
      <c r="B155" s="24" t="inlineStr">
        <is>
          <t>해당 없음</t>
        </is>
      </c>
      <c r="C155" s="24" t="inlineStr">
        <is>
          <t>GST</t>
        </is>
      </c>
      <c r="D155" s="24" t="inlineStr">
        <is>
          <t>083450</t>
        </is>
      </c>
      <c r="E155" s="24" t="inlineStr">
        <is>
          <t>KOSDAQ</t>
        </is>
      </c>
      <c r="F155" s="24" t="inlineStr">
        <is>
          <t>장비</t>
        </is>
      </c>
      <c r="G155" s="24" t="inlineStr">
        <is>
          <t>장비</t>
        </is>
      </c>
      <c r="H155" s="24" t="inlineStr">
        <is>
          <t>False</t>
        </is>
      </c>
      <c r="I155" s="24" t="inlineStr">
        <is>
          <t>True</t>
        </is>
      </c>
      <c r="J155" s="24" t="inlineStr">
        <is>
          <t>OK</t>
        </is>
      </c>
      <c r="K155" s="24" t="inlineStr">
        <is>
          <t>데이터 사용 가능</t>
        </is>
      </c>
      <c r="L155" s="24" t="inlineStr">
        <is>
          <t>LOW</t>
        </is>
      </c>
      <c r="M155" s="24" t="inlineStr">
        <is>
          <t>LOW</t>
        </is>
      </c>
      <c r="N155" s="24" t="inlineStr">
        <is>
          <t>0.6474666666666666</t>
        </is>
      </c>
      <c r="O155" s="24" t="inlineStr">
        <is>
          <t>ATTRACTIVE</t>
        </is>
      </c>
      <c r="P155" s="24" t="inlineStr">
        <is>
          <t>가치 매력</t>
        </is>
      </c>
      <c r="Q155" s="24" t="inlineStr">
        <is>
          <t>ATTRACTIVE</t>
        </is>
      </c>
      <c r="R155" s="24" t="inlineStr">
        <is>
          <t>0.900491542853433</t>
        </is>
      </c>
      <c r="S155" s="24" t="inlineStr">
        <is>
          <t>HIGH</t>
        </is>
      </c>
      <c r="T155" s="24" t="inlineStr">
        <is>
          <t>HIGH</t>
        </is>
      </c>
      <c r="U155" s="24" t="inlineStr">
        <is>
          <t>0.0</t>
        </is>
      </c>
      <c r="V155" s="24" t="inlineStr">
        <is>
          <t>LOW_RISK</t>
        </is>
      </c>
      <c r="W155" s="24" t="inlineStr">
        <is>
          <t>저위험</t>
        </is>
      </c>
      <c r="X155" s="24" t="inlineStr">
        <is>
          <t>LOW_RISK</t>
        </is>
      </c>
      <c r="Y155" s="24" t="inlineStr">
        <is>
          <t>0.9914514013000448</t>
        </is>
      </c>
      <c r="Z155" s="24" t="inlineStr">
        <is>
          <t>HIGH</t>
        </is>
      </c>
      <c r="AA155" s="24" t="inlineStr">
        <is>
          <t>HIGH</t>
        </is>
      </c>
      <c r="AB155" s="24" t="inlineStr">
        <is>
          <t>0.030956097033645616</t>
        </is>
      </c>
      <c r="AC155" s="24" t="inlineStr">
        <is>
          <t>False</t>
        </is>
      </c>
      <c r="AD155" s="24" t="inlineStr">
        <is>
          <t>False</t>
        </is>
      </c>
      <c r="AE155" s="24" t="inlineStr">
        <is>
          <t>valuation_credit_ml_overlay_candidate.csv</t>
        </is>
      </c>
      <c r="AF155" s="24" t="inlineStr">
        <is>
          <t>208개 반도체 reference universe. Valuation Agent가 자체 intake 폴더로 복제해 Peer/ML/대시보드 비교에 사용.</t>
        </is>
      </c>
    </row>
    <row r="156" ht="24" customHeight="1">
      <c r="A156" s="29" t="inlineStr">
        <is>
          <t>117</t>
        </is>
      </c>
      <c r="B156" s="29" t="inlineStr">
        <is>
          <t>해당 없음</t>
        </is>
      </c>
      <c r="C156" s="29" t="inlineStr">
        <is>
          <t>티이엠씨씨엔에스</t>
        </is>
      </c>
      <c r="D156" s="29" t="inlineStr">
        <is>
          <t>241790</t>
        </is>
      </c>
      <c r="E156" s="29" t="inlineStr">
        <is>
          <t>KOSDAQ</t>
        </is>
      </c>
      <c r="F156" s="29" t="inlineStr">
        <is>
          <t>장비</t>
        </is>
      </c>
      <c r="G156" s="29" t="inlineStr">
        <is>
          <t>장비</t>
        </is>
      </c>
      <c r="H156" s="29" t="inlineStr">
        <is>
          <t>False</t>
        </is>
      </c>
      <c r="I156" s="29" t="inlineStr">
        <is>
          <t>True</t>
        </is>
      </c>
      <c r="J156" s="29" t="inlineStr">
        <is>
          <t>OK</t>
        </is>
      </c>
      <c r="K156" s="29" t="inlineStr">
        <is>
          <t>데이터 사용 가능</t>
        </is>
      </c>
      <c r="L156" s="29" t="inlineStr">
        <is>
          <t>LOW</t>
        </is>
      </c>
      <c r="M156" s="29" t="inlineStr">
        <is>
          <t>LOW</t>
        </is>
      </c>
      <c r="N156" s="29" t="inlineStr">
        <is>
          <t>0.6393333333333333</t>
        </is>
      </c>
      <c r="O156" s="29" t="inlineStr">
        <is>
          <t>ATTRACTIVE</t>
        </is>
      </c>
      <c r="P156" s="29" t="inlineStr">
        <is>
          <t>가치 매력</t>
        </is>
      </c>
      <c r="Q156" s="29" t="inlineStr">
        <is>
          <t>ATTRACTIVE</t>
        </is>
      </c>
      <c r="R156" s="29" t="inlineStr">
        <is>
          <t>0.8915695356337118</t>
        </is>
      </c>
      <c r="S156" s="29" t="inlineStr">
        <is>
          <t>HIGH</t>
        </is>
      </c>
      <c r="T156" s="29" t="inlineStr">
        <is>
          <t>HIGH</t>
        </is>
      </c>
      <c r="U156" s="29" t="inlineStr">
        <is>
          <t>0.0714285714285714</t>
        </is>
      </c>
      <c r="V156" s="29" t="inlineStr">
        <is>
          <t>LOW_RISK</t>
        </is>
      </c>
      <c r="W156" s="29" t="inlineStr">
        <is>
          <t>저위험</t>
        </is>
      </c>
      <c r="X156" s="29" t="inlineStr">
        <is>
          <t>LOW_RISK</t>
        </is>
      </c>
      <c r="Y156" s="29" t="inlineStr">
        <is>
          <t>0.8390932561788113</t>
        </is>
      </c>
      <c r="Z156" s="29" t="inlineStr">
        <is>
          <t>HIGH</t>
        </is>
      </c>
      <c r="AA156" s="29" t="inlineStr">
        <is>
          <t>HIGH</t>
        </is>
      </c>
      <c r="AB156" s="29" t="inlineStr">
        <is>
          <t>0.02833353868990863</t>
        </is>
      </c>
      <c r="AC156" s="29" t="inlineStr">
        <is>
          <t>False</t>
        </is>
      </c>
      <c r="AD156" s="29" t="inlineStr">
        <is>
          <t>False</t>
        </is>
      </c>
      <c r="AE156" s="29" t="inlineStr">
        <is>
          <t>valuation_credit_ml_overlay_candidate.csv</t>
        </is>
      </c>
      <c r="AF156" s="29" t="inlineStr">
        <is>
          <t>208개 반도체 reference universe. Valuation Agent가 자체 intake 폴더로 복제해 Peer/ML/대시보드 비교에 사용.</t>
        </is>
      </c>
    </row>
    <row r="157" ht="24" customHeight="1">
      <c r="A157" s="24" t="inlineStr">
        <is>
          <t>82</t>
        </is>
      </c>
      <c r="B157" s="24" t="inlineStr">
        <is>
          <t>해당 없음</t>
        </is>
      </c>
      <c r="C157" s="24" t="inlineStr">
        <is>
          <t>디아이티</t>
        </is>
      </c>
      <c r="D157" s="24" t="inlineStr">
        <is>
          <t>110990</t>
        </is>
      </c>
      <c r="E157" s="24" t="inlineStr">
        <is>
          <t>KOSDAQ</t>
        </is>
      </c>
      <c r="F157" s="24" t="inlineStr">
        <is>
          <t>장비</t>
        </is>
      </c>
      <c r="G157" s="24" t="inlineStr">
        <is>
          <t>장비</t>
        </is>
      </c>
      <c r="H157" s="24" t="inlineStr">
        <is>
          <t>False</t>
        </is>
      </c>
      <c r="I157" s="24" t="inlineStr">
        <is>
          <t>True</t>
        </is>
      </c>
      <c r="J157" s="24" t="inlineStr">
        <is>
          <t>OK</t>
        </is>
      </c>
      <c r="K157" s="24" t="inlineStr">
        <is>
          <t>데이터 사용 가능</t>
        </is>
      </c>
      <c r="L157" s="24" t="inlineStr">
        <is>
          <t>LOW</t>
        </is>
      </c>
      <c r="M157" s="24" t="inlineStr">
        <is>
          <t>LOW</t>
        </is>
      </c>
      <c r="N157" s="24" t="inlineStr">
        <is>
          <t>0.6341333333333333</t>
        </is>
      </c>
      <c r="O157" s="24" t="inlineStr">
        <is>
          <t>ATTRACTIVE</t>
        </is>
      </c>
      <c r="P157" s="24" t="inlineStr">
        <is>
          <t>가치 매력</t>
        </is>
      </c>
      <c r="Q157" s="24" t="inlineStr">
        <is>
          <t>ATTRACTIVE</t>
        </is>
      </c>
      <c r="R157" s="24" t="inlineStr">
        <is>
          <t>0.8847780199048246</t>
        </is>
      </c>
      <c r="S157" s="24" t="inlineStr">
        <is>
          <t>HIGH</t>
        </is>
      </c>
      <c r="T157" s="24" t="inlineStr">
        <is>
          <t>HIGH</t>
        </is>
      </c>
      <c r="U157" s="24" t="inlineStr">
        <is>
          <t>0.0</t>
        </is>
      </c>
      <c r="V157" s="24" t="inlineStr">
        <is>
          <t>LOW_RISK</t>
        </is>
      </c>
      <c r="W157" s="24" t="inlineStr">
        <is>
          <t>저위험</t>
        </is>
      </c>
      <c r="X157" s="24" t="inlineStr">
        <is>
          <t>LOW_RISK</t>
        </is>
      </c>
      <c r="Y157" s="24" t="inlineStr">
        <is>
          <t>0.9680387620928</t>
        </is>
      </c>
      <c r="Z157" s="24" t="inlineStr">
        <is>
          <t>HIGH</t>
        </is>
      </c>
      <c r="AA157" s="24" t="inlineStr">
        <is>
          <t>HIGH</t>
        </is>
      </c>
      <c r="AB157" s="24" t="inlineStr">
        <is>
          <t>0.10339551954594055</t>
        </is>
      </c>
      <c r="AC157" s="24" t="inlineStr">
        <is>
          <t>False</t>
        </is>
      </c>
      <c r="AD157" s="24" t="inlineStr">
        <is>
          <t>False</t>
        </is>
      </c>
      <c r="AE157" s="24" t="inlineStr">
        <is>
          <t>valuation_credit_ml_overlay_candidate.csv</t>
        </is>
      </c>
      <c r="AF157" s="24" t="inlineStr">
        <is>
          <t>208개 반도체 reference universe. Valuation Agent가 자체 intake 폴더로 복제해 Peer/ML/대시보드 비교에 사용.</t>
        </is>
      </c>
    </row>
    <row r="158" ht="24" customHeight="1">
      <c r="A158" s="29" t="inlineStr">
        <is>
          <t>113</t>
        </is>
      </c>
      <c r="B158" s="29" t="inlineStr">
        <is>
          <t>해당 없음</t>
        </is>
      </c>
      <c r="C158" s="29" t="inlineStr">
        <is>
          <t>케이씨텍</t>
        </is>
      </c>
      <c r="D158" s="29" t="inlineStr">
        <is>
          <t>281820</t>
        </is>
      </c>
      <c r="E158" s="29" t="inlineStr">
        <is>
          <t>KOSPI</t>
        </is>
      </c>
      <c r="F158" s="29" t="inlineStr">
        <is>
          <t>장비</t>
        </is>
      </c>
      <c r="G158" s="29" t="inlineStr">
        <is>
          <t>장비</t>
        </is>
      </c>
      <c r="H158" s="29" t="inlineStr">
        <is>
          <t>False</t>
        </is>
      </c>
      <c r="I158" s="29" t="inlineStr">
        <is>
          <t>True</t>
        </is>
      </c>
      <c r="J158" s="29" t="inlineStr">
        <is>
          <t>OK</t>
        </is>
      </c>
      <c r="K158" s="29" t="inlineStr">
        <is>
          <t>데이터 사용 가능</t>
        </is>
      </c>
      <c r="L158" s="29" t="inlineStr">
        <is>
          <t>LOW</t>
        </is>
      </c>
      <c r="M158" s="29" t="inlineStr">
        <is>
          <t>LOW</t>
        </is>
      </c>
      <c r="N158" s="29" t="inlineStr">
        <is>
          <t>0.6314666666666666</t>
        </is>
      </c>
      <c r="O158" s="29" t="inlineStr">
        <is>
          <t>ATTRACTIVE</t>
        </is>
      </c>
      <c r="P158" s="29" t="inlineStr">
        <is>
          <t>가치 매력</t>
        </is>
      </c>
      <c r="Q158" s="29" t="inlineStr">
        <is>
          <t>ATTRACTIVE</t>
        </is>
      </c>
      <c r="R158" s="29" t="inlineStr">
        <is>
          <t>0.8895261430914092</t>
        </is>
      </c>
      <c r="S158" s="29" t="inlineStr">
        <is>
          <t>HIGH</t>
        </is>
      </c>
      <c r="T158" s="29" t="inlineStr">
        <is>
          <t>HIGH</t>
        </is>
      </c>
      <c r="U158" s="29" t="inlineStr">
        <is>
          <t>0.0</t>
        </is>
      </c>
      <c r="V158" s="29" t="inlineStr">
        <is>
          <t>LOW_RISK</t>
        </is>
      </c>
      <c r="W158" s="29" t="inlineStr">
        <is>
          <t>저위험</t>
        </is>
      </c>
      <c r="X158" s="29" t="inlineStr">
        <is>
          <t>LOW_RISK</t>
        </is>
      </c>
      <c r="Y158" s="29" t="inlineStr">
        <is>
          <t>0.9840164809601727</t>
        </is>
      </c>
      <c r="Z158" s="29" t="inlineStr">
        <is>
          <t>HIGH</t>
        </is>
      </c>
      <c r="AA158" s="29" t="inlineStr">
        <is>
          <t>HIGH</t>
        </is>
      </c>
      <c r="AB158" s="29" t="inlineStr">
        <is>
          <t>0.08604596455969397</t>
        </is>
      </c>
      <c r="AC158" s="29" t="inlineStr">
        <is>
          <t>False</t>
        </is>
      </c>
      <c r="AD158" s="29" t="inlineStr">
        <is>
          <t>False</t>
        </is>
      </c>
      <c r="AE158" s="29" t="inlineStr">
        <is>
          <t>valuation_credit_ml_overlay_candidate.csv</t>
        </is>
      </c>
      <c r="AF158" s="29" t="inlineStr">
        <is>
          <t>208개 반도체 reference universe. Valuation Agent가 자체 intake 폴더로 복제해 Peer/ML/대시보드 비교에 사용.</t>
        </is>
      </c>
    </row>
    <row r="159" ht="24" customHeight="1">
      <c r="A159" s="24" t="inlineStr">
        <is>
          <t>85</t>
        </is>
      </c>
      <c r="B159" s="24" t="inlineStr">
        <is>
          <t>해당 없음</t>
        </is>
      </c>
      <c r="C159" s="24" t="inlineStr">
        <is>
          <t>로체시스템즈</t>
        </is>
      </c>
      <c r="D159" s="24" t="inlineStr">
        <is>
          <t>071280</t>
        </is>
      </c>
      <c r="E159" s="24" t="inlineStr">
        <is>
          <t>KOSDAQ</t>
        </is>
      </c>
      <c r="F159" s="24" t="inlineStr">
        <is>
          <t>장비</t>
        </is>
      </c>
      <c r="G159" s="24" t="inlineStr">
        <is>
          <t>장비</t>
        </is>
      </c>
      <c r="H159" s="24" t="inlineStr">
        <is>
          <t>False</t>
        </is>
      </c>
      <c r="I159" s="24" t="inlineStr">
        <is>
          <t>True</t>
        </is>
      </c>
      <c r="J159" s="24" t="inlineStr">
        <is>
          <t>OK</t>
        </is>
      </c>
      <c r="K159" s="24" t="inlineStr">
        <is>
          <t>데이터 사용 가능</t>
        </is>
      </c>
      <c r="L159" s="24" t="inlineStr">
        <is>
          <t>LOW</t>
        </is>
      </c>
      <c r="M159" s="24" t="inlineStr">
        <is>
          <t>LOW</t>
        </is>
      </c>
      <c r="N159" s="24" t="inlineStr">
        <is>
          <t>0.6258666666666667</t>
        </is>
      </c>
      <c r="O159" s="24" t="inlineStr">
        <is>
          <t>ATTRACTIVE</t>
        </is>
      </c>
      <c r="P159" s="24" t="inlineStr">
        <is>
          <t>가치 매력</t>
        </is>
      </c>
      <c r="Q159" s="24" t="inlineStr">
        <is>
          <t>ATTRACTIVE</t>
        </is>
      </c>
      <c r="R159" s="24" t="inlineStr">
        <is>
          <t>0.9642438845844894</t>
        </is>
      </c>
      <c r="S159" s="24" t="inlineStr">
        <is>
          <t>HIGH</t>
        </is>
      </c>
      <c r="T159" s="24" t="inlineStr">
        <is>
          <t>HIGH</t>
        </is>
      </c>
      <c r="U159" s="24" t="inlineStr">
        <is>
          <t>0.0714285714285714</t>
        </is>
      </c>
      <c r="V159" s="24" t="inlineStr">
        <is>
          <t>LOW_RISK</t>
        </is>
      </c>
      <c r="W159" s="24" t="inlineStr">
        <is>
          <t>저위험</t>
        </is>
      </c>
      <c r="X159" s="24" t="inlineStr">
        <is>
          <t>LOW_RISK</t>
        </is>
      </c>
      <c r="Y159" s="24" t="inlineStr">
        <is>
          <t>0.865361141095959</t>
        </is>
      </c>
      <c r="Z159" s="24" t="inlineStr">
        <is>
          <t>HIGH</t>
        </is>
      </c>
      <c r="AA159" s="24" t="inlineStr">
        <is>
          <t>HIGH</t>
        </is>
      </c>
      <c r="AB159" s="24" t="inlineStr">
        <is>
          <t>0.12835380231692475</t>
        </is>
      </c>
      <c r="AC159" s="24" t="inlineStr">
        <is>
          <t>False</t>
        </is>
      </c>
      <c r="AD159" s="24" t="inlineStr">
        <is>
          <t>False</t>
        </is>
      </c>
      <c r="AE159" s="24" t="inlineStr">
        <is>
          <t>valuation_credit_ml_overlay_candidate.csv</t>
        </is>
      </c>
      <c r="AF159" s="24" t="inlineStr">
        <is>
          <t>208개 반도체 reference universe. Valuation Agent가 자체 intake 폴더로 복제해 Peer/ML/대시보드 비교에 사용.</t>
        </is>
      </c>
    </row>
    <row r="160" ht="24" customHeight="1">
      <c r="A160" s="29" t="inlineStr">
        <is>
          <t>95</t>
        </is>
      </c>
      <c r="B160" s="29" t="inlineStr">
        <is>
          <t>해당 없음</t>
        </is>
      </c>
      <c r="C160" s="29" t="inlineStr">
        <is>
          <t>아이씨디</t>
        </is>
      </c>
      <c r="D160" s="29" t="inlineStr">
        <is>
          <t>040910</t>
        </is>
      </c>
      <c r="E160" s="29" t="inlineStr">
        <is>
          <t>KOSDAQ</t>
        </is>
      </c>
      <c r="F160" s="29" t="inlineStr">
        <is>
          <t>장비</t>
        </is>
      </c>
      <c r="G160" s="29" t="inlineStr">
        <is>
          <t>장비</t>
        </is>
      </c>
      <c r="H160" s="29" t="inlineStr">
        <is>
          <t>False</t>
        </is>
      </c>
      <c r="I160" s="29" t="inlineStr">
        <is>
          <t>True</t>
        </is>
      </c>
      <c r="J160" s="29" t="inlineStr">
        <is>
          <t>OK</t>
        </is>
      </c>
      <c r="K160" s="29" t="inlineStr">
        <is>
          <t>데이터 사용 가능</t>
        </is>
      </c>
      <c r="L160" s="29" t="inlineStr">
        <is>
          <t>LOW</t>
        </is>
      </c>
      <c r="M160" s="29" t="inlineStr">
        <is>
          <t>LOW</t>
        </is>
      </c>
      <c r="N160" s="29" t="inlineStr">
        <is>
          <t>0.6158666666666667</t>
        </is>
      </c>
      <c r="O160" s="29" t="inlineStr">
        <is>
          <t>FAIR</t>
        </is>
      </c>
      <c r="P160" s="29" t="inlineStr">
        <is>
          <t>FAIR</t>
        </is>
      </c>
      <c r="Q160" s="29" t="inlineStr">
        <is>
          <t>FAIR</t>
        </is>
      </c>
      <c r="R160" s="29" t="inlineStr">
        <is>
          <t>0.692546582663732</t>
        </is>
      </c>
      <c r="S160" s="29" t="inlineStr">
        <is>
          <t>MEDIUM</t>
        </is>
      </c>
      <c r="T160" s="29" t="inlineStr">
        <is>
          <t>MEDIUM</t>
        </is>
      </c>
      <c r="U160" s="29" t="inlineStr">
        <is>
          <t>0.0714285714285714</t>
        </is>
      </c>
      <c r="V160" s="29" t="inlineStr">
        <is>
          <t>LOW_RISK</t>
        </is>
      </c>
      <c r="W160" s="29" t="inlineStr">
        <is>
          <t>저위험</t>
        </is>
      </c>
      <c r="X160" s="29" t="inlineStr">
        <is>
          <t>LOW_RISK</t>
        </is>
      </c>
      <c r="Y160" s="29" t="inlineStr">
        <is>
          <t>0.44849044524296083</t>
        </is>
      </c>
      <c r="Z160" s="29" t="inlineStr">
        <is>
          <t>LOW</t>
        </is>
      </c>
      <c r="AA160" s="29" t="inlineStr">
        <is>
          <t>LOW</t>
        </is>
      </c>
      <c r="AB160" s="29" t="inlineStr">
        <is>
          <t>0.036739402266510075</t>
        </is>
      </c>
      <c r="AC160" s="29" t="inlineStr">
        <is>
          <t>False</t>
        </is>
      </c>
      <c r="AD160" s="29" t="inlineStr">
        <is>
          <t>True</t>
        </is>
      </c>
      <c r="AE160" s="29" t="inlineStr">
        <is>
          <t>valuation_credit_ml_overlay_candidate.csv</t>
        </is>
      </c>
      <c r="AF160" s="29" t="inlineStr">
        <is>
          <t>208개 반도체 reference universe. Valuation Agent가 자체 intake 폴더로 복제해 Peer/ML/대시보드 비교에 사용.</t>
        </is>
      </c>
    </row>
    <row r="161" ht="24" customHeight="1">
      <c r="A161" s="24" t="inlineStr">
        <is>
          <t>96</t>
        </is>
      </c>
      <c r="B161" s="24" t="inlineStr">
        <is>
          <t>해당 없음</t>
        </is>
      </c>
      <c r="C161" s="24" t="inlineStr">
        <is>
          <t>에스에프에이</t>
        </is>
      </c>
      <c r="D161" s="24" t="inlineStr">
        <is>
          <t>056190</t>
        </is>
      </c>
      <c r="E161" s="24" t="inlineStr">
        <is>
          <t>KOSDAQ GLOBAL</t>
        </is>
      </c>
      <c r="F161" s="24" t="inlineStr">
        <is>
          <t>장비</t>
        </is>
      </c>
      <c r="G161" s="24" t="inlineStr">
        <is>
          <t>장비</t>
        </is>
      </c>
      <c r="H161" s="24" t="inlineStr">
        <is>
          <t>False</t>
        </is>
      </c>
      <c r="I161" s="24" t="inlineStr">
        <is>
          <t>True</t>
        </is>
      </c>
      <c r="J161" s="24" t="inlineStr">
        <is>
          <t>OK</t>
        </is>
      </c>
      <c r="K161" s="24" t="inlineStr">
        <is>
          <t>데이터 사용 가능</t>
        </is>
      </c>
      <c r="L161" s="24" t="inlineStr">
        <is>
          <t>LOW</t>
        </is>
      </c>
      <c r="M161" s="24" t="inlineStr">
        <is>
          <t>LOW</t>
        </is>
      </c>
      <c r="N161" s="24" t="inlineStr">
        <is>
          <t>0.6098666666666667</t>
        </is>
      </c>
      <c r="O161" s="24" t="inlineStr">
        <is>
          <t>ATTRACTIVE</t>
        </is>
      </c>
      <c r="P161" s="24" t="inlineStr">
        <is>
          <t>가치 매력</t>
        </is>
      </c>
      <c r="Q161" s="24" t="inlineStr">
        <is>
          <t>ATTRACTIVE</t>
        </is>
      </c>
      <c r="R161" s="24" t="inlineStr">
        <is>
          <t>0.8690882589557657</t>
        </is>
      </c>
      <c r="S161" s="24" t="inlineStr">
        <is>
          <t>HIGH</t>
        </is>
      </c>
      <c r="T161" s="24" t="inlineStr">
        <is>
          <t>HIGH</t>
        </is>
      </c>
      <c r="U161" s="24" t="inlineStr">
        <is>
          <t>0.0</t>
        </is>
      </c>
      <c r="V161" s="24" t="inlineStr">
        <is>
          <t>LOW_RISK</t>
        </is>
      </c>
      <c r="W161" s="24" t="inlineStr">
        <is>
          <t>저위험</t>
        </is>
      </c>
      <c r="X161" s="24" t="inlineStr">
        <is>
          <t>LOW_RISK</t>
        </is>
      </c>
      <c r="Y161" s="24" t="inlineStr">
        <is>
          <t>0.9436125736629892</t>
        </is>
      </c>
      <c r="Z161" s="24" t="inlineStr">
        <is>
          <t>HIGH</t>
        </is>
      </c>
      <c r="AA161" s="24" t="inlineStr">
        <is>
          <t>HIGH</t>
        </is>
      </c>
      <c r="AB161" s="24" t="inlineStr">
        <is>
          <t>0.014784178233183152</t>
        </is>
      </c>
      <c r="AC161" s="24" t="inlineStr">
        <is>
          <t>False</t>
        </is>
      </c>
      <c r="AD161" s="24" t="inlineStr">
        <is>
          <t>False</t>
        </is>
      </c>
      <c r="AE161" s="24" t="inlineStr">
        <is>
          <t>valuation_credit_ml_overlay_candidate.csv</t>
        </is>
      </c>
      <c r="AF161" s="24" t="inlineStr">
        <is>
          <t>208개 반도체 reference universe. Valuation Agent가 자체 intake 폴더로 복제해 Peer/ML/대시보드 비교에 사용.</t>
        </is>
      </c>
    </row>
    <row r="162" ht="24" customHeight="1">
      <c r="A162" s="29" t="inlineStr">
        <is>
          <t>89</t>
        </is>
      </c>
      <c r="B162" s="29" t="inlineStr">
        <is>
          <t>해당 없음</t>
        </is>
      </c>
      <c r="C162" s="29" t="inlineStr">
        <is>
          <t>삼양엔씨켐</t>
        </is>
      </c>
      <c r="D162" s="29" t="inlineStr">
        <is>
          <t>482630</t>
        </is>
      </c>
      <c r="E162" s="29" t="inlineStr">
        <is>
          <t>KOSDAQ</t>
        </is>
      </c>
      <c r="F162" s="29" t="inlineStr">
        <is>
          <t>장비</t>
        </is>
      </c>
      <c r="G162" s="29" t="inlineStr">
        <is>
          <t>장비</t>
        </is>
      </c>
      <c r="H162" s="29" t="inlineStr">
        <is>
          <t>False</t>
        </is>
      </c>
      <c r="I162" s="29" t="inlineStr">
        <is>
          <t>True</t>
        </is>
      </c>
      <c r="J162" s="29" t="inlineStr">
        <is>
          <t>OK_LIMITED_HISTORY_OR_GROWTH_NA</t>
        </is>
      </c>
      <c r="K162" s="29" t="inlineStr">
        <is>
          <t>데이터 사용 가능</t>
        </is>
      </c>
      <c r="L162" s="29" t="inlineStr">
        <is>
          <t>LOW</t>
        </is>
      </c>
      <c r="M162" s="29" t="inlineStr">
        <is>
          <t>LOW</t>
        </is>
      </c>
      <c r="N162" s="29" t="inlineStr">
        <is>
          <t>0.5993333333333333</t>
        </is>
      </c>
      <c r="O162" s="29" t="inlineStr">
        <is>
          <t>ATTRACTIVE</t>
        </is>
      </c>
      <c r="P162" s="29" t="inlineStr">
        <is>
          <t>가치 매력</t>
        </is>
      </c>
      <c r="Q162" s="29" t="inlineStr">
        <is>
          <t>ATTRACTIVE</t>
        </is>
      </c>
      <c r="R162" s="29" t="inlineStr">
        <is>
          <t>0.6408467710997098</t>
        </is>
      </c>
      <c r="S162" s="29" t="inlineStr">
        <is>
          <t>MEDIUM</t>
        </is>
      </c>
      <c r="T162" s="29" t="inlineStr">
        <is>
          <t>MEDIUM</t>
        </is>
      </c>
      <c r="U162" s="29" t="inlineStr">
        <is>
          <t>0.0714285714285714</t>
        </is>
      </c>
      <c r="V162" s="29" t="inlineStr">
        <is>
          <t>LOW_RISK</t>
        </is>
      </c>
      <c r="W162" s="29" t="inlineStr">
        <is>
          <t>저위험</t>
        </is>
      </c>
      <c r="X162" s="29" t="inlineStr">
        <is>
          <t>LOW_RISK</t>
        </is>
      </c>
      <c r="Y162" s="29" t="inlineStr">
        <is>
          <t>0.9401160844253347</t>
        </is>
      </c>
      <c r="Z162" s="29" t="inlineStr">
        <is>
          <t>HIGH</t>
        </is>
      </c>
      <c r="AA162" s="29" t="inlineStr">
        <is>
          <t>HIGH</t>
        </is>
      </c>
      <c r="AB162" s="29" t="inlineStr">
        <is>
          <t>0.028901776832829695</t>
        </is>
      </c>
      <c r="AC162" s="29" t="inlineStr">
        <is>
          <t>False</t>
        </is>
      </c>
      <c r="AD162" s="29" t="inlineStr">
        <is>
          <t>True</t>
        </is>
      </c>
      <c r="AE162" s="29" t="inlineStr">
        <is>
          <t>valuation_credit_ml_overlay_candidate.csv</t>
        </is>
      </c>
      <c r="AF162" s="29" t="inlineStr">
        <is>
          <t>208개 반도체 reference universe. Valuation Agent가 자체 intake 폴더로 복제해 Peer/ML/대시보드 비교에 사용.</t>
        </is>
      </c>
    </row>
    <row r="163" ht="24" customHeight="1">
      <c r="A163" s="24" t="inlineStr">
        <is>
          <t>92</t>
        </is>
      </c>
      <c r="B163" s="24" t="inlineStr">
        <is>
          <t>해당 없음</t>
        </is>
      </c>
      <c r="C163" s="24" t="inlineStr">
        <is>
          <t>싸이맥스</t>
        </is>
      </c>
      <c r="D163" s="24" t="inlineStr">
        <is>
          <t>160980</t>
        </is>
      </c>
      <c r="E163" s="24" t="inlineStr">
        <is>
          <t>KOSDAQ</t>
        </is>
      </c>
      <c r="F163" s="24" t="inlineStr">
        <is>
          <t>장비</t>
        </is>
      </c>
      <c r="G163" s="24" t="inlineStr">
        <is>
          <t>장비</t>
        </is>
      </c>
      <c r="H163" s="24" t="inlineStr">
        <is>
          <t>False</t>
        </is>
      </c>
      <c r="I163" s="24" t="inlineStr">
        <is>
          <t>True</t>
        </is>
      </c>
      <c r="J163" s="24" t="inlineStr">
        <is>
          <t>OK</t>
        </is>
      </c>
      <c r="K163" s="24" t="inlineStr">
        <is>
          <t>데이터 사용 가능</t>
        </is>
      </c>
      <c r="L163" s="24" t="inlineStr">
        <is>
          <t>LOW</t>
        </is>
      </c>
      <c r="M163" s="24" t="inlineStr">
        <is>
          <t>LOW</t>
        </is>
      </c>
      <c r="N163" s="24" t="inlineStr">
        <is>
          <t>0.5961333333333334</t>
        </is>
      </c>
      <c r="O163" s="24" t="inlineStr">
        <is>
          <t>ATTRACTIVE</t>
        </is>
      </c>
      <c r="P163" s="24" t="inlineStr">
        <is>
          <t>가치 매력</t>
        </is>
      </c>
      <c r="Q163" s="24" t="inlineStr">
        <is>
          <t>ATTRACTIVE</t>
        </is>
      </c>
      <c r="R163" s="24" t="inlineStr">
        <is>
          <t>0.8128181122496774</t>
        </is>
      </c>
      <c r="S163" s="24" t="inlineStr">
        <is>
          <t>HIGH</t>
        </is>
      </c>
      <c r="T163" s="24" t="inlineStr">
        <is>
          <t>HIGH</t>
        </is>
      </c>
      <c r="U163" s="24" t="inlineStr">
        <is>
          <t>0.0</t>
        </is>
      </c>
      <c r="V163" s="24" t="inlineStr">
        <is>
          <t>LOW_RISK</t>
        </is>
      </c>
      <c r="W163" s="24" t="inlineStr">
        <is>
          <t>저위험</t>
        </is>
      </c>
      <c r="X163" s="24" t="inlineStr">
        <is>
          <t>LOW_RISK</t>
        </is>
      </c>
      <c r="Y163" s="24" t="inlineStr">
        <is>
          <t>0.9687749577011366</t>
        </is>
      </c>
      <c r="Z163" s="24" t="inlineStr">
        <is>
          <t>HIGH</t>
        </is>
      </c>
      <c r="AA163" s="24" t="inlineStr">
        <is>
          <t>HIGH</t>
        </is>
      </c>
      <c r="AB163" s="24" t="inlineStr">
        <is>
          <t>0.14360930410301745</t>
        </is>
      </c>
      <c r="AC163" s="24" t="inlineStr">
        <is>
          <t>False</t>
        </is>
      </c>
      <c r="AD163" s="24" t="inlineStr">
        <is>
          <t>False</t>
        </is>
      </c>
      <c r="AE163" s="24" t="inlineStr">
        <is>
          <t>valuation_credit_ml_overlay_candidate.csv</t>
        </is>
      </c>
      <c r="AF163" s="24" t="inlineStr">
        <is>
          <t>208개 반도체 reference universe. Valuation Agent가 자체 intake 폴더로 복제해 Peer/ML/대시보드 비교에 사용.</t>
        </is>
      </c>
    </row>
    <row r="164" ht="24" customHeight="1">
      <c r="A164" s="29" t="inlineStr">
        <is>
          <t>80</t>
        </is>
      </c>
      <c r="B164" s="29" t="inlineStr">
        <is>
          <t>해당 없음</t>
        </is>
      </c>
      <c r="C164" s="29" t="inlineStr">
        <is>
          <t>뉴파워프라즈마</t>
        </is>
      </c>
      <c r="D164" s="29" t="inlineStr">
        <is>
          <t>144960</t>
        </is>
      </c>
      <c r="E164" s="29" t="inlineStr">
        <is>
          <t>KOSDAQ</t>
        </is>
      </c>
      <c r="F164" s="29" t="inlineStr">
        <is>
          <t>장비</t>
        </is>
      </c>
      <c r="G164" s="29" t="inlineStr">
        <is>
          <t>장비</t>
        </is>
      </c>
      <c r="H164" s="29" t="inlineStr">
        <is>
          <t>False</t>
        </is>
      </c>
      <c r="I164" s="29" t="inlineStr">
        <is>
          <t>True</t>
        </is>
      </c>
      <c r="J164" s="29" t="inlineStr">
        <is>
          <t>OK</t>
        </is>
      </c>
      <c r="K164" s="29" t="inlineStr">
        <is>
          <t>데이터 사용 가능</t>
        </is>
      </c>
      <c r="L164" s="29" t="inlineStr">
        <is>
          <t>LOW</t>
        </is>
      </c>
      <c r="M164" s="29" t="inlineStr">
        <is>
          <t>LOW</t>
        </is>
      </c>
      <c r="N164" s="29" t="inlineStr">
        <is>
          <t>0.5749333333333334</t>
        </is>
      </c>
      <c r="O164" s="29" t="inlineStr">
        <is>
          <t>FAIR</t>
        </is>
      </c>
      <c r="P164" s="29" t="inlineStr">
        <is>
          <t>FAIR</t>
        </is>
      </c>
      <c r="Q164" s="29" t="inlineStr">
        <is>
          <t>FAIR</t>
        </is>
      </c>
      <c r="R164" s="29" t="inlineStr">
        <is>
          <t>0.868464354966477</t>
        </is>
      </c>
      <c r="S164" s="29" t="inlineStr">
        <is>
          <t>HIGH</t>
        </is>
      </c>
      <c r="T164" s="29" t="inlineStr">
        <is>
          <t>HIGH</t>
        </is>
      </c>
      <c r="U164" s="29" t="inlineStr">
        <is>
          <t>0.2142857142857142</t>
        </is>
      </c>
      <c r="V164" s="29" t="inlineStr">
        <is>
          <t>MEDIUM_RISK</t>
        </is>
      </c>
      <c r="W164" s="29" t="inlineStr">
        <is>
          <t>중위험</t>
        </is>
      </c>
      <c r="X164" s="29" t="inlineStr">
        <is>
          <t>MEDIUM_RISK</t>
        </is>
      </c>
      <c r="Y164" s="29" t="inlineStr">
        <is>
          <t>0.7046290499893975</t>
        </is>
      </c>
      <c r="Z164" s="29" t="inlineStr">
        <is>
          <t>HIGH</t>
        </is>
      </c>
      <c r="AA164" s="29" t="inlineStr">
        <is>
          <t>HIGH</t>
        </is>
      </c>
      <c r="AB164" s="29" t="inlineStr">
        <is>
          <t>0.04196333332906741</t>
        </is>
      </c>
      <c r="AC164" s="29" t="inlineStr">
        <is>
          <t>False</t>
        </is>
      </c>
      <c r="AD164" s="29" t="inlineStr">
        <is>
          <t>False</t>
        </is>
      </c>
      <c r="AE164" s="29" t="inlineStr">
        <is>
          <t>valuation_credit_ml_overlay_candidate.csv</t>
        </is>
      </c>
      <c r="AF164" s="29" t="inlineStr">
        <is>
          <t>208개 반도체 reference universe. Valuation Agent가 자체 intake 폴더로 복제해 Peer/ML/대시보드 비교에 사용.</t>
        </is>
      </c>
    </row>
    <row r="165" ht="24" customHeight="1">
      <c r="A165" s="24" t="inlineStr">
        <is>
          <t>107</t>
        </is>
      </c>
      <c r="B165" s="24" t="inlineStr">
        <is>
          <t>해당 없음</t>
        </is>
      </c>
      <c r="C165" s="24" t="inlineStr">
        <is>
          <t>이엘씨</t>
        </is>
      </c>
      <c r="D165" s="24" t="inlineStr">
        <is>
          <t>041520</t>
        </is>
      </c>
      <c r="E165" s="24" t="inlineStr">
        <is>
          <t>KOSDAQ</t>
        </is>
      </c>
      <c r="F165" s="24" t="inlineStr">
        <is>
          <t>장비</t>
        </is>
      </c>
      <c r="G165" s="24" t="inlineStr">
        <is>
          <t>장비</t>
        </is>
      </c>
      <c r="H165" s="24" t="inlineStr">
        <is>
          <t>False</t>
        </is>
      </c>
      <c r="I165" s="24" t="inlineStr">
        <is>
          <t>True</t>
        </is>
      </c>
      <c r="J165" s="24" t="inlineStr">
        <is>
          <t>OK</t>
        </is>
      </c>
      <c r="K165" s="24" t="inlineStr">
        <is>
          <t>데이터 사용 가능</t>
        </is>
      </c>
      <c r="L165" s="24" t="inlineStr">
        <is>
          <t>LOW</t>
        </is>
      </c>
      <c r="M165" s="24" t="inlineStr">
        <is>
          <t>LOW</t>
        </is>
      </c>
      <c r="N165" s="24" t="inlineStr">
        <is>
          <t>0.5722</t>
        </is>
      </c>
      <c r="O165" s="24" t="inlineStr">
        <is>
          <t>FAIR</t>
        </is>
      </c>
      <c r="P165" s="24" t="inlineStr">
        <is>
          <t>FAIR</t>
        </is>
      </c>
      <c r="Q165" s="24" t="inlineStr">
        <is>
          <t>FAIR</t>
        </is>
      </c>
      <c r="R165" s="24" t="inlineStr">
        <is>
          <t>0.7059172837936919</t>
        </is>
      </c>
      <c r="S165" s="24" t="inlineStr">
        <is>
          <t>HIGH</t>
        </is>
      </c>
      <c r="T165" s="24" t="inlineStr">
        <is>
          <t>HIGH</t>
        </is>
      </c>
      <c r="U165" s="24" t="inlineStr">
        <is>
          <t>0.3571428571428571</t>
        </is>
      </c>
      <c r="V165" s="24" t="inlineStr">
        <is>
          <t>MEDIUM_RISK</t>
        </is>
      </c>
      <c r="W165" s="24" t="inlineStr">
        <is>
          <t>중위험</t>
        </is>
      </c>
      <c r="X165" s="24" t="inlineStr">
        <is>
          <t>MEDIUM_RISK</t>
        </is>
      </c>
      <c r="Y165" s="24" t="inlineStr">
        <is>
          <t>0.6140431256310129</t>
        </is>
      </c>
      <c r="Z165" s="24" t="inlineStr">
        <is>
          <t>MEDIUM</t>
        </is>
      </c>
      <c r="AA165" s="24" t="inlineStr">
        <is>
          <t>MEDIUM</t>
        </is>
      </c>
      <c r="AB165" s="24" t="inlineStr">
        <is>
          <t>0.48123065048868763</t>
        </is>
      </c>
      <c r="AC165" s="24" t="inlineStr">
        <is>
          <t>True</t>
        </is>
      </c>
      <c r="AD165" s="24" t="inlineStr">
        <is>
          <t>True</t>
        </is>
      </c>
      <c r="AE165" s="24" t="inlineStr">
        <is>
          <t>valuation_credit_ml_overlay_candidate.csv</t>
        </is>
      </c>
      <c r="AF165" s="24" t="inlineStr">
        <is>
          <t>208개 반도체 reference universe. Valuation Agent가 자체 intake 폴더로 복제해 Peer/ML/대시보드 비교에 사용.</t>
        </is>
      </c>
    </row>
    <row r="166" ht="24" customHeight="1">
      <c r="A166" s="29" t="inlineStr">
        <is>
          <t>119</t>
        </is>
      </c>
      <c r="B166" s="29" t="inlineStr">
        <is>
          <t>해당 없음</t>
        </is>
      </c>
      <c r="C166" s="29" t="inlineStr">
        <is>
          <t>포인트엔지니어링</t>
        </is>
      </c>
      <c r="D166" s="29" t="inlineStr">
        <is>
          <t>256630</t>
        </is>
      </c>
      <c r="E166" s="29" t="inlineStr">
        <is>
          <t>KOSDAQ</t>
        </is>
      </c>
      <c r="F166" s="29" t="inlineStr">
        <is>
          <t>장비</t>
        </is>
      </c>
      <c r="G166" s="29" t="inlineStr">
        <is>
          <t>장비</t>
        </is>
      </c>
      <c r="H166" s="29" t="inlineStr">
        <is>
          <t>False</t>
        </is>
      </c>
      <c r="I166" s="29" t="inlineStr">
        <is>
          <t>True</t>
        </is>
      </c>
      <c r="J166" s="29" t="inlineStr">
        <is>
          <t>OK</t>
        </is>
      </c>
      <c r="K166" s="29" t="inlineStr">
        <is>
          <t>데이터 사용 가능</t>
        </is>
      </c>
      <c r="L166" s="29" t="inlineStr">
        <is>
          <t>LOW</t>
        </is>
      </c>
      <c r="M166" s="29" t="inlineStr">
        <is>
          <t>LOW</t>
        </is>
      </c>
      <c r="N166" s="29" t="inlineStr">
        <is>
          <t>0.5648666666666666</t>
        </is>
      </c>
      <c r="O166" s="29" t="inlineStr">
        <is>
          <t>FAIR</t>
        </is>
      </c>
      <c r="P166" s="29" t="inlineStr">
        <is>
          <t>FAIR</t>
        </is>
      </c>
      <c r="Q166" s="29" t="inlineStr">
        <is>
          <t>FAIR</t>
        </is>
      </c>
      <c r="R166" s="29" t="inlineStr">
        <is>
          <t>0.735270480034121</t>
        </is>
      </c>
      <c r="S166" s="29" t="inlineStr">
        <is>
          <t>HIGH</t>
        </is>
      </c>
      <c r="T166" s="29" t="inlineStr">
        <is>
          <t>HIGH</t>
        </is>
      </c>
      <c r="U166" s="29" t="inlineStr">
        <is>
          <t>0.1428571428571428</t>
        </is>
      </c>
      <c r="V166" s="29" t="inlineStr">
        <is>
          <t>LOW_RISK</t>
        </is>
      </c>
      <c r="W166" s="29" t="inlineStr">
        <is>
          <t>저위험</t>
        </is>
      </c>
      <c r="X166" s="29" t="inlineStr">
        <is>
          <t>LOW_RISK</t>
        </is>
      </c>
      <c r="Y166" s="29" t="inlineStr">
        <is>
          <t>0.46973098100913</t>
        </is>
      </c>
      <c r="Z166" s="29" t="inlineStr">
        <is>
          <t>LOW</t>
        </is>
      </c>
      <c r="AA166" s="29" t="inlineStr">
        <is>
          <t>LOW</t>
        </is>
      </c>
      <c r="AB166" s="29" t="inlineStr">
        <is>
          <t>0.13639895278143657</t>
        </is>
      </c>
      <c r="AC166" s="29" t="inlineStr">
        <is>
          <t>False</t>
        </is>
      </c>
      <c r="AD166" s="29" t="inlineStr">
        <is>
          <t>True</t>
        </is>
      </c>
      <c r="AE166" s="29" t="inlineStr">
        <is>
          <t>valuation_credit_ml_overlay_candidate.csv</t>
        </is>
      </c>
      <c r="AF166" s="29" t="inlineStr">
        <is>
          <t>208개 반도체 reference universe. Valuation Agent가 자체 intake 폴더로 복제해 Peer/ML/대시보드 비교에 사용.</t>
        </is>
      </c>
    </row>
    <row r="167" ht="24" customHeight="1">
      <c r="A167" s="24" t="inlineStr">
        <is>
          <t>116</t>
        </is>
      </c>
      <c r="B167" s="24" t="inlineStr">
        <is>
          <t>해당 없음</t>
        </is>
      </c>
      <c r="C167" s="24" t="inlineStr">
        <is>
          <t>테스</t>
        </is>
      </c>
      <c r="D167" s="24" t="inlineStr">
        <is>
          <t>095610</t>
        </is>
      </c>
      <c r="E167" s="24" t="inlineStr">
        <is>
          <t>KOSDAQ</t>
        </is>
      </c>
      <c r="F167" s="24" t="inlineStr">
        <is>
          <t>장비</t>
        </is>
      </c>
      <c r="G167" s="24" t="inlineStr">
        <is>
          <t>장비</t>
        </is>
      </c>
      <c r="H167" s="24" t="inlineStr">
        <is>
          <t>False</t>
        </is>
      </c>
      <c r="I167" s="24" t="inlineStr">
        <is>
          <t>True</t>
        </is>
      </c>
      <c r="J167" s="24" t="inlineStr">
        <is>
          <t>OK</t>
        </is>
      </c>
      <c r="K167" s="24" t="inlineStr">
        <is>
          <t>데이터 사용 가능</t>
        </is>
      </c>
      <c r="L167" s="24" t="inlineStr">
        <is>
          <t>LOW</t>
        </is>
      </c>
      <c r="M167" s="24" t="inlineStr">
        <is>
          <t>LOW</t>
        </is>
      </c>
      <c r="N167" s="24" t="inlineStr">
        <is>
          <t>0.5640000000000001</t>
        </is>
      </c>
      <c r="O167" s="24" t="inlineStr">
        <is>
          <t>FAIR</t>
        </is>
      </c>
      <c r="P167" s="24" t="inlineStr">
        <is>
          <t>FAIR</t>
        </is>
      </c>
      <c r="Q167" s="24" t="inlineStr">
        <is>
          <t>FAIR</t>
        </is>
      </c>
      <c r="R167" s="24" t="inlineStr">
        <is>
          <t>0.5083695341145091</t>
        </is>
      </c>
      <c r="S167" s="24" t="inlineStr">
        <is>
          <t>MEDIUM</t>
        </is>
      </c>
      <c r="T167" s="24" t="inlineStr">
        <is>
          <t>MEDIUM</t>
        </is>
      </c>
      <c r="U167" s="24" t="inlineStr">
        <is>
          <t>0.1428571428571428</t>
        </is>
      </c>
      <c r="V167" s="24" t="inlineStr">
        <is>
          <t>LOW_RISK</t>
        </is>
      </c>
      <c r="W167" s="24" t="inlineStr">
        <is>
          <t>저위험</t>
        </is>
      </c>
      <c r="X167" s="24" t="inlineStr">
        <is>
          <t>LOW_RISK</t>
        </is>
      </c>
      <c r="Y167" s="24" t="inlineStr">
        <is>
          <t>0.8915902677510841</t>
        </is>
      </c>
      <c r="Z167" s="24" t="inlineStr">
        <is>
          <t>HIGH</t>
        </is>
      </c>
      <c r="AA167" s="24" t="inlineStr">
        <is>
          <t>HIGH</t>
        </is>
      </c>
      <c r="AB167" s="24" t="inlineStr">
        <is>
          <t>0.04910195891941634</t>
        </is>
      </c>
      <c r="AC167" s="24" t="inlineStr">
        <is>
          <t>False</t>
        </is>
      </c>
      <c r="AD167" s="24" t="inlineStr">
        <is>
          <t>False</t>
        </is>
      </c>
      <c r="AE167" s="24" t="inlineStr">
        <is>
          <t>valuation_credit_ml_overlay_candidate.csv</t>
        </is>
      </c>
      <c r="AF167" s="24" t="inlineStr">
        <is>
          <t>208개 반도체 reference universe. Valuation Agent가 자체 intake 폴더로 복제해 Peer/ML/대시보드 비교에 사용.</t>
        </is>
      </c>
    </row>
    <row r="168" ht="24" customHeight="1">
      <c r="A168" s="29" t="inlineStr">
        <is>
          <t>104</t>
        </is>
      </c>
      <c r="B168" s="29" t="inlineStr">
        <is>
          <t>해당 없음</t>
        </is>
      </c>
      <c r="C168" s="29" t="inlineStr">
        <is>
          <t>유니셈</t>
        </is>
      </c>
      <c r="D168" s="29" t="inlineStr">
        <is>
          <t>036200</t>
        </is>
      </c>
      <c r="E168" s="29" t="inlineStr">
        <is>
          <t>KOSDAQ</t>
        </is>
      </c>
      <c r="F168" s="29" t="inlineStr">
        <is>
          <t>장비</t>
        </is>
      </c>
      <c r="G168" s="29" t="inlineStr">
        <is>
          <t>장비</t>
        </is>
      </c>
      <c r="H168" s="29" t="inlineStr">
        <is>
          <t>False</t>
        </is>
      </c>
      <c r="I168" s="29" t="inlineStr">
        <is>
          <t>True</t>
        </is>
      </c>
      <c r="J168" s="29" t="inlineStr">
        <is>
          <t>OK</t>
        </is>
      </c>
      <c r="K168" s="29" t="inlineStr">
        <is>
          <t>데이터 사용 가능</t>
        </is>
      </c>
      <c r="L168" s="29" t="inlineStr">
        <is>
          <t>LOW</t>
        </is>
      </c>
      <c r="M168" s="29" t="inlineStr">
        <is>
          <t>LOW</t>
        </is>
      </c>
      <c r="N168" s="29" t="inlineStr">
        <is>
          <t>0.5409333333333334</t>
        </is>
      </c>
      <c r="O168" s="29" t="inlineStr">
        <is>
          <t>FAIR</t>
        </is>
      </c>
      <c r="P168" s="29" t="inlineStr">
        <is>
          <t>FAIR</t>
        </is>
      </c>
      <c r="Q168" s="29" t="inlineStr">
        <is>
          <t>FAIR</t>
        </is>
      </c>
      <c r="R168" s="29" t="inlineStr">
        <is>
          <t>0.751305499027411</t>
        </is>
      </c>
      <c r="S168" s="29" t="inlineStr">
        <is>
          <t>HIGH</t>
        </is>
      </c>
      <c r="T168" s="29" t="inlineStr">
        <is>
          <t>HIGH</t>
        </is>
      </c>
      <c r="U168" s="29" t="inlineStr">
        <is>
          <t>0.2142857142857142</t>
        </is>
      </c>
      <c r="V168" s="29" t="inlineStr">
        <is>
          <t>MEDIUM_RISK</t>
        </is>
      </c>
      <c r="W168" s="29" t="inlineStr">
        <is>
          <t>중위험</t>
        </is>
      </c>
      <c r="X168" s="29" t="inlineStr">
        <is>
          <t>MEDIUM_RISK</t>
        </is>
      </c>
      <c r="Y168" s="29" t="inlineStr">
        <is>
          <t>0.7587275691055257</t>
        </is>
      </c>
      <c r="Z168" s="29" t="inlineStr">
        <is>
          <t>HIGH</t>
        </is>
      </c>
      <c r="AA168" s="29" t="inlineStr">
        <is>
          <t>HIGH</t>
        </is>
      </c>
      <c r="AB168" s="29" t="inlineStr">
        <is>
          <t>0.05351211711100475</t>
        </is>
      </c>
      <c r="AC168" s="29" t="inlineStr">
        <is>
          <t>False</t>
        </is>
      </c>
      <c r="AD168" s="29" t="inlineStr">
        <is>
          <t>False</t>
        </is>
      </c>
      <c r="AE168" s="29" t="inlineStr">
        <is>
          <t>valuation_credit_ml_overlay_candidate.csv</t>
        </is>
      </c>
      <c r="AF168" s="29" t="inlineStr">
        <is>
          <t>208개 반도체 reference universe. Valuation Agent가 자체 intake 폴더로 복제해 Peer/ML/대시보드 비교에 사용.</t>
        </is>
      </c>
    </row>
    <row r="169" ht="24" customHeight="1">
      <c r="A169" s="24" t="inlineStr">
        <is>
          <t>121</t>
        </is>
      </c>
      <c r="B169" s="24" t="inlineStr">
        <is>
          <t>해당 없음</t>
        </is>
      </c>
      <c r="C169" s="24" t="inlineStr">
        <is>
          <t>피에스케이홀딩스</t>
        </is>
      </c>
      <c r="D169" s="24" t="inlineStr">
        <is>
          <t>031980</t>
        </is>
      </c>
      <c r="E169" s="24" t="inlineStr">
        <is>
          <t>KOSDAQ</t>
        </is>
      </c>
      <c r="F169" s="24" t="inlineStr">
        <is>
          <t>장비</t>
        </is>
      </c>
      <c r="G169" s="24" t="inlineStr">
        <is>
          <t>장비</t>
        </is>
      </c>
      <c r="H169" s="24" t="inlineStr">
        <is>
          <t>False</t>
        </is>
      </c>
      <c r="I169" s="24" t="inlineStr">
        <is>
          <t>True</t>
        </is>
      </c>
      <c r="J169" s="24" t="inlineStr">
        <is>
          <t>OK</t>
        </is>
      </c>
      <c r="K169" s="24" t="inlineStr">
        <is>
          <t>데이터 사용 가능</t>
        </is>
      </c>
      <c r="L169" s="24" t="inlineStr">
        <is>
          <t>LOW</t>
        </is>
      </c>
      <c r="M169" s="24" t="inlineStr">
        <is>
          <t>LOW</t>
        </is>
      </c>
      <c r="N169" s="24" t="inlineStr">
        <is>
          <t>0.5385333333333334</t>
        </is>
      </c>
      <c r="O169" s="24" t="inlineStr">
        <is>
          <t>FAIR</t>
        </is>
      </c>
      <c r="P169" s="24" t="inlineStr">
        <is>
          <t>FAIR</t>
        </is>
      </c>
      <c r="Q169" s="24" t="inlineStr">
        <is>
          <t>FAIR</t>
        </is>
      </c>
      <c r="R169" s="24" t="inlineStr">
        <is>
          <t>0.7521125976897308</t>
        </is>
      </c>
      <c r="S169" s="24" t="inlineStr">
        <is>
          <t>HIGH</t>
        </is>
      </c>
      <c r="T169" s="24" t="inlineStr">
        <is>
          <t>HIGH</t>
        </is>
      </c>
      <c r="U169" s="24" t="inlineStr">
        <is>
          <t>0.0</t>
        </is>
      </c>
      <c r="V169" s="24" t="inlineStr">
        <is>
          <t>LOW_RISK</t>
        </is>
      </c>
      <c r="W169" s="24" t="inlineStr">
        <is>
          <t>저위험</t>
        </is>
      </c>
      <c r="X169" s="24" t="inlineStr">
        <is>
          <t>LOW_RISK</t>
        </is>
      </c>
      <c r="Y169" s="24" t="inlineStr">
        <is>
          <t>0.936112522374784</t>
        </is>
      </c>
      <c r="Z169" s="24" t="inlineStr">
        <is>
          <t>HIGH</t>
        </is>
      </c>
      <c r="AA169" s="24" t="inlineStr">
        <is>
          <t>HIGH</t>
        </is>
      </c>
      <c r="AB169" s="24" t="inlineStr">
        <is>
          <t>0.21000654030466528</t>
        </is>
      </c>
      <c r="AC169" s="24" t="inlineStr">
        <is>
          <t>False</t>
        </is>
      </c>
      <c r="AD169" s="24" t="inlineStr">
        <is>
          <t>False</t>
        </is>
      </c>
      <c r="AE169" s="24" t="inlineStr">
        <is>
          <t>valuation_credit_ml_overlay_candidate.csv</t>
        </is>
      </c>
      <c r="AF169" s="24" t="inlineStr">
        <is>
          <t>208개 반도체 reference universe. Valuation Agent가 자체 intake 폴더로 복제해 Peer/ML/대시보드 비교에 사용.</t>
        </is>
      </c>
    </row>
    <row r="170" ht="24" customHeight="1">
      <c r="A170" s="29" t="inlineStr">
        <is>
          <t>102</t>
        </is>
      </c>
      <c r="B170" s="29" t="inlineStr">
        <is>
          <t>해당 없음</t>
        </is>
      </c>
      <c r="C170" s="29" t="inlineStr">
        <is>
          <t>워트</t>
        </is>
      </c>
      <c r="D170" s="29" t="inlineStr">
        <is>
          <t>396470</t>
        </is>
      </c>
      <c r="E170" s="29" t="inlineStr">
        <is>
          <t>KOSDAQ</t>
        </is>
      </c>
      <c r="F170" s="29" t="inlineStr">
        <is>
          <t>장비</t>
        </is>
      </c>
      <c r="G170" s="29" t="inlineStr">
        <is>
          <t>장비</t>
        </is>
      </c>
      <c r="H170" s="29" t="inlineStr">
        <is>
          <t>False</t>
        </is>
      </c>
      <c r="I170" s="29" t="inlineStr">
        <is>
          <t>True</t>
        </is>
      </c>
      <c r="J170" s="29" t="inlineStr">
        <is>
          <t>OK_LIMITED_HISTORY_OR_GROWTH_NA</t>
        </is>
      </c>
      <c r="K170" s="29" t="inlineStr">
        <is>
          <t>데이터 사용 가능</t>
        </is>
      </c>
      <c r="L170" s="29" t="inlineStr">
        <is>
          <t>LOW</t>
        </is>
      </c>
      <c r="M170" s="29" t="inlineStr">
        <is>
          <t>LOW</t>
        </is>
      </c>
      <c r="N170" s="29" t="inlineStr">
        <is>
          <t>0.5384000000000001</t>
        </is>
      </c>
      <c r="O170" s="29" t="inlineStr">
        <is>
          <t>FAIR</t>
        </is>
      </c>
      <c r="P170" s="29" t="inlineStr">
        <is>
          <t>FAIR</t>
        </is>
      </c>
      <c r="Q170" s="29" t="inlineStr">
        <is>
          <t>FAIR</t>
        </is>
      </c>
      <c r="R170" s="29" t="inlineStr">
        <is>
          <t>0.6073344328439819</t>
        </is>
      </c>
      <c r="S170" s="29" t="inlineStr">
        <is>
          <t>MEDIUM</t>
        </is>
      </c>
      <c r="T170" s="29" t="inlineStr">
        <is>
          <t>MEDIUM</t>
        </is>
      </c>
      <c r="U170" s="29" t="inlineStr">
        <is>
          <t>0.0714285714285714</t>
        </is>
      </c>
      <c r="V170" s="29" t="inlineStr">
        <is>
          <t>LOW_RISK</t>
        </is>
      </c>
      <c r="W170" s="29" t="inlineStr">
        <is>
          <t>저위험</t>
        </is>
      </c>
      <c r="X170" s="29" t="inlineStr">
        <is>
          <t>LOW_RISK</t>
        </is>
      </c>
      <c r="Y170" s="29" t="inlineStr">
        <is>
          <t>0.8767524187887936</t>
        </is>
      </c>
      <c r="Z170" s="29" t="inlineStr">
        <is>
          <t>HIGH</t>
        </is>
      </c>
      <c r="AA170" s="29" t="inlineStr">
        <is>
          <t>HIGH</t>
        </is>
      </c>
      <c r="AB170" s="29" t="inlineStr">
        <is>
          <t>0.4537372664198796</t>
        </is>
      </c>
      <c r="AC170" s="29" t="inlineStr">
        <is>
          <t>True</t>
        </is>
      </c>
      <c r="AD170" s="29" t="inlineStr">
        <is>
          <t>True</t>
        </is>
      </c>
      <c r="AE170" s="29" t="inlineStr">
        <is>
          <t>valuation_credit_ml_overlay_candidate.csv</t>
        </is>
      </c>
      <c r="AF170" s="29" t="inlineStr">
        <is>
          <t>208개 반도체 reference universe. Valuation Agent가 자체 intake 폴더로 복제해 Peer/ML/대시보드 비교에 사용.</t>
        </is>
      </c>
    </row>
    <row r="171" ht="24" customHeight="1">
      <c r="A171" s="24" t="inlineStr">
        <is>
          <t>120</t>
        </is>
      </c>
      <c r="B171" s="24" t="inlineStr">
        <is>
          <t>해당 없음</t>
        </is>
      </c>
      <c r="C171" s="24" t="inlineStr">
        <is>
          <t>피에스케이</t>
        </is>
      </c>
      <c r="D171" s="24" t="inlineStr">
        <is>
          <t>319660</t>
        </is>
      </c>
      <c r="E171" s="24" t="inlineStr">
        <is>
          <t>KOSDAQ GLOBAL</t>
        </is>
      </c>
      <c r="F171" s="24" t="inlineStr">
        <is>
          <t>장비</t>
        </is>
      </c>
      <c r="G171" s="24" t="inlineStr">
        <is>
          <t>장비</t>
        </is>
      </c>
      <c r="H171" s="24" t="inlineStr">
        <is>
          <t>False</t>
        </is>
      </c>
      <c r="I171" s="24" t="inlineStr">
        <is>
          <t>True</t>
        </is>
      </c>
      <c r="J171" s="24" t="inlineStr">
        <is>
          <t>OK</t>
        </is>
      </c>
      <c r="K171" s="24" t="inlineStr">
        <is>
          <t>데이터 사용 가능</t>
        </is>
      </c>
      <c r="L171" s="24" t="inlineStr">
        <is>
          <t>LOW</t>
        </is>
      </c>
      <c r="M171" s="24" t="inlineStr">
        <is>
          <t>LOW</t>
        </is>
      </c>
      <c r="N171" s="24" t="inlineStr">
        <is>
          <t>0.5357333333333333</t>
        </is>
      </c>
      <c r="O171" s="24" t="inlineStr">
        <is>
          <t>FAIR</t>
        </is>
      </c>
      <c r="P171" s="24" t="inlineStr">
        <is>
          <t>FAIR</t>
        </is>
      </c>
      <c r="Q171" s="24" t="inlineStr">
        <is>
          <t>FAIR</t>
        </is>
      </c>
      <c r="R171" s="24" t="inlineStr">
        <is>
          <t>0.7072072873445469</t>
        </is>
      </c>
      <c r="S171" s="24" t="inlineStr">
        <is>
          <t>HIGH</t>
        </is>
      </c>
      <c r="T171" s="24" t="inlineStr">
        <is>
          <t>HIGH</t>
        </is>
      </c>
      <c r="U171" s="24" t="inlineStr">
        <is>
          <t>0.0</t>
        </is>
      </c>
      <c r="V171" s="24" t="inlineStr">
        <is>
          <t>LOW_RISK</t>
        </is>
      </c>
      <c r="W171" s="24" t="inlineStr">
        <is>
          <t>저위험</t>
        </is>
      </c>
      <c r="X171" s="24" t="inlineStr">
        <is>
          <t>LOW_RISK</t>
        </is>
      </c>
      <c r="Y171" s="24" t="inlineStr">
        <is>
          <t>0.9811059783961981</t>
        </is>
      </c>
      <c r="Z171" s="24" t="inlineStr">
        <is>
          <t>HIGH</t>
        </is>
      </c>
      <c r="AA171" s="24" t="inlineStr">
        <is>
          <t>HIGH</t>
        </is>
      </c>
      <c r="AB171" s="24" t="inlineStr">
        <is>
          <t>0.06486271422414225</t>
        </is>
      </c>
      <c r="AC171" s="24" t="inlineStr">
        <is>
          <t>False</t>
        </is>
      </c>
      <c r="AD171" s="24" t="inlineStr">
        <is>
          <t>False</t>
        </is>
      </c>
      <c r="AE171" s="24" t="inlineStr">
        <is>
          <t>valuation_credit_ml_overlay_candidate.csv</t>
        </is>
      </c>
      <c r="AF171" s="24" t="inlineStr">
        <is>
          <t>208개 반도체 reference universe. Valuation Agent가 자체 intake 폴더로 복제해 Peer/ML/대시보드 비교에 사용.</t>
        </is>
      </c>
    </row>
    <row r="172" ht="24" customHeight="1">
      <c r="A172" s="29" t="inlineStr">
        <is>
          <t>87</t>
        </is>
      </c>
      <c r="B172" s="29" t="inlineStr">
        <is>
          <t>해당 없음</t>
        </is>
      </c>
      <c r="C172" s="29" t="inlineStr">
        <is>
          <t>브이엠</t>
        </is>
      </c>
      <c r="D172" s="29" t="inlineStr">
        <is>
          <t>089970</t>
        </is>
      </c>
      <c r="E172" s="29" t="inlineStr">
        <is>
          <t>KOSDAQ</t>
        </is>
      </c>
      <c r="F172" s="29" t="inlineStr">
        <is>
          <t>장비</t>
        </is>
      </c>
      <c r="G172" s="29" t="inlineStr">
        <is>
          <t>장비</t>
        </is>
      </c>
      <c r="H172" s="29" t="inlineStr">
        <is>
          <t>False</t>
        </is>
      </c>
      <c r="I172" s="29" t="inlineStr">
        <is>
          <t>True</t>
        </is>
      </c>
      <c r="J172" s="29" t="inlineStr">
        <is>
          <t>OK</t>
        </is>
      </c>
      <c r="K172" s="29" t="inlineStr">
        <is>
          <t>데이터 사용 가능</t>
        </is>
      </c>
      <c r="L172" s="29" t="inlineStr">
        <is>
          <t>LOW</t>
        </is>
      </c>
      <c r="M172" s="29" t="inlineStr">
        <is>
          <t>LOW</t>
        </is>
      </c>
      <c r="N172" s="29" t="inlineStr">
        <is>
          <t>0.5204000000000001</t>
        </is>
      </c>
      <c r="O172" s="29" t="inlineStr">
        <is>
          <t>FAIR</t>
        </is>
      </c>
      <c r="P172" s="29" t="inlineStr">
        <is>
          <t>FAIR</t>
        </is>
      </c>
      <c r="Q172" s="29" t="inlineStr">
        <is>
          <t>FAIR</t>
        </is>
      </c>
      <c r="R172" s="29" t="inlineStr">
        <is>
          <t>0.737579554357605</t>
        </is>
      </c>
      <c r="S172" s="29" t="inlineStr">
        <is>
          <t>HIGH</t>
        </is>
      </c>
      <c r="T172" s="29" t="inlineStr">
        <is>
          <t>HIGH</t>
        </is>
      </c>
      <c r="U172" s="29" t="inlineStr">
        <is>
          <t>0.0</t>
        </is>
      </c>
      <c r="V172" s="29" t="inlineStr">
        <is>
          <t>LOW_RISK</t>
        </is>
      </c>
      <c r="W172" s="29" t="inlineStr">
        <is>
          <t>저위험</t>
        </is>
      </c>
      <c r="X172" s="29" t="inlineStr">
        <is>
          <t>LOW_RISK</t>
        </is>
      </c>
      <c r="Y172" s="29" t="inlineStr">
        <is>
          <t>0.9262131686985617</t>
        </is>
      </c>
      <c r="Z172" s="29" t="inlineStr">
        <is>
          <t>HIGH</t>
        </is>
      </c>
      <c r="AA172" s="29" t="inlineStr">
        <is>
          <t>HIGH</t>
        </is>
      </c>
      <c r="AB172" s="29" t="inlineStr">
        <is>
          <t>0.095895233286532</t>
        </is>
      </c>
      <c r="AC172" s="29" t="inlineStr">
        <is>
          <t>False</t>
        </is>
      </c>
      <c r="AD172" s="29" t="inlineStr">
        <is>
          <t>False</t>
        </is>
      </c>
      <c r="AE172" s="29" t="inlineStr">
        <is>
          <t>valuation_credit_ml_overlay_candidate.csv</t>
        </is>
      </c>
      <c r="AF172" s="29" t="inlineStr">
        <is>
          <t>208개 반도체 reference universe. Valuation Agent가 자체 intake 폴더로 복제해 Peer/ML/대시보드 비교에 사용.</t>
        </is>
      </c>
    </row>
    <row r="173" ht="24" customHeight="1">
      <c r="A173" s="24" t="inlineStr">
        <is>
          <t>114</t>
        </is>
      </c>
      <c r="B173" s="24" t="inlineStr">
        <is>
          <t>해당 없음</t>
        </is>
      </c>
      <c r="C173" s="24" t="inlineStr">
        <is>
          <t>코세스</t>
        </is>
      </c>
      <c r="D173" s="24" t="inlineStr">
        <is>
          <t>089890</t>
        </is>
      </c>
      <c r="E173" s="24" t="inlineStr">
        <is>
          <t>KOSDAQ</t>
        </is>
      </c>
      <c r="F173" s="24" t="inlineStr">
        <is>
          <t>장비</t>
        </is>
      </c>
      <c r="G173" s="24" t="inlineStr">
        <is>
          <t>장비</t>
        </is>
      </c>
      <c r="H173" s="24" t="inlineStr">
        <is>
          <t>False</t>
        </is>
      </c>
      <c r="I173" s="24" t="inlineStr">
        <is>
          <t>True</t>
        </is>
      </c>
      <c r="J173" s="24" t="inlineStr">
        <is>
          <t>OK</t>
        </is>
      </c>
      <c r="K173" s="24" t="inlineStr">
        <is>
          <t>데이터 사용 가능</t>
        </is>
      </c>
      <c r="L173" s="24" t="inlineStr">
        <is>
          <t>LOW</t>
        </is>
      </c>
      <c r="M173" s="24" t="inlineStr">
        <is>
          <t>LOW</t>
        </is>
      </c>
      <c r="N173" s="24" t="inlineStr">
        <is>
          <t>0.4978666666666667</t>
        </is>
      </c>
      <c r="O173" s="24" t="inlineStr">
        <is>
          <t>FAIR</t>
        </is>
      </c>
      <c r="P173" s="24" t="inlineStr">
        <is>
          <t>FAIR</t>
        </is>
      </c>
      <c r="Q173" s="24" t="inlineStr">
        <is>
          <t>FAIR</t>
        </is>
      </c>
      <c r="R173" s="24" t="inlineStr">
        <is>
          <t>0.7228094449358575</t>
        </is>
      </c>
      <c r="S173" s="24" t="inlineStr">
        <is>
          <t>HIGH</t>
        </is>
      </c>
      <c r="T173" s="24" t="inlineStr">
        <is>
          <t>HIGH</t>
        </is>
      </c>
      <c r="U173" s="24" t="inlineStr">
        <is>
          <t>0.0714285714285714</t>
        </is>
      </c>
      <c r="V173" s="24" t="inlineStr">
        <is>
          <t>LOW_RISK</t>
        </is>
      </c>
      <c r="W173" s="24" t="inlineStr">
        <is>
          <t>저위험</t>
        </is>
      </c>
      <c r="X173" s="24" t="inlineStr">
        <is>
          <t>LOW_RISK</t>
        </is>
      </c>
      <c r="Y173" s="24" t="inlineStr">
        <is>
          <t>0.7776657060311913</t>
        </is>
      </c>
      <c r="Z173" s="24" t="inlineStr">
        <is>
          <t>HIGH</t>
        </is>
      </c>
      <c r="AA173" s="24" t="inlineStr">
        <is>
          <t>HIGH</t>
        </is>
      </c>
      <c r="AB173" s="24" t="inlineStr">
        <is>
          <t>0.08712413247882898</t>
        </is>
      </c>
      <c r="AC173" s="24" t="inlineStr">
        <is>
          <t>False</t>
        </is>
      </c>
      <c r="AD173" s="24" t="inlineStr">
        <is>
          <t>False</t>
        </is>
      </c>
      <c r="AE173" s="24" t="inlineStr">
        <is>
          <t>valuation_credit_ml_overlay_candidate.csv</t>
        </is>
      </c>
      <c r="AF173" s="24" t="inlineStr">
        <is>
          <t>208개 반도체 reference universe. Valuation Agent가 자체 intake 폴더로 복제해 Peer/ML/대시보드 비교에 사용.</t>
        </is>
      </c>
    </row>
    <row r="174" ht="24" customHeight="1">
      <c r="A174" s="29" t="inlineStr">
        <is>
          <t>115</t>
        </is>
      </c>
      <c r="B174" s="29" t="inlineStr">
        <is>
          <t>해당 없음</t>
        </is>
      </c>
      <c r="C174" s="29" t="inlineStr">
        <is>
          <t>코스텍시스템</t>
        </is>
      </c>
      <c r="D174" s="29" t="inlineStr">
        <is>
          <t>169670</t>
        </is>
      </c>
      <c r="E174" s="29" t="inlineStr">
        <is>
          <t>KONEX</t>
        </is>
      </c>
      <c r="F174" s="29" t="inlineStr">
        <is>
          <t>장비</t>
        </is>
      </c>
      <c r="G174" s="29" t="inlineStr">
        <is>
          <t>장비</t>
        </is>
      </c>
      <c r="H174" s="29" t="inlineStr">
        <is>
          <t>False</t>
        </is>
      </c>
      <c r="I174" s="29" t="inlineStr">
        <is>
          <t>True</t>
        </is>
      </c>
      <c r="J174" s="29" t="inlineStr">
        <is>
          <t>NO_DART_FINANCIAL_DATA</t>
        </is>
      </c>
      <c r="K174" s="29" t="inlineStr">
        <is>
          <t>데이터 사용 가능</t>
        </is>
      </c>
      <c r="L174" s="29" t="inlineStr">
        <is>
          <t>HIGH</t>
        </is>
      </c>
      <c r="M174" s="29" t="inlineStr">
        <is>
          <t>HIGH</t>
        </is>
      </c>
      <c r="N174" s="29" t="inlineStr">
        <is>
          <t>0.4959999999999999</t>
        </is>
      </c>
      <c r="O174" s="29" t="inlineStr">
        <is>
          <t>FAIR</t>
        </is>
      </c>
      <c r="P174" s="29" t="inlineStr">
        <is>
          <t>FAIR</t>
        </is>
      </c>
      <c r="Q174" s="29" t="inlineStr">
        <is>
          <t>FAIR</t>
        </is>
      </c>
      <c r="R174" s="29" t="inlineStr">
        <is>
          <t>0.9640840061970892</t>
        </is>
      </c>
      <c r="S174" s="29" t="inlineStr">
        <is>
          <t>HIGH</t>
        </is>
      </c>
      <c r="T174" s="29" t="inlineStr">
        <is>
          <t>HIGH</t>
        </is>
      </c>
      <c r="U174" s="29" t="inlineStr">
        <is>
          <t>0.2142857142857142</t>
        </is>
      </c>
      <c r="V174" s="29" t="inlineStr">
        <is>
          <t>MEDIUM_RISK</t>
        </is>
      </c>
      <c r="W174" s="29" t="inlineStr">
        <is>
          <t>중위험</t>
        </is>
      </c>
      <c r="X174" s="29" t="inlineStr">
        <is>
          <t>MEDIUM_RISK</t>
        </is>
      </c>
      <c r="Y174" s="29" t="inlineStr">
        <is>
          <t>0.7627943410657042</t>
        </is>
      </c>
      <c r="Z174" s="29" t="inlineStr">
        <is>
          <t>HIGH</t>
        </is>
      </c>
      <c r="AA174" s="29" t="inlineStr">
        <is>
          <t>HIGH</t>
        </is>
      </c>
      <c r="AB174" s="29" t="inlineStr">
        <is>
          <t>0.1642174593956627</t>
        </is>
      </c>
      <c r="AC174" s="29" t="inlineStr">
        <is>
          <t>False</t>
        </is>
      </c>
      <c r="AD174" s="29" t="inlineStr">
        <is>
          <t>True</t>
        </is>
      </c>
      <c r="AE174" s="29" t="inlineStr">
        <is>
          <t>valuation_credit_ml_overlay_candidate.csv</t>
        </is>
      </c>
      <c r="AF174" s="29" t="inlineStr">
        <is>
          <t>208개 반도체 reference universe. Valuation Agent가 자체 intake 폴더로 복제해 Peer/ML/대시보드 비교에 사용.</t>
        </is>
      </c>
    </row>
    <row r="175" ht="24" customHeight="1">
      <c r="A175" s="24" t="inlineStr">
        <is>
          <t>75</t>
        </is>
      </c>
      <c r="B175" s="24" t="inlineStr">
        <is>
          <t>해당 없음</t>
        </is>
      </c>
      <c r="C175" s="24" t="inlineStr">
        <is>
          <t>HPSP</t>
        </is>
      </c>
      <c r="D175" s="24" t="inlineStr">
        <is>
          <t>403870</t>
        </is>
      </c>
      <c r="E175" s="24" t="inlineStr">
        <is>
          <t>KOSDAQ GLOBAL</t>
        </is>
      </c>
      <c r="F175" s="24" t="inlineStr">
        <is>
          <t>장비</t>
        </is>
      </c>
      <c r="G175" s="24" t="inlineStr">
        <is>
          <t>장비</t>
        </is>
      </c>
      <c r="H175" s="24" t="inlineStr">
        <is>
          <t>False</t>
        </is>
      </c>
      <c r="I175" s="24" t="inlineStr">
        <is>
          <t>True</t>
        </is>
      </c>
      <c r="J175" s="24" t="inlineStr">
        <is>
          <t>OK</t>
        </is>
      </c>
      <c r="K175" s="24" t="inlineStr">
        <is>
          <t>데이터 사용 가능</t>
        </is>
      </c>
      <c r="L175" s="24" t="inlineStr">
        <is>
          <t>LOW</t>
        </is>
      </c>
      <c r="M175" s="24" t="inlineStr">
        <is>
          <t>LOW</t>
        </is>
      </c>
      <c r="N175" s="24" t="inlineStr">
        <is>
          <t>0.4751999999999999</t>
        </is>
      </c>
      <c r="O175" s="24" t="inlineStr">
        <is>
          <t>FAIR</t>
        </is>
      </c>
      <c r="P175" s="24" t="inlineStr">
        <is>
          <t>FAIR</t>
        </is>
      </c>
      <c r="Q175" s="24" t="inlineStr">
        <is>
          <t>FAIR</t>
        </is>
      </c>
      <c r="R175" s="24" t="inlineStr">
        <is>
          <t>0.7108284021978194</t>
        </is>
      </c>
      <c r="S175" s="24" t="inlineStr">
        <is>
          <t>HIGH</t>
        </is>
      </c>
      <c r="T175" s="24" t="inlineStr">
        <is>
          <t>HIGH</t>
        </is>
      </c>
      <c r="U175" s="24" t="inlineStr">
        <is>
          <t>0.0</t>
        </is>
      </c>
      <c r="V175" s="24" t="inlineStr">
        <is>
          <t>LOW_RISK</t>
        </is>
      </c>
      <c r="W175" s="24" t="inlineStr">
        <is>
          <t>저위험</t>
        </is>
      </c>
      <c r="X175" s="24" t="inlineStr">
        <is>
          <t>LOW_RISK</t>
        </is>
      </c>
      <c r="Y175" s="24" t="inlineStr">
        <is>
          <t>0.9192147630692069</t>
        </is>
      </c>
      <c r="Z175" s="24" t="inlineStr">
        <is>
          <t>HIGH</t>
        </is>
      </c>
      <c r="AA175" s="24" t="inlineStr">
        <is>
          <t>HIGH</t>
        </is>
      </c>
      <c r="AB175" s="24" t="inlineStr">
        <is>
          <t>0.3306557234104388</t>
        </is>
      </c>
      <c r="AC175" s="24" t="inlineStr">
        <is>
          <t>True</t>
        </is>
      </c>
      <c r="AD175" s="24" t="inlineStr">
        <is>
          <t>True</t>
        </is>
      </c>
      <c r="AE175" s="24" t="inlineStr">
        <is>
          <t>valuation_credit_ml_overlay_candidate.csv</t>
        </is>
      </c>
      <c r="AF175" s="24" t="inlineStr">
        <is>
          <t>208개 반도체 reference universe. Valuation Agent가 자체 intake 폴더로 복제해 Peer/ML/대시보드 비교에 사용.</t>
        </is>
      </c>
    </row>
    <row r="176" ht="24" customHeight="1">
      <c r="A176" s="29" t="inlineStr">
        <is>
          <t>103</t>
        </is>
      </c>
      <c r="B176" s="29" t="inlineStr">
        <is>
          <t>해당 없음</t>
        </is>
      </c>
      <c r="C176" s="29" t="inlineStr">
        <is>
          <t>원익IPS</t>
        </is>
      </c>
      <c r="D176" s="29" t="inlineStr">
        <is>
          <t>240810</t>
        </is>
      </c>
      <c r="E176" s="29" t="inlineStr">
        <is>
          <t>KOSDAQ GLOBAL</t>
        </is>
      </c>
      <c r="F176" s="29" t="inlineStr">
        <is>
          <t>장비</t>
        </is>
      </c>
      <c r="G176" s="29" t="inlineStr">
        <is>
          <t>장비</t>
        </is>
      </c>
      <c r="H176" s="29" t="inlineStr">
        <is>
          <t>False</t>
        </is>
      </c>
      <c r="I176" s="29" t="inlineStr">
        <is>
          <t>True</t>
        </is>
      </c>
      <c r="J176" s="29" t="inlineStr">
        <is>
          <t>OK</t>
        </is>
      </c>
      <c r="K176" s="29" t="inlineStr">
        <is>
          <t>데이터 사용 가능</t>
        </is>
      </c>
      <c r="L176" s="29" t="inlineStr">
        <is>
          <t>LOW</t>
        </is>
      </c>
      <c r="M176" s="29" t="inlineStr">
        <is>
          <t>LOW</t>
        </is>
      </c>
      <c r="N176" s="29" t="inlineStr">
        <is>
          <t>0.4634666666666667</t>
        </is>
      </c>
      <c r="O176" s="29" t="inlineStr">
        <is>
          <t>FAIR</t>
        </is>
      </c>
      <c r="P176" s="29" t="inlineStr">
        <is>
          <t>FAIR</t>
        </is>
      </c>
      <c r="Q176" s="29" t="inlineStr">
        <is>
          <t>FAIR</t>
        </is>
      </c>
      <c r="R176" s="29" t="inlineStr">
        <is>
          <t>0.5727476694226805</t>
        </is>
      </c>
      <c r="S176" s="29" t="inlineStr">
        <is>
          <t>MEDIUM</t>
        </is>
      </c>
      <c r="T176" s="29" t="inlineStr">
        <is>
          <t>MEDIUM</t>
        </is>
      </c>
      <c r="U176" s="29" t="inlineStr">
        <is>
          <t>0.0714285714285714</t>
        </is>
      </c>
      <c r="V176" s="29" t="inlineStr">
        <is>
          <t>LOW_RISK</t>
        </is>
      </c>
      <c r="W176" s="29" t="inlineStr">
        <is>
          <t>저위험</t>
        </is>
      </c>
      <c r="X176" s="29" t="inlineStr">
        <is>
          <t>LOW_RISK</t>
        </is>
      </c>
      <c r="Y176" s="29" t="inlineStr">
        <is>
          <t>0.9598478437041975</t>
        </is>
      </c>
      <c r="Z176" s="29" t="inlineStr">
        <is>
          <t>HIGH</t>
        </is>
      </c>
      <c r="AA176" s="29" t="inlineStr">
        <is>
          <t>HIGH</t>
        </is>
      </c>
      <c r="AB176" s="29" t="inlineStr">
        <is>
          <t>0.08568837626660758</t>
        </is>
      </c>
      <c r="AC176" s="29" t="inlineStr">
        <is>
          <t>False</t>
        </is>
      </c>
      <c r="AD176" s="29" t="inlineStr">
        <is>
          <t>False</t>
        </is>
      </c>
      <c r="AE176" s="29" t="inlineStr">
        <is>
          <t>valuation_credit_ml_overlay_candidate.csv</t>
        </is>
      </c>
      <c r="AF176" s="29" t="inlineStr">
        <is>
          <t>208개 반도체 reference universe. Valuation Agent가 자체 intake 폴더로 복제해 Peer/ML/대시보드 비교에 사용.</t>
        </is>
      </c>
    </row>
    <row r="177" ht="24" customHeight="1">
      <c r="A177" s="24" t="inlineStr">
        <is>
          <t>118</t>
        </is>
      </c>
      <c r="B177" s="24" t="inlineStr">
        <is>
          <t>해당 없음</t>
        </is>
      </c>
      <c r="C177" s="24" t="inlineStr">
        <is>
          <t>파크시스템스</t>
        </is>
      </c>
      <c r="D177" s="24" t="inlineStr">
        <is>
          <t>140860</t>
        </is>
      </c>
      <c r="E177" s="24" t="inlineStr">
        <is>
          <t>KOSDAQ GLOBAL</t>
        </is>
      </c>
      <c r="F177" s="24" t="inlineStr">
        <is>
          <t>장비</t>
        </is>
      </c>
      <c r="G177" s="24" t="inlineStr">
        <is>
          <t>장비</t>
        </is>
      </c>
      <c r="H177" s="24" t="inlineStr">
        <is>
          <t>False</t>
        </is>
      </c>
      <c r="I177" s="24" t="inlineStr">
        <is>
          <t>True</t>
        </is>
      </c>
      <c r="J177" s="24" t="inlineStr">
        <is>
          <t>OK</t>
        </is>
      </c>
      <c r="K177" s="24" t="inlineStr">
        <is>
          <t>데이터 사용 가능</t>
        </is>
      </c>
      <c r="L177" s="24" t="inlineStr">
        <is>
          <t>LOW</t>
        </is>
      </c>
      <c r="M177" s="24" t="inlineStr">
        <is>
          <t>LOW</t>
        </is>
      </c>
      <c r="N177" s="24" t="inlineStr">
        <is>
          <t>0.4611999999999999</t>
        </is>
      </c>
      <c r="O177" s="24" t="inlineStr">
        <is>
          <t>FAIR</t>
        </is>
      </c>
      <c r="P177" s="24" t="inlineStr">
        <is>
          <t>FAIR</t>
        </is>
      </c>
      <c r="Q177" s="24" t="inlineStr">
        <is>
          <t>FAIR</t>
        </is>
      </c>
      <c r="R177" s="24" t="inlineStr">
        <is>
          <t>0.7158734205313764</t>
        </is>
      </c>
      <c r="S177" s="24" t="inlineStr">
        <is>
          <t>HIGH</t>
        </is>
      </c>
      <c r="T177" s="24" t="inlineStr">
        <is>
          <t>HIGH</t>
        </is>
      </c>
      <c r="U177" s="24" t="inlineStr">
        <is>
          <t>0.0714285714285714</t>
        </is>
      </c>
      <c r="V177" s="24" t="inlineStr">
        <is>
          <t>LOW_RISK</t>
        </is>
      </c>
      <c r="W177" s="24" t="inlineStr">
        <is>
          <t>저위험</t>
        </is>
      </c>
      <c r="X177" s="24" t="inlineStr">
        <is>
          <t>LOW_RISK</t>
        </is>
      </c>
      <c r="Y177" s="24" t="inlineStr">
        <is>
          <t>0.8562648725642331</t>
        </is>
      </c>
      <c r="Z177" s="24" t="inlineStr">
        <is>
          <t>HIGH</t>
        </is>
      </c>
      <c r="AA177" s="24" t="inlineStr">
        <is>
          <t>HIGH</t>
        </is>
      </c>
      <c r="AB177" s="24" t="inlineStr">
        <is>
          <t>0.038412769981702295</t>
        </is>
      </c>
      <c r="AC177" s="24" t="inlineStr">
        <is>
          <t>False</t>
        </is>
      </c>
      <c r="AD177" s="24" t="inlineStr">
        <is>
          <t>False</t>
        </is>
      </c>
      <c r="AE177" s="24" t="inlineStr">
        <is>
          <t>valuation_credit_ml_overlay_candidate.csv</t>
        </is>
      </c>
      <c r="AF177" s="24" t="inlineStr">
        <is>
          <t>208개 반도체 reference universe. Valuation Agent가 자체 intake 폴더로 복제해 Peer/ML/대시보드 비교에 사용.</t>
        </is>
      </c>
    </row>
    <row r="178" ht="24" customHeight="1">
      <c r="A178" s="29" t="inlineStr">
        <is>
          <t>90</t>
        </is>
      </c>
      <c r="B178" s="29" t="inlineStr">
        <is>
          <t>해당 없음</t>
        </is>
      </c>
      <c r="C178" s="29" t="inlineStr">
        <is>
          <t>서플러스글로벌</t>
        </is>
      </c>
      <c r="D178" s="29" t="inlineStr">
        <is>
          <t>140070</t>
        </is>
      </c>
      <c r="E178" s="29" t="inlineStr">
        <is>
          <t>KOSDAQ</t>
        </is>
      </c>
      <c r="F178" s="29" t="inlineStr">
        <is>
          <t>장비</t>
        </is>
      </c>
      <c r="G178" s="29" t="inlineStr">
        <is>
          <t>장비</t>
        </is>
      </c>
      <c r="H178" s="29" t="inlineStr">
        <is>
          <t>False</t>
        </is>
      </c>
      <c r="I178" s="29" t="inlineStr">
        <is>
          <t>True</t>
        </is>
      </c>
      <c r="J178" s="29" t="inlineStr">
        <is>
          <t>OK</t>
        </is>
      </c>
      <c r="K178" s="29" t="inlineStr">
        <is>
          <t>데이터 사용 가능</t>
        </is>
      </c>
      <c r="L178" s="29" t="inlineStr">
        <is>
          <t>LOW</t>
        </is>
      </c>
      <c r="M178" s="29" t="inlineStr">
        <is>
          <t>LOW</t>
        </is>
      </c>
      <c r="N178" s="29" t="inlineStr">
        <is>
          <t>0.4594666666666667</t>
        </is>
      </c>
      <c r="O178" s="29" t="inlineStr">
        <is>
          <t>FAIR</t>
        </is>
      </c>
      <c r="P178" s="29" t="inlineStr">
        <is>
          <t>FAIR</t>
        </is>
      </c>
      <c r="Q178" s="29" t="inlineStr">
        <is>
          <t>FAIR</t>
        </is>
      </c>
      <c r="R178" s="29" t="inlineStr">
        <is>
          <t>0.6515364241286621</t>
        </is>
      </c>
      <c r="S178" s="29" t="inlineStr">
        <is>
          <t>MEDIUM</t>
        </is>
      </c>
      <c r="T178" s="29" t="inlineStr">
        <is>
          <t>MEDIUM</t>
        </is>
      </c>
      <c r="U178" s="29" t="inlineStr">
        <is>
          <t>0.7142857142857143</t>
        </is>
      </c>
      <c r="V178" s="29" t="inlineStr">
        <is>
          <t>HIGH_RISK</t>
        </is>
      </c>
      <c r="W178" s="29" t="inlineStr">
        <is>
          <t>고위험</t>
        </is>
      </c>
      <c r="X178" s="29" t="inlineStr">
        <is>
          <t>HIGH_RISK</t>
        </is>
      </c>
      <c r="Y178" s="29" t="inlineStr">
        <is>
          <t>0.9338637410254204</t>
        </is>
      </c>
      <c r="Z178" s="29" t="inlineStr">
        <is>
          <t>HIGH</t>
        </is>
      </c>
      <c r="AA178" s="29" t="inlineStr">
        <is>
          <t>HIGH</t>
        </is>
      </c>
      <c r="AB178" s="29" t="inlineStr">
        <is>
          <t>0.11246105889395507</t>
        </is>
      </c>
      <c r="AC178" s="29" t="inlineStr">
        <is>
          <t>False</t>
        </is>
      </c>
      <c r="AD178" s="29" t="inlineStr">
        <is>
          <t>False</t>
        </is>
      </c>
      <c r="AE178" s="29" t="inlineStr">
        <is>
          <t>valuation_credit_ml_overlay_candidate.csv</t>
        </is>
      </c>
      <c r="AF178" s="29" t="inlineStr">
        <is>
          <t>208개 반도체 reference universe. Valuation Agent가 자체 intake 폴더로 복제해 Peer/ML/대시보드 비교에 사용.</t>
        </is>
      </c>
    </row>
    <row r="179" ht="24" customHeight="1">
      <c r="A179" s="24" t="inlineStr">
        <is>
          <t>97</t>
        </is>
      </c>
      <c r="B179" s="24" t="inlineStr">
        <is>
          <t>해당 없음</t>
        </is>
      </c>
      <c r="C179" s="24" t="inlineStr">
        <is>
          <t>에스티아이</t>
        </is>
      </c>
      <c r="D179" s="24" t="inlineStr">
        <is>
          <t>039440</t>
        </is>
      </c>
      <c r="E179" s="24" t="inlineStr">
        <is>
          <t>KOSDAQ</t>
        </is>
      </c>
      <c r="F179" s="24" t="inlineStr">
        <is>
          <t>장비</t>
        </is>
      </c>
      <c r="G179" s="24" t="inlineStr">
        <is>
          <t>장비</t>
        </is>
      </c>
      <c r="H179" s="24" t="inlineStr">
        <is>
          <t>False</t>
        </is>
      </c>
      <c r="I179" s="24" t="inlineStr">
        <is>
          <t>True</t>
        </is>
      </c>
      <c r="J179" s="24" t="inlineStr">
        <is>
          <t>OK</t>
        </is>
      </c>
      <c r="K179" s="24" t="inlineStr">
        <is>
          <t>데이터 사용 가능</t>
        </is>
      </c>
      <c r="L179" s="24" t="inlineStr">
        <is>
          <t>LOW</t>
        </is>
      </c>
      <c r="M179" s="24" t="inlineStr">
        <is>
          <t>LOW</t>
        </is>
      </c>
      <c r="N179" s="24" t="inlineStr">
        <is>
          <t>0.4549999999999999</t>
        </is>
      </c>
      <c r="O179" s="24" t="inlineStr">
        <is>
          <t>FAIR</t>
        </is>
      </c>
      <c r="P179" s="24" t="inlineStr">
        <is>
          <t>FAIR</t>
        </is>
      </c>
      <c r="Q179" s="24" t="inlineStr">
        <is>
          <t>FAIR</t>
        </is>
      </c>
      <c r="R179" s="24" t="inlineStr">
        <is>
          <t>0.53270990340385</t>
        </is>
      </c>
      <c r="S179" s="24" t="inlineStr">
        <is>
          <t>MEDIUM</t>
        </is>
      </c>
      <c r="T179" s="24" t="inlineStr">
        <is>
          <t>MEDIUM</t>
        </is>
      </c>
      <c r="U179" s="24" t="inlineStr">
        <is>
          <t>0.0</t>
        </is>
      </c>
      <c r="V179" s="24" t="inlineStr">
        <is>
          <t>LOW_RISK</t>
        </is>
      </c>
      <c r="W179" s="24" t="inlineStr">
        <is>
          <t>저위험</t>
        </is>
      </c>
      <c r="X179" s="24" t="inlineStr">
        <is>
          <t>LOW_RISK</t>
        </is>
      </c>
      <c r="Y179" s="24" t="inlineStr">
        <is>
          <t>0.911990788525375</t>
        </is>
      </c>
      <c r="Z179" s="24" t="inlineStr">
        <is>
          <t>HIGH</t>
        </is>
      </c>
      <c r="AA179" s="24" t="inlineStr">
        <is>
          <t>HIGH</t>
        </is>
      </c>
      <c r="AB179" s="24" t="inlineStr">
        <is>
          <t>0.012946139293246964</t>
        </is>
      </c>
      <c r="AC179" s="24" t="inlineStr">
        <is>
          <t>False</t>
        </is>
      </c>
      <c r="AD179" s="24" t="inlineStr">
        <is>
          <t>False</t>
        </is>
      </c>
      <c r="AE179" s="24" t="inlineStr">
        <is>
          <t>valuation_credit_ml_overlay_candidate.csv</t>
        </is>
      </c>
      <c r="AF179" s="24" t="inlineStr">
        <is>
          <t>208개 반도체 reference universe. Valuation Agent가 자체 intake 폴더로 복제해 Peer/ML/대시보드 비교에 사용.</t>
        </is>
      </c>
    </row>
    <row r="180" ht="24" customHeight="1">
      <c r="A180" s="29" t="inlineStr">
        <is>
          <t>106</t>
        </is>
      </c>
      <c r="B180" s="29" t="inlineStr">
        <is>
          <t>해당 없음</t>
        </is>
      </c>
      <c r="C180" s="29" t="inlineStr">
        <is>
          <t>유진테크</t>
        </is>
      </c>
      <c r="D180" s="29" t="inlineStr">
        <is>
          <t>084370</t>
        </is>
      </c>
      <c r="E180" s="29" t="inlineStr">
        <is>
          <t>KOSDAQ</t>
        </is>
      </c>
      <c r="F180" s="29" t="inlineStr">
        <is>
          <t>장비</t>
        </is>
      </c>
      <c r="G180" s="29" t="inlineStr">
        <is>
          <t>장비</t>
        </is>
      </c>
      <c r="H180" s="29" t="inlineStr">
        <is>
          <t>False</t>
        </is>
      </c>
      <c r="I180" s="29" t="inlineStr">
        <is>
          <t>True</t>
        </is>
      </c>
      <c r="J180" s="29" t="inlineStr">
        <is>
          <t>OK</t>
        </is>
      </c>
      <c r="K180" s="29" t="inlineStr">
        <is>
          <t>데이터 사용 가능</t>
        </is>
      </c>
      <c r="L180" s="29" t="inlineStr">
        <is>
          <t>LOW</t>
        </is>
      </c>
      <c r="M180" s="29" t="inlineStr">
        <is>
          <t>LOW</t>
        </is>
      </c>
      <c r="N180" s="29" t="inlineStr">
        <is>
          <t>0.4335999999999999</t>
        </is>
      </c>
      <c r="O180" s="29" t="inlineStr">
        <is>
          <t>FAIR</t>
        </is>
      </c>
      <c r="P180" s="29" t="inlineStr">
        <is>
          <t>FAIR</t>
        </is>
      </c>
      <c r="Q180" s="29" t="inlineStr">
        <is>
          <t>FAIR</t>
        </is>
      </c>
      <c r="R180" s="29" t="inlineStr">
        <is>
          <t>0.7415227894291446</t>
        </is>
      </c>
      <c r="S180" s="29" t="inlineStr">
        <is>
          <t>HIGH</t>
        </is>
      </c>
      <c r="T180" s="29" t="inlineStr">
        <is>
          <t>HIGH</t>
        </is>
      </c>
      <c r="U180" s="29" t="inlineStr">
        <is>
          <t>0.0</t>
        </is>
      </c>
      <c r="V180" s="29" t="inlineStr">
        <is>
          <t>LOW_RISK</t>
        </is>
      </c>
      <c r="W180" s="29" t="inlineStr">
        <is>
          <t>저위험</t>
        </is>
      </c>
      <c r="X180" s="29" t="inlineStr">
        <is>
          <t>LOW_RISK</t>
        </is>
      </c>
      <c r="Y180" s="29" t="inlineStr">
        <is>
          <t>0.972105078189685</t>
        </is>
      </c>
      <c r="Z180" s="29" t="inlineStr">
        <is>
          <t>HIGH</t>
        </is>
      </c>
      <c r="AA180" s="29" t="inlineStr">
        <is>
          <t>HIGH</t>
        </is>
      </c>
      <c r="AB180" s="29" t="inlineStr">
        <is>
          <t>0.06698695126425369</t>
        </is>
      </c>
      <c r="AC180" s="29" t="inlineStr">
        <is>
          <t>False</t>
        </is>
      </c>
      <c r="AD180" s="29" t="inlineStr">
        <is>
          <t>False</t>
        </is>
      </c>
      <c r="AE180" s="29" t="inlineStr">
        <is>
          <t>valuation_credit_ml_overlay_candidate.csv</t>
        </is>
      </c>
      <c r="AF180" s="29" t="inlineStr">
        <is>
          <t>208개 반도체 reference universe. Valuation Agent가 자체 intake 폴더로 복제해 Peer/ML/대시보드 비교에 사용.</t>
        </is>
      </c>
    </row>
    <row r="181" ht="24" customHeight="1">
      <c r="A181" s="24" t="inlineStr">
        <is>
          <t>109</t>
        </is>
      </c>
      <c r="B181" s="24" t="inlineStr">
        <is>
          <t>해당 없음</t>
        </is>
      </c>
      <c r="C181" s="24" t="inlineStr">
        <is>
          <t>제우스</t>
        </is>
      </c>
      <c r="D181" s="24" t="inlineStr">
        <is>
          <t>079370</t>
        </is>
      </c>
      <c r="E181" s="24" t="inlineStr">
        <is>
          <t>KOSDAQ</t>
        </is>
      </c>
      <c r="F181" s="24" t="inlineStr">
        <is>
          <t>장비</t>
        </is>
      </c>
      <c r="G181" s="24" t="inlineStr">
        <is>
          <t>장비</t>
        </is>
      </c>
      <c r="H181" s="24" t="inlineStr">
        <is>
          <t>False</t>
        </is>
      </c>
      <c r="I181" s="24" t="inlineStr">
        <is>
          <t>True</t>
        </is>
      </c>
      <c r="J181" s="24" t="inlineStr">
        <is>
          <t>OK</t>
        </is>
      </c>
      <c r="K181" s="24" t="inlineStr">
        <is>
          <t>데이터 사용 가능</t>
        </is>
      </c>
      <c r="L181" s="24" t="inlineStr">
        <is>
          <t>LOW</t>
        </is>
      </c>
      <c r="M181" s="24" t="inlineStr">
        <is>
          <t>LOW</t>
        </is>
      </c>
      <c r="N181" s="24" t="inlineStr">
        <is>
          <t>0.4258666666666666</t>
        </is>
      </c>
      <c r="O181" s="24" t="inlineStr">
        <is>
          <t>FAIR</t>
        </is>
      </c>
      <c r="P181" s="24" t="inlineStr">
        <is>
          <t>FAIR</t>
        </is>
      </c>
      <c r="Q181" s="24" t="inlineStr">
        <is>
          <t>FAIR</t>
        </is>
      </c>
      <c r="R181" s="24" t="inlineStr">
        <is>
          <t>0.7744454918412472</t>
        </is>
      </c>
      <c r="S181" s="24" t="inlineStr">
        <is>
          <t>HIGH</t>
        </is>
      </c>
      <c r="T181" s="24" t="inlineStr">
        <is>
          <t>HIGH</t>
        </is>
      </c>
      <c r="U181" s="24" t="inlineStr">
        <is>
          <t>0.2142857142857142</t>
        </is>
      </c>
      <c r="V181" s="24" t="inlineStr">
        <is>
          <t>MEDIUM_RISK</t>
        </is>
      </c>
      <c r="W181" s="24" t="inlineStr">
        <is>
          <t>중위험</t>
        </is>
      </c>
      <c r="X181" s="24" t="inlineStr">
        <is>
          <t>MEDIUM_RISK</t>
        </is>
      </c>
      <c r="Y181" s="24" t="inlineStr">
        <is>
          <t>0.7526716293270965</t>
        </is>
      </c>
      <c r="Z181" s="24" t="inlineStr">
        <is>
          <t>HIGH</t>
        </is>
      </c>
      <c r="AA181" s="24" t="inlineStr">
        <is>
          <t>HIGH</t>
        </is>
      </c>
      <c r="AB181" s="24" t="inlineStr">
        <is>
          <t>0.011543006177035572</t>
        </is>
      </c>
      <c r="AC181" s="24" t="inlineStr">
        <is>
          <t>False</t>
        </is>
      </c>
      <c r="AD181" s="24" t="inlineStr">
        <is>
          <t>False</t>
        </is>
      </c>
      <c r="AE181" s="24" t="inlineStr">
        <is>
          <t>valuation_credit_ml_overlay_candidate.csv</t>
        </is>
      </c>
      <c r="AF181" s="24" t="inlineStr">
        <is>
          <t>208개 반도체 reference universe. Valuation Agent가 자체 intake 폴더로 복제해 Peer/ML/대시보드 비교에 사용.</t>
        </is>
      </c>
    </row>
    <row r="182" ht="24" customHeight="1">
      <c r="A182" s="29" t="inlineStr">
        <is>
          <t>83</t>
        </is>
      </c>
      <c r="B182" s="29" t="inlineStr">
        <is>
          <t>해당 없음</t>
        </is>
      </c>
      <c r="C182" s="29" t="inlineStr">
        <is>
          <t>램테크놀러지</t>
        </is>
      </c>
      <c r="D182" s="29" t="inlineStr">
        <is>
          <t>171010</t>
        </is>
      </c>
      <c r="E182" s="29" t="inlineStr">
        <is>
          <t>KOSDAQ</t>
        </is>
      </c>
      <c r="F182" s="29" t="inlineStr">
        <is>
          <t>장비</t>
        </is>
      </c>
      <c r="G182" s="29" t="inlineStr">
        <is>
          <t>장비</t>
        </is>
      </c>
      <c r="H182" s="29" t="inlineStr">
        <is>
          <t>False</t>
        </is>
      </c>
      <c r="I182" s="29" t="inlineStr">
        <is>
          <t>True</t>
        </is>
      </c>
      <c r="J182" s="29" t="inlineStr">
        <is>
          <t>OK</t>
        </is>
      </c>
      <c r="K182" s="29" t="inlineStr">
        <is>
          <t>데이터 사용 가능</t>
        </is>
      </c>
      <c r="L182" s="29" t="inlineStr">
        <is>
          <t>LOW</t>
        </is>
      </c>
      <c r="M182" s="29" t="inlineStr">
        <is>
          <t>LOW</t>
        </is>
      </c>
      <c r="N182" s="29" t="inlineStr">
        <is>
          <t>0.4097333333333334</t>
        </is>
      </c>
      <c r="O182" s="29" t="inlineStr">
        <is>
          <t>EXPENSIVE</t>
        </is>
      </c>
      <c r="P182" s="29" t="inlineStr">
        <is>
          <t>EXPENSIVE</t>
        </is>
      </c>
      <c r="Q182" s="29" t="inlineStr">
        <is>
          <t>FAIR</t>
        </is>
      </c>
      <c r="R182" s="29" t="inlineStr">
        <is>
          <t>0.500591784236833</t>
        </is>
      </c>
      <c r="S182" s="29" t="inlineStr">
        <is>
          <t>MEDIUM</t>
        </is>
      </c>
      <c r="T182" s="29" t="inlineStr">
        <is>
          <t>MEDIUM</t>
        </is>
      </c>
      <c r="U182" s="29" t="inlineStr">
        <is>
          <t>0.6428571428571429</t>
        </is>
      </c>
      <c r="V182" s="29" t="inlineStr">
        <is>
          <t>HIGH_RISK</t>
        </is>
      </c>
      <c r="W182" s="29" t="inlineStr">
        <is>
          <t>고위험</t>
        </is>
      </c>
      <c r="X182" s="29" t="inlineStr">
        <is>
          <t>HIGH_RISK</t>
        </is>
      </c>
      <c r="Y182" s="29" t="inlineStr">
        <is>
          <t>0.7085071659992903</t>
        </is>
      </c>
      <c r="Z182" s="29" t="inlineStr">
        <is>
          <t>HIGH</t>
        </is>
      </c>
      <c r="AA182" s="29" t="inlineStr">
        <is>
          <t>HIGH</t>
        </is>
      </c>
      <c r="AB182" s="29" t="inlineStr">
        <is>
          <t>0.08748635209855961</t>
        </is>
      </c>
      <c r="AC182" s="29" t="inlineStr">
        <is>
          <t>False</t>
        </is>
      </c>
      <c r="AD182" s="29" t="inlineStr">
        <is>
          <t>False</t>
        </is>
      </c>
      <c r="AE182" s="29" t="inlineStr">
        <is>
          <t>valuation_credit_ml_overlay_candidate.csv</t>
        </is>
      </c>
      <c r="AF182" s="29" t="inlineStr">
        <is>
          <t>208개 반도체 reference universe. Valuation Agent가 자체 intake 폴더로 복제해 Peer/ML/대시보드 비교에 사용.</t>
        </is>
      </c>
    </row>
    <row r="183" ht="24" customHeight="1">
      <c r="A183" s="24" t="inlineStr">
        <is>
          <t>108</t>
        </is>
      </c>
      <c r="B183" s="24" t="inlineStr">
        <is>
          <t>해당 없음</t>
        </is>
      </c>
      <c r="C183" s="24" t="inlineStr">
        <is>
          <t>저스템</t>
        </is>
      </c>
      <c r="D183" s="24" t="inlineStr">
        <is>
          <t>417840</t>
        </is>
      </c>
      <c r="E183" s="24" t="inlineStr">
        <is>
          <t>KOSDAQ</t>
        </is>
      </c>
      <c r="F183" s="24" t="inlineStr">
        <is>
          <t>장비</t>
        </is>
      </c>
      <c r="G183" s="24" t="inlineStr">
        <is>
          <t>장비</t>
        </is>
      </c>
      <c r="H183" s="24" t="inlineStr">
        <is>
          <t>False</t>
        </is>
      </c>
      <c r="I183" s="24" t="inlineStr">
        <is>
          <t>True</t>
        </is>
      </c>
      <c r="J183" s="24" t="inlineStr">
        <is>
          <t>OK</t>
        </is>
      </c>
      <c r="K183" s="24" t="inlineStr">
        <is>
          <t>데이터 사용 가능</t>
        </is>
      </c>
      <c r="L183" s="24" t="inlineStr">
        <is>
          <t>LOW</t>
        </is>
      </c>
      <c r="M183" s="24" t="inlineStr">
        <is>
          <t>LOW</t>
        </is>
      </c>
      <c r="N183" s="24" t="inlineStr">
        <is>
          <t>0.4036</t>
        </is>
      </c>
      <c r="O183" s="24" t="inlineStr">
        <is>
          <t>EXPENSIVE</t>
        </is>
      </c>
      <c r="P183" s="24" t="inlineStr">
        <is>
          <t>EXPENSIVE</t>
        </is>
      </c>
      <c r="Q183" s="24" t="inlineStr">
        <is>
          <t>EXPENSIVE</t>
        </is>
      </c>
      <c r="R183" s="24" t="inlineStr">
        <is>
          <t>0.7213257522774291</t>
        </is>
      </c>
      <c r="S183" s="24" t="inlineStr">
        <is>
          <t>HIGH</t>
        </is>
      </c>
      <c r="T183" s="24" t="inlineStr">
        <is>
          <t>HIGH</t>
        </is>
      </c>
      <c r="U183" s="24" t="inlineStr">
        <is>
          <t>0.2857142857142857</t>
        </is>
      </c>
      <c r="V183" s="24" t="inlineStr">
        <is>
          <t>MEDIUM_RISK</t>
        </is>
      </c>
      <c r="W183" s="24" t="inlineStr">
        <is>
          <t>중위험</t>
        </is>
      </c>
      <c r="X183" s="24" t="inlineStr">
        <is>
          <t>MEDIUM_RISK</t>
        </is>
      </c>
      <c r="Y183" s="24" t="inlineStr">
        <is>
          <t>0.6200895030304687</t>
        </is>
      </c>
      <c r="Z183" s="24" t="inlineStr">
        <is>
          <t>MEDIUM</t>
        </is>
      </c>
      <c r="AA183" s="24" t="inlineStr">
        <is>
          <t>MEDIUM</t>
        </is>
      </c>
      <c r="AB183" s="24" t="inlineStr">
        <is>
          <t>0.06530461326030516</t>
        </is>
      </c>
      <c r="AC183" s="24" t="inlineStr">
        <is>
          <t>False</t>
        </is>
      </c>
      <c r="AD183" s="24" t="inlineStr">
        <is>
          <t>False</t>
        </is>
      </c>
      <c r="AE183" s="24" t="inlineStr">
        <is>
          <t>valuation_credit_ml_overlay_candidate.csv</t>
        </is>
      </c>
      <c r="AF183" s="24" t="inlineStr">
        <is>
          <t>208개 반도체 reference universe. Valuation Agent가 자체 intake 폴더로 복제해 Peer/ML/대시보드 비교에 사용.</t>
        </is>
      </c>
    </row>
    <row r="184" ht="24" customHeight="1">
      <c r="A184" s="29" t="inlineStr">
        <is>
          <t>111</t>
        </is>
      </c>
      <c r="B184" s="29" t="inlineStr">
        <is>
          <t>해당 없음</t>
        </is>
      </c>
      <c r="C184" s="29" t="inlineStr">
        <is>
          <t>지아이에스</t>
        </is>
      </c>
      <c r="D184" s="29" t="inlineStr">
        <is>
          <t>306620</t>
        </is>
      </c>
      <c r="E184" s="29" t="inlineStr">
        <is>
          <t>KOSDAQ</t>
        </is>
      </c>
      <c r="F184" s="29" t="inlineStr">
        <is>
          <t>장비</t>
        </is>
      </c>
      <c r="G184" s="29" t="inlineStr">
        <is>
          <t>장비</t>
        </is>
      </c>
      <c r="H184" s="29" t="inlineStr">
        <is>
          <t>False</t>
        </is>
      </c>
      <c r="I184" s="29" t="inlineStr">
        <is>
          <t>True</t>
        </is>
      </c>
      <c r="J184" s="29" t="inlineStr">
        <is>
          <t>OK</t>
        </is>
      </c>
      <c r="K184" s="29" t="inlineStr">
        <is>
          <t>데이터 사용 가능</t>
        </is>
      </c>
      <c r="L184" s="29" t="inlineStr">
        <is>
          <t>LOW</t>
        </is>
      </c>
      <c r="M184" s="29" t="inlineStr">
        <is>
          <t>LOW</t>
        </is>
      </c>
      <c r="N184" s="29" t="inlineStr">
        <is>
          <t>0.4014666666666666</t>
        </is>
      </c>
      <c r="O184" s="29" t="inlineStr">
        <is>
          <t>EXPENSIVE</t>
        </is>
      </c>
      <c r="P184" s="29" t="inlineStr">
        <is>
          <t>EXPENSIVE</t>
        </is>
      </c>
      <c r="Q184" s="29" t="inlineStr">
        <is>
          <t>EXPENSIVE</t>
        </is>
      </c>
      <c r="R184" s="29" t="inlineStr">
        <is>
          <t>0.745903271306321</t>
        </is>
      </c>
      <c r="S184" s="29" t="inlineStr">
        <is>
          <t>HIGH</t>
        </is>
      </c>
      <c r="T184" s="29" t="inlineStr">
        <is>
          <t>HIGH</t>
        </is>
      </c>
      <c r="U184" s="29" t="inlineStr">
        <is>
          <t>0.5714285714285714</t>
        </is>
      </c>
      <c r="V184" s="29" t="inlineStr">
        <is>
          <t>HIGH_RISK</t>
        </is>
      </c>
      <c r="W184" s="29" t="inlineStr">
        <is>
          <t>고위험</t>
        </is>
      </c>
      <c r="X184" s="29" t="inlineStr">
        <is>
          <t>HIGH_RISK</t>
        </is>
      </c>
      <c r="Y184" s="29" t="inlineStr">
        <is>
          <t>0.7985810664806972</t>
        </is>
      </c>
      <c r="Z184" s="29" t="inlineStr">
        <is>
          <t>HIGH</t>
        </is>
      </c>
      <c r="AA184" s="29" t="inlineStr">
        <is>
          <t>HIGH</t>
        </is>
      </c>
      <c r="AB184" s="29" t="inlineStr">
        <is>
          <t>0.10027107402555603</t>
        </is>
      </c>
      <c r="AC184" s="29" t="inlineStr">
        <is>
          <t>False</t>
        </is>
      </c>
      <c r="AD184" s="29" t="inlineStr">
        <is>
          <t>False</t>
        </is>
      </c>
      <c r="AE184" s="29" t="inlineStr">
        <is>
          <t>valuation_credit_ml_overlay_candidate.csv</t>
        </is>
      </c>
      <c r="AF184" s="29" t="inlineStr">
        <is>
          <t>208개 반도체 reference universe. Valuation Agent가 자체 intake 폴더로 복제해 Peer/ML/대시보드 비교에 사용.</t>
        </is>
      </c>
    </row>
    <row r="185" ht="24" customHeight="1">
      <c r="A185" s="24" t="inlineStr">
        <is>
          <t>98</t>
        </is>
      </c>
      <c r="B185" s="24" t="inlineStr">
        <is>
          <t>해당 없음</t>
        </is>
      </c>
      <c r="C185" s="24" t="inlineStr">
        <is>
          <t>에프에스티</t>
        </is>
      </c>
      <c r="D185" s="24" t="inlineStr">
        <is>
          <t>036810</t>
        </is>
      </c>
      <c r="E185" s="24" t="inlineStr">
        <is>
          <t>KOSDAQ</t>
        </is>
      </c>
      <c r="F185" s="24" t="inlineStr">
        <is>
          <t>장비</t>
        </is>
      </c>
      <c r="G185" s="24" t="inlineStr">
        <is>
          <t>장비</t>
        </is>
      </c>
      <c r="H185" s="24" t="inlineStr">
        <is>
          <t>False</t>
        </is>
      </c>
      <c r="I185" s="24" t="inlineStr">
        <is>
          <t>True</t>
        </is>
      </c>
      <c r="J185" s="24" t="inlineStr">
        <is>
          <t>OK</t>
        </is>
      </c>
      <c r="K185" s="24" t="inlineStr">
        <is>
          <t>데이터 사용 가능</t>
        </is>
      </c>
      <c r="L185" s="24" t="inlineStr">
        <is>
          <t>LOW</t>
        </is>
      </c>
      <c r="M185" s="24" t="inlineStr">
        <is>
          <t>LOW</t>
        </is>
      </c>
      <c r="N185" s="24" t="inlineStr">
        <is>
          <t>0.3826666666666666</t>
        </is>
      </c>
      <c r="O185" s="24" t="inlineStr">
        <is>
          <t>EXPENSIVE</t>
        </is>
      </c>
      <c r="P185" s="24" t="inlineStr">
        <is>
          <t>EXPENSIVE</t>
        </is>
      </c>
      <c r="Q185" s="24" t="inlineStr">
        <is>
          <t>EXPENSIVE</t>
        </is>
      </c>
      <c r="R185" s="24" t="inlineStr">
        <is>
          <t>0.8925631629286743</t>
        </is>
      </c>
      <c r="S185" s="24" t="inlineStr">
        <is>
          <t>HIGH</t>
        </is>
      </c>
      <c r="T185" s="24" t="inlineStr">
        <is>
          <t>HIGH</t>
        </is>
      </c>
      <c r="U185" s="24" t="inlineStr">
        <is>
          <t>0.5</t>
        </is>
      </c>
      <c r="V185" s="24" t="inlineStr">
        <is>
          <t>HIGH_RISK</t>
        </is>
      </c>
      <c r="W185" s="24" t="inlineStr">
        <is>
          <t>고위험</t>
        </is>
      </c>
      <c r="X185" s="24" t="inlineStr">
        <is>
          <t>HIGH_RISK</t>
        </is>
      </c>
      <c r="Y185" s="24" t="inlineStr">
        <is>
          <t>0.6842794288306946</t>
        </is>
      </c>
      <c r="Z185" s="24" t="inlineStr">
        <is>
          <t>MEDIUM</t>
        </is>
      </c>
      <c r="AA185" s="24" t="inlineStr">
        <is>
          <t>MEDIUM</t>
        </is>
      </c>
      <c r="AB185" s="24" t="inlineStr">
        <is>
          <t>0.03870825972114044</t>
        </is>
      </c>
      <c r="AC185" s="24" t="inlineStr">
        <is>
          <t>False</t>
        </is>
      </c>
      <c r="AD185" s="24" t="inlineStr">
        <is>
          <t>False</t>
        </is>
      </c>
      <c r="AE185" s="24" t="inlineStr">
        <is>
          <t>valuation_credit_ml_overlay_candidate.csv</t>
        </is>
      </c>
      <c r="AF185" s="24" t="inlineStr">
        <is>
          <t>208개 반도체 reference universe. Valuation Agent가 자체 intake 폴더로 복제해 Peer/ML/대시보드 비교에 사용.</t>
        </is>
      </c>
    </row>
    <row r="186" ht="24" customHeight="1">
      <c r="A186" s="29" t="inlineStr">
        <is>
          <t>78</t>
        </is>
      </c>
      <c r="B186" s="29" t="inlineStr">
        <is>
          <t>해당 없음</t>
        </is>
      </c>
      <c r="C186" s="29" t="inlineStr">
        <is>
          <t>나노신소재</t>
        </is>
      </c>
      <c r="D186" s="29" t="inlineStr">
        <is>
          <t>121600</t>
        </is>
      </c>
      <c r="E186" s="29" t="inlineStr">
        <is>
          <t>KOSDAQ</t>
        </is>
      </c>
      <c r="F186" s="29" t="inlineStr">
        <is>
          <t>장비</t>
        </is>
      </c>
      <c r="G186" s="29" t="inlineStr">
        <is>
          <t>장비</t>
        </is>
      </c>
      <c r="H186" s="29" t="inlineStr">
        <is>
          <t>False</t>
        </is>
      </c>
      <c r="I186" s="29" t="inlineStr">
        <is>
          <t>True</t>
        </is>
      </c>
      <c r="J186" s="29" t="inlineStr">
        <is>
          <t>OK</t>
        </is>
      </c>
      <c r="K186" s="29" t="inlineStr">
        <is>
          <t>데이터 사용 가능</t>
        </is>
      </c>
      <c r="L186" s="29" t="inlineStr">
        <is>
          <t>LOW</t>
        </is>
      </c>
      <c r="M186" s="29" t="inlineStr">
        <is>
          <t>LOW</t>
        </is>
      </c>
      <c r="N186" s="29" t="inlineStr">
        <is>
          <t>0.3822666666666666</t>
        </is>
      </c>
      <c r="O186" s="29" t="inlineStr">
        <is>
          <t>EXPENSIVE</t>
        </is>
      </c>
      <c r="P186" s="29" t="inlineStr">
        <is>
          <t>EXPENSIVE</t>
        </is>
      </c>
      <c r="Q186" s="29" t="inlineStr">
        <is>
          <t>EXPENSIVE</t>
        </is>
      </c>
      <c r="R186" s="29" t="inlineStr">
        <is>
          <t>0.7555342246021253</t>
        </is>
      </c>
      <c r="S186" s="29" t="inlineStr">
        <is>
          <t>HIGH</t>
        </is>
      </c>
      <c r="T186" s="29" t="inlineStr">
        <is>
          <t>HIGH</t>
        </is>
      </c>
      <c r="U186" s="29" t="inlineStr">
        <is>
          <t>0.0</t>
        </is>
      </c>
      <c r="V186" s="29" t="inlineStr">
        <is>
          <t>LOW_RISK</t>
        </is>
      </c>
      <c r="W186" s="29" t="inlineStr">
        <is>
          <t>저위험</t>
        </is>
      </c>
      <c r="X186" s="29" t="inlineStr">
        <is>
          <t>LOW_RISK</t>
        </is>
      </c>
      <c r="Y186" s="29" t="inlineStr">
        <is>
          <t>0.6225133085657061</t>
        </is>
      </c>
      <c r="Z186" s="29" t="inlineStr">
        <is>
          <t>MEDIUM</t>
        </is>
      </c>
      <c r="AA186" s="29" t="inlineStr">
        <is>
          <t>MEDIUM</t>
        </is>
      </c>
      <c r="AB186" s="29" t="inlineStr">
        <is>
          <t>0.006422827813209868</t>
        </is>
      </c>
      <c r="AC186" s="29" t="inlineStr">
        <is>
          <t>False</t>
        </is>
      </c>
      <c r="AD186" s="29" t="inlineStr">
        <is>
          <t>False</t>
        </is>
      </c>
      <c r="AE186" s="29" t="inlineStr">
        <is>
          <t>valuation_credit_ml_overlay_candidate.csv</t>
        </is>
      </c>
      <c r="AF186" s="29" t="inlineStr">
        <is>
          <t>208개 반도체 reference universe. Valuation Agent가 자체 intake 폴더로 복제해 Peer/ML/대시보드 비교에 사용.</t>
        </is>
      </c>
    </row>
    <row r="187" ht="24" customHeight="1">
      <c r="A187" s="24" t="inlineStr">
        <is>
          <t>93</t>
        </is>
      </c>
      <c r="B187" s="24" t="inlineStr">
        <is>
          <t>해당 없음</t>
        </is>
      </c>
      <c r="C187" s="24" t="inlineStr">
        <is>
          <t>씨엠티엑스</t>
        </is>
      </c>
      <c r="D187" s="24" t="inlineStr">
        <is>
          <t>388210</t>
        </is>
      </c>
      <c r="E187" s="24" t="inlineStr">
        <is>
          <t>KOSDAQ</t>
        </is>
      </c>
      <c r="F187" s="24" t="inlineStr">
        <is>
          <t>장비</t>
        </is>
      </c>
      <c r="G187" s="24" t="inlineStr">
        <is>
          <t>장비</t>
        </is>
      </c>
      <c r="H187" s="24" t="inlineStr">
        <is>
          <t>False</t>
        </is>
      </c>
      <c r="I187" s="24" t="inlineStr">
        <is>
          <t>True</t>
        </is>
      </c>
      <c r="J187" s="24" t="inlineStr">
        <is>
          <t>OK_LIMITED_HISTORY_OR_GROWTH_NA</t>
        </is>
      </c>
      <c r="K187" s="24" t="inlineStr">
        <is>
          <t>데이터 사용 가능</t>
        </is>
      </c>
      <c r="L187" s="24" t="inlineStr">
        <is>
          <t>LOW</t>
        </is>
      </c>
      <c r="M187" s="24" t="inlineStr">
        <is>
          <t>LOW</t>
        </is>
      </c>
      <c r="N187" s="24" t="inlineStr">
        <is>
          <t>0.3652666666666667</t>
        </is>
      </c>
      <c r="O187" s="24" t="inlineStr">
        <is>
          <t>EXPENSIVE</t>
        </is>
      </c>
      <c r="P187" s="24" t="inlineStr">
        <is>
          <t>EXPENSIVE</t>
        </is>
      </c>
      <c r="Q187" s="24" t="inlineStr">
        <is>
          <t>EXPENSIVE</t>
        </is>
      </c>
      <c r="R187" s="24" t="inlineStr">
        <is>
          <t>0.7157707609420977</t>
        </is>
      </c>
      <c r="S187" s="24" t="inlineStr">
        <is>
          <t>HIGH</t>
        </is>
      </c>
      <c r="T187" s="24" t="inlineStr">
        <is>
          <t>HIGH</t>
        </is>
      </c>
      <c r="U187" s="24" t="inlineStr">
        <is>
          <t>0.2142857142857142</t>
        </is>
      </c>
      <c r="V187" s="24" t="inlineStr">
        <is>
          <t>MEDIUM_RISK</t>
        </is>
      </c>
      <c r="W187" s="24" t="inlineStr">
        <is>
          <t>중위험</t>
        </is>
      </c>
      <c r="X187" s="24" t="inlineStr">
        <is>
          <t>MEDIUM_RISK</t>
        </is>
      </c>
      <c r="Y187" s="24" t="inlineStr">
        <is>
          <t>0.6836967884951827</t>
        </is>
      </c>
      <c r="Z187" s="24" t="inlineStr">
        <is>
          <t>MEDIUM</t>
        </is>
      </c>
      <c r="AA187" s="24" t="inlineStr">
        <is>
          <t>MEDIUM</t>
        </is>
      </c>
      <c r="AB187" s="24" t="inlineStr">
        <is>
          <t>0.10495929656754996</t>
        </is>
      </c>
      <c r="AC187" s="24" t="inlineStr">
        <is>
          <t>False</t>
        </is>
      </c>
      <c r="AD187" s="24" t="inlineStr">
        <is>
          <t>True</t>
        </is>
      </c>
      <c r="AE187" s="24" t="inlineStr">
        <is>
          <t>valuation_credit_ml_overlay_candidate.csv</t>
        </is>
      </c>
      <c r="AF187" s="24" t="inlineStr">
        <is>
          <t>208개 반도체 reference universe. Valuation Agent가 자체 intake 폴더로 복제해 Peer/ML/대시보드 비교에 사용.</t>
        </is>
      </c>
    </row>
    <row r="188" ht="24" customHeight="1">
      <c r="A188" s="29" t="inlineStr">
        <is>
          <t>94</t>
        </is>
      </c>
      <c r="B188" s="29" t="inlineStr">
        <is>
          <t>해당 없음</t>
        </is>
      </c>
      <c r="C188" s="29" t="inlineStr">
        <is>
          <t>아스플로</t>
        </is>
      </c>
      <c r="D188" s="29" t="inlineStr">
        <is>
          <t>159010</t>
        </is>
      </c>
      <c r="E188" s="29" t="inlineStr">
        <is>
          <t>KOSDAQ</t>
        </is>
      </c>
      <c r="F188" s="29" t="inlineStr">
        <is>
          <t>장비</t>
        </is>
      </c>
      <c r="G188" s="29" t="inlineStr">
        <is>
          <t>장비</t>
        </is>
      </c>
      <c r="H188" s="29" t="inlineStr">
        <is>
          <t>False</t>
        </is>
      </c>
      <c r="I188" s="29" t="inlineStr">
        <is>
          <t>True</t>
        </is>
      </c>
      <c r="J188" s="29" t="inlineStr">
        <is>
          <t>OK</t>
        </is>
      </c>
      <c r="K188" s="29" t="inlineStr">
        <is>
          <t>데이터 사용 가능</t>
        </is>
      </c>
      <c r="L188" s="29" t="inlineStr">
        <is>
          <t>LOW</t>
        </is>
      </c>
      <c r="M188" s="29" t="inlineStr">
        <is>
          <t>LOW</t>
        </is>
      </c>
      <c r="N188" s="29" t="inlineStr">
        <is>
          <t>0.3025333333333333</t>
        </is>
      </c>
      <c r="O188" s="29" t="inlineStr">
        <is>
          <t>EXPENSIVE</t>
        </is>
      </c>
      <c r="P188" s="29" t="inlineStr">
        <is>
          <t>EXPENSIVE</t>
        </is>
      </c>
      <c r="Q188" s="29" t="inlineStr">
        <is>
          <t>EXPENSIVE</t>
        </is>
      </c>
      <c r="R188" s="29" t="inlineStr">
        <is>
          <t>0.8970141905473263</t>
        </is>
      </c>
      <c r="S188" s="29" t="inlineStr">
        <is>
          <t>HIGH</t>
        </is>
      </c>
      <c r="T188" s="29" t="inlineStr">
        <is>
          <t>HIGH</t>
        </is>
      </c>
      <c r="U188" s="29" t="inlineStr">
        <is>
          <t>0.5714285714285714</t>
        </is>
      </c>
      <c r="V188" s="29" t="inlineStr">
        <is>
          <t>HIGH_RISK</t>
        </is>
      </c>
      <c r="W188" s="29" t="inlineStr">
        <is>
          <t>고위험</t>
        </is>
      </c>
      <c r="X188" s="29" t="inlineStr">
        <is>
          <t>HIGH_RISK</t>
        </is>
      </c>
      <c r="Y188" s="29" t="inlineStr">
        <is>
          <t>0.9808254047374049</t>
        </is>
      </c>
      <c r="Z188" s="29" t="inlineStr">
        <is>
          <t>HIGH</t>
        </is>
      </c>
      <c r="AA188" s="29" t="inlineStr">
        <is>
          <t>HIGH</t>
        </is>
      </c>
      <c r="AB188" s="29" t="inlineStr">
        <is>
          <t>0.04621877213272216</t>
        </is>
      </c>
      <c r="AC188" s="29" t="inlineStr">
        <is>
          <t>False</t>
        </is>
      </c>
      <c r="AD188" s="29" t="inlineStr">
        <is>
          <t>False</t>
        </is>
      </c>
      <c r="AE188" s="29" t="inlineStr">
        <is>
          <t>valuation_credit_ml_overlay_candidate.csv</t>
        </is>
      </c>
      <c r="AF188" s="29" t="inlineStr">
        <is>
          <t>208개 반도체 reference universe. Valuation Agent가 자체 intake 폴더로 복제해 Peer/ML/대시보드 비교에 사용.</t>
        </is>
      </c>
    </row>
    <row r="189" ht="24" customHeight="1">
      <c r="A189" s="24" t="inlineStr">
        <is>
          <t>101</t>
        </is>
      </c>
      <c r="B189" s="24" t="inlineStr">
        <is>
          <t>해당 없음</t>
        </is>
      </c>
      <c r="C189" s="24" t="inlineStr">
        <is>
          <t>오로스테크놀로지</t>
        </is>
      </c>
      <c r="D189" s="24" t="inlineStr">
        <is>
          <t>322310</t>
        </is>
      </c>
      <c r="E189" s="24" t="inlineStr">
        <is>
          <t>KOSDAQ</t>
        </is>
      </c>
      <c r="F189" s="24" t="inlineStr">
        <is>
          <t>장비</t>
        </is>
      </c>
      <c r="G189" s="24" t="inlineStr">
        <is>
          <t>장비</t>
        </is>
      </c>
      <c r="H189" s="24" t="inlineStr">
        <is>
          <t>False</t>
        </is>
      </c>
      <c r="I189" s="24" t="inlineStr">
        <is>
          <t>True</t>
        </is>
      </c>
      <c r="J189" s="24" t="inlineStr">
        <is>
          <t>OK</t>
        </is>
      </c>
      <c r="K189" s="24" t="inlineStr">
        <is>
          <t>데이터 사용 가능</t>
        </is>
      </c>
      <c r="L189" s="24" t="inlineStr">
        <is>
          <t>LOW</t>
        </is>
      </c>
      <c r="M189" s="24" t="inlineStr">
        <is>
          <t>LOW</t>
        </is>
      </c>
      <c r="N189" s="24" t="inlineStr">
        <is>
          <t>0.2969333333333333</t>
        </is>
      </c>
      <c r="O189" s="24" t="inlineStr">
        <is>
          <t>EXPENSIVE</t>
        </is>
      </c>
      <c r="P189" s="24" t="inlineStr">
        <is>
          <t>EXPENSIVE</t>
        </is>
      </c>
      <c r="Q189" s="24" t="inlineStr">
        <is>
          <t>EXPENSIVE</t>
        </is>
      </c>
      <c r="R189" s="24" t="inlineStr">
        <is>
          <t>0.9263479879516093</t>
        </is>
      </c>
      <c r="S189" s="24" t="inlineStr">
        <is>
          <t>HIGH</t>
        </is>
      </c>
      <c r="T189" s="24" t="inlineStr">
        <is>
          <t>HIGH</t>
        </is>
      </c>
      <c r="U189" s="24" t="inlineStr">
        <is>
          <t>0.2857142857142857</t>
        </is>
      </c>
      <c r="V189" s="24" t="inlineStr">
        <is>
          <t>MEDIUM_RISK</t>
        </is>
      </c>
      <c r="W189" s="24" t="inlineStr">
        <is>
          <t>중위험</t>
        </is>
      </c>
      <c r="X189" s="24" t="inlineStr">
        <is>
          <t>HIGH_RISK</t>
        </is>
      </c>
      <c r="Y189" s="24" t="inlineStr">
        <is>
          <t>0.5823799649469713</t>
        </is>
      </c>
      <c r="Z189" s="24" t="inlineStr">
        <is>
          <t>MEDIUM</t>
        </is>
      </c>
      <c r="AA189" s="24" t="inlineStr">
        <is>
          <t>MEDIUM</t>
        </is>
      </c>
      <c r="AB189" s="24" t="inlineStr">
        <is>
          <t>0.025687830037607388</t>
        </is>
      </c>
      <c r="AC189" s="24" t="inlineStr">
        <is>
          <t>False</t>
        </is>
      </c>
      <c r="AD189" s="24" t="inlineStr">
        <is>
          <t>False</t>
        </is>
      </c>
      <c r="AE189" s="24" t="inlineStr">
        <is>
          <t>valuation_credit_ml_overlay_candidate.csv</t>
        </is>
      </c>
      <c r="AF189" s="24" t="inlineStr">
        <is>
          <t>208개 반도체 reference universe. Valuation Agent가 자체 intake 폴더로 복제해 Peer/ML/대시보드 비교에 사용.</t>
        </is>
      </c>
    </row>
    <row r="190" ht="24" customHeight="1">
      <c r="A190" s="29" t="inlineStr">
        <is>
          <t>84</t>
        </is>
      </c>
      <c r="B190" s="29" t="inlineStr">
        <is>
          <t>해당 없음</t>
        </is>
      </c>
      <c r="C190" s="29" t="inlineStr">
        <is>
          <t>러셀</t>
        </is>
      </c>
      <c r="D190" s="29" t="inlineStr">
        <is>
          <t>217500</t>
        </is>
      </c>
      <c r="E190" s="29" t="inlineStr">
        <is>
          <t>KOSDAQ</t>
        </is>
      </c>
      <c r="F190" s="29" t="inlineStr">
        <is>
          <t>장비</t>
        </is>
      </c>
      <c r="G190" s="29" t="inlineStr">
        <is>
          <t>장비</t>
        </is>
      </c>
      <c r="H190" s="29" t="inlineStr">
        <is>
          <t>False</t>
        </is>
      </c>
      <c r="I190" s="29" t="inlineStr">
        <is>
          <t>True</t>
        </is>
      </c>
      <c r="J190" s="29" t="inlineStr">
        <is>
          <t>OK</t>
        </is>
      </c>
      <c r="K190" s="29" t="inlineStr">
        <is>
          <t>데이터 사용 가능</t>
        </is>
      </c>
      <c r="L190" s="29" t="inlineStr">
        <is>
          <t>LOW</t>
        </is>
      </c>
      <c r="M190" s="29" t="inlineStr">
        <is>
          <t>LOW</t>
        </is>
      </c>
      <c r="N190" s="29" t="inlineStr">
        <is>
          <t>0.2889333333333334</t>
        </is>
      </c>
      <c r="O190" s="29" t="inlineStr">
        <is>
          <t>EXPENSIVE</t>
        </is>
      </c>
      <c r="P190" s="29" t="inlineStr">
        <is>
          <t>EXPENSIVE</t>
        </is>
      </c>
      <c r="Q190" s="29" t="inlineStr">
        <is>
          <t>EXPENSIVE</t>
        </is>
      </c>
      <c r="R190" s="29" t="inlineStr">
        <is>
          <t>0.873177337125051</t>
        </is>
      </c>
      <c r="S190" s="29" t="inlineStr">
        <is>
          <t>HIGH</t>
        </is>
      </c>
      <c r="T190" s="29" t="inlineStr">
        <is>
          <t>HIGH</t>
        </is>
      </c>
      <c r="U190" s="29" t="inlineStr">
        <is>
          <t>0.5714285714285714</t>
        </is>
      </c>
      <c r="V190" s="29" t="inlineStr">
        <is>
          <t>HIGH_RISK</t>
        </is>
      </c>
      <c r="W190" s="29" t="inlineStr">
        <is>
          <t>고위험</t>
        </is>
      </c>
      <c r="X190" s="29" t="inlineStr">
        <is>
          <t>HIGH_RISK</t>
        </is>
      </c>
      <c r="Y190" s="29" t="inlineStr">
        <is>
          <t>0.9431199578760465</t>
        </is>
      </c>
      <c r="Z190" s="29" t="inlineStr">
        <is>
          <t>HIGH</t>
        </is>
      </c>
      <c r="AA190" s="29" t="inlineStr">
        <is>
          <t>HIGH</t>
        </is>
      </c>
      <c r="AB190" s="29" t="inlineStr">
        <is>
          <t>0.17682420550247213</t>
        </is>
      </c>
      <c r="AC190" s="29" t="inlineStr">
        <is>
          <t>False</t>
        </is>
      </c>
      <c r="AD190" s="29" t="inlineStr">
        <is>
          <t>False</t>
        </is>
      </c>
      <c r="AE190" s="29" t="inlineStr">
        <is>
          <t>valuation_credit_ml_overlay_candidate.csv</t>
        </is>
      </c>
      <c r="AF190" s="29" t="inlineStr">
        <is>
          <t>208개 반도체 reference universe. Valuation Agent가 자체 intake 폴더로 복제해 Peer/ML/대시보드 비교에 사용.</t>
        </is>
      </c>
    </row>
    <row r="191" ht="24" customHeight="1">
      <c r="A191" s="24" t="inlineStr">
        <is>
          <t>86</t>
        </is>
      </c>
      <c r="B191" s="24" t="inlineStr">
        <is>
          <t>해당 없음</t>
        </is>
      </c>
      <c r="C191" s="24" t="inlineStr">
        <is>
          <t>미래컴퍼니</t>
        </is>
      </c>
      <c r="D191" s="24" t="inlineStr">
        <is>
          <t>049950</t>
        </is>
      </c>
      <c r="E191" s="24" t="inlineStr">
        <is>
          <t>KOSDAQ</t>
        </is>
      </c>
      <c r="F191" s="24" t="inlineStr">
        <is>
          <t>장비</t>
        </is>
      </c>
      <c r="G191" s="24" t="inlineStr">
        <is>
          <t>장비</t>
        </is>
      </c>
      <c r="H191" s="24" t="inlineStr">
        <is>
          <t>False</t>
        </is>
      </c>
      <c r="I191" s="24" t="inlineStr">
        <is>
          <t>True</t>
        </is>
      </c>
      <c r="J191" s="24" t="inlineStr">
        <is>
          <t>OK</t>
        </is>
      </c>
      <c r="K191" s="24" t="inlineStr">
        <is>
          <t>데이터 사용 가능</t>
        </is>
      </c>
      <c r="L191" s="24" t="inlineStr">
        <is>
          <t>LOW</t>
        </is>
      </c>
      <c r="M191" s="24" t="inlineStr">
        <is>
          <t>LOW</t>
        </is>
      </c>
      <c r="N191" s="24" t="inlineStr">
        <is>
          <t>0.2874666666666666</t>
        </is>
      </c>
      <c r="O191" s="24" t="inlineStr">
        <is>
          <t>EXPENSIVE</t>
        </is>
      </c>
      <c r="P191" s="24" t="inlineStr">
        <is>
          <t>EXPENSIVE</t>
        </is>
      </c>
      <c r="Q191" s="24" t="inlineStr">
        <is>
          <t>EXPENSIVE</t>
        </is>
      </c>
      <c r="R191" s="24" t="inlineStr">
        <is>
          <t>0.8354805452058427</t>
        </is>
      </c>
      <c r="S191" s="24" t="inlineStr">
        <is>
          <t>HIGH</t>
        </is>
      </c>
      <c r="T191" s="24" t="inlineStr">
        <is>
          <t>HIGH</t>
        </is>
      </c>
      <c r="U191" s="24" t="inlineStr">
        <is>
          <t>0.4285714285714285</t>
        </is>
      </c>
      <c r="V191" s="24" t="inlineStr">
        <is>
          <t>HIGH_RISK</t>
        </is>
      </c>
      <c r="W191" s="24" t="inlineStr">
        <is>
          <t>고위험</t>
        </is>
      </c>
      <c r="X191" s="24" t="inlineStr">
        <is>
          <t>HIGH_RISK</t>
        </is>
      </c>
      <c r="Y191" s="24" t="inlineStr">
        <is>
          <t>0.8989374267322742</t>
        </is>
      </c>
      <c r="Z191" s="24" t="inlineStr">
        <is>
          <t>HIGH</t>
        </is>
      </c>
      <c r="AA191" s="24" t="inlineStr">
        <is>
          <t>HIGH</t>
        </is>
      </c>
      <c r="AB191" s="24" t="inlineStr">
        <is>
          <t>0.23454395430777328</t>
        </is>
      </c>
      <c r="AC191" s="24" t="inlineStr">
        <is>
          <t>True</t>
        </is>
      </c>
      <c r="AD191" s="24" t="inlineStr">
        <is>
          <t>True</t>
        </is>
      </c>
      <c r="AE191" s="24" t="inlineStr">
        <is>
          <t>valuation_credit_ml_overlay_candidate.csv</t>
        </is>
      </c>
      <c r="AF191" s="24" t="inlineStr">
        <is>
          <t>208개 반도체 reference universe. Valuation Agent가 자체 intake 폴더로 복제해 Peer/ML/대시보드 비교에 사용.</t>
        </is>
      </c>
    </row>
    <row r="192" ht="24" customHeight="1">
      <c r="A192" s="29" t="inlineStr">
        <is>
          <t>100</t>
        </is>
      </c>
      <c r="B192" s="29" t="inlineStr">
        <is>
          <t>해당 없음</t>
        </is>
      </c>
      <c r="C192" s="29" t="inlineStr">
        <is>
          <t>예스티</t>
        </is>
      </c>
      <c r="D192" s="29" t="inlineStr">
        <is>
          <t>122640</t>
        </is>
      </c>
      <c r="E192" s="29" t="inlineStr">
        <is>
          <t>KOSDAQ</t>
        </is>
      </c>
      <c r="F192" s="29" t="inlineStr">
        <is>
          <t>장비</t>
        </is>
      </c>
      <c r="G192" s="29" t="inlineStr">
        <is>
          <t>장비</t>
        </is>
      </c>
      <c r="H192" s="29" t="inlineStr">
        <is>
          <t>False</t>
        </is>
      </c>
      <c r="I192" s="29" t="inlineStr">
        <is>
          <t>True</t>
        </is>
      </c>
      <c r="J192" s="29" t="inlineStr">
        <is>
          <t>OK</t>
        </is>
      </c>
      <c r="K192" s="29" t="inlineStr">
        <is>
          <t>데이터 사용 가능</t>
        </is>
      </c>
      <c r="L192" s="29" t="inlineStr">
        <is>
          <t>LOW</t>
        </is>
      </c>
      <c r="M192" s="29" t="inlineStr">
        <is>
          <t>LOW</t>
        </is>
      </c>
      <c r="N192" s="29" t="inlineStr">
        <is>
          <t>0.2778666666666666</t>
        </is>
      </c>
      <c r="O192" s="29" t="inlineStr">
        <is>
          <t>EXPENSIVE</t>
        </is>
      </c>
      <c r="P192" s="29" t="inlineStr">
        <is>
          <t>EXPENSIVE</t>
        </is>
      </c>
      <c r="Q192" s="29" t="inlineStr">
        <is>
          <t>EXPENSIVE</t>
        </is>
      </c>
      <c r="R192" s="29" t="inlineStr">
        <is>
          <t>0.8070752756860592</t>
        </is>
      </c>
      <c r="S192" s="29" t="inlineStr">
        <is>
          <t>HIGH</t>
        </is>
      </c>
      <c r="T192" s="29" t="inlineStr">
        <is>
          <t>HIGH</t>
        </is>
      </c>
      <c r="U192" s="29" t="inlineStr">
        <is>
          <t>0.2142857142857142</t>
        </is>
      </c>
      <c r="V192" s="29" t="inlineStr">
        <is>
          <t>MEDIUM_RISK</t>
        </is>
      </c>
      <c r="W192" s="29" t="inlineStr">
        <is>
          <t>중위험</t>
        </is>
      </c>
      <c r="X192" s="29" t="inlineStr">
        <is>
          <t>MEDIUM_RISK</t>
        </is>
      </c>
      <c r="Y192" s="29" t="inlineStr">
        <is>
          <t>0.6435379731563315</t>
        </is>
      </c>
      <c r="Z192" s="29" t="inlineStr">
        <is>
          <t>MEDIUM</t>
        </is>
      </c>
      <c r="AA192" s="29" t="inlineStr">
        <is>
          <t>MEDIUM</t>
        </is>
      </c>
      <c r="AB192" s="29" t="inlineStr">
        <is>
          <t>0.013991683799831916</t>
        </is>
      </c>
      <c r="AC192" s="29" t="inlineStr">
        <is>
          <t>False</t>
        </is>
      </c>
      <c r="AD192" s="29" t="inlineStr">
        <is>
          <t>False</t>
        </is>
      </c>
      <c r="AE192" s="29" t="inlineStr">
        <is>
          <t>valuation_credit_ml_overlay_candidate.csv</t>
        </is>
      </c>
      <c r="AF192" s="29" t="inlineStr">
        <is>
          <t>208개 반도체 reference universe. Valuation Agent가 자체 intake 폴더로 복제해 Peer/ML/대시보드 비교에 사용.</t>
        </is>
      </c>
    </row>
    <row r="193" ht="24" customHeight="1">
      <c r="A193" s="24" t="inlineStr">
        <is>
          <t>77</t>
        </is>
      </c>
      <c r="B193" s="24" t="inlineStr">
        <is>
          <t>해당 없음</t>
        </is>
      </c>
      <c r="C193" s="24" t="inlineStr">
        <is>
          <t>기가레인</t>
        </is>
      </c>
      <c r="D193" s="24" t="inlineStr">
        <is>
          <t>049080</t>
        </is>
      </c>
      <c r="E193" s="24" t="inlineStr">
        <is>
          <t>KOSDAQ</t>
        </is>
      </c>
      <c r="F193" s="24" t="inlineStr">
        <is>
          <t>장비</t>
        </is>
      </c>
      <c r="G193" s="24" t="inlineStr">
        <is>
          <t>장비</t>
        </is>
      </c>
      <c r="H193" s="24" t="inlineStr">
        <is>
          <t>False</t>
        </is>
      </c>
      <c r="I193" s="24" t="inlineStr">
        <is>
          <t>True</t>
        </is>
      </c>
      <c r="J193" s="24" t="inlineStr">
        <is>
          <t>OK</t>
        </is>
      </c>
      <c r="K193" s="24" t="inlineStr">
        <is>
          <t>데이터 사용 가능</t>
        </is>
      </c>
      <c r="L193" s="24" t="inlineStr">
        <is>
          <t>LOW</t>
        </is>
      </c>
      <c r="M193" s="24" t="inlineStr">
        <is>
          <t>LOW</t>
        </is>
      </c>
      <c r="N193" s="24" t="inlineStr">
        <is>
          <t>0.2353333333333333</t>
        </is>
      </c>
      <c r="O193" s="24" t="inlineStr">
        <is>
          <t>EXPENSIVE</t>
        </is>
      </c>
      <c r="P193" s="24" t="inlineStr">
        <is>
          <t>EXPENSIVE</t>
        </is>
      </c>
      <c r="Q193" s="24" t="inlineStr">
        <is>
          <t>EXPENSIVE</t>
        </is>
      </c>
      <c r="R193" s="24" t="inlineStr">
        <is>
          <t>0.9628494209555842</t>
        </is>
      </c>
      <c r="S193" s="24" t="inlineStr">
        <is>
          <t>HIGH</t>
        </is>
      </c>
      <c r="T193" s="24" t="inlineStr">
        <is>
          <t>HIGH</t>
        </is>
      </c>
      <c r="U193" s="24" t="inlineStr">
        <is>
          <t>0.5</t>
        </is>
      </c>
      <c r="V193" s="24" t="inlineStr">
        <is>
          <t>HIGH_RISK</t>
        </is>
      </c>
      <c r="W193" s="24" t="inlineStr">
        <is>
          <t>고위험</t>
        </is>
      </c>
      <c r="X193" s="24" t="inlineStr">
        <is>
          <t>HIGH_RISK</t>
        </is>
      </c>
      <c r="Y193" s="24" t="inlineStr">
        <is>
          <t>0.9675100472985046</t>
        </is>
      </c>
      <c r="Z193" s="24" t="inlineStr">
        <is>
          <t>HIGH</t>
        </is>
      </c>
      <c r="AA193" s="24" t="inlineStr">
        <is>
          <t>HIGH</t>
        </is>
      </c>
      <c r="AB193" s="24" t="inlineStr">
        <is>
          <t>0.24264303605410006</t>
        </is>
      </c>
      <c r="AC193" s="24" t="inlineStr">
        <is>
          <t>True</t>
        </is>
      </c>
      <c r="AD193" s="24" t="inlineStr">
        <is>
          <t>True</t>
        </is>
      </c>
      <c r="AE193" s="24" t="inlineStr">
        <is>
          <t>valuation_credit_ml_overlay_candidate.csv</t>
        </is>
      </c>
      <c r="AF193" s="24" t="inlineStr">
        <is>
          <t>208개 반도체 reference universe. Valuation Agent가 자체 intake 폴더로 복제해 Peer/ML/대시보드 비교에 사용.</t>
        </is>
      </c>
    </row>
    <row r="194" ht="24" customHeight="1">
      <c r="A194" s="29" t="inlineStr">
        <is>
          <t>79</t>
        </is>
      </c>
      <c r="B194" s="29" t="inlineStr">
        <is>
          <t>해당 없음</t>
        </is>
      </c>
      <c r="C194" s="29" t="inlineStr">
        <is>
          <t>넥스틴</t>
        </is>
      </c>
      <c r="D194" s="29" t="inlineStr">
        <is>
          <t>348210</t>
        </is>
      </c>
      <c r="E194" s="29" t="inlineStr">
        <is>
          <t>KOSDAQ GLOBAL</t>
        </is>
      </c>
      <c r="F194" s="29" t="inlineStr">
        <is>
          <t>장비</t>
        </is>
      </c>
      <c r="G194" s="29" t="inlineStr">
        <is>
          <t>장비</t>
        </is>
      </c>
      <c r="H194" s="29" t="inlineStr">
        <is>
          <t>False</t>
        </is>
      </c>
      <c r="I194" s="29" t="inlineStr">
        <is>
          <t>True</t>
        </is>
      </c>
      <c r="J194" s="29" t="inlineStr">
        <is>
          <t>OK</t>
        </is>
      </c>
      <c r="K194" s="29" t="inlineStr">
        <is>
          <t>데이터 사용 가능</t>
        </is>
      </c>
      <c r="L194" s="29" t="inlineStr">
        <is>
          <t>LOW</t>
        </is>
      </c>
      <c r="M194" s="29" t="inlineStr">
        <is>
          <t>LOW</t>
        </is>
      </c>
      <c r="N194" s="29" t="inlineStr">
        <is>
          <t>0.2353333333333333</t>
        </is>
      </c>
      <c r="O194" s="29" t="inlineStr">
        <is>
          <t>EXPENSIVE</t>
        </is>
      </c>
      <c r="P194" s="29" t="inlineStr">
        <is>
          <t>EXPENSIVE</t>
        </is>
      </c>
      <c r="Q194" s="29" t="inlineStr">
        <is>
          <t>EXPENSIVE</t>
        </is>
      </c>
      <c r="R194" s="29" t="inlineStr">
        <is>
          <t>0.7906546201121369</t>
        </is>
      </c>
      <c r="S194" s="29" t="inlineStr">
        <is>
          <t>HIGH</t>
        </is>
      </c>
      <c r="T194" s="29" t="inlineStr">
        <is>
          <t>HIGH</t>
        </is>
      </c>
      <c r="U194" s="29" t="inlineStr">
        <is>
          <t>0.4285714285714285</t>
        </is>
      </c>
      <c r="V194" s="29" t="inlineStr">
        <is>
          <t>HIGH_RISK</t>
        </is>
      </c>
      <c r="W194" s="29" t="inlineStr">
        <is>
          <t>고위험</t>
        </is>
      </c>
      <c r="X194" s="29" t="inlineStr">
        <is>
          <t>HIGH_RISK</t>
        </is>
      </c>
      <c r="Y194" s="29" t="inlineStr">
        <is>
          <t>0.8216799677089676</t>
        </is>
      </c>
      <c r="Z194" s="29" t="inlineStr">
        <is>
          <t>HIGH</t>
        </is>
      </c>
      <c r="AA194" s="29" t="inlineStr">
        <is>
          <t>HIGH</t>
        </is>
      </c>
      <c r="AB194" s="29" t="inlineStr">
        <is>
          <t>0.0826003513380603</t>
        </is>
      </c>
      <c r="AC194" s="29" t="inlineStr">
        <is>
          <t>False</t>
        </is>
      </c>
      <c r="AD194" s="29" t="inlineStr">
        <is>
          <t>False</t>
        </is>
      </c>
      <c r="AE194" s="29" t="inlineStr">
        <is>
          <t>valuation_credit_ml_overlay_candidate.csv</t>
        </is>
      </c>
      <c r="AF194" s="29" t="inlineStr">
        <is>
          <t>208개 반도체 reference universe. Valuation Agent가 자체 intake 폴더로 복제해 Peer/ML/대시보드 비교에 사용.</t>
        </is>
      </c>
    </row>
    <row r="195" ht="24" customHeight="1">
      <c r="A195" s="24" t="inlineStr">
        <is>
          <t>110</t>
        </is>
      </c>
      <c r="B195" s="24" t="inlineStr">
        <is>
          <t>해당 없음</t>
        </is>
      </c>
      <c r="C195" s="24" t="inlineStr">
        <is>
          <t>주성엔지니어링</t>
        </is>
      </c>
      <c r="D195" s="24" t="inlineStr">
        <is>
          <t>036930</t>
        </is>
      </c>
      <c r="E195" s="24" t="inlineStr">
        <is>
          <t>KOSDAQ GLOBAL</t>
        </is>
      </c>
      <c r="F195" s="24" t="inlineStr">
        <is>
          <t>장비</t>
        </is>
      </c>
      <c r="G195" s="24" t="inlineStr">
        <is>
          <t>장비</t>
        </is>
      </c>
      <c r="H195" s="24" t="inlineStr">
        <is>
          <t>False</t>
        </is>
      </c>
      <c r="I195" s="24" t="inlineStr">
        <is>
          <t>True</t>
        </is>
      </c>
      <c r="J195" s="24" t="inlineStr">
        <is>
          <t>OK</t>
        </is>
      </c>
      <c r="K195" s="24" t="inlineStr">
        <is>
          <t>데이터 사용 가능</t>
        </is>
      </c>
      <c r="L195" s="24" t="inlineStr">
        <is>
          <t>LOW</t>
        </is>
      </c>
      <c r="M195" s="24" t="inlineStr">
        <is>
          <t>LOW</t>
        </is>
      </c>
      <c r="N195" s="24" t="inlineStr">
        <is>
          <t>0.2335999999999999</t>
        </is>
      </c>
      <c r="O195" s="24" t="inlineStr">
        <is>
          <t>EXPENSIVE</t>
        </is>
      </c>
      <c r="P195" s="24" t="inlineStr">
        <is>
          <t>EXPENSIVE</t>
        </is>
      </c>
      <c r="Q195" s="24" t="inlineStr">
        <is>
          <t>EXPENSIVE</t>
        </is>
      </c>
      <c r="R195" s="24" t="inlineStr">
        <is>
          <t>0.7918979957613304</t>
        </is>
      </c>
      <c r="S195" s="24" t="inlineStr">
        <is>
          <t>HIGH</t>
        </is>
      </c>
      <c r="T195" s="24" t="inlineStr">
        <is>
          <t>HIGH</t>
        </is>
      </c>
      <c r="U195" s="24" t="inlineStr">
        <is>
          <t>0.2857142857142857</t>
        </is>
      </c>
      <c r="V195" s="24" t="inlineStr">
        <is>
          <t>MEDIUM_RISK</t>
        </is>
      </c>
      <c r="W195" s="24" t="inlineStr">
        <is>
          <t>중위험</t>
        </is>
      </c>
      <c r="X195" s="24" t="inlineStr">
        <is>
          <t>MEDIUM_RISK</t>
        </is>
      </c>
      <c r="Y195" s="24" t="inlineStr">
        <is>
          <t>0.4347911224964779</t>
        </is>
      </c>
      <c r="Z195" s="24" t="inlineStr">
        <is>
          <t>LOW</t>
        </is>
      </c>
      <c r="AA195" s="24" t="inlineStr">
        <is>
          <t>LOW</t>
        </is>
      </c>
      <c r="AB195" s="24" t="inlineStr">
        <is>
          <t>0.0617535897003664</t>
        </is>
      </c>
      <c r="AC195" s="24" t="inlineStr">
        <is>
          <t>False</t>
        </is>
      </c>
      <c r="AD195" s="24" t="inlineStr">
        <is>
          <t>True</t>
        </is>
      </c>
      <c r="AE195" s="24" t="inlineStr">
        <is>
          <t>valuation_credit_ml_overlay_candidate.csv</t>
        </is>
      </c>
      <c r="AF195" s="24" t="inlineStr">
        <is>
          <t>208개 반도체 reference universe. Valuation Agent가 자체 intake 폴더로 복제해 Peer/ML/대시보드 비교에 사용.</t>
        </is>
      </c>
    </row>
    <row r="196" ht="24" customHeight="1">
      <c r="A196" s="29" t="inlineStr">
        <is>
          <t>122</t>
        </is>
      </c>
      <c r="B196" s="29" t="inlineStr">
        <is>
          <t>해당 없음</t>
        </is>
      </c>
      <c r="C196" s="29" t="inlineStr">
        <is>
          <t>필옵틱스</t>
        </is>
      </c>
      <c r="D196" s="29" t="inlineStr">
        <is>
          <t>161580</t>
        </is>
      </c>
      <c r="E196" s="29" t="inlineStr">
        <is>
          <t>KOSDAQ</t>
        </is>
      </c>
      <c r="F196" s="29" t="inlineStr">
        <is>
          <t>장비</t>
        </is>
      </c>
      <c r="G196" s="29" t="inlineStr">
        <is>
          <t>장비</t>
        </is>
      </c>
      <c r="H196" s="29" t="inlineStr">
        <is>
          <t>False</t>
        </is>
      </c>
      <c r="I196" s="29" t="inlineStr">
        <is>
          <t>True</t>
        </is>
      </c>
      <c r="J196" s="29" t="inlineStr">
        <is>
          <t>OK</t>
        </is>
      </c>
      <c r="K196" s="29" t="inlineStr">
        <is>
          <t>데이터 사용 가능</t>
        </is>
      </c>
      <c r="L196" s="29" t="inlineStr">
        <is>
          <t>LOW</t>
        </is>
      </c>
      <c r="M196" s="29" t="inlineStr">
        <is>
          <t>LOW</t>
        </is>
      </c>
      <c r="N196" s="29" t="inlineStr">
        <is>
          <t>0.1741333333333333</t>
        </is>
      </c>
      <c r="O196" s="29" t="inlineStr">
        <is>
          <t>EXPENSIVE</t>
        </is>
      </c>
      <c r="P196" s="29" t="inlineStr">
        <is>
          <t>EXPENSIVE</t>
        </is>
      </c>
      <c r="Q196" s="29" t="inlineStr">
        <is>
          <t>EXPENSIVE</t>
        </is>
      </c>
      <c r="R196" s="29" t="inlineStr">
        <is>
          <t>0.9632435860929522</t>
        </is>
      </c>
      <c r="S196" s="29" t="inlineStr">
        <is>
          <t>HIGH</t>
        </is>
      </c>
      <c r="T196" s="29" t="inlineStr">
        <is>
          <t>HIGH</t>
        </is>
      </c>
      <c r="U196" s="29" t="inlineStr">
        <is>
          <t>0.2857142857142857</t>
        </is>
      </c>
      <c r="V196" s="29" t="inlineStr">
        <is>
          <t>MEDIUM_RISK</t>
        </is>
      </c>
      <c r="W196" s="29" t="inlineStr">
        <is>
          <t>중위험</t>
        </is>
      </c>
      <c r="X196" s="29" t="inlineStr">
        <is>
          <t>MEDIUM_RISK</t>
        </is>
      </c>
      <c r="Y196" s="29" t="inlineStr">
        <is>
          <t>0.6167987381468966</t>
        </is>
      </c>
      <c r="Z196" s="29" t="inlineStr">
        <is>
          <t>MEDIUM</t>
        </is>
      </c>
      <c r="AA196" s="29" t="inlineStr">
        <is>
          <t>MEDIUM</t>
        </is>
      </c>
      <c r="AB196" s="29" t="inlineStr">
        <is>
          <t>0.06203854489426491</t>
        </is>
      </c>
      <c r="AC196" s="29" t="inlineStr">
        <is>
          <t>False</t>
        </is>
      </c>
      <c r="AD196" s="29" t="inlineStr">
        <is>
          <t>False</t>
        </is>
      </c>
      <c r="AE196" s="29" t="inlineStr">
        <is>
          <t>valuation_credit_ml_overlay_candidate.csv</t>
        </is>
      </c>
      <c r="AF196" s="29" t="inlineStr">
        <is>
          <t>208개 반도체 reference universe. Valuation Agent가 자체 intake 폴더로 복제해 Peer/ML/대시보드 비교에 사용.</t>
        </is>
      </c>
    </row>
    <row r="197" ht="24" customHeight="1">
      <c r="A197" s="24" t="inlineStr">
        <is>
          <t>62</t>
        </is>
      </c>
      <c r="B197" s="24" t="inlineStr">
        <is>
          <t>해당 없음</t>
        </is>
      </c>
      <c r="C197" s="24" t="inlineStr">
        <is>
          <t>에스에이엠티</t>
        </is>
      </c>
      <c r="D197" s="24" t="inlineStr">
        <is>
          <t>031330</t>
        </is>
      </c>
      <c r="E197" s="24" t="inlineStr">
        <is>
          <t>KOSDAQ</t>
        </is>
      </c>
      <c r="F197" s="24" t="inlineStr">
        <is>
          <t>팹리스/설계</t>
        </is>
      </c>
      <c r="G197" s="24" t="inlineStr">
        <is>
          <t>팹리스/설계</t>
        </is>
      </c>
      <c r="H197" s="24" t="inlineStr">
        <is>
          <t>False</t>
        </is>
      </c>
      <c r="I197" s="24" t="inlineStr">
        <is>
          <t>True</t>
        </is>
      </c>
      <c r="J197" s="24" t="inlineStr">
        <is>
          <t>OK</t>
        </is>
      </c>
      <c r="K197" s="24" t="inlineStr">
        <is>
          <t>데이터 사용 가능</t>
        </is>
      </c>
      <c r="L197" s="24" t="inlineStr">
        <is>
          <t>LOW</t>
        </is>
      </c>
      <c r="M197" s="24" t="inlineStr">
        <is>
          <t>LOW</t>
        </is>
      </c>
      <c r="N197" s="24" t="inlineStr">
        <is>
          <t>0.7838383838383839</t>
        </is>
      </c>
      <c r="O197" s="24" t="inlineStr">
        <is>
          <t>FAIR</t>
        </is>
      </c>
      <c r="P197" s="24" t="inlineStr">
        <is>
          <t>FAIR</t>
        </is>
      </c>
      <c r="Q197" s="24" t="inlineStr">
        <is>
          <t>FAIR</t>
        </is>
      </c>
      <c r="R197" s="24" t="inlineStr">
        <is>
          <t>0.8575928985222669</t>
        </is>
      </c>
      <c r="S197" s="24" t="inlineStr">
        <is>
          <t>HIGH</t>
        </is>
      </c>
      <c r="T197" s="24" t="inlineStr">
        <is>
          <t>HIGH</t>
        </is>
      </c>
      <c r="U197" s="24" t="inlineStr">
        <is>
          <t>0.5</t>
        </is>
      </c>
      <c r="V197" s="24" t="inlineStr">
        <is>
          <t>HIGH_RISK</t>
        </is>
      </c>
      <c r="W197" s="24" t="inlineStr">
        <is>
          <t>고위험</t>
        </is>
      </c>
      <c r="X197" s="24" t="inlineStr">
        <is>
          <t>HIGH_RISK</t>
        </is>
      </c>
      <c r="Y197" s="24" t="inlineStr">
        <is>
          <t>0.5021487096911619</t>
        </is>
      </c>
      <c r="Z197" s="24" t="inlineStr">
        <is>
          <t>MEDIUM</t>
        </is>
      </c>
      <c r="AA197" s="24" t="inlineStr">
        <is>
          <t>MEDIUM</t>
        </is>
      </c>
      <c r="AB197" s="24" t="inlineStr">
        <is>
          <t>0.11372149345925425</t>
        </is>
      </c>
      <c r="AC197" s="24" t="inlineStr">
        <is>
          <t>False</t>
        </is>
      </c>
      <c r="AD197" s="24" t="inlineStr">
        <is>
          <t>False</t>
        </is>
      </c>
      <c r="AE197" s="24" t="inlineStr">
        <is>
          <t>valuation_credit_ml_overlay_candidate.csv</t>
        </is>
      </c>
      <c r="AF197" s="24" t="inlineStr">
        <is>
          <t>208개 반도체 reference universe. Valuation Agent가 자체 intake 폴더로 복제해 Peer/ML/대시보드 비교에 사용.</t>
        </is>
      </c>
    </row>
    <row r="198" ht="24" customHeight="1">
      <c r="A198" s="29" t="inlineStr">
        <is>
          <t>65</t>
        </is>
      </c>
      <c r="B198" s="29" t="inlineStr">
        <is>
          <t>해당 없음</t>
        </is>
      </c>
      <c r="C198" s="29" t="inlineStr">
        <is>
          <t>유니트론텍</t>
        </is>
      </c>
      <c r="D198" s="29" t="inlineStr">
        <is>
          <t>142210</t>
        </is>
      </c>
      <c r="E198" s="29" t="inlineStr">
        <is>
          <t>KOSDAQ</t>
        </is>
      </c>
      <c r="F198" s="29" t="inlineStr">
        <is>
          <t>팹리스/설계</t>
        </is>
      </c>
      <c r="G198" s="29" t="inlineStr">
        <is>
          <t>팹리스/설계</t>
        </is>
      </c>
      <c r="H198" s="29" t="inlineStr">
        <is>
          <t>False</t>
        </is>
      </c>
      <c r="I198" s="29" t="inlineStr">
        <is>
          <t>True</t>
        </is>
      </c>
      <c r="J198" s="29" t="inlineStr">
        <is>
          <t>OK</t>
        </is>
      </c>
      <c r="K198" s="29" t="inlineStr">
        <is>
          <t>데이터 사용 가능</t>
        </is>
      </c>
      <c r="L198" s="29" t="inlineStr">
        <is>
          <t>LOW</t>
        </is>
      </c>
      <c r="M198" s="29" t="inlineStr">
        <is>
          <t>LOW</t>
        </is>
      </c>
      <c r="N198" s="29" t="inlineStr">
        <is>
          <t>0.7478787878787879</t>
        </is>
      </c>
      <c r="O198" s="29" t="inlineStr">
        <is>
          <t>FAIR</t>
        </is>
      </c>
      <c r="P198" s="29" t="inlineStr">
        <is>
          <t>FAIR</t>
        </is>
      </c>
      <c r="Q198" s="29" t="inlineStr">
        <is>
          <t>FAIR</t>
        </is>
      </c>
      <c r="R198" s="29" t="inlineStr">
        <is>
          <t>0.8593164302034415</t>
        </is>
      </c>
      <c r="S198" s="29" t="inlineStr">
        <is>
          <t>HIGH</t>
        </is>
      </c>
      <c r="T198" s="29" t="inlineStr">
        <is>
          <t>HIGH</t>
        </is>
      </c>
      <c r="U198" s="29" t="inlineStr">
        <is>
          <t>0.3571428571428571</t>
        </is>
      </c>
      <c r="V198" s="29" t="inlineStr">
        <is>
          <t>MEDIUM_RISK</t>
        </is>
      </c>
      <c r="W198" s="29" t="inlineStr">
        <is>
          <t>중위험</t>
        </is>
      </c>
      <c r="X198" s="29" t="inlineStr">
        <is>
          <t>MEDIUM_RISK</t>
        </is>
      </c>
      <c r="Y198" s="29" t="inlineStr">
        <is>
          <t>0.6687746551665015</t>
        </is>
      </c>
      <c r="Z198" s="29" t="inlineStr">
        <is>
          <t>MEDIUM</t>
        </is>
      </c>
      <c r="AA198" s="29" t="inlineStr">
        <is>
          <t>MEDIUM</t>
        </is>
      </c>
      <c r="AB198" s="29" t="inlineStr">
        <is>
          <t>0.05354194050015521</t>
        </is>
      </c>
      <c r="AC198" s="29" t="inlineStr">
        <is>
          <t>False</t>
        </is>
      </c>
      <c r="AD198" s="29" t="inlineStr">
        <is>
          <t>False</t>
        </is>
      </c>
      <c r="AE198" s="29" t="inlineStr">
        <is>
          <t>valuation_credit_ml_overlay_candidate.csv</t>
        </is>
      </c>
      <c r="AF198" s="29" t="inlineStr">
        <is>
          <t>208개 반도체 reference universe. Valuation Agent가 자체 intake 폴더로 복제해 Peer/ML/대시보드 비교에 사용.</t>
        </is>
      </c>
    </row>
    <row r="199" ht="24" customHeight="1">
      <c r="A199" s="24" t="inlineStr">
        <is>
          <t>60</t>
        </is>
      </c>
      <c r="B199" s="24" t="inlineStr">
        <is>
          <t>해당 없음</t>
        </is>
      </c>
      <c r="C199" s="24" t="inlineStr">
        <is>
          <t>앤씨앤</t>
        </is>
      </c>
      <c r="D199" s="24" t="inlineStr">
        <is>
          <t>092600</t>
        </is>
      </c>
      <c r="E199" s="24" t="inlineStr">
        <is>
          <t>KOSDAQ</t>
        </is>
      </c>
      <c r="F199" s="24" t="inlineStr">
        <is>
          <t>팹리스/설계</t>
        </is>
      </c>
      <c r="G199" s="24" t="inlineStr">
        <is>
          <t>팹리스/설계</t>
        </is>
      </c>
      <c r="H199" s="24" t="inlineStr">
        <is>
          <t>False</t>
        </is>
      </c>
      <c r="I199" s="24" t="inlineStr">
        <is>
          <t>True</t>
        </is>
      </c>
      <c r="J199" s="24" t="inlineStr">
        <is>
          <t>OK</t>
        </is>
      </c>
      <c r="K199" s="24" t="inlineStr">
        <is>
          <t>데이터 사용 가능</t>
        </is>
      </c>
      <c r="L199" s="24" t="inlineStr">
        <is>
          <t>LOW</t>
        </is>
      </c>
      <c r="M199" s="24" t="inlineStr">
        <is>
          <t>LOW</t>
        </is>
      </c>
      <c r="N199" s="24" t="inlineStr">
        <is>
          <t>0.7450505050505051</t>
        </is>
      </c>
      <c r="O199" s="24" t="inlineStr">
        <is>
          <t>FAIR</t>
        </is>
      </c>
      <c r="P199" s="24" t="inlineStr">
        <is>
          <t>FAIR</t>
        </is>
      </c>
      <c r="Q199" s="24" t="inlineStr">
        <is>
          <t>FAIR</t>
        </is>
      </c>
      <c r="R199" s="24" t="inlineStr">
        <is>
          <t>0.8450252323777523</t>
        </is>
      </c>
      <c r="S199" s="24" t="inlineStr">
        <is>
          <t>HIGH</t>
        </is>
      </c>
      <c r="T199" s="24" t="inlineStr">
        <is>
          <t>HIGH</t>
        </is>
      </c>
      <c r="U199" s="24" t="inlineStr">
        <is>
          <t>0.5</t>
        </is>
      </c>
      <c r="V199" s="24" t="inlineStr">
        <is>
          <t>HIGH_RISK</t>
        </is>
      </c>
      <c r="W199" s="24" t="inlineStr">
        <is>
          <t>고위험</t>
        </is>
      </c>
      <c r="X199" s="24" t="inlineStr">
        <is>
          <t>HIGH_RISK</t>
        </is>
      </c>
      <c r="Y199" s="24" t="inlineStr">
        <is>
          <t>0.6852720703017778</t>
        </is>
      </c>
      <c r="Z199" s="24" t="inlineStr">
        <is>
          <t>MEDIUM</t>
        </is>
      </c>
      <c r="AA199" s="24" t="inlineStr">
        <is>
          <t>MEDIUM</t>
        </is>
      </c>
      <c r="AB199" s="24" t="inlineStr">
        <is>
          <t>0.05126917274476802</t>
        </is>
      </c>
      <c r="AC199" s="24" t="inlineStr">
        <is>
          <t>False</t>
        </is>
      </c>
      <c r="AD199" s="24" t="inlineStr">
        <is>
          <t>False</t>
        </is>
      </c>
      <c r="AE199" s="24" t="inlineStr">
        <is>
          <t>valuation_credit_ml_overlay_candidate.csv</t>
        </is>
      </c>
      <c r="AF199" s="24" t="inlineStr">
        <is>
          <t>208개 반도체 reference universe. Valuation Agent가 자체 intake 폴더로 복제해 Peer/ML/대시보드 비교에 사용.</t>
        </is>
      </c>
    </row>
    <row r="200" ht="24" customHeight="1">
      <c r="A200" s="29" t="inlineStr">
        <is>
          <t>47</t>
        </is>
      </c>
      <c r="B200" s="29" t="inlineStr">
        <is>
          <t>해당 없음</t>
        </is>
      </c>
      <c r="C200" s="29" t="inlineStr">
        <is>
          <t>마이크로컨텍솔</t>
        </is>
      </c>
      <c r="D200" s="29" t="inlineStr">
        <is>
          <t>098120</t>
        </is>
      </c>
      <c r="E200" s="29" t="inlineStr">
        <is>
          <t>KOSDAQ</t>
        </is>
      </c>
      <c r="F200" s="29" t="inlineStr">
        <is>
          <t>팹리스/설계</t>
        </is>
      </c>
      <c r="G200" s="29" t="inlineStr">
        <is>
          <t>팹리스/설계</t>
        </is>
      </c>
      <c r="H200" s="29" t="inlineStr">
        <is>
          <t>False</t>
        </is>
      </c>
      <c r="I200" s="29" t="inlineStr">
        <is>
          <t>True</t>
        </is>
      </c>
      <c r="J200" s="29" t="inlineStr">
        <is>
          <t>OK</t>
        </is>
      </c>
      <c r="K200" s="29" t="inlineStr">
        <is>
          <t>데이터 사용 가능</t>
        </is>
      </c>
      <c r="L200" s="29" t="inlineStr">
        <is>
          <t>LOW</t>
        </is>
      </c>
      <c r="M200" s="29" t="inlineStr">
        <is>
          <t>LOW</t>
        </is>
      </c>
      <c r="N200" s="29" t="inlineStr">
        <is>
          <t>0.7383838383838384</t>
        </is>
      </c>
      <c r="O200" s="29" t="inlineStr">
        <is>
          <t>ATTRACTIVE</t>
        </is>
      </c>
      <c r="P200" s="29" t="inlineStr">
        <is>
          <t>가치 매력</t>
        </is>
      </c>
      <c r="Q200" s="29" t="inlineStr">
        <is>
          <t>ATTRACTIVE</t>
        </is>
      </c>
      <c r="R200" s="29" t="inlineStr">
        <is>
          <t>0.8262966149459129</t>
        </is>
      </c>
      <c r="S200" s="29" t="inlineStr">
        <is>
          <t>HIGH</t>
        </is>
      </c>
      <c r="T200" s="29" t="inlineStr">
        <is>
          <t>HIGH</t>
        </is>
      </c>
      <c r="U200" s="29" t="inlineStr">
        <is>
          <t>0.1428571428571428</t>
        </is>
      </c>
      <c r="V200" s="29" t="inlineStr">
        <is>
          <t>LOW_RISK</t>
        </is>
      </c>
      <c r="W200" s="29" t="inlineStr">
        <is>
          <t>저위험</t>
        </is>
      </c>
      <c r="X200" s="29" t="inlineStr">
        <is>
          <t>LOW_RISK</t>
        </is>
      </c>
      <c r="Y200" s="29" t="inlineStr">
        <is>
          <t>0.7491981695245683</t>
        </is>
      </c>
      <c r="Z200" s="29" t="inlineStr">
        <is>
          <t>HIGH</t>
        </is>
      </c>
      <c r="AA200" s="29" t="inlineStr">
        <is>
          <t>HIGH</t>
        </is>
      </c>
      <c r="AB200" s="29" t="inlineStr">
        <is>
          <t>0.08427857084894262</t>
        </is>
      </c>
      <c r="AC200" s="29" t="inlineStr">
        <is>
          <t>False</t>
        </is>
      </c>
      <c r="AD200" s="29" t="inlineStr">
        <is>
          <t>False</t>
        </is>
      </c>
      <c r="AE200" s="29" t="inlineStr">
        <is>
          <t>valuation_credit_ml_overlay_candidate.csv</t>
        </is>
      </c>
      <c r="AF200" s="29" t="inlineStr">
        <is>
          <t>208개 반도체 reference universe. Valuation Agent가 자체 intake 폴더로 복제해 Peer/ML/대시보드 비교에 사용.</t>
        </is>
      </c>
    </row>
    <row r="201" ht="24" customHeight="1">
      <c r="A201" s="24" t="inlineStr">
        <is>
          <t>55</t>
        </is>
      </c>
      <c r="B201" s="24" t="inlineStr">
        <is>
          <t>해당 없음</t>
        </is>
      </c>
      <c r="C201" s="24" t="inlineStr">
        <is>
          <t>아이앤씨</t>
        </is>
      </c>
      <c r="D201" s="24" t="inlineStr">
        <is>
          <t>052860</t>
        </is>
      </c>
      <c r="E201" s="24" t="inlineStr">
        <is>
          <t>KOSDAQ</t>
        </is>
      </c>
      <c r="F201" s="24" t="inlineStr">
        <is>
          <t>팹리스/설계</t>
        </is>
      </c>
      <c r="G201" s="24" t="inlineStr">
        <is>
          <t>팹리스/설계</t>
        </is>
      </c>
      <c r="H201" s="24" t="inlineStr">
        <is>
          <t>False</t>
        </is>
      </c>
      <c r="I201" s="24" t="inlineStr">
        <is>
          <t>True</t>
        </is>
      </c>
      <c r="J201" s="24" t="inlineStr">
        <is>
          <t>OK</t>
        </is>
      </c>
      <c r="K201" s="24" t="inlineStr">
        <is>
          <t>데이터 사용 가능</t>
        </is>
      </c>
      <c r="L201" s="24" t="inlineStr">
        <is>
          <t>LOW</t>
        </is>
      </c>
      <c r="M201" s="24" t="inlineStr">
        <is>
          <t>LOW</t>
        </is>
      </c>
      <c r="N201" s="24" t="inlineStr">
        <is>
          <t>0.7325252525252526</t>
        </is>
      </c>
      <c r="O201" s="24" t="inlineStr">
        <is>
          <t>ATTRACTIVE</t>
        </is>
      </c>
      <c r="P201" s="24" t="inlineStr">
        <is>
          <t>가치 매력</t>
        </is>
      </c>
      <c r="Q201" s="24" t="inlineStr">
        <is>
          <t>ATTRACTIVE</t>
        </is>
      </c>
      <c r="R201" s="24" t="inlineStr">
        <is>
          <t>0.9267130449922303</t>
        </is>
      </c>
      <c r="S201" s="24" t="inlineStr">
        <is>
          <t>HIGH</t>
        </is>
      </c>
      <c r="T201" s="24" t="inlineStr">
        <is>
          <t>HIGH</t>
        </is>
      </c>
      <c r="U201" s="24" t="inlineStr">
        <is>
          <t>0.0</t>
        </is>
      </c>
      <c r="V201" s="24" t="inlineStr">
        <is>
          <t>LOW_RISK</t>
        </is>
      </c>
      <c r="W201" s="24" t="inlineStr">
        <is>
          <t>저위험</t>
        </is>
      </c>
      <c r="X201" s="24" t="inlineStr">
        <is>
          <t>LOW_RISK</t>
        </is>
      </c>
      <c r="Y201" s="24" t="inlineStr">
        <is>
          <t>0.8920304728976969</t>
        </is>
      </c>
      <c r="Z201" s="24" t="inlineStr">
        <is>
          <t>HIGH</t>
        </is>
      </c>
      <c r="AA201" s="24" t="inlineStr">
        <is>
          <t>HIGH</t>
        </is>
      </c>
      <c r="AB201" s="24" t="inlineStr">
        <is>
          <t>0.022475117759514655</t>
        </is>
      </c>
      <c r="AC201" s="24" t="inlineStr">
        <is>
          <t>False</t>
        </is>
      </c>
      <c r="AD201" s="24" t="inlineStr">
        <is>
          <t>False</t>
        </is>
      </c>
      <c r="AE201" s="24" t="inlineStr">
        <is>
          <t>valuation_credit_ml_overlay_candidate.csv</t>
        </is>
      </c>
      <c r="AF201" s="24" t="inlineStr">
        <is>
          <t>208개 반도체 reference universe. Valuation Agent가 자체 intake 폴더로 복제해 Peer/ML/대시보드 비교에 사용.</t>
        </is>
      </c>
    </row>
    <row r="202" ht="24" customHeight="1">
      <c r="A202" s="29" t="inlineStr">
        <is>
          <t>48</t>
        </is>
      </c>
      <c r="B202" s="29" t="inlineStr">
        <is>
          <t>해당 없음</t>
        </is>
      </c>
      <c r="C202" s="29" t="inlineStr">
        <is>
          <t>매커스</t>
        </is>
      </c>
      <c r="D202" s="29" t="inlineStr">
        <is>
          <t>093520</t>
        </is>
      </c>
      <c r="E202" s="29" t="inlineStr">
        <is>
          <t>KOSDAQ</t>
        </is>
      </c>
      <c r="F202" s="29" t="inlineStr">
        <is>
          <t>팹리스/설계</t>
        </is>
      </c>
      <c r="G202" s="29" t="inlineStr">
        <is>
          <t>팹리스/설계</t>
        </is>
      </c>
      <c r="H202" s="29" t="inlineStr">
        <is>
          <t>False</t>
        </is>
      </c>
      <c r="I202" s="29" t="inlineStr">
        <is>
          <t>True</t>
        </is>
      </c>
      <c r="J202" s="29" t="inlineStr">
        <is>
          <t>OK</t>
        </is>
      </c>
      <c r="K202" s="29" t="inlineStr">
        <is>
          <t>데이터 사용 가능</t>
        </is>
      </c>
      <c r="L202" s="29" t="inlineStr">
        <is>
          <t>LOW</t>
        </is>
      </c>
      <c r="M202" s="29" t="inlineStr">
        <is>
          <t>LOW</t>
        </is>
      </c>
      <c r="N202" s="29" t="inlineStr">
        <is>
          <t>0.7056565656565656</t>
        </is>
      </c>
      <c r="O202" s="29" t="inlineStr">
        <is>
          <t>ATTRACTIVE</t>
        </is>
      </c>
      <c r="P202" s="29" t="inlineStr">
        <is>
          <t>가치 매력</t>
        </is>
      </c>
      <c r="Q202" s="29" t="inlineStr">
        <is>
          <t>ATTRACTIVE</t>
        </is>
      </c>
      <c r="R202" s="29" t="inlineStr">
        <is>
          <t>0.9375173489226767</t>
        </is>
      </c>
      <c r="S202" s="29" t="inlineStr">
        <is>
          <t>HIGH</t>
        </is>
      </c>
      <c r="T202" s="29" t="inlineStr">
        <is>
          <t>HIGH</t>
        </is>
      </c>
      <c r="U202" s="29" t="inlineStr">
        <is>
          <t>0.0</t>
        </is>
      </c>
      <c r="V202" s="29" t="inlineStr">
        <is>
          <t>LOW_RISK</t>
        </is>
      </c>
      <c r="W202" s="29" t="inlineStr">
        <is>
          <t>저위험</t>
        </is>
      </c>
      <c r="X202" s="29" t="inlineStr">
        <is>
          <t>LOW_RISK</t>
        </is>
      </c>
      <c r="Y202" s="29" t="inlineStr">
        <is>
          <t>0.8297390345025338</t>
        </is>
      </c>
      <c r="Z202" s="29" t="inlineStr">
        <is>
          <t>HIGH</t>
        </is>
      </c>
      <c r="AA202" s="29" t="inlineStr">
        <is>
          <t>HIGH</t>
        </is>
      </c>
      <c r="AB202" s="29" t="inlineStr">
        <is>
          <t>0.08420442573717486</t>
        </is>
      </c>
      <c r="AC202" s="29" t="inlineStr">
        <is>
          <t>False</t>
        </is>
      </c>
      <c r="AD202" s="29" t="inlineStr">
        <is>
          <t>False</t>
        </is>
      </c>
      <c r="AE202" s="29" t="inlineStr">
        <is>
          <t>valuation_credit_ml_overlay_candidate.csv</t>
        </is>
      </c>
      <c r="AF202" s="29" t="inlineStr">
        <is>
          <t>208개 반도체 reference universe. Valuation Agent가 자체 intake 폴더로 복제해 Peer/ML/대시보드 비교에 사용.</t>
        </is>
      </c>
    </row>
    <row r="203" ht="24" customHeight="1">
      <c r="A203" s="24" t="inlineStr">
        <is>
          <t>41</t>
        </is>
      </c>
      <c r="B203" s="24" t="inlineStr">
        <is>
          <t>해당 없음</t>
        </is>
      </c>
      <c r="C203" s="24" t="inlineStr">
        <is>
          <t>LX세미콘</t>
        </is>
      </c>
      <c r="D203" s="24" t="inlineStr">
        <is>
          <t>108320</t>
        </is>
      </c>
      <c r="E203" s="24" t="inlineStr">
        <is>
          <t>KOSPI</t>
        </is>
      </c>
      <c r="F203" s="24" t="inlineStr">
        <is>
          <t>팹리스/설계</t>
        </is>
      </c>
      <c r="G203" s="24" t="inlineStr">
        <is>
          <t>팹리스/설계</t>
        </is>
      </c>
      <c r="H203" s="24" t="inlineStr">
        <is>
          <t>False</t>
        </is>
      </c>
      <c r="I203" s="24" t="inlineStr">
        <is>
          <t>True</t>
        </is>
      </c>
      <c r="J203" s="24" t="inlineStr">
        <is>
          <t>OK</t>
        </is>
      </c>
      <c r="K203" s="24" t="inlineStr">
        <is>
          <t>데이터 사용 가능</t>
        </is>
      </c>
      <c r="L203" s="24" t="inlineStr">
        <is>
          <t>LOW</t>
        </is>
      </c>
      <c r="M203" s="24" t="inlineStr">
        <is>
          <t>LOW</t>
        </is>
      </c>
      <c r="N203" s="24" t="inlineStr">
        <is>
          <t>0.6953535353535354</t>
        </is>
      </c>
      <c r="O203" s="24" t="inlineStr">
        <is>
          <t>ATTRACTIVE</t>
        </is>
      </c>
      <c r="P203" s="24" t="inlineStr">
        <is>
          <t>가치 매력</t>
        </is>
      </c>
      <c r="Q203" s="24" t="inlineStr">
        <is>
          <t>ATTRACTIVE</t>
        </is>
      </c>
      <c r="R203" s="24" t="inlineStr">
        <is>
          <t>0.951012131492064</t>
        </is>
      </c>
      <c r="S203" s="24" t="inlineStr">
        <is>
          <t>HIGH</t>
        </is>
      </c>
      <c r="T203" s="24" t="inlineStr">
        <is>
          <t>HIGH</t>
        </is>
      </c>
      <c r="U203" s="24" t="inlineStr">
        <is>
          <t>0.0</t>
        </is>
      </c>
      <c r="V203" s="24" t="inlineStr">
        <is>
          <t>LOW_RISK</t>
        </is>
      </c>
      <c r="W203" s="24" t="inlineStr">
        <is>
          <t>저위험</t>
        </is>
      </c>
      <c r="X203" s="24" t="inlineStr">
        <is>
          <t>LOW_RISK</t>
        </is>
      </c>
      <c r="Y203" s="24" t="inlineStr">
        <is>
          <t>0.9675260077633142</t>
        </is>
      </c>
      <c r="Z203" s="24" t="inlineStr">
        <is>
          <t>HIGH</t>
        </is>
      </c>
      <c r="AA203" s="24" t="inlineStr">
        <is>
          <t>HIGH</t>
        </is>
      </c>
      <c r="AB203" s="24" t="inlineStr">
        <is>
          <t>0.0526549169074082</t>
        </is>
      </c>
      <c r="AC203" s="24" t="inlineStr">
        <is>
          <t>False</t>
        </is>
      </c>
      <c r="AD203" s="24" t="inlineStr">
        <is>
          <t>False</t>
        </is>
      </c>
      <c r="AE203" s="24" t="inlineStr">
        <is>
          <t>valuation_credit_ml_overlay_candidate.csv</t>
        </is>
      </c>
      <c r="AF203" s="24" t="inlineStr">
        <is>
          <t>208개 반도체 reference universe. Valuation Agent가 자체 intake 폴더로 복제해 Peer/ML/대시보드 비교에 사용.</t>
        </is>
      </c>
    </row>
    <row r="204" ht="24" customHeight="1">
      <c r="A204" s="29" t="inlineStr">
        <is>
          <t>61</t>
        </is>
      </c>
      <c r="B204" s="29" t="inlineStr">
        <is>
          <t>해당 없음</t>
        </is>
      </c>
      <c r="C204" s="29" t="inlineStr">
        <is>
          <t>어보브반도체</t>
        </is>
      </c>
      <c r="D204" s="29" t="inlineStr">
        <is>
          <t>102120</t>
        </is>
      </c>
      <c r="E204" s="29" t="inlineStr">
        <is>
          <t>KOSDAQ</t>
        </is>
      </c>
      <c r="F204" s="29" t="inlineStr">
        <is>
          <t>팹리스/설계</t>
        </is>
      </c>
      <c r="G204" s="29" t="inlineStr">
        <is>
          <t>팹리스/설계</t>
        </is>
      </c>
      <c r="H204" s="29" t="inlineStr">
        <is>
          <t>False</t>
        </is>
      </c>
      <c r="I204" s="29" t="inlineStr">
        <is>
          <t>True</t>
        </is>
      </c>
      <c r="J204" s="29" t="inlineStr">
        <is>
          <t>OK</t>
        </is>
      </c>
      <c r="K204" s="29" t="inlineStr">
        <is>
          <t>데이터 사용 가능</t>
        </is>
      </c>
      <c r="L204" s="29" t="inlineStr">
        <is>
          <t>LOW</t>
        </is>
      </c>
      <c r="M204" s="29" t="inlineStr">
        <is>
          <t>LOW</t>
        </is>
      </c>
      <c r="N204" s="29" t="inlineStr">
        <is>
          <t>0.6933333333333332</t>
        </is>
      </c>
      <c r="O204" s="29" t="inlineStr">
        <is>
          <t>FAIR</t>
        </is>
      </c>
      <c r="P204" s="29" t="inlineStr">
        <is>
          <t>FAIR</t>
        </is>
      </c>
      <c r="Q204" s="29" t="inlineStr">
        <is>
          <t>FAIR</t>
        </is>
      </c>
      <c r="R204" s="29" t="inlineStr">
        <is>
          <t>0.9028406871788379</t>
        </is>
      </c>
      <c r="S204" s="29" t="inlineStr">
        <is>
          <t>HIGH</t>
        </is>
      </c>
      <c r="T204" s="29" t="inlineStr">
        <is>
          <t>HIGH</t>
        </is>
      </c>
      <c r="U204" s="29" t="inlineStr">
        <is>
          <t>0.0714285714285714</t>
        </is>
      </c>
      <c r="V204" s="29" t="inlineStr">
        <is>
          <t>LOW_RISK</t>
        </is>
      </c>
      <c r="W204" s="29" t="inlineStr">
        <is>
          <t>저위험</t>
        </is>
      </c>
      <c r="X204" s="29" t="inlineStr">
        <is>
          <t>LOW_RISK</t>
        </is>
      </c>
      <c r="Y204" s="29" t="inlineStr">
        <is>
          <t>0.7134163381020407</t>
        </is>
      </c>
      <c r="Z204" s="29" t="inlineStr">
        <is>
          <t>HIGH</t>
        </is>
      </c>
      <c r="AA204" s="29" t="inlineStr">
        <is>
          <t>HIGH</t>
        </is>
      </c>
      <c r="AB204" s="29" t="inlineStr">
        <is>
          <t>0.020764615542161708</t>
        </is>
      </c>
      <c r="AC204" s="29" t="inlineStr">
        <is>
          <t>False</t>
        </is>
      </c>
      <c r="AD204" s="29" t="inlineStr">
        <is>
          <t>False</t>
        </is>
      </c>
      <c r="AE204" s="29" t="inlineStr">
        <is>
          <t>valuation_credit_ml_overlay_candidate.csv</t>
        </is>
      </c>
      <c r="AF204" s="29" t="inlineStr">
        <is>
          <t>208개 반도체 reference universe. Valuation Agent가 자체 intake 폴더로 복제해 Peer/ML/대시보드 비교에 사용.</t>
        </is>
      </c>
    </row>
    <row r="205" ht="24" customHeight="1">
      <c r="A205" s="24" t="inlineStr">
        <is>
          <t>58</t>
        </is>
      </c>
      <c r="B205" s="24" t="inlineStr">
        <is>
          <t>해당 없음</t>
        </is>
      </c>
      <c r="C205" s="24" t="inlineStr">
        <is>
          <t>알에프세미</t>
        </is>
      </c>
      <c r="D205" s="24" t="inlineStr">
        <is>
          <t>096610</t>
        </is>
      </c>
      <c r="E205" s="24" t="inlineStr">
        <is>
          <t>KOSDAQ</t>
        </is>
      </c>
      <c r="F205" s="24" t="inlineStr">
        <is>
          <t>팹리스/설계</t>
        </is>
      </c>
      <c r="G205" s="24" t="inlineStr">
        <is>
          <t>팹리스/설계</t>
        </is>
      </c>
      <c r="H205" s="24" t="inlineStr">
        <is>
          <t>False</t>
        </is>
      </c>
      <c r="I205" s="24" t="inlineStr">
        <is>
          <t>True</t>
        </is>
      </c>
      <c r="J205" s="24" t="inlineStr">
        <is>
          <t>OK</t>
        </is>
      </c>
      <c r="K205" s="24" t="inlineStr">
        <is>
          <t>데이터 사용 가능</t>
        </is>
      </c>
      <c r="L205" s="24" t="inlineStr">
        <is>
          <t>LOW</t>
        </is>
      </c>
      <c r="M205" s="24" t="inlineStr">
        <is>
          <t>LOW</t>
        </is>
      </c>
      <c r="N205" s="24" t="inlineStr">
        <is>
          <t>0.603030303030303</t>
        </is>
      </c>
      <c r="O205" s="24" t="inlineStr">
        <is>
          <t>ATTRACTIVE</t>
        </is>
      </c>
      <c r="P205" s="24" t="inlineStr">
        <is>
          <t>가치 매력</t>
        </is>
      </c>
      <c r="Q205" s="24" t="inlineStr">
        <is>
          <t>ATTRACTIVE</t>
        </is>
      </c>
      <c r="R205" s="24" t="inlineStr">
        <is>
          <t>0.8083150256499313</t>
        </is>
      </c>
      <c r="S205" s="24" t="inlineStr">
        <is>
          <t>HIGH</t>
        </is>
      </c>
      <c r="T205" s="24" t="inlineStr">
        <is>
          <t>HIGH</t>
        </is>
      </c>
      <c r="U205" s="24" t="inlineStr">
        <is>
          <t>0.0714285714285714</t>
        </is>
      </c>
      <c r="V205" s="24" t="inlineStr">
        <is>
          <t>LOW_RISK</t>
        </is>
      </c>
      <c r="W205" s="24" t="inlineStr">
        <is>
          <t>저위험</t>
        </is>
      </c>
      <c r="X205" s="24" t="inlineStr">
        <is>
          <t>LOW_RISK</t>
        </is>
      </c>
      <c r="Y205" s="24" t="inlineStr">
        <is>
          <t>0.8655657172147194</t>
        </is>
      </c>
      <c r="Z205" s="24" t="inlineStr">
        <is>
          <t>HIGH</t>
        </is>
      </c>
      <c r="AA205" s="24" t="inlineStr">
        <is>
          <t>HIGH</t>
        </is>
      </c>
      <c r="AB205" s="24" t="inlineStr">
        <is>
          <t>0.30686355706948754</t>
        </is>
      </c>
      <c r="AC205" s="24" t="inlineStr">
        <is>
          <t>True</t>
        </is>
      </c>
      <c r="AD205" s="24" t="inlineStr">
        <is>
          <t>True</t>
        </is>
      </c>
      <c r="AE205" s="24" t="inlineStr">
        <is>
          <t>valuation_credit_ml_overlay_candidate.csv</t>
        </is>
      </c>
      <c r="AF205" s="24" t="inlineStr">
        <is>
          <t>208개 반도체 reference universe. Valuation Agent가 자체 intake 폴더로 복제해 Peer/ML/대시보드 비교에 사용.</t>
        </is>
      </c>
    </row>
    <row r="206" ht="24" customHeight="1">
      <c r="A206" s="29" t="inlineStr">
        <is>
          <t>66</t>
        </is>
      </c>
      <c r="B206" s="29" t="inlineStr">
        <is>
          <t>해당 없음</t>
        </is>
      </c>
      <c r="C206" s="29" t="inlineStr">
        <is>
          <t>제주반도체</t>
        </is>
      </c>
      <c r="D206" s="29" t="inlineStr">
        <is>
          <t>080220</t>
        </is>
      </c>
      <c r="E206" s="29" t="inlineStr">
        <is>
          <t>KOSDAQ</t>
        </is>
      </c>
      <c r="F206" s="29" t="inlineStr">
        <is>
          <t>팹리스/설계</t>
        </is>
      </c>
      <c r="G206" s="29" t="inlineStr">
        <is>
          <t>팹리스/설계</t>
        </is>
      </c>
      <c r="H206" s="29" t="inlineStr">
        <is>
          <t>False</t>
        </is>
      </c>
      <c r="I206" s="29" t="inlineStr">
        <is>
          <t>True</t>
        </is>
      </c>
      <c r="J206" s="29" t="inlineStr">
        <is>
          <t>OK</t>
        </is>
      </c>
      <c r="K206" s="29" t="inlineStr">
        <is>
          <t>데이터 사용 가능</t>
        </is>
      </c>
      <c r="L206" s="29" t="inlineStr">
        <is>
          <t>LOW</t>
        </is>
      </c>
      <c r="M206" s="29" t="inlineStr">
        <is>
          <t>LOW</t>
        </is>
      </c>
      <c r="N206" s="29" t="inlineStr">
        <is>
          <t>0.5917171717171718</t>
        </is>
      </c>
      <c r="O206" s="29" t="inlineStr">
        <is>
          <t>ATTRACTIVE</t>
        </is>
      </c>
      <c r="P206" s="29" t="inlineStr">
        <is>
          <t>가치 매력</t>
        </is>
      </c>
      <c r="Q206" s="29" t="inlineStr">
        <is>
          <t>ATTRACTIVE</t>
        </is>
      </c>
      <c r="R206" s="29" t="inlineStr">
        <is>
          <t>0.6955424557105586</t>
        </is>
      </c>
      <c r="S206" s="29" t="inlineStr">
        <is>
          <t>MEDIUM</t>
        </is>
      </c>
      <c r="T206" s="29" t="inlineStr">
        <is>
          <t>MEDIUM</t>
        </is>
      </c>
      <c r="U206" s="29" t="inlineStr">
        <is>
          <t>0.0</t>
        </is>
      </c>
      <c r="V206" s="29" t="inlineStr">
        <is>
          <t>LOW_RISK</t>
        </is>
      </c>
      <c r="W206" s="29" t="inlineStr">
        <is>
          <t>저위험</t>
        </is>
      </c>
      <c r="X206" s="29" t="inlineStr">
        <is>
          <t>LOW_RISK</t>
        </is>
      </c>
      <c r="Y206" s="29" t="inlineStr">
        <is>
          <t>0.9206625395821784</t>
        </is>
      </c>
      <c r="Z206" s="29" t="inlineStr">
        <is>
          <t>HIGH</t>
        </is>
      </c>
      <c r="AA206" s="29" t="inlineStr">
        <is>
          <t>HIGH</t>
        </is>
      </c>
      <c r="AB206" s="29" t="inlineStr">
        <is>
          <t>0.022944474321634056</t>
        </is>
      </c>
      <c r="AC206" s="29" t="inlineStr">
        <is>
          <t>False</t>
        </is>
      </c>
      <c r="AD206" s="29" t="inlineStr">
        <is>
          <t>False</t>
        </is>
      </c>
      <c r="AE206" s="29" t="inlineStr">
        <is>
          <t>valuation_credit_ml_overlay_candidate.csv</t>
        </is>
      </c>
      <c r="AF206" s="29" t="inlineStr">
        <is>
          <t>208개 반도체 reference universe. Valuation Agent가 자체 intake 폴더로 복제해 Peer/ML/대시보드 비교에 사용.</t>
        </is>
      </c>
    </row>
    <row r="207" ht="24" customHeight="1">
      <c r="A207" s="24" t="inlineStr">
        <is>
          <t>71</t>
        </is>
      </c>
      <c r="B207" s="24" t="inlineStr">
        <is>
          <t>해당 없음</t>
        </is>
      </c>
      <c r="C207" s="24" t="inlineStr">
        <is>
          <t>티에스이</t>
        </is>
      </c>
      <c r="D207" s="24" t="inlineStr">
        <is>
          <t>131290</t>
        </is>
      </c>
      <c r="E207" s="24" t="inlineStr">
        <is>
          <t>KOSDAQ</t>
        </is>
      </c>
      <c r="F207" s="24" t="inlineStr">
        <is>
          <t>팹리스/설계</t>
        </is>
      </c>
      <c r="G207" s="24" t="inlineStr">
        <is>
          <t>팹리스/설계</t>
        </is>
      </c>
      <c r="H207" s="24" t="inlineStr">
        <is>
          <t>False</t>
        </is>
      </c>
      <c r="I207" s="24" t="inlineStr">
        <is>
          <t>True</t>
        </is>
      </c>
      <c r="J207" s="24" t="inlineStr">
        <is>
          <t>OK</t>
        </is>
      </c>
      <c r="K207" s="24" t="inlineStr">
        <is>
          <t>데이터 사용 가능</t>
        </is>
      </c>
      <c r="L207" s="24" t="inlineStr">
        <is>
          <t>LOW</t>
        </is>
      </c>
      <c r="M207" s="24" t="inlineStr">
        <is>
          <t>LOW</t>
        </is>
      </c>
      <c r="N207" s="24" t="inlineStr">
        <is>
          <t>0.5880808080808082</t>
        </is>
      </c>
      <c r="O207" s="24" t="inlineStr">
        <is>
          <t>ATTRACTIVE</t>
        </is>
      </c>
      <c r="P207" s="24" t="inlineStr">
        <is>
          <t>가치 매력</t>
        </is>
      </c>
      <c r="Q207" s="24" t="inlineStr">
        <is>
          <t>ATTRACTIVE</t>
        </is>
      </c>
      <c r="R207" s="24" t="inlineStr">
        <is>
          <t>0.7390287615028212</t>
        </is>
      </c>
      <c r="S207" s="24" t="inlineStr">
        <is>
          <t>HIGH</t>
        </is>
      </c>
      <c r="T207" s="24" t="inlineStr">
        <is>
          <t>HIGH</t>
        </is>
      </c>
      <c r="U207" s="24" t="inlineStr">
        <is>
          <t>0.0</t>
        </is>
      </c>
      <c r="V207" s="24" t="inlineStr">
        <is>
          <t>LOW_RISK</t>
        </is>
      </c>
      <c r="W207" s="24" t="inlineStr">
        <is>
          <t>저위험</t>
        </is>
      </c>
      <c r="X207" s="24" t="inlineStr">
        <is>
          <t>LOW_RISK</t>
        </is>
      </c>
      <c r="Y207" s="24" t="inlineStr">
        <is>
          <t>0.9709748314872512</t>
        </is>
      </c>
      <c r="Z207" s="24" t="inlineStr">
        <is>
          <t>HIGH</t>
        </is>
      </c>
      <c r="AA207" s="24" t="inlineStr">
        <is>
          <t>HIGH</t>
        </is>
      </c>
      <c r="AB207" s="24" t="inlineStr">
        <is>
          <t>0.018067787318761474</t>
        </is>
      </c>
      <c r="AC207" s="24" t="inlineStr">
        <is>
          <t>False</t>
        </is>
      </c>
      <c r="AD207" s="24" t="inlineStr">
        <is>
          <t>False</t>
        </is>
      </c>
      <c r="AE207" s="24" t="inlineStr">
        <is>
          <t>valuation_credit_ml_overlay_candidate.csv</t>
        </is>
      </c>
      <c r="AF207" s="24" t="inlineStr">
        <is>
          <t>208개 반도체 reference universe. Valuation Agent가 자체 intake 폴더로 복제해 Peer/ML/대시보드 비교에 사용.</t>
        </is>
      </c>
    </row>
    <row r="208" ht="24" customHeight="1">
      <c r="A208" s="29" t="inlineStr">
        <is>
          <t>53</t>
        </is>
      </c>
      <c r="B208" s="29" t="inlineStr">
        <is>
          <t>해당 없음</t>
        </is>
      </c>
      <c r="C208" s="29" t="inlineStr">
        <is>
          <t>아나패스</t>
        </is>
      </c>
      <c r="D208" s="29" t="inlineStr">
        <is>
          <t>123860</t>
        </is>
      </c>
      <c r="E208" s="29" t="inlineStr">
        <is>
          <t>KOSDAQ</t>
        </is>
      </c>
      <c r="F208" s="29" t="inlineStr">
        <is>
          <t>팹리스/설계</t>
        </is>
      </c>
      <c r="G208" s="29" t="inlineStr">
        <is>
          <t>팹리스/설계</t>
        </is>
      </c>
      <c r="H208" s="29" t="inlineStr">
        <is>
          <t>False</t>
        </is>
      </c>
      <c r="I208" s="29" t="inlineStr">
        <is>
          <t>True</t>
        </is>
      </c>
      <c r="J208" s="29" t="inlineStr">
        <is>
          <t>OK</t>
        </is>
      </c>
      <c r="K208" s="29" t="inlineStr">
        <is>
          <t>데이터 사용 가능</t>
        </is>
      </c>
      <c r="L208" s="29" t="inlineStr">
        <is>
          <t>LOW</t>
        </is>
      </c>
      <c r="M208" s="29" t="inlineStr">
        <is>
          <t>LOW</t>
        </is>
      </c>
      <c r="N208" s="29" t="inlineStr">
        <is>
          <t>0.5761616161616162</t>
        </is>
      </c>
      <c r="O208" s="29" t="inlineStr">
        <is>
          <t>FAIR</t>
        </is>
      </c>
      <c r="P208" s="29" t="inlineStr">
        <is>
          <t>FAIR</t>
        </is>
      </c>
      <c r="Q208" s="29" t="inlineStr">
        <is>
          <t>ATTRACTIVE</t>
        </is>
      </c>
      <c r="R208" s="29" t="inlineStr">
        <is>
          <t>0.510332377942325</t>
        </is>
      </c>
      <c r="S208" s="29" t="inlineStr">
        <is>
          <t>MEDIUM</t>
        </is>
      </c>
      <c r="T208" s="29" t="inlineStr">
        <is>
          <t>MEDIUM</t>
        </is>
      </c>
      <c r="U208" s="29" t="inlineStr">
        <is>
          <t>0.0</t>
        </is>
      </c>
      <c r="V208" s="29" t="inlineStr">
        <is>
          <t>LOW_RISK</t>
        </is>
      </c>
      <c r="W208" s="29" t="inlineStr">
        <is>
          <t>저위험</t>
        </is>
      </c>
      <c r="X208" s="29" t="inlineStr">
        <is>
          <t>LOW_RISK</t>
        </is>
      </c>
      <c r="Y208" s="29" t="inlineStr">
        <is>
          <t>0.9162612285765747</t>
        </is>
      </c>
      <c r="Z208" s="29" t="inlineStr">
        <is>
          <t>HIGH</t>
        </is>
      </c>
      <c r="AA208" s="29" t="inlineStr">
        <is>
          <t>HIGH</t>
        </is>
      </c>
      <c r="AB208" s="29" t="inlineStr">
        <is>
          <t>0.10416084144507474</t>
        </is>
      </c>
      <c r="AC208" s="29" t="inlineStr">
        <is>
          <t>False</t>
        </is>
      </c>
      <c r="AD208" s="29" t="inlineStr">
        <is>
          <t>False</t>
        </is>
      </c>
      <c r="AE208" s="29" t="inlineStr">
        <is>
          <t>valuation_credit_ml_overlay_candidate.csv</t>
        </is>
      </c>
      <c r="AF208" s="29" t="inlineStr">
        <is>
          <t>208개 반도체 reference universe. Valuation Agent가 자체 intake 폴더로 복제해 Peer/ML/대시보드 비교에 사용.</t>
        </is>
      </c>
    </row>
    <row r="209" ht="24" customHeight="1">
      <c r="A209" s="24" t="inlineStr">
        <is>
          <t>68</t>
        </is>
      </c>
      <c r="B209" s="24" t="inlineStr">
        <is>
          <t>해당 없음</t>
        </is>
      </c>
      <c r="C209" s="24" t="inlineStr">
        <is>
          <t>코아시아</t>
        </is>
      </c>
      <c r="D209" s="24" t="inlineStr">
        <is>
          <t>045970</t>
        </is>
      </c>
      <c r="E209" s="24" t="inlineStr">
        <is>
          <t>KOSDAQ</t>
        </is>
      </c>
      <c r="F209" s="24" t="inlineStr">
        <is>
          <t>팹리스/설계</t>
        </is>
      </c>
      <c r="G209" s="24" t="inlineStr">
        <is>
          <t>팹리스/설계</t>
        </is>
      </c>
      <c r="H209" s="24" t="inlineStr">
        <is>
          <t>False</t>
        </is>
      </c>
      <c r="I209" s="24" t="inlineStr">
        <is>
          <t>True</t>
        </is>
      </c>
      <c r="J209" s="24" t="inlineStr">
        <is>
          <t>OK</t>
        </is>
      </c>
      <c r="K209" s="24" t="inlineStr">
        <is>
          <t>데이터 사용 가능</t>
        </is>
      </c>
      <c r="L209" s="24" t="inlineStr">
        <is>
          <t>LOW</t>
        </is>
      </c>
      <c r="M209" s="24" t="inlineStr">
        <is>
          <t>LOW</t>
        </is>
      </c>
      <c r="N209" s="24" t="inlineStr">
        <is>
          <t>0.5612121212121212</t>
        </is>
      </c>
      <c r="O209" s="24" t="inlineStr">
        <is>
          <t>FAIR</t>
        </is>
      </c>
      <c r="P209" s="24" t="inlineStr">
        <is>
          <t>FAIR</t>
        </is>
      </c>
      <c r="Q209" s="24" t="inlineStr">
        <is>
          <t>FAIR</t>
        </is>
      </c>
      <c r="R209" s="24" t="inlineStr">
        <is>
          <t>0.811266524244761</t>
        </is>
      </c>
      <c r="S209" s="24" t="inlineStr">
        <is>
          <t>HIGH</t>
        </is>
      </c>
      <c r="T209" s="24" t="inlineStr">
        <is>
          <t>HIGH</t>
        </is>
      </c>
      <c r="U209" s="24" t="inlineStr">
        <is>
          <t>0.5</t>
        </is>
      </c>
      <c r="V209" s="24" t="inlineStr">
        <is>
          <t>HIGH_RISK</t>
        </is>
      </c>
      <c r="W209" s="24" t="inlineStr">
        <is>
          <t>고위험</t>
        </is>
      </c>
      <c r="X209" s="24" t="inlineStr">
        <is>
          <t>HIGH_RISK</t>
        </is>
      </c>
      <c r="Y209" s="24" t="inlineStr">
        <is>
          <t>0.7677840717507917</t>
        </is>
      </c>
      <c r="Z209" s="24" t="inlineStr">
        <is>
          <t>HIGH</t>
        </is>
      </c>
      <c r="AA209" s="24" t="inlineStr">
        <is>
          <t>HIGH</t>
        </is>
      </c>
      <c r="AB209" s="24" t="inlineStr">
        <is>
          <t>0.06747219473464933</t>
        </is>
      </c>
      <c r="AC209" s="24" t="inlineStr">
        <is>
          <t>False</t>
        </is>
      </c>
      <c r="AD209" s="24" t="inlineStr">
        <is>
          <t>False</t>
        </is>
      </c>
      <c r="AE209" s="24" t="inlineStr">
        <is>
          <t>valuation_credit_ml_overlay_candidate.csv</t>
        </is>
      </c>
      <c r="AF209" s="24" t="inlineStr">
        <is>
          <t>208개 반도체 reference universe. Valuation Agent가 자체 intake 폴더로 복제해 Peer/ML/대시보드 비교에 사용.</t>
        </is>
      </c>
    </row>
    <row r="210" ht="24" customHeight="1">
      <c r="A210" s="29" t="inlineStr">
        <is>
          <t>73</t>
        </is>
      </c>
      <c r="B210" s="29" t="inlineStr">
        <is>
          <t>해당 없음</t>
        </is>
      </c>
      <c r="C210" s="29" t="inlineStr">
        <is>
          <t>픽셀플러스</t>
        </is>
      </c>
      <c r="D210" s="29" t="inlineStr">
        <is>
          <t>087600</t>
        </is>
      </c>
      <c r="E210" s="29" t="inlineStr">
        <is>
          <t>KOSDAQ</t>
        </is>
      </c>
      <c r="F210" s="29" t="inlineStr">
        <is>
          <t>팹리스/설계</t>
        </is>
      </c>
      <c r="G210" s="29" t="inlineStr">
        <is>
          <t>팹리스/설계</t>
        </is>
      </c>
      <c r="H210" s="29" t="inlineStr">
        <is>
          <t>False</t>
        </is>
      </c>
      <c r="I210" s="29" t="inlineStr">
        <is>
          <t>True</t>
        </is>
      </c>
      <c r="J210" s="29" t="inlineStr">
        <is>
          <t>OK</t>
        </is>
      </c>
      <c r="K210" s="29" t="inlineStr">
        <is>
          <t>데이터 사용 가능</t>
        </is>
      </c>
      <c r="L210" s="29" t="inlineStr">
        <is>
          <t>LOW</t>
        </is>
      </c>
      <c r="M210" s="29" t="inlineStr">
        <is>
          <t>LOW</t>
        </is>
      </c>
      <c r="N210" s="29" t="inlineStr">
        <is>
          <t>0.543030303030303</t>
        </is>
      </c>
      <c r="O210" s="29" t="inlineStr">
        <is>
          <t>FAIR</t>
        </is>
      </c>
      <c r="P210" s="29" t="inlineStr">
        <is>
          <t>FAIR</t>
        </is>
      </c>
      <c r="Q210" s="29" t="inlineStr">
        <is>
          <t>FAIR</t>
        </is>
      </c>
      <c r="R210" s="29" t="inlineStr">
        <is>
          <t>0.8353732583827468</t>
        </is>
      </c>
      <c r="S210" s="29" t="inlineStr">
        <is>
          <t>HIGH</t>
        </is>
      </c>
      <c r="T210" s="29" t="inlineStr">
        <is>
          <t>HIGH</t>
        </is>
      </c>
      <c r="U210" s="29" t="inlineStr">
        <is>
          <t>0.2857142857142857</t>
        </is>
      </c>
      <c r="V210" s="29" t="inlineStr">
        <is>
          <t>MEDIUM_RISK</t>
        </is>
      </c>
      <c r="W210" s="29" t="inlineStr">
        <is>
          <t>중위험</t>
        </is>
      </c>
      <c r="X210" s="29" t="inlineStr">
        <is>
          <t>MEDIUM_RISK</t>
        </is>
      </c>
      <c r="Y210" s="29" t="inlineStr">
        <is>
          <t>0.8277119254156154</t>
        </is>
      </c>
      <c r="Z210" s="29" t="inlineStr">
        <is>
          <t>HIGH</t>
        </is>
      </c>
      <c r="AA210" s="29" t="inlineStr">
        <is>
          <t>HIGH</t>
        </is>
      </c>
      <c r="AB210" s="29" t="inlineStr">
        <is>
          <t>0.08861749399056779</t>
        </is>
      </c>
      <c r="AC210" s="29" t="inlineStr">
        <is>
          <t>False</t>
        </is>
      </c>
      <c r="AD210" s="29" t="inlineStr">
        <is>
          <t>False</t>
        </is>
      </c>
      <c r="AE210" s="29" t="inlineStr">
        <is>
          <t>valuation_credit_ml_overlay_candidate.csv</t>
        </is>
      </c>
      <c r="AF210" s="29" t="inlineStr">
        <is>
          <t>208개 반도체 reference universe. Valuation Agent가 자체 intake 폴더로 복제해 Peer/ML/대시보드 비교에 사용.</t>
        </is>
      </c>
    </row>
    <row r="211" ht="24" customHeight="1">
      <c r="A211" s="24" t="inlineStr">
        <is>
          <t>67</t>
        </is>
      </c>
      <c r="B211" s="24" t="inlineStr">
        <is>
          <t>해당 없음</t>
        </is>
      </c>
      <c r="C211" s="24" t="inlineStr">
        <is>
          <t>칩스앤미디어</t>
        </is>
      </c>
      <c r="D211" s="24" t="inlineStr">
        <is>
          <t>094360</t>
        </is>
      </c>
      <c r="E211" s="24" t="inlineStr">
        <is>
          <t>KOSDAQ</t>
        </is>
      </c>
      <c r="F211" s="24" t="inlineStr">
        <is>
          <t>팹리스/설계</t>
        </is>
      </c>
      <c r="G211" s="24" t="inlineStr">
        <is>
          <t>팹리스/설계</t>
        </is>
      </c>
      <c r="H211" s="24" t="inlineStr">
        <is>
          <t>False</t>
        </is>
      </c>
      <c r="I211" s="24" t="inlineStr">
        <is>
          <t>True</t>
        </is>
      </c>
      <c r="J211" s="24" t="inlineStr">
        <is>
          <t>OK</t>
        </is>
      </c>
      <c r="K211" s="24" t="inlineStr">
        <is>
          <t>데이터 사용 가능</t>
        </is>
      </c>
      <c r="L211" s="24" t="inlineStr">
        <is>
          <t>LOW</t>
        </is>
      </c>
      <c r="M211" s="24" t="inlineStr">
        <is>
          <t>LOW</t>
        </is>
      </c>
      <c r="N211" s="24" t="inlineStr">
        <is>
          <t>0.5424242424242424</t>
        </is>
      </c>
      <c r="O211" s="24" t="inlineStr">
        <is>
          <t>FAIR</t>
        </is>
      </c>
      <c r="P211" s="24" t="inlineStr">
        <is>
          <t>FAIR</t>
        </is>
      </c>
      <c r="Q211" s="24" t="inlineStr">
        <is>
          <t>FAIR</t>
        </is>
      </c>
      <c r="R211" s="24" t="inlineStr">
        <is>
          <t>0.44740744488593415</t>
        </is>
      </c>
      <c r="S211" s="24" t="inlineStr">
        <is>
          <t>LOW</t>
        </is>
      </c>
      <c r="T211" s="24" t="inlineStr">
        <is>
          <t>LOW</t>
        </is>
      </c>
      <c r="U211" s="24" t="inlineStr">
        <is>
          <t>0.0</t>
        </is>
      </c>
      <c r="V211" s="24" t="inlineStr">
        <is>
          <t>LOW_RISK</t>
        </is>
      </c>
      <c r="W211" s="24" t="inlineStr">
        <is>
          <t>저위험</t>
        </is>
      </c>
      <c r="X211" s="24" t="inlineStr">
        <is>
          <t>LOW_RISK</t>
        </is>
      </c>
      <c r="Y211" s="24" t="inlineStr">
        <is>
          <t>0.9394752479511282</t>
        </is>
      </c>
      <c r="Z211" s="24" t="inlineStr">
        <is>
          <t>HIGH</t>
        </is>
      </c>
      <c r="AA211" s="24" t="inlineStr">
        <is>
          <t>HIGH</t>
        </is>
      </c>
      <c r="AB211" s="24" t="inlineStr">
        <is>
          <t>0.1165162896524789</t>
        </is>
      </c>
      <c r="AC211" s="24" t="inlineStr">
        <is>
          <t>False</t>
        </is>
      </c>
      <c r="AD211" s="24" t="inlineStr">
        <is>
          <t>True</t>
        </is>
      </c>
      <c r="AE211" s="24" t="inlineStr">
        <is>
          <t>valuation_credit_ml_overlay_candidate.csv</t>
        </is>
      </c>
      <c r="AF211" s="24" t="inlineStr">
        <is>
          <t>208개 반도체 reference universe. Valuation Agent가 자체 intake 폴더로 복제해 Peer/ML/대시보드 비교에 사용.</t>
        </is>
      </c>
    </row>
    <row r="212" ht="24" customHeight="1">
      <c r="A212" s="29" t="inlineStr">
        <is>
          <t>57</t>
        </is>
      </c>
      <c r="B212" s="29" t="inlineStr">
        <is>
          <t>해당 없음</t>
        </is>
      </c>
      <c r="C212" s="29" t="inlineStr">
        <is>
          <t>아이케이세미콘</t>
        </is>
      </c>
      <c r="D212" s="29" t="inlineStr">
        <is>
          <t>149010</t>
        </is>
      </c>
      <c r="E212" s="29" t="inlineStr">
        <is>
          <t>KONEX</t>
        </is>
      </c>
      <c r="F212" s="29" t="inlineStr">
        <is>
          <t>팹리스/설계</t>
        </is>
      </c>
      <c r="G212" s="29" t="inlineStr">
        <is>
          <t>팹리스/설계</t>
        </is>
      </c>
      <c r="H212" s="29" t="inlineStr">
        <is>
          <t>False</t>
        </is>
      </c>
      <c r="I212" s="29" t="inlineStr">
        <is>
          <t>True</t>
        </is>
      </c>
      <c r="J212" s="29" t="inlineStr">
        <is>
          <t>NO_DART_FINANCIAL_DATA</t>
        </is>
      </c>
      <c r="K212" s="29" t="inlineStr">
        <is>
          <t>데이터 사용 가능</t>
        </is>
      </c>
      <c r="L212" s="29" t="inlineStr">
        <is>
          <t>HIGH</t>
        </is>
      </c>
      <c r="M212" s="29" t="inlineStr">
        <is>
          <t>HIGH</t>
        </is>
      </c>
      <c r="N212" s="29" t="inlineStr">
        <is>
          <t>0.497979797979798</t>
        </is>
      </c>
      <c r="O212" s="29" t="inlineStr">
        <is>
          <t>FAIR</t>
        </is>
      </c>
      <c r="P212" s="29" t="inlineStr">
        <is>
          <t>FAIR</t>
        </is>
      </c>
      <c r="Q212" s="29" t="inlineStr">
        <is>
          <t>FAIR</t>
        </is>
      </c>
      <c r="R212" s="29" t="inlineStr">
        <is>
          <t>0.9626560040296214</t>
        </is>
      </c>
      <c r="S212" s="29" t="inlineStr">
        <is>
          <t>HIGH</t>
        </is>
      </c>
      <c r="T212" s="29" t="inlineStr">
        <is>
          <t>HIGH</t>
        </is>
      </c>
      <c r="U212" s="29" t="inlineStr">
        <is>
          <t>0.6428571428571429</t>
        </is>
      </c>
      <c r="V212" s="29" t="inlineStr">
        <is>
          <t>HIGH_RISK</t>
        </is>
      </c>
      <c r="W212" s="29" t="inlineStr">
        <is>
          <t>고위험</t>
        </is>
      </c>
      <c r="X212" s="29" t="inlineStr">
        <is>
          <t>HIGH_RISK</t>
        </is>
      </c>
      <c r="Y212" s="29" t="inlineStr">
        <is>
          <t>0.7070645883552188</t>
        </is>
      </c>
      <c r="Z212" s="29" t="inlineStr">
        <is>
          <t>HIGH</t>
        </is>
      </c>
      <c r="AA212" s="29" t="inlineStr">
        <is>
          <t>HIGH</t>
        </is>
      </c>
      <c r="AB212" s="29" t="inlineStr">
        <is>
          <t>0.07589516599498297</t>
        </is>
      </c>
      <c r="AC212" s="29" t="inlineStr">
        <is>
          <t>False</t>
        </is>
      </c>
      <c r="AD212" s="29" t="inlineStr">
        <is>
          <t>True</t>
        </is>
      </c>
      <c r="AE212" s="29" t="inlineStr">
        <is>
          <t>valuation_credit_ml_overlay_candidate.csv</t>
        </is>
      </c>
      <c r="AF212" s="29" t="inlineStr">
        <is>
          <t>208개 반도체 reference universe. Valuation Agent가 자체 intake 폴더로 복제해 Peer/ML/대시보드 비교에 사용.</t>
        </is>
      </c>
    </row>
    <row r="213" ht="24" customHeight="1">
      <c r="A213" s="24" t="inlineStr">
        <is>
          <t>70</t>
        </is>
      </c>
      <c r="B213" s="24" t="inlineStr">
        <is>
          <t>해당 없음</t>
        </is>
      </c>
      <c r="C213" s="24" t="inlineStr">
        <is>
          <t>텔레칩스</t>
        </is>
      </c>
      <c r="D213" s="24" t="inlineStr">
        <is>
          <t>054450</t>
        </is>
      </c>
      <c r="E213" s="24" t="inlineStr">
        <is>
          <t>KOSDAQ</t>
        </is>
      </c>
      <c r="F213" s="24" t="inlineStr">
        <is>
          <t>팹리스/설계</t>
        </is>
      </c>
      <c r="G213" s="24" t="inlineStr">
        <is>
          <t>팹리스/설계</t>
        </is>
      </c>
      <c r="H213" s="24" t="inlineStr">
        <is>
          <t>False</t>
        </is>
      </c>
      <c r="I213" s="24" t="inlineStr">
        <is>
          <t>True</t>
        </is>
      </c>
      <c r="J213" s="24" t="inlineStr">
        <is>
          <t>OK</t>
        </is>
      </c>
      <c r="K213" s="24" t="inlineStr">
        <is>
          <t>데이터 사용 가능</t>
        </is>
      </c>
      <c r="L213" s="24" t="inlineStr">
        <is>
          <t>LOW</t>
        </is>
      </c>
      <c r="M213" s="24" t="inlineStr">
        <is>
          <t>LOW</t>
        </is>
      </c>
      <c r="N213" s="24" t="inlineStr">
        <is>
          <t>0.4943434343434343</t>
        </is>
      </c>
      <c r="O213" s="24" t="inlineStr">
        <is>
          <t>FAIR</t>
        </is>
      </c>
      <c r="P213" s="24" t="inlineStr">
        <is>
          <t>FAIR</t>
        </is>
      </c>
      <c r="Q213" s="24" t="inlineStr">
        <is>
          <t>EXPENSIVE</t>
        </is>
      </c>
      <c r="R213" s="24" t="inlineStr">
        <is>
          <t>0.5716537225721987</t>
        </is>
      </c>
      <c r="S213" s="24" t="inlineStr">
        <is>
          <t>MEDIUM</t>
        </is>
      </c>
      <c r="T213" s="24" t="inlineStr">
        <is>
          <t>MEDIUM</t>
        </is>
      </c>
      <c r="U213" s="24" t="inlineStr">
        <is>
          <t>0.7142857142857143</t>
        </is>
      </c>
      <c r="V213" s="24" t="inlineStr">
        <is>
          <t>HIGH_RISK</t>
        </is>
      </c>
      <c r="W213" s="24" t="inlineStr">
        <is>
          <t>고위험</t>
        </is>
      </c>
      <c r="X213" s="24" t="inlineStr">
        <is>
          <t>HIGH_RISK</t>
        </is>
      </c>
      <c r="Y213" s="24" t="inlineStr">
        <is>
          <t>0.9759550340612091</t>
        </is>
      </c>
      <c r="Z213" s="24" t="inlineStr">
        <is>
          <t>HIGH</t>
        </is>
      </c>
      <c r="AA213" s="24" t="inlineStr">
        <is>
          <t>HIGH</t>
        </is>
      </c>
      <c r="AB213" s="24" t="inlineStr">
        <is>
          <t>0.07328745198510121</t>
        </is>
      </c>
      <c r="AC213" s="24" t="inlineStr">
        <is>
          <t>False</t>
        </is>
      </c>
      <c r="AD213" s="24" t="inlineStr">
        <is>
          <t>False</t>
        </is>
      </c>
      <c r="AE213" s="24" t="inlineStr">
        <is>
          <t>valuation_credit_ml_overlay_candidate.csv</t>
        </is>
      </c>
      <c r="AF213" s="24" t="inlineStr">
        <is>
          <t>208개 반도체 reference universe. Valuation Agent가 자체 intake 폴더로 복제해 Peer/ML/대시보드 비교에 사용.</t>
        </is>
      </c>
    </row>
    <row r="214" ht="24" customHeight="1">
      <c r="A214" s="29" t="inlineStr">
        <is>
          <t>59</t>
        </is>
      </c>
      <c r="B214" s="29" t="inlineStr">
        <is>
          <t>해당 없음</t>
        </is>
      </c>
      <c r="C214" s="29" t="inlineStr">
        <is>
          <t>알파칩스</t>
        </is>
      </c>
      <c r="D214" s="29" t="inlineStr">
        <is>
          <t>117670</t>
        </is>
      </c>
      <c r="E214" s="29" t="inlineStr">
        <is>
          <t>KOSDAQ</t>
        </is>
      </c>
      <c r="F214" s="29" t="inlineStr">
        <is>
          <t>팹리스/설계</t>
        </is>
      </c>
      <c r="G214" s="29" t="inlineStr">
        <is>
          <t>팹리스/설계</t>
        </is>
      </c>
      <c r="H214" s="29" t="inlineStr">
        <is>
          <t>False</t>
        </is>
      </c>
      <c r="I214" s="29" t="inlineStr">
        <is>
          <t>True</t>
        </is>
      </c>
      <c r="J214" s="29" t="inlineStr">
        <is>
          <t>OK</t>
        </is>
      </c>
      <c r="K214" s="29" t="inlineStr">
        <is>
          <t>데이터 사용 가능</t>
        </is>
      </c>
      <c r="L214" s="29" t="inlineStr">
        <is>
          <t>LOW</t>
        </is>
      </c>
      <c r="M214" s="29" t="inlineStr">
        <is>
          <t>LOW</t>
        </is>
      </c>
      <c r="N214" s="29" t="inlineStr">
        <is>
          <t>0.4826262626262627</t>
        </is>
      </c>
      <c r="O214" s="29" t="inlineStr">
        <is>
          <t>FAIR</t>
        </is>
      </c>
      <c r="P214" s="29" t="inlineStr">
        <is>
          <t>FAIR</t>
        </is>
      </c>
      <c r="Q214" s="29" t="inlineStr">
        <is>
          <t>FAIR</t>
        </is>
      </c>
      <c r="R214" s="29" t="inlineStr">
        <is>
          <t>0.7398835550872951</t>
        </is>
      </c>
      <c r="S214" s="29" t="inlineStr">
        <is>
          <t>HIGH</t>
        </is>
      </c>
      <c r="T214" s="29" t="inlineStr">
        <is>
          <t>HIGH</t>
        </is>
      </c>
      <c r="U214" s="29" t="inlineStr">
        <is>
          <t>0.2857142857142857</t>
        </is>
      </c>
      <c r="V214" s="29" t="inlineStr">
        <is>
          <t>MEDIUM_RISK</t>
        </is>
      </c>
      <c r="W214" s="29" t="inlineStr">
        <is>
          <t>중위험</t>
        </is>
      </c>
      <c r="X214" s="29" t="inlineStr">
        <is>
          <t>MEDIUM_RISK</t>
        </is>
      </c>
      <c r="Y214" s="29" t="inlineStr">
        <is>
          <t>0.8321400367761521</t>
        </is>
      </c>
      <c r="Z214" s="29" t="inlineStr">
        <is>
          <t>HIGH</t>
        </is>
      </c>
      <c r="AA214" s="29" t="inlineStr">
        <is>
          <t>HIGH</t>
        </is>
      </c>
      <c r="AB214" s="29" t="inlineStr">
        <is>
          <t>0.06605777558134833</t>
        </is>
      </c>
      <c r="AC214" s="29" t="inlineStr">
        <is>
          <t>False</t>
        </is>
      </c>
      <c r="AD214" s="29" t="inlineStr">
        <is>
          <t>False</t>
        </is>
      </c>
      <c r="AE214" s="29" t="inlineStr">
        <is>
          <t>valuation_credit_ml_overlay_candidate.csv</t>
        </is>
      </c>
      <c r="AF214" s="29" t="inlineStr">
        <is>
          <t>208개 반도체 reference universe. Valuation Agent가 자체 intake 폴더로 복제해 Peer/ML/대시보드 비교에 사용.</t>
        </is>
      </c>
    </row>
    <row r="215" ht="24" customHeight="1">
      <c r="A215" s="24" t="inlineStr">
        <is>
          <t>46</t>
        </is>
      </c>
      <c r="B215" s="24" t="inlineStr">
        <is>
          <t>해당 없음</t>
        </is>
      </c>
      <c r="C215" s="24" t="inlineStr">
        <is>
          <t>라온로보틱스</t>
        </is>
      </c>
      <c r="D215" s="24" t="inlineStr">
        <is>
          <t>232680</t>
        </is>
      </c>
      <c r="E215" s="24" t="inlineStr">
        <is>
          <t>KOSDAQ</t>
        </is>
      </c>
      <c r="F215" s="24" t="inlineStr">
        <is>
          <t>팹리스/설계</t>
        </is>
      </c>
      <c r="G215" s="24" t="inlineStr">
        <is>
          <t>팹리스/설계</t>
        </is>
      </c>
      <c r="H215" s="24" t="inlineStr">
        <is>
          <t>False</t>
        </is>
      </c>
      <c r="I215" s="24" t="inlineStr">
        <is>
          <t>True</t>
        </is>
      </c>
      <c r="J215" s="24" t="inlineStr">
        <is>
          <t>OK</t>
        </is>
      </c>
      <c r="K215" s="24" t="inlineStr">
        <is>
          <t>데이터 사용 가능</t>
        </is>
      </c>
      <c r="L215" s="24" t="inlineStr">
        <is>
          <t>LOW</t>
        </is>
      </c>
      <c r="M215" s="24" t="inlineStr">
        <is>
          <t>LOW</t>
        </is>
      </c>
      <c r="N215" s="24" t="inlineStr">
        <is>
          <t>0.4745454545454545</t>
        </is>
      </c>
      <c r="O215" s="24" t="inlineStr">
        <is>
          <t>FAIR</t>
        </is>
      </c>
      <c r="P215" s="24" t="inlineStr">
        <is>
          <t>FAIR</t>
        </is>
      </c>
      <c r="Q215" s="24" t="inlineStr">
        <is>
          <t>FAIR</t>
        </is>
      </c>
      <c r="R215" s="24" t="inlineStr">
        <is>
          <t>0.7863374675167921</t>
        </is>
      </c>
      <c r="S215" s="24" t="inlineStr">
        <is>
          <t>HIGH</t>
        </is>
      </c>
      <c r="T215" s="24" t="inlineStr">
        <is>
          <t>HIGH</t>
        </is>
      </c>
      <c r="U215" s="24" t="inlineStr">
        <is>
          <t>0.1428571428571428</t>
        </is>
      </c>
      <c r="V215" s="24" t="inlineStr">
        <is>
          <t>LOW_RISK</t>
        </is>
      </c>
      <c r="W215" s="24" t="inlineStr">
        <is>
          <t>저위험</t>
        </is>
      </c>
      <c r="X215" s="24" t="inlineStr">
        <is>
          <t>LOW_RISK</t>
        </is>
      </c>
      <c r="Y215" s="24" t="inlineStr">
        <is>
          <t>0.6877521386643212</t>
        </is>
      </c>
      <c r="Z215" s="24" t="inlineStr">
        <is>
          <t>MEDIUM</t>
        </is>
      </c>
      <c r="AA215" s="24" t="inlineStr">
        <is>
          <t>MEDIUM</t>
        </is>
      </c>
      <c r="AB215" s="24" t="inlineStr">
        <is>
          <t>0.026169607074936322</t>
        </is>
      </c>
      <c r="AC215" s="24" t="inlineStr">
        <is>
          <t>False</t>
        </is>
      </c>
      <c r="AD215" s="24" t="inlineStr">
        <is>
          <t>False</t>
        </is>
      </c>
      <c r="AE215" s="24" t="inlineStr">
        <is>
          <t>valuation_credit_ml_overlay_candidate.csv</t>
        </is>
      </c>
      <c r="AF215" s="24" t="inlineStr">
        <is>
          <t>208개 반도체 reference universe. Valuation Agent가 자체 intake 폴더로 복제해 Peer/ML/대시보드 비교에 사용.</t>
        </is>
      </c>
    </row>
    <row r="216" ht="24" customHeight="1">
      <c r="A216" s="29" t="inlineStr">
        <is>
          <t>51</t>
        </is>
      </c>
      <c r="B216" s="29" t="inlineStr">
        <is>
          <t>해당 없음</t>
        </is>
      </c>
      <c r="C216" s="29" t="inlineStr">
        <is>
          <t>싸이닉솔루션</t>
        </is>
      </c>
      <c r="D216" s="29" t="inlineStr">
        <is>
          <t>234030</t>
        </is>
      </c>
      <c r="E216" s="29" t="inlineStr">
        <is>
          <t>KOSDAQ</t>
        </is>
      </c>
      <c r="F216" s="29" t="inlineStr">
        <is>
          <t>팹리스/설계</t>
        </is>
      </c>
      <c r="G216" s="29" t="inlineStr">
        <is>
          <t>팹리스/설계</t>
        </is>
      </c>
      <c r="H216" s="29" t="inlineStr">
        <is>
          <t>False</t>
        </is>
      </c>
      <c r="I216" s="29" t="inlineStr">
        <is>
          <t>True</t>
        </is>
      </c>
      <c r="J216" s="29" t="inlineStr">
        <is>
          <t>OK_LIMITED_HISTORY_OR_GROWTH_NA</t>
        </is>
      </c>
      <c r="K216" s="29" t="inlineStr">
        <is>
          <t>데이터 사용 가능</t>
        </is>
      </c>
      <c r="L216" s="29" t="inlineStr">
        <is>
          <t>LOW</t>
        </is>
      </c>
      <c r="M216" s="29" t="inlineStr">
        <is>
          <t>LOW</t>
        </is>
      </c>
      <c r="N216" s="29" t="inlineStr">
        <is>
          <t>0.4670707070707071</t>
        </is>
      </c>
      <c r="O216" s="29" t="inlineStr">
        <is>
          <t>FAIR</t>
        </is>
      </c>
      <c r="P216" s="29" t="inlineStr">
        <is>
          <t>FAIR</t>
        </is>
      </c>
      <c r="Q216" s="29" t="inlineStr">
        <is>
          <t>FAIR</t>
        </is>
      </c>
      <c r="R216" s="29" t="inlineStr">
        <is>
          <t>0.7962034217650586</t>
        </is>
      </c>
      <c r="S216" s="29" t="inlineStr">
        <is>
          <t>HIGH</t>
        </is>
      </c>
      <c r="T216" s="29" t="inlineStr">
        <is>
          <t>HIGH</t>
        </is>
      </c>
      <c r="U216" s="29" t="inlineStr">
        <is>
          <t>0.3571428571428571</t>
        </is>
      </c>
      <c r="V216" s="29" t="inlineStr">
        <is>
          <t>MEDIUM_RISK</t>
        </is>
      </c>
      <c r="W216" s="29" t="inlineStr">
        <is>
          <t>중위험</t>
        </is>
      </c>
      <c r="X216" s="29" t="inlineStr">
        <is>
          <t>MEDIUM_RISK</t>
        </is>
      </c>
      <c r="Y216" s="29" t="inlineStr">
        <is>
          <t>0.7381251250014311</t>
        </is>
      </c>
      <c r="Z216" s="29" t="inlineStr">
        <is>
          <t>HIGH</t>
        </is>
      </c>
      <c r="AA216" s="29" t="inlineStr">
        <is>
          <t>HIGH</t>
        </is>
      </c>
      <c r="AB216" s="29" t="inlineStr">
        <is>
          <t>0.06902922032160619</t>
        </is>
      </c>
      <c r="AC216" s="29" t="inlineStr">
        <is>
          <t>False</t>
        </is>
      </c>
      <c r="AD216" s="29" t="inlineStr">
        <is>
          <t>True</t>
        </is>
      </c>
      <c r="AE216" s="29" t="inlineStr">
        <is>
          <t>valuation_credit_ml_overlay_candidate.csv</t>
        </is>
      </c>
      <c r="AF216" s="29" t="inlineStr">
        <is>
          <t>208개 반도체 reference universe. Valuation Agent가 자체 intake 폴더로 복제해 Peer/ML/대시보드 비교에 사용.</t>
        </is>
      </c>
    </row>
    <row r="217" ht="24" customHeight="1">
      <c r="A217" s="24" t="inlineStr">
        <is>
          <t>56</t>
        </is>
      </c>
      <c r="B217" s="24" t="inlineStr">
        <is>
          <t>해당 없음</t>
        </is>
      </c>
      <c r="C217" s="24" t="inlineStr">
        <is>
          <t>아이언디바이스</t>
        </is>
      </c>
      <c r="D217" s="24" t="inlineStr">
        <is>
          <t>464500</t>
        </is>
      </c>
      <c r="E217" s="24" t="inlineStr">
        <is>
          <t>KOSDAQ</t>
        </is>
      </c>
      <c r="F217" s="24" t="inlineStr">
        <is>
          <t>팹리스/설계</t>
        </is>
      </c>
      <c r="G217" s="24" t="inlineStr">
        <is>
          <t>팹리스/설계</t>
        </is>
      </c>
      <c r="H217" s="24" t="inlineStr">
        <is>
          <t>False</t>
        </is>
      </c>
      <c r="I217" s="24" t="inlineStr">
        <is>
          <t>True</t>
        </is>
      </c>
      <c r="J217" s="24" t="inlineStr">
        <is>
          <t>OK_LIMITED_HISTORY_OR_GROWTH_NA</t>
        </is>
      </c>
      <c r="K217" s="24" t="inlineStr">
        <is>
          <t>데이터 사용 가능</t>
        </is>
      </c>
      <c r="L217" s="24" t="inlineStr">
        <is>
          <t>LOW</t>
        </is>
      </c>
      <c r="M217" s="24" t="inlineStr">
        <is>
          <t>LOW</t>
        </is>
      </c>
      <c r="N217" s="24" t="inlineStr">
        <is>
          <t>0.4278787878787879</t>
        </is>
      </c>
      <c r="O217" s="24" t="inlineStr">
        <is>
          <t>FAIR</t>
        </is>
      </c>
      <c r="P217" s="24" t="inlineStr">
        <is>
          <t>FAIR</t>
        </is>
      </c>
      <c r="Q217" s="24" t="inlineStr">
        <is>
          <t>EXPENSIVE</t>
        </is>
      </c>
      <c r="R217" s="24" t="inlineStr">
        <is>
          <t>0.767854918982104</t>
        </is>
      </c>
      <c r="S217" s="24" t="inlineStr">
        <is>
          <t>HIGH</t>
        </is>
      </c>
      <c r="T217" s="24" t="inlineStr">
        <is>
          <t>HIGH</t>
        </is>
      </c>
      <c r="U217" s="24" t="inlineStr">
        <is>
          <t>0.5714285714285714</t>
        </is>
      </c>
      <c r="V217" s="24" t="inlineStr">
        <is>
          <t>HIGH_RISK</t>
        </is>
      </c>
      <c r="W217" s="24" t="inlineStr">
        <is>
          <t>고위험</t>
        </is>
      </c>
      <c r="X217" s="24" t="inlineStr">
        <is>
          <t>HIGH_RISK</t>
        </is>
      </c>
      <c r="Y217" s="24" t="inlineStr">
        <is>
          <t>0.9669454138137473</t>
        </is>
      </c>
      <c r="Z217" s="24" t="inlineStr">
        <is>
          <t>HIGH</t>
        </is>
      </c>
      <c r="AA217" s="24" t="inlineStr">
        <is>
          <t>HIGH</t>
        </is>
      </c>
      <c r="AB217" s="24" t="inlineStr">
        <is>
          <t>0.37904191381671964</t>
        </is>
      </c>
      <c r="AC217" s="24" t="inlineStr">
        <is>
          <t>True</t>
        </is>
      </c>
      <c r="AD217" s="24" t="inlineStr">
        <is>
          <t>True</t>
        </is>
      </c>
      <c r="AE217" s="24" t="inlineStr">
        <is>
          <t>valuation_credit_ml_overlay_candidate.csv</t>
        </is>
      </c>
      <c r="AF217" s="24" t="inlineStr">
        <is>
          <t>208개 반도체 reference universe. Valuation Agent가 자체 intake 폴더로 복제해 Peer/ML/대시보드 비교에 사용.</t>
        </is>
      </c>
    </row>
    <row r="218" ht="24" customHeight="1">
      <c r="A218" s="29" t="inlineStr">
        <is>
          <t>52</t>
        </is>
      </c>
      <c r="B218" s="29" t="inlineStr">
        <is>
          <t>해당 없음</t>
        </is>
      </c>
      <c r="C218" s="29" t="inlineStr">
        <is>
          <t>쓰리에이로직스</t>
        </is>
      </c>
      <c r="D218" s="29" t="inlineStr">
        <is>
          <t>177900</t>
        </is>
      </c>
      <c r="E218" s="29" t="inlineStr">
        <is>
          <t>KOSDAQ</t>
        </is>
      </c>
      <c r="F218" s="29" t="inlineStr">
        <is>
          <t>팹리스/설계</t>
        </is>
      </c>
      <c r="G218" s="29" t="inlineStr">
        <is>
          <t>팹리스/설계</t>
        </is>
      </c>
      <c r="H218" s="29" t="inlineStr">
        <is>
          <t>False</t>
        </is>
      </c>
      <c r="I218" s="29" t="inlineStr">
        <is>
          <t>True</t>
        </is>
      </c>
      <c r="J218" s="29" t="inlineStr">
        <is>
          <t>OK_LIMITED_HISTORY_OR_GROWTH_NA</t>
        </is>
      </c>
      <c r="K218" s="29" t="inlineStr">
        <is>
          <t>데이터 사용 가능</t>
        </is>
      </c>
      <c r="L218" s="29" t="inlineStr">
        <is>
          <t>LOW</t>
        </is>
      </c>
      <c r="M218" s="29" t="inlineStr">
        <is>
          <t>LOW</t>
        </is>
      </c>
      <c r="N218" s="29" t="inlineStr">
        <is>
          <t>0.4266666666666666</t>
        </is>
      </c>
      <c r="O218" s="29" t="inlineStr">
        <is>
          <t>FAIR</t>
        </is>
      </c>
      <c r="P218" s="29" t="inlineStr">
        <is>
          <t>FAIR</t>
        </is>
      </c>
      <c r="Q218" s="29" t="inlineStr">
        <is>
          <t>EXPENSIVE</t>
        </is>
      </c>
      <c r="R218" s="29" t="inlineStr">
        <is>
          <t>0.5793703556022938</t>
        </is>
      </c>
      <c r="S218" s="29" t="inlineStr">
        <is>
          <t>MEDIUM</t>
        </is>
      </c>
      <c r="T218" s="29" t="inlineStr">
        <is>
          <t>MEDIUM</t>
        </is>
      </c>
      <c r="U218" s="29" t="inlineStr">
        <is>
          <t>0.5714285714285714</t>
        </is>
      </c>
      <c r="V218" s="29" t="inlineStr">
        <is>
          <t>HIGH_RISK</t>
        </is>
      </c>
      <c r="W218" s="29" t="inlineStr">
        <is>
          <t>고위험</t>
        </is>
      </c>
      <c r="X218" s="29" t="inlineStr">
        <is>
          <t>HIGH_RISK</t>
        </is>
      </c>
      <c r="Y218" s="29" t="inlineStr">
        <is>
          <t>0.947298040301951</t>
        </is>
      </c>
      <c r="Z218" s="29" t="inlineStr">
        <is>
          <t>HIGH</t>
        </is>
      </c>
      <c r="AA218" s="29" t="inlineStr">
        <is>
          <t>HIGH</t>
        </is>
      </c>
      <c r="AB218" s="29" t="inlineStr">
        <is>
          <t>0.09970421258194967</t>
        </is>
      </c>
      <c r="AC218" s="29" t="inlineStr">
        <is>
          <t>False</t>
        </is>
      </c>
      <c r="AD218" s="29" t="inlineStr">
        <is>
          <t>True</t>
        </is>
      </c>
      <c r="AE218" s="29" t="inlineStr">
        <is>
          <t>valuation_credit_ml_overlay_candidate.csv</t>
        </is>
      </c>
      <c r="AF218" s="29" t="inlineStr">
        <is>
          <t>208개 반도체 reference universe. Valuation Agent가 자체 intake 폴더로 복제해 Peer/ML/대시보드 비교에 사용.</t>
        </is>
      </c>
    </row>
    <row r="219" ht="24" customHeight="1">
      <c r="A219" s="24" t="inlineStr">
        <is>
          <t>43</t>
        </is>
      </c>
      <c r="B219" s="24" t="inlineStr">
        <is>
          <t>해당 없음</t>
        </is>
      </c>
      <c r="C219" s="24" t="inlineStr">
        <is>
          <t>넥스트칩</t>
        </is>
      </c>
      <c r="D219" s="24" t="inlineStr">
        <is>
          <t>396270</t>
        </is>
      </c>
      <c r="E219" s="24" t="inlineStr">
        <is>
          <t>KOSDAQ</t>
        </is>
      </c>
      <c r="F219" s="24" t="inlineStr">
        <is>
          <t>팹리스/설계</t>
        </is>
      </c>
      <c r="G219" s="24" t="inlineStr">
        <is>
          <t>팹리스/설계</t>
        </is>
      </c>
      <c r="H219" s="24" t="inlineStr">
        <is>
          <t>False</t>
        </is>
      </c>
      <c r="I219" s="24" t="inlineStr">
        <is>
          <t>True</t>
        </is>
      </c>
      <c r="J219" s="24" t="inlineStr">
        <is>
          <t>OK</t>
        </is>
      </c>
      <c r="K219" s="24" t="inlineStr">
        <is>
          <t>데이터 사용 가능</t>
        </is>
      </c>
      <c r="L219" s="24" t="inlineStr">
        <is>
          <t>LOW</t>
        </is>
      </c>
      <c r="M219" s="24" t="inlineStr">
        <is>
          <t>LOW</t>
        </is>
      </c>
      <c r="N219" s="24" t="inlineStr">
        <is>
          <t>0.3743434343434344</t>
        </is>
      </c>
      <c r="O219" s="24" t="inlineStr">
        <is>
          <t>EXPENSIVE</t>
        </is>
      </c>
      <c r="P219" s="24" t="inlineStr">
        <is>
          <t>EXPENSIVE</t>
        </is>
      </c>
      <c r="Q219" s="24" t="inlineStr">
        <is>
          <t>EXPENSIVE</t>
        </is>
      </c>
      <c r="R219" s="24" t="inlineStr">
        <is>
          <t>0.9380466040149497</t>
        </is>
      </c>
      <c r="S219" s="24" t="inlineStr">
        <is>
          <t>HIGH</t>
        </is>
      </c>
      <c r="T219" s="24" t="inlineStr">
        <is>
          <t>HIGH</t>
        </is>
      </c>
      <c r="U219" s="24" t="inlineStr">
        <is>
          <t>0.7142857142857143</t>
        </is>
      </c>
      <c r="V219" s="24" t="inlineStr">
        <is>
          <t>HIGH_RISK</t>
        </is>
      </c>
      <c r="W219" s="24" t="inlineStr">
        <is>
          <t>고위험</t>
        </is>
      </c>
      <c r="X219" s="24" t="inlineStr">
        <is>
          <t>HIGH_RISK</t>
        </is>
      </c>
      <c r="Y219" s="24" t="inlineStr">
        <is>
          <t>0.9903921975513593</t>
        </is>
      </c>
      <c r="Z219" s="24" t="inlineStr">
        <is>
          <t>HIGH</t>
        </is>
      </c>
      <c r="AA219" s="24" t="inlineStr">
        <is>
          <t>HIGH</t>
        </is>
      </c>
      <c r="AB219" s="24" t="inlineStr">
        <is>
          <t>0.35370954409664757</t>
        </is>
      </c>
      <c r="AC219" s="24" t="inlineStr">
        <is>
          <t>True</t>
        </is>
      </c>
      <c r="AD219" s="24" t="inlineStr">
        <is>
          <t>True</t>
        </is>
      </c>
      <c r="AE219" s="24" t="inlineStr">
        <is>
          <t>valuation_credit_ml_overlay_candidate.csv</t>
        </is>
      </c>
      <c r="AF219" s="24" t="inlineStr">
        <is>
          <t>208개 반도체 reference universe. Valuation Agent가 자체 intake 폴더로 복제해 Peer/ML/대시보드 비교에 사용.</t>
        </is>
      </c>
    </row>
    <row r="220" ht="24" customHeight="1">
      <c r="A220" s="29" t="inlineStr">
        <is>
          <t>49</t>
        </is>
      </c>
      <c r="B220" s="29" t="inlineStr">
        <is>
          <t>해당 없음</t>
        </is>
      </c>
      <c r="C220" s="29" t="inlineStr">
        <is>
          <t>사피엔반도체</t>
        </is>
      </c>
      <c r="D220" s="29" t="inlineStr">
        <is>
          <t>452430</t>
        </is>
      </c>
      <c r="E220" s="29" t="inlineStr">
        <is>
          <t>KOSDAQ</t>
        </is>
      </c>
      <c r="F220" s="29" t="inlineStr">
        <is>
          <t>팹리스/설계</t>
        </is>
      </c>
      <c r="G220" s="29" t="inlineStr">
        <is>
          <t>팹리스/설계</t>
        </is>
      </c>
      <c r="H220" s="29" t="inlineStr">
        <is>
          <t>False</t>
        </is>
      </c>
      <c r="I220" s="29" t="inlineStr">
        <is>
          <t>True</t>
        </is>
      </c>
      <c r="J220" s="29" t="inlineStr">
        <is>
          <t>OK_LIMITED_HISTORY_OR_GROWTH_NA</t>
        </is>
      </c>
      <c r="K220" s="29" t="inlineStr">
        <is>
          <t>데이터 사용 가능</t>
        </is>
      </c>
      <c r="L220" s="29" t="inlineStr">
        <is>
          <t>LOW</t>
        </is>
      </c>
      <c r="M220" s="29" t="inlineStr">
        <is>
          <t>LOW</t>
        </is>
      </c>
      <c r="N220" s="29" t="inlineStr">
        <is>
          <t>0.3721212121212121</t>
        </is>
      </c>
      <c r="O220" s="29" t="inlineStr">
        <is>
          <t>EXPENSIVE</t>
        </is>
      </c>
      <c r="P220" s="29" t="inlineStr">
        <is>
          <t>EXPENSIVE</t>
        </is>
      </c>
      <c r="Q220" s="29" t="inlineStr">
        <is>
          <t>EXPENSIVE</t>
        </is>
      </c>
      <c r="R220" s="29" t="inlineStr">
        <is>
          <t>0.8482781866315999</t>
        </is>
      </c>
      <c r="S220" s="29" t="inlineStr">
        <is>
          <t>HIGH</t>
        </is>
      </c>
      <c r="T220" s="29" t="inlineStr">
        <is>
          <t>HIGH</t>
        </is>
      </c>
      <c r="U220" s="29" t="inlineStr">
        <is>
          <t>0.5714285714285714</t>
        </is>
      </c>
      <c r="V220" s="29" t="inlineStr">
        <is>
          <t>HIGH_RISK</t>
        </is>
      </c>
      <c r="W220" s="29" t="inlineStr">
        <is>
          <t>고위험</t>
        </is>
      </c>
      <c r="X220" s="29" t="inlineStr">
        <is>
          <t>MEDIUM_RISK</t>
        </is>
      </c>
      <c r="Y220" s="29" t="inlineStr">
        <is>
          <t>0.5745685064585346</t>
        </is>
      </c>
      <c r="Z220" s="29" t="inlineStr">
        <is>
          <t>MEDIUM</t>
        </is>
      </c>
      <c r="AA220" s="29" t="inlineStr">
        <is>
          <t>MEDIUM</t>
        </is>
      </c>
      <c r="AB220" s="29" t="inlineStr">
        <is>
          <t>0.12187984427462309</t>
        </is>
      </c>
      <c r="AC220" s="29" t="inlineStr">
        <is>
          <t>False</t>
        </is>
      </c>
      <c r="AD220" s="29" t="inlineStr">
        <is>
          <t>True</t>
        </is>
      </c>
      <c r="AE220" s="29" t="inlineStr">
        <is>
          <t>valuation_credit_ml_overlay_candidate.csv</t>
        </is>
      </c>
      <c r="AF220" s="29" t="inlineStr">
        <is>
          <t>208개 반도체 reference universe. Valuation Agent가 자체 intake 폴더로 복제해 Peer/ML/대시보드 비교에 사용.</t>
        </is>
      </c>
    </row>
    <row r="221" ht="24" customHeight="1">
      <c r="A221" s="24" t="inlineStr">
        <is>
          <t>44</t>
        </is>
      </c>
      <c r="B221" s="24" t="inlineStr">
        <is>
          <t>해당 없음</t>
        </is>
      </c>
      <c r="C221" s="24" t="inlineStr">
        <is>
          <t>동운아나텍</t>
        </is>
      </c>
      <c r="D221" s="24" t="inlineStr">
        <is>
          <t>094170</t>
        </is>
      </c>
      <c r="E221" s="24" t="inlineStr">
        <is>
          <t>KOSDAQ</t>
        </is>
      </c>
      <c r="F221" s="24" t="inlineStr">
        <is>
          <t>팹리스/설계</t>
        </is>
      </c>
      <c r="G221" s="24" t="inlineStr">
        <is>
          <t>팹리스/설계</t>
        </is>
      </c>
      <c r="H221" s="24" t="inlineStr">
        <is>
          <t>False</t>
        </is>
      </c>
      <c r="I221" s="24" t="inlineStr">
        <is>
          <t>True</t>
        </is>
      </c>
      <c r="J221" s="24" t="inlineStr">
        <is>
          <t>OK</t>
        </is>
      </c>
      <c r="K221" s="24" t="inlineStr">
        <is>
          <t>데이터 사용 가능</t>
        </is>
      </c>
      <c r="L221" s="24" t="inlineStr">
        <is>
          <t>LOW</t>
        </is>
      </c>
      <c r="M221" s="24" t="inlineStr">
        <is>
          <t>LOW</t>
        </is>
      </c>
      <c r="N221" s="24" t="inlineStr">
        <is>
          <t>0.3670707070707071</t>
        </is>
      </c>
      <c r="O221" s="24" t="inlineStr">
        <is>
          <t>EXPENSIVE</t>
        </is>
      </c>
      <c r="P221" s="24" t="inlineStr">
        <is>
          <t>EXPENSIVE</t>
        </is>
      </c>
      <c r="Q221" s="24" t="inlineStr">
        <is>
          <t>EXPENSIVE</t>
        </is>
      </c>
      <c r="R221" s="24" t="inlineStr">
        <is>
          <t>0.4894423516429773</t>
        </is>
      </c>
      <c r="S221" s="24" t="inlineStr">
        <is>
          <t>LOW</t>
        </is>
      </c>
      <c r="T221" s="24" t="inlineStr">
        <is>
          <t>LOW</t>
        </is>
      </c>
      <c r="U221" s="24" t="inlineStr">
        <is>
          <t>0.2142857142857142</t>
        </is>
      </c>
      <c r="V221" s="24" t="inlineStr">
        <is>
          <t>MEDIUM_RISK</t>
        </is>
      </c>
      <c r="W221" s="24" t="inlineStr">
        <is>
          <t>중위험</t>
        </is>
      </c>
      <c r="X221" s="24" t="inlineStr">
        <is>
          <t>MEDIUM_RISK</t>
        </is>
      </c>
      <c r="Y221" s="24" t="inlineStr">
        <is>
          <t>0.5063531969196903</t>
        </is>
      </c>
      <c r="Z221" s="24" t="inlineStr">
        <is>
          <t>MEDIUM</t>
        </is>
      </c>
      <c r="AA221" s="24" t="inlineStr">
        <is>
          <t>MEDIUM</t>
        </is>
      </c>
      <c r="AB221" s="24" t="inlineStr">
        <is>
          <t>0.09811976029987664</t>
        </is>
      </c>
      <c r="AC221" s="24" t="inlineStr">
        <is>
          <t>False</t>
        </is>
      </c>
      <c r="AD221" s="24" t="inlineStr">
        <is>
          <t>True</t>
        </is>
      </c>
      <c r="AE221" s="24" t="inlineStr">
        <is>
          <t>valuation_credit_ml_overlay_candidate.csv</t>
        </is>
      </c>
      <c r="AF221" s="24" t="inlineStr">
        <is>
          <t>208개 반도체 reference universe. Valuation Agent가 자체 intake 폴더로 복제해 Peer/ML/대시보드 비교에 사용.</t>
        </is>
      </c>
    </row>
    <row r="222" ht="24" customHeight="1">
      <c r="A222" s="29" t="inlineStr">
        <is>
          <t>50</t>
        </is>
      </c>
      <c r="B222" s="29" t="inlineStr">
        <is>
          <t>해당 없음</t>
        </is>
      </c>
      <c r="C222" s="29" t="inlineStr">
        <is>
          <t>세미파이브</t>
        </is>
      </c>
      <c r="D222" s="29" t="inlineStr">
        <is>
          <t>490470</t>
        </is>
      </c>
      <c r="E222" s="29" t="inlineStr">
        <is>
          <t>KOSDAQ</t>
        </is>
      </c>
      <c r="F222" s="29" t="inlineStr">
        <is>
          <t>팹리스/설계</t>
        </is>
      </c>
      <c r="G222" s="29" t="inlineStr">
        <is>
          <t>팹리스/설계</t>
        </is>
      </c>
      <c r="H222" s="29" t="inlineStr">
        <is>
          <t>False</t>
        </is>
      </c>
      <c r="I222" s="29" t="inlineStr">
        <is>
          <t>True</t>
        </is>
      </c>
      <c r="J222" s="29" t="inlineStr">
        <is>
          <t>OK_LIMITED_HISTORY_OR_GROWTH_NA</t>
        </is>
      </c>
      <c r="K222" s="29" t="inlineStr">
        <is>
          <t>데이터 사용 가능</t>
        </is>
      </c>
      <c r="L222" s="29" t="inlineStr">
        <is>
          <t>LOW</t>
        </is>
      </c>
      <c r="M222" s="29" t="inlineStr">
        <is>
          <t>LOW</t>
        </is>
      </c>
      <c r="N222" s="29" t="inlineStr">
        <is>
          <t>0.3646464646464646</t>
        </is>
      </c>
      <c r="O222" s="29" t="inlineStr">
        <is>
          <t>EXPENSIVE</t>
        </is>
      </c>
      <c r="P222" s="29" t="inlineStr">
        <is>
          <t>EXPENSIVE</t>
        </is>
      </c>
      <c r="Q222" s="29" t="inlineStr">
        <is>
          <t>EXPENSIVE</t>
        </is>
      </c>
      <c r="R222" s="29" t="inlineStr">
        <is>
          <t>0.9277538303818181</t>
        </is>
      </c>
      <c r="S222" s="29" t="inlineStr">
        <is>
          <t>HIGH</t>
        </is>
      </c>
      <c r="T222" s="29" t="inlineStr">
        <is>
          <t>HIGH</t>
        </is>
      </c>
      <c r="U222" s="29" t="inlineStr">
        <is>
          <t>0.5</t>
        </is>
      </c>
      <c r="V222" s="29" t="inlineStr">
        <is>
          <t>HIGH_RISK</t>
        </is>
      </c>
      <c r="W222" s="29" t="inlineStr">
        <is>
          <t>고위험</t>
        </is>
      </c>
      <c r="X222" s="29" t="inlineStr">
        <is>
          <t>HIGH_RISK</t>
        </is>
      </c>
      <c r="Y222" s="29" t="inlineStr">
        <is>
          <t>0.8726925242668786</t>
        </is>
      </c>
      <c r="Z222" s="29" t="inlineStr">
        <is>
          <t>HIGH</t>
        </is>
      </c>
      <c r="AA222" s="29" t="inlineStr">
        <is>
          <t>HIGH</t>
        </is>
      </c>
      <c r="AB222" s="29" t="inlineStr">
        <is>
          <t>0.10138163372341347</t>
        </is>
      </c>
      <c r="AC222" s="29" t="inlineStr">
        <is>
          <t>False</t>
        </is>
      </c>
      <c r="AD222" s="29" t="inlineStr">
        <is>
          <t>True</t>
        </is>
      </c>
      <c r="AE222" s="29" t="inlineStr">
        <is>
          <t>valuation_credit_ml_overlay_candidate.csv</t>
        </is>
      </c>
      <c r="AF222" s="29" t="inlineStr">
        <is>
          <t>208개 반도체 reference universe. Valuation Agent가 자체 intake 폴더로 복제해 Peer/ML/대시보드 비교에 사용.</t>
        </is>
      </c>
    </row>
    <row r="223" ht="24" customHeight="1">
      <c r="A223" s="24" t="inlineStr">
        <is>
          <t>63</t>
        </is>
      </c>
      <c r="B223" s="24" t="inlineStr">
        <is>
          <t>해당 없음</t>
        </is>
      </c>
      <c r="C223" s="24" t="inlineStr">
        <is>
          <t>에이직랜드</t>
        </is>
      </c>
      <c r="D223" s="24" t="inlineStr">
        <is>
          <t>445090</t>
        </is>
      </c>
      <c r="E223" s="24" t="inlineStr">
        <is>
          <t>KOSDAQ</t>
        </is>
      </c>
      <c r="F223" s="24" t="inlineStr">
        <is>
          <t>팹리스/설계</t>
        </is>
      </c>
      <c r="G223" s="24" t="inlineStr">
        <is>
          <t>팹리스/설계</t>
        </is>
      </c>
      <c r="H223" s="24" t="inlineStr">
        <is>
          <t>False</t>
        </is>
      </c>
      <c r="I223" s="24" t="inlineStr">
        <is>
          <t>True</t>
        </is>
      </c>
      <c r="J223" s="24" t="inlineStr">
        <is>
          <t>OK_LIMITED_HISTORY_OR_GROWTH_NA</t>
        </is>
      </c>
      <c r="K223" s="24" t="inlineStr">
        <is>
          <t>데이터 사용 가능</t>
        </is>
      </c>
      <c r="L223" s="24" t="inlineStr">
        <is>
          <t>LOW</t>
        </is>
      </c>
      <c r="M223" s="24" t="inlineStr">
        <is>
          <t>LOW</t>
        </is>
      </c>
      <c r="N223" s="24" t="inlineStr">
        <is>
          <t>0.3294949494949495</t>
        </is>
      </c>
      <c r="O223" s="24" t="inlineStr">
        <is>
          <t>EXPENSIVE</t>
        </is>
      </c>
      <c r="P223" s="24" t="inlineStr">
        <is>
          <t>EXPENSIVE</t>
        </is>
      </c>
      <c r="Q223" s="24" t="inlineStr">
        <is>
          <t>EXPENSIVE</t>
        </is>
      </c>
      <c r="R223" s="24" t="inlineStr">
        <is>
          <t>0.9058303131641584</t>
        </is>
      </c>
      <c r="S223" s="24" t="inlineStr">
        <is>
          <t>HIGH</t>
        </is>
      </c>
      <c r="T223" s="24" t="inlineStr">
        <is>
          <t>HIGH</t>
        </is>
      </c>
      <c r="U223" s="24" t="inlineStr">
        <is>
          <t>0.7857142857142857</t>
        </is>
      </c>
      <c r="V223" s="24" t="inlineStr">
        <is>
          <t>HIGH_RISK</t>
        </is>
      </c>
      <c r="W223" s="24" t="inlineStr">
        <is>
          <t>고위험</t>
        </is>
      </c>
      <c r="X223" s="24" t="inlineStr">
        <is>
          <t>HIGH_RISK</t>
        </is>
      </c>
      <c r="Y223" s="24" t="inlineStr">
        <is>
          <t>0.9947590219356869</t>
        </is>
      </c>
      <c r="Z223" s="24" t="inlineStr">
        <is>
          <t>HIGH</t>
        </is>
      </c>
      <c r="AA223" s="24" t="inlineStr">
        <is>
          <t>HIGH</t>
        </is>
      </c>
      <c r="AB223" s="24" t="inlineStr">
        <is>
          <t>0.22322767104490657</t>
        </is>
      </c>
      <c r="AC223" s="24" t="inlineStr">
        <is>
          <t>False</t>
        </is>
      </c>
      <c r="AD223" s="24" t="inlineStr">
        <is>
          <t>True</t>
        </is>
      </c>
      <c r="AE223" s="24" t="inlineStr">
        <is>
          <t>valuation_credit_ml_overlay_candidate.csv</t>
        </is>
      </c>
      <c r="AF223" s="24" t="inlineStr">
        <is>
          <t>208개 반도체 reference universe. Valuation Agent가 자체 intake 폴더로 복제해 Peer/ML/대시보드 비교에 사용.</t>
        </is>
      </c>
    </row>
    <row r="224" ht="24" customHeight="1">
      <c r="A224" s="29" t="inlineStr">
        <is>
          <t>45</t>
        </is>
      </c>
      <c r="B224" s="29" t="inlineStr">
        <is>
          <t>해당 없음</t>
        </is>
      </c>
      <c r="C224" s="29" t="inlineStr">
        <is>
          <t>라닉스</t>
        </is>
      </c>
      <c r="D224" s="29" t="inlineStr">
        <is>
          <t>317120</t>
        </is>
      </c>
      <c r="E224" s="29" t="inlineStr">
        <is>
          <t>KOSDAQ</t>
        </is>
      </c>
      <c r="F224" s="29" t="inlineStr">
        <is>
          <t>팹리스/설계</t>
        </is>
      </c>
      <c r="G224" s="29" t="inlineStr">
        <is>
          <t>팹리스/설계</t>
        </is>
      </c>
      <c r="H224" s="29" t="inlineStr">
        <is>
          <t>False</t>
        </is>
      </c>
      <c r="I224" s="29" t="inlineStr">
        <is>
          <t>True</t>
        </is>
      </c>
      <c r="J224" s="29" t="inlineStr">
        <is>
          <t>OK</t>
        </is>
      </c>
      <c r="K224" s="29" t="inlineStr">
        <is>
          <t>데이터 사용 가능</t>
        </is>
      </c>
      <c r="L224" s="29" t="inlineStr">
        <is>
          <t>LOW</t>
        </is>
      </c>
      <c r="M224" s="29" t="inlineStr">
        <is>
          <t>LOW</t>
        </is>
      </c>
      <c r="N224" s="29" t="inlineStr">
        <is>
          <t>0.3208080808080809</t>
        </is>
      </c>
      <c r="O224" s="29" t="inlineStr">
        <is>
          <t>EXPENSIVE</t>
        </is>
      </c>
      <c r="P224" s="29" t="inlineStr">
        <is>
          <t>EXPENSIVE</t>
        </is>
      </c>
      <c r="Q224" s="29" t="inlineStr">
        <is>
          <t>EXPENSIVE</t>
        </is>
      </c>
      <c r="R224" s="29" t="inlineStr">
        <is>
          <t>0.9281808400807596</t>
        </is>
      </c>
      <c r="S224" s="29" t="inlineStr">
        <is>
          <t>HIGH</t>
        </is>
      </c>
      <c r="T224" s="29" t="inlineStr">
        <is>
          <t>HIGH</t>
        </is>
      </c>
      <c r="U224" s="29" t="inlineStr">
        <is>
          <t>0.7142857142857143</t>
        </is>
      </c>
      <c r="V224" s="29" t="inlineStr">
        <is>
          <t>HIGH_RISK</t>
        </is>
      </c>
      <c r="W224" s="29" t="inlineStr">
        <is>
          <t>고위험</t>
        </is>
      </c>
      <c r="X224" s="29" t="inlineStr">
        <is>
          <t>HIGH_RISK</t>
        </is>
      </c>
      <c r="Y224" s="29" t="inlineStr">
        <is>
          <t>0.9891542031597422</t>
        </is>
      </c>
      <c r="Z224" s="29" t="inlineStr">
        <is>
          <t>HIGH</t>
        </is>
      </c>
      <c r="AA224" s="29" t="inlineStr">
        <is>
          <t>HIGH</t>
        </is>
      </c>
      <c r="AB224" s="29" t="inlineStr">
        <is>
          <t>0.2722138190712409</t>
        </is>
      </c>
      <c r="AC224" s="29" t="inlineStr">
        <is>
          <t>True</t>
        </is>
      </c>
      <c r="AD224" s="29" t="inlineStr">
        <is>
          <t>True</t>
        </is>
      </c>
      <c r="AE224" s="29" t="inlineStr">
        <is>
          <t>valuation_credit_ml_overlay_candidate.csv</t>
        </is>
      </c>
      <c r="AF224" s="29" t="inlineStr">
        <is>
          <t>208개 반도체 reference universe. Valuation Agent가 자체 intake 폴더로 복제해 Peer/ML/대시보드 비교에 사용.</t>
        </is>
      </c>
    </row>
    <row r="225" ht="24" customHeight="1">
      <c r="A225" s="24" t="inlineStr">
        <is>
          <t>42</t>
        </is>
      </c>
      <c r="B225" s="24" t="inlineStr">
        <is>
          <t>해당 없음</t>
        </is>
      </c>
      <c r="C225" s="24" t="inlineStr">
        <is>
          <t>가온칩스</t>
        </is>
      </c>
      <c r="D225" s="24" t="inlineStr">
        <is>
          <t>399720</t>
        </is>
      </c>
      <c r="E225" s="24" t="inlineStr">
        <is>
          <t>KOSDAQ</t>
        </is>
      </c>
      <c r="F225" s="24" t="inlineStr">
        <is>
          <t>팹리스/설계</t>
        </is>
      </c>
      <c r="G225" s="24" t="inlineStr">
        <is>
          <t>팹리스/설계</t>
        </is>
      </c>
      <c r="H225" s="24" t="inlineStr">
        <is>
          <t>False</t>
        </is>
      </c>
      <c r="I225" s="24" t="inlineStr">
        <is>
          <t>True</t>
        </is>
      </c>
      <c r="J225" s="24" t="inlineStr">
        <is>
          <t>OK</t>
        </is>
      </c>
      <c r="K225" s="24" t="inlineStr">
        <is>
          <t>데이터 사용 가능</t>
        </is>
      </c>
      <c r="L225" s="24" t="inlineStr">
        <is>
          <t>LOW</t>
        </is>
      </c>
      <c r="M225" s="24" t="inlineStr">
        <is>
          <t>LOW</t>
        </is>
      </c>
      <c r="N225" s="24" t="inlineStr">
        <is>
          <t>0.3119191919191919</t>
        </is>
      </c>
      <c r="O225" s="24" t="inlineStr">
        <is>
          <t>EXPENSIVE</t>
        </is>
      </c>
      <c r="P225" s="24" t="inlineStr">
        <is>
          <t>EXPENSIVE</t>
        </is>
      </c>
      <c r="Q225" s="24" t="inlineStr">
        <is>
          <t>EXPENSIVE</t>
        </is>
      </c>
      <c r="R225" s="24" t="inlineStr">
        <is>
          <t>0.9202856043409283</t>
        </is>
      </c>
      <c r="S225" s="24" t="inlineStr">
        <is>
          <t>HIGH</t>
        </is>
      </c>
      <c r="T225" s="24" t="inlineStr">
        <is>
          <t>HIGH</t>
        </is>
      </c>
      <c r="U225" s="24" t="inlineStr">
        <is>
          <t>0.5714285714285714</t>
        </is>
      </c>
      <c r="V225" s="24" t="inlineStr">
        <is>
          <t>HIGH_RISK</t>
        </is>
      </c>
      <c r="W225" s="24" t="inlineStr">
        <is>
          <t>고위험</t>
        </is>
      </c>
      <c r="X225" s="24" t="inlineStr">
        <is>
          <t>HIGH_RISK</t>
        </is>
      </c>
      <c r="Y225" s="24" t="inlineStr">
        <is>
          <t>0.9252273149693407</t>
        </is>
      </c>
      <c r="Z225" s="24" t="inlineStr">
        <is>
          <t>HIGH</t>
        </is>
      </c>
      <c r="AA225" s="24" t="inlineStr">
        <is>
          <t>HIGH</t>
        </is>
      </c>
      <c r="AB225" s="24" t="inlineStr">
        <is>
          <t>0.08996216176961074</t>
        </is>
      </c>
      <c r="AC225" s="24" t="inlineStr">
        <is>
          <t>False</t>
        </is>
      </c>
      <c r="AD225" s="24" t="inlineStr">
        <is>
          <t>False</t>
        </is>
      </c>
      <c r="AE225" s="24" t="inlineStr">
        <is>
          <t>valuation_credit_ml_overlay_candidate.csv</t>
        </is>
      </c>
      <c r="AF225" s="24" t="inlineStr">
        <is>
          <t>208개 반도체 reference universe. Valuation Agent가 자체 intake 폴더로 복제해 Peer/ML/대시보드 비교에 사용.</t>
        </is>
      </c>
    </row>
    <row r="226" ht="24" customHeight="1">
      <c r="A226" s="29" t="inlineStr">
        <is>
          <t>72</t>
        </is>
      </c>
      <c r="B226" s="29" t="inlineStr">
        <is>
          <t>해당 없음</t>
        </is>
      </c>
      <c r="C226" s="29" t="inlineStr">
        <is>
          <t>파두</t>
        </is>
      </c>
      <c r="D226" s="29" t="inlineStr">
        <is>
          <t>440110</t>
        </is>
      </c>
      <c r="E226" s="29" t="inlineStr">
        <is>
          <t>KOSDAQ</t>
        </is>
      </c>
      <c r="F226" s="29" t="inlineStr">
        <is>
          <t>팹리스/설계</t>
        </is>
      </c>
      <c r="G226" s="29" t="inlineStr">
        <is>
          <t>팹리스/설계</t>
        </is>
      </c>
      <c r="H226" s="29" t="inlineStr">
        <is>
          <t>False</t>
        </is>
      </c>
      <c r="I226" s="29" t="inlineStr">
        <is>
          <t>True</t>
        </is>
      </c>
      <c r="J226" s="29" t="inlineStr">
        <is>
          <t>OK_LIMITED_HISTORY_OR_GROWTH_NA</t>
        </is>
      </c>
      <c r="K226" s="29" t="inlineStr">
        <is>
          <t>데이터 사용 가능</t>
        </is>
      </c>
      <c r="L226" s="29" t="inlineStr">
        <is>
          <t>LOW</t>
        </is>
      </c>
      <c r="M226" s="29" t="inlineStr">
        <is>
          <t>LOW</t>
        </is>
      </c>
      <c r="N226" s="29" t="inlineStr">
        <is>
          <t>0.2817171717171717</t>
        </is>
      </c>
      <c r="O226" s="29" t="inlineStr">
        <is>
          <t>EXPENSIVE</t>
        </is>
      </c>
      <c r="P226" s="29" t="inlineStr">
        <is>
          <t>EXPENSIVE</t>
        </is>
      </c>
      <c r="Q226" s="29" t="inlineStr">
        <is>
          <t>EXPENSIVE</t>
        </is>
      </c>
      <c r="R226" s="29" t="inlineStr">
        <is>
          <t>0.9722302520284296</t>
        </is>
      </c>
      <c r="S226" s="29" t="inlineStr">
        <is>
          <t>HIGH</t>
        </is>
      </c>
      <c r="T226" s="29" t="inlineStr">
        <is>
          <t>HIGH</t>
        </is>
      </c>
      <c r="U226" s="29" t="inlineStr">
        <is>
          <t>0.7142857142857143</t>
        </is>
      </c>
      <c r="V226" s="29" t="inlineStr">
        <is>
          <t>HIGH_RISK</t>
        </is>
      </c>
      <c r="W226" s="29" t="inlineStr">
        <is>
          <t>고위험</t>
        </is>
      </c>
      <c r="X226" s="29" t="inlineStr">
        <is>
          <t>HIGH_RISK</t>
        </is>
      </c>
      <c r="Y226" s="29" t="inlineStr">
        <is>
          <t>0.9166704410023929</t>
        </is>
      </c>
      <c r="Z226" s="29" t="inlineStr">
        <is>
          <t>HIGH</t>
        </is>
      </c>
      <c r="AA226" s="29" t="inlineStr">
        <is>
          <t>HIGH</t>
        </is>
      </c>
      <c r="AB226" s="29" t="inlineStr">
        <is>
          <t>0.4892266150598854</t>
        </is>
      </c>
      <c r="AC226" s="29" t="inlineStr">
        <is>
          <t>True</t>
        </is>
      </c>
      <c r="AD226" s="29" t="inlineStr">
        <is>
          <t>True</t>
        </is>
      </c>
      <c r="AE226" s="29" t="inlineStr">
        <is>
          <t>valuation_credit_ml_overlay_candidate.csv</t>
        </is>
      </c>
      <c r="AF226" s="29" t="inlineStr">
        <is>
          <t>208개 반도체 reference universe. Valuation Agent가 자체 intake 폴더로 복제해 Peer/ML/대시보드 비교에 사용.</t>
        </is>
      </c>
    </row>
    <row r="227" ht="24" customHeight="1">
      <c r="A227" s="24" t="inlineStr">
        <is>
          <t>54</t>
        </is>
      </c>
      <c r="B227" s="24" t="inlineStr">
        <is>
          <t>해당 없음</t>
        </is>
      </c>
      <c r="C227" s="24" t="inlineStr">
        <is>
          <t>아이씨티케이</t>
        </is>
      </c>
      <c r="D227" s="24" t="inlineStr">
        <is>
          <t>456010</t>
        </is>
      </c>
      <c r="E227" s="24" t="inlineStr">
        <is>
          <t>KOSDAQ</t>
        </is>
      </c>
      <c r="F227" s="24" t="inlineStr">
        <is>
          <t>팹리스/설계</t>
        </is>
      </c>
      <c r="G227" s="24" t="inlineStr">
        <is>
          <t>팹리스/설계</t>
        </is>
      </c>
      <c r="H227" s="24" t="inlineStr">
        <is>
          <t>False</t>
        </is>
      </c>
      <c r="I227" s="24" t="inlineStr">
        <is>
          <t>True</t>
        </is>
      </c>
      <c r="J227" s="24" t="inlineStr">
        <is>
          <t>OK_LIMITED_HISTORY_OR_GROWTH_NA</t>
        </is>
      </c>
      <c r="K227" s="24" t="inlineStr">
        <is>
          <t>데이터 사용 가능</t>
        </is>
      </c>
      <c r="L227" s="24" t="inlineStr">
        <is>
          <t>LOW</t>
        </is>
      </c>
      <c r="M227" s="24" t="inlineStr">
        <is>
          <t>LOW</t>
        </is>
      </c>
      <c r="N227" s="24" t="inlineStr">
        <is>
          <t>0.2421212121212121</t>
        </is>
      </c>
      <c r="O227" s="24" t="inlineStr">
        <is>
          <t>EXPENSIVE</t>
        </is>
      </c>
      <c r="P227" s="24" t="inlineStr">
        <is>
          <t>EXPENSIVE</t>
        </is>
      </c>
      <c r="Q227" s="24" t="inlineStr">
        <is>
          <t>EXPENSIVE</t>
        </is>
      </c>
      <c r="R227" s="24" t="inlineStr">
        <is>
          <t>0.9318776222941163</t>
        </is>
      </c>
      <c r="S227" s="24" t="inlineStr">
        <is>
          <t>HIGH</t>
        </is>
      </c>
      <c r="T227" s="24" t="inlineStr">
        <is>
          <t>HIGH</t>
        </is>
      </c>
      <c r="U227" s="24" t="inlineStr">
        <is>
          <t>0.5714285714285714</t>
        </is>
      </c>
      <c r="V227" s="24" t="inlineStr">
        <is>
          <t>HIGH_RISK</t>
        </is>
      </c>
      <c r="W227" s="24" t="inlineStr">
        <is>
          <t>고위험</t>
        </is>
      </c>
      <c r="X227" s="24" t="inlineStr">
        <is>
          <t>HIGH_RISK</t>
        </is>
      </c>
      <c r="Y227" s="24" t="inlineStr">
        <is>
          <t>0.9704486787687135</t>
        </is>
      </c>
      <c r="Z227" s="24" t="inlineStr">
        <is>
          <t>HIGH</t>
        </is>
      </c>
      <c r="AA227" s="24" t="inlineStr">
        <is>
          <t>HIGH</t>
        </is>
      </c>
      <c r="AB227" s="24" t="inlineStr">
        <is>
          <t>0.44110450319077704</t>
        </is>
      </c>
      <c r="AC227" s="24" t="inlineStr">
        <is>
          <t>True</t>
        </is>
      </c>
      <c r="AD227" s="24" t="inlineStr">
        <is>
          <t>True</t>
        </is>
      </c>
      <c r="AE227" s="24" t="inlineStr">
        <is>
          <t>valuation_credit_ml_overlay_candidate.csv</t>
        </is>
      </c>
      <c r="AF227" s="24" t="inlineStr">
        <is>
          <t>208개 반도체 reference universe. Valuation Agent가 자체 intake 폴더로 복제해 Peer/ML/대시보드 비교에 사용.</t>
        </is>
      </c>
    </row>
    <row r="228" ht="24" customHeight="1">
      <c r="A228" s="29" t="inlineStr">
        <is>
          <t>64</t>
        </is>
      </c>
      <c r="B228" s="29" t="inlineStr">
        <is>
          <t>해당 없음</t>
        </is>
      </c>
      <c r="C228" s="29" t="inlineStr">
        <is>
          <t>오픈엣지테크놀로지</t>
        </is>
      </c>
      <c r="D228" s="29" t="inlineStr">
        <is>
          <t>394280</t>
        </is>
      </c>
      <c r="E228" s="29" t="inlineStr">
        <is>
          <t>KOSDAQ</t>
        </is>
      </c>
      <c r="F228" s="29" t="inlineStr">
        <is>
          <t>팹리스/설계</t>
        </is>
      </c>
      <c r="G228" s="29" t="inlineStr">
        <is>
          <t>팹리스/설계</t>
        </is>
      </c>
      <c r="H228" s="29" t="inlineStr">
        <is>
          <t>False</t>
        </is>
      </c>
      <c r="I228" s="29" t="inlineStr">
        <is>
          <t>True</t>
        </is>
      </c>
      <c r="J228" s="29" t="inlineStr">
        <is>
          <t>OK</t>
        </is>
      </c>
      <c r="K228" s="29" t="inlineStr">
        <is>
          <t>데이터 사용 가능</t>
        </is>
      </c>
      <c r="L228" s="29" t="inlineStr">
        <is>
          <t>LOW</t>
        </is>
      </c>
      <c r="M228" s="29" t="inlineStr">
        <is>
          <t>LOW</t>
        </is>
      </c>
      <c r="N228" s="29" t="inlineStr">
        <is>
          <t>0.2383838383838384</t>
        </is>
      </c>
      <c r="O228" s="29" t="inlineStr">
        <is>
          <t>EXPENSIVE</t>
        </is>
      </c>
      <c r="P228" s="29" t="inlineStr">
        <is>
          <t>EXPENSIVE</t>
        </is>
      </c>
      <c r="Q228" s="29" t="inlineStr">
        <is>
          <t>EXPENSIVE</t>
        </is>
      </c>
      <c r="R228" s="29" t="inlineStr">
        <is>
          <t>0.9776205348568181</t>
        </is>
      </c>
      <c r="S228" s="29" t="inlineStr">
        <is>
          <t>HIGH</t>
        </is>
      </c>
      <c r="T228" s="29" t="inlineStr">
        <is>
          <t>HIGH</t>
        </is>
      </c>
      <c r="U228" s="29" t="inlineStr">
        <is>
          <t>0.5714285714285714</t>
        </is>
      </c>
      <c r="V228" s="29" t="inlineStr">
        <is>
          <t>HIGH_RISK</t>
        </is>
      </c>
      <c r="W228" s="29" t="inlineStr">
        <is>
          <t>고위험</t>
        </is>
      </c>
      <c r="X228" s="29" t="inlineStr">
        <is>
          <t>HIGH_RISK</t>
        </is>
      </c>
      <c r="Y228" s="29" t="inlineStr">
        <is>
          <t>0.979409987987143</t>
        </is>
      </c>
      <c r="Z228" s="29" t="inlineStr">
        <is>
          <t>HIGH</t>
        </is>
      </c>
      <c r="AA228" s="29" t="inlineStr">
        <is>
          <t>HIGH</t>
        </is>
      </c>
      <c r="AB228" s="29" t="inlineStr">
        <is>
          <t>0.49673253879125484</t>
        </is>
      </c>
      <c r="AC228" s="29" t="inlineStr">
        <is>
          <t>True</t>
        </is>
      </c>
      <c r="AD228" s="29" t="inlineStr">
        <is>
          <t>True</t>
        </is>
      </c>
      <c r="AE228" s="29" t="inlineStr">
        <is>
          <t>valuation_credit_ml_overlay_candidate.csv</t>
        </is>
      </c>
      <c r="AF228" s="29" t="inlineStr">
        <is>
          <t>208개 반도체 reference universe. Valuation Agent가 자체 intake 폴더로 복제해 Peer/ML/대시보드 비교에 사용.</t>
        </is>
      </c>
    </row>
    <row r="229" ht="24" customHeight="1">
      <c r="A229" s="24" t="inlineStr">
        <is>
          <t>69</t>
        </is>
      </c>
      <c r="B229" s="24" t="inlineStr">
        <is>
          <t>해당 없음</t>
        </is>
      </c>
      <c r="C229" s="24" t="inlineStr">
        <is>
          <t>퀄리타스반도체</t>
        </is>
      </c>
      <c r="D229" s="24" t="inlineStr">
        <is>
          <t>432720</t>
        </is>
      </c>
      <c r="E229" s="24" t="inlineStr">
        <is>
          <t>KOSDAQ</t>
        </is>
      </c>
      <c r="F229" s="24" t="inlineStr">
        <is>
          <t>팹리스/설계</t>
        </is>
      </c>
      <c r="G229" s="24" t="inlineStr">
        <is>
          <t>팹리스/설계</t>
        </is>
      </c>
      <c r="H229" s="24" t="inlineStr">
        <is>
          <t>False</t>
        </is>
      </c>
      <c r="I229" s="24" t="inlineStr">
        <is>
          <t>True</t>
        </is>
      </c>
      <c r="J229" s="24" t="inlineStr">
        <is>
          <t>OK_LIMITED_HISTORY_OR_GROWTH_NA</t>
        </is>
      </c>
      <c r="K229" s="24" t="inlineStr">
        <is>
          <t>데이터 사용 가능</t>
        </is>
      </c>
      <c r="L229" s="24" t="inlineStr">
        <is>
          <t>LOW</t>
        </is>
      </c>
      <c r="M229" s="24" t="inlineStr">
        <is>
          <t>LOW</t>
        </is>
      </c>
      <c r="N229" s="24" t="inlineStr">
        <is>
          <t>0.2119191919191919</t>
        </is>
      </c>
      <c r="O229" s="24" t="inlineStr">
        <is>
          <t>EXPENSIVE</t>
        </is>
      </c>
      <c r="P229" s="24" t="inlineStr">
        <is>
          <t>EXPENSIVE</t>
        </is>
      </c>
      <c r="Q229" s="24" t="inlineStr">
        <is>
          <t>EXPENSIVE</t>
        </is>
      </c>
      <c r="R229" s="24" t="inlineStr">
        <is>
          <t>0.9844433173148716</t>
        </is>
      </c>
      <c r="S229" s="24" t="inlineStr">
        <is>
          <t>HIGH</t>
        </is>
      </c>
      <c r="T229" s="24" t="inlineStr">
        <is>
          <t>HIGH</t>
        </is>
      </c>
      <c r="U229" s="24" t="inlineStr">
        <is>
          <t>0.5714285714285714</t>
        </is>
      </c>
      <c r="V229" s="24" t="inlineStr">
        <is>
          <t>HIGH_RISK</t>
        </is>
      </c>
      <c r="W229" s="24" t="inlineStr">
        <is>
          <t>고위험</t>
        </is>
      </c>
      <c r="X229" s="24" t="inlineStr">
        <is>
          <t>HIGH_RISK</t>
        </is>
      </c>
      <c r="Y229" s="24" t="inlineStr">
        <is>
          <t>0.9775928777225235</t>
        </is>
      </c>
      <c r="Z229" s="24" t="inlineStr">
        <is>
          <t>HIGH</t>
        </is>
      </c>
      <c r="AA229" s="24" t="inlineStr">
        <is>
          <t>HIGH</t>
        </is>
      </c>
      <c r="AB229" s="24" t="inlineStr">
        <is>
          <t>0.7960673007059423</t>
        </is>
      </c>
      <c r="AC229" s="24" t="inlineStr">
        <is>
          <t>True</t>
        </is>
      </c>
      <c r="AD229" s="24" t="inlineStr">
        <is>
          <t>True</t>
        </is>
      </c>
      <c r="AE229" s="24" t="inlineStr">
        <is>
          <t>valuation_credit_ml_overlay_candidate.csv</t>
        </is>
      </c>
      <c r="AF229" s="24" t="inlineStr">
        <is>
          <t>208개 반도체 reference universe. Valuation Agent가 자체 intake 폴더로 복제해 Peer/ML/대시보드 비교에 사용.</t>
        </is>
      </c>
    </row>
    <row r="230" ht="24" customHeight="1">
      <c r="A230" s="29" t="inlineStr">
        <is>
          <t>168</t>
        </is>
      </c>
      <c r="B230" s="29" t="inlineStr">
        <is>
          <t>해당 없음</t>
        </is>
      </c>
      <c r="C230" s="29" t="inlineStr">
        <is>
          <t>성우테크론</t>
        </is>
      </c>
      <c r="D230" s="29" t="inlineStr">
        <is>
          <t>045300</t>
        </is>
      </c>
      <c r="E230" s="29" t="inlineStr">
        <is>
          <t>KOSDAQ</t>
        </is>
      </c>
      <c r="F230" s="29" t="inlineStr">
        <is>
          <t>후공정/패키징/테스트</t>
        </is>
      </c>
      <c r="G230" s="29" t="inlineStr">
        <is>
          <t>후공정/패키징/테스트</t>
        </is>
      </c>
      <c r="H230" s="29" t="inlineStr">
        <is>
          <t>False</t>
        </is>
      </c>
      <c r="I230" s="29" t="inlineStr">
        <is>
          <t>True</t>
        </is>
      </c>
      <c r="J230" s="29" t="inlineStr">
        <is>
          <t>OK</t>
        </is>
      </c>
      <c r="K230" s="29" t="inlineStr">
        <is>
          <t>데이터 사용 가능</t>
        </is>
      </c>
      <c r="L230" s="29" t="inlineStr">
        <is>
          <t>LOW</t>
        </is>
      </c>
      <c r="M230" s="29" t="inlineStr">
        <is>
          <t>LOW</t>
        </is>
      </c>
      <c r="N230" s="29" t="inlineStr">
        <is>
          <t>0.7764444444444445</t>
        </is>
      </c>
      <c r="O230" s="29" t="inlineStr">
        <is>
          <t>ATTRACTIVE</t>
        </is>
      </c>
      <c r="P230" s="29" t="inlineStr">
        <is>
          <t>가치 매력</t>
        </is>
      </c>
      <c r="Q230" s="29" t="inlineStr">
        <is>
          <t>ATTRACTIVE</t>
        </is>
      </c>
      <c r="R230" s="29" t="inlineStr">
        <is>
          <t>0.9526864248076319</t>
        </is>
      </c>
      <c r="S230" s="29" t="inlineStr">
        <is>
          <t>HIGH</t>
        </is>
      </c>
      <c r="T230" s="29" t="inlineStr">
        <is>
          <t>HIGH</t>
        </is>
      </c>
      <c r="U230" s="29" t="inlineStr">
        <is>
          <t>0.0714285714285714</t>
        </is>
      </c>
      <c r="V230" s="29" t="inlineStr">
        <is>
          <t>LOW_RISK</t>
        </is>
      </c>
      <c r="W230" s="29" t="inlineStr">
        <is>
          <t>저위험</t>
        </is>
      </c>
      <c r="X230" s="29" t="inlineStr">
        <is>
          <t>LOW_RISK</t>
        </is>
      </c>
      <c r="Y230" s="29" t="inlineStr">
        <is>
          <t>0.869939352370702</t>
        </is>
      </c>
      <c r="Z230" s="29" t="inlineStr">
        <is>
          <t>HIGH</t>
        </is>
      </c>
      <c r="AA230" s="29" t="inlineStr">
        <is>
          <t>HIGH</t>
        </is>
      </c>
      <c r="AB230" s="29" t="inlineStr">
        <is>
          <t>0.10286671144812394</t>
        </is>
      </c>
      <c r="AC230" s="29" t="inlineStr">
        <is>
          <t>False</t>
        </is>
      </c>
      <c r="AD230" s="29" t="inlineStr">
        <is>
          <t>False</t>
        </is>
      </c>
      <c r="AE230" s="29" t="inlineStr">
        <is>
          <t>valuation_credit_ml_overlay_candidate.csv</t>
        </is>
      </c>
      <c r="AF230" s="29" t="inlineStr">
        <is>
          <t>208개 반도체 reference universe. Valuation Agent가 자체 intake 폴더로 복제해 Peer/ML/대시보드 비교에 사용.</t>
        </is>
      </c>
    </row>
    <row r="231" ht="24" customHeight="1">
      <c r="A231" s="24" t="inlineStr">
        <is>
          <t>165</t>
        </is>
      </c>
      <c r="B231" s="24" t="inlineStr">
        <is>
          <t>해당 없음</t>
        </is>
      </c>
      <c r="C231" s="24" t="inlineStr">
        <is>
          <t>미래산업</t>
        </is>
      </c>
      <c r="D231" s="24" t="inlineStr">
        <is>
          <t>025560</t>
        </is>
      </c>
      <c r="E231" s="24" t="inlineStr">
        <is>
          <t>KOSPI</t>
        </is>
      </c>
      <c r="F231" s="24" t="inlineStr">
        <is>
          <t>후공정/패키징/테스트</t>
        </is>
      </c>
      <c r="G231" s="24" t="inlineStr">
        <is>
          <t>후공정/패키징/테스트</t>
        </is>
      </c>
      <c r="H231" s="24" t="inlineStr">
        <is>
          <t>False</t>
        </is>
      </c>
      <c r="I231" s="24" t="inlineStr">
        <is>
          <t>True</t>
        </is>
      </c>
      <c r="J231" s="24" t="inlineStr">
        <is>
          <t>OK</t>
        </is>
      </c>
      <c r="K231" s="24" t="inlineStr">
        <is>
          <t>데이터 사용 가능</t>
        </is>
      </c>
      <c r="L231" s="24" t="inlineStr">
        <is>
          <t>LOW</t>
        </is>
      </c>
      <c r="M231" s="24" t="inlineStr">
        <is>
          <t>LOW</t>
        </is>
      </c>
      <c r="N231" s="24" t="inlineStr">
        <is>
          <t>0.7748148148148148</t>
        </is>
      </c>
      <c r="O231" s="24" t="inlineStr">
        <is>
          <t>FAIR</t>
        </is>
      </c>
      <c r="P231" s="24" t="inlineStr">
        <is>
          <t>FAIR</t>
        </is>
      </c>
      <c r="Q231" s="24" t="inlineStr">
        <is>
          <t>FAIR</t>
        </is>
      </c>
      <c r="R231" s="24" t="inlineStr">
        <is>
          <t>0.883291104654336</t>
        </is>
      </c>
      <c r="S231" s="24" t="inlineStr">
        <is>
          <t>HIGH</t>
        </is>
      </c>
      <c r="T231" s="24" t="inlineStr">
        <is>
          <t>HIGH</t>
        </is>
      </c>
      <c r="U231" s="24" t="inlineStr">
        <is>
          <t>0.2857142857142857</t>
        </is>
      </c>
      <c r="V231" s="24" t="inlineStr">
        <is>
          <t>MEDIUM_RISK</t>
        </is>
      </c>
      <c r="W231" s="24" t="inlineStr">
        <is>
          <t>중위험</t>
        </is>
      </c>
      <c r="X231" s="24" t="inlineStr">
        <is>
          <t>MEDIUM_RISK</t>
        </is>
      </c>
      <c r="Y231" s="24" t="inlineStr">
        <is>
          <t>0.695536763680257</t>
        </is>
      </c>
      <c r="Z231" s="24" t="inlineStr">
        <is>
          <t>MEDIUM</t>
        </is>
      </c>
      <c r="AA231" s="24" t="inlineStr">
        <is>
          <t>MEDIUM</t>
        </is>
      </c>
      <c r="AB231" s="24" t="inlineStr">
        <is>
          <t>0.08100242357773374</t>
        </is>
      </c>
      <c r="AC231" s="24" t="inlineStr">
        <is>
          <t>False</t>
        </is>
      </c>
      <c r="AD231" s="24" t="inlineStr">
        <is>
          <t>False</t>
        </is>
      </c>
      <c r="AE231" s="24" t="inlineStr">
        <is>
          <t>valuation_credit_ml_overlay_candidate.csv</t>
        </is>
      </c>
      <c r="AF231" s="24" t="inlineStr">
        <is>
          <t>208개 반도체 reference universe. Valuation Agent가 자체 intake 폴더로 복제해 Peer/ML/대시보드 비교에 사용.</t>
        </is>
      </c>
    </row>
    <row r="232" ht="24" customHeight="1">
      <c r="A232" s="29" t="inlineStr">
        <is>
          <t>163</t>
        </is>
      </c>
      <c r="B232" s="29" t="inlineStr">
        <is>
          <t>해당 없음</t>
        </is>
      </c>
      <c r="C232" s="29" t="inlineStr">
        <is>
          <t>링크제니시스</t>
        </is>
      </c>
      <c r="D232" s="29" t="inlineStr">
        <is>
          <t>219420</t>
        </is>
      </c>
      <c r="E232" s="29" t="inlineStr">
        <is>
          <t>KOSDAQ</t>
        </is>
      </c>
      <c r="F232" s="29" t="inlineStr">
        <is>
          <t>후공정/패키징/테스트</t>
        </is>
      </c>
      <c r="G232" s="29" t="inlineStr">
        <is>
          <t>후공정/패키징/테스트</t>
        </is>
      </c>
      <c r="H232" s="29" t="inlineStr">
        <is>
          <t>False</t>
        </is>
      </c>
      <c r="I232" s="29" t="inlineStr">
        <is>
          <t>True</t>
        </is>
      </c>
      <c r="J232" s="29" t="inlineStr">
        <is>
          <t>OK</t>
        </is>
      </c>
      <c r="K232" s="29" t="inlineStr">
        <is>
          <t>데이터 사용 가능</t>
        </is>
      </c>
      <c r="L232" s="29" t="inlineStr">
        <is>
          <t>LOW</t>
        </is>
      </c>
      <c r="M232" s="29" t="inlineStr">
        <is>
          <t>LOW</t>
        </is>
      </c>
      <c r="N232" s="29" t="inlineStr">
        <is>
          <t>0.7522962962962964</t>
        </is>
      </c>
      <c r="O232" s="29" t="inlineStr">
        <is>
          <t>ATTRACTIVE</t>
        </is>
      </c>
      <c r="P232" s="29" t="inlineStr">
        <is>
          <t>가치 매력</t>
        </is>
      </c>
      <c r="Q232" s="29" t="inlineStr">
        <is>
          <t>ATTRACTIVE</t>
        </is>
      </c>
      <c r="R232" s="29" t="inlineStr">
        <is>
          <t>0.8724992666433111</t>
        </is>
      </c>
      <c r="S232" s="29" t="inlineStr">
        <is>
          <t>HIGH</t>
        </is>
      </c>
      <c r="T232" s="29" t="inlineStr">
        <is>
          <t>HIGH</t>
        </is>
      </c>
      <c r="U232" s="29" t="inlineStr">
        <is>
          <t>0.0714285714285714</t>
        </is>
      </c>
      <c r="V232" s="29" t="inlineStr">
        <is>
          <t>LOW_RISK</t>
        </is>
      </c>
      <c r="W232" s="29" t="inlineStr">
        <is>
          <t>저위험</t>
        </is>
      </c>
      <c r="X232" s="29" t="inlineStr">
        <is>
          <t>LOW_RISK</t>
        </is>
      </c>
      <c r="Y232" s="29" t="inlineStr">
        <is>
          <t>0.8663667518810074</t>
        </is>
      </c>
      <c r="Z232" s="29" t="inlineStr">
        <is>
          <t>HIGH</t>
        </is>
      </c>
      <c r="AA232" s="29" t="inlineStr">
        <is>
          <t>HIGH</t>
        </is>
      </c>
      <c r="AB232" s="29" t="inlineStr">
        <is>
          <t>0.1247344063934745</t>
        </is>
      </c>
      <c r="AC232" s="29" t="inlineStr">
        <is>
          <t>False</t>
        </is>
      </c>
      <c r="AD232" s="29" t="inlineStr">
        <is>
          <t>False</t>
        </is>
      </c>
      <c r="AE232" s="29" t="inlineStr">
        <is>
          <t>valuation_credit_ml_overlay_candidate.csv</t>
        </is>
      </c>
      <c r="AF232" s="29" t="inlineStr">
        <is>
          <t>208개 반도체 reference universe. Valuation Agent가 자체 intake 폴더로 복제해 Peer/ML/대시보드 비교에 사용.</t>
        </is>
      </c>
    </row>
    <row r="233" ht="24" customHeight="1">
      <c r="A233" s="24" t="inlineStr">
        <is>
          <t>189</t>
        </is>
      </c>
      <c r="B233" s="24" t="inlineStr">
        <is>
          <t>해당 없음</t>
        </is>
      </c>
      <c r="C233" s="24" t="inlineStr">
        <is>
          <t>프로텍</t>
        </is>
      </c>
      <c r="D233" s="24" t="inlineStr">
        <is>
          <t>053610</t>
        </is>
      </c>
      <c r="E233" s="24" t="inlineStr">
        <is>
          <t>KOSDAQ</t>
        </is>
      </c>
      <c r="F233" s="24" t="inlineStr">
        <is>
          <t>후공정/패키징/테스트</t>
        </is>
      </c>
      <c r="G233" s="24" t="inlineStr">
        <is>
          <t>후공정/패키징/테스트</t>
        </is>
      </c>
      <c r="H233" s="24" t="inlineStr">
        <is>
          <t>False</t>
        </is>
      </c>
      <c r="I233" s="24" t="inlineStr">
        <is>
          <t>True</t>
        </is>
      </c>
      <c r="J233" s="24" t="inlineStr">
        <is>
          <t>OK</t>
        </is>
      </c>
      <c r="K233" s="24" t="inlineStr">
        <is>
          <t>데이터 사용 가능</t>
        </is>
      </c>
      <c r="L233" s="24" t="inlineStr">
        <is>
          <t>LOW</t>
        </is>
      </c>
      <c r="M233" s="24" t="inlineStr">
        <is>
          <t>LOW</t>
        </is>
      </c>
      <c r="N233" s="24" t="inlineStr">
        <is>
          <t>0.7342222222222222</t>
        </is>
      </c>
      <c r="O233" s="24" t="inlineStr">
        <is>
          <t>FAIR</t>
        </is>
      </c>
      <c r="P233" s="24" t="inlineStr">
        <is>
          <t>FAIR</t>
        </is>
      </c>
      <c r="Q233" s="24" t="inlineStr">
        <is>
          <t>FAIR</t>
        </is>
      </c>
      <c r="R233" s="24" t="inlineStr">
        <is>
          <t>0.8971257561900263</t>
        </is>
      </c>
      <c r="S233" s="24" t="inlineStr">
        <is>
          <t>HIGH</t>
        </is>
      </c>
      <c r="T233" s="24" t="inlineStr">
        <is>
          <t>HIGH</t>
        </is>
      </c>
      <c r="U233" s="24" t="inlineStr">
        <is>
          <t>0.0714285714285714</t>
        </is>
      </c>
      <c r="V233" s="24" t="inlineStr">
        <is>
          <t>LOW_RISK</t>
        </is>
      </c>
      <c r="W233" s="24" t="inlineStr">
        <is>
          <t>저위험</t>
        </is>
      </c>
      <c r="X233" s="24" t="inlineStr">
        <is>
          <t>LOW_RISK</t>
        </is>
      </c>
      <c r="Y233" s="24" t="inlineStr">
        <is>
          <t>0.9163768919768406</t>
        </is>
      </c>
      <c r="Z233" s="24" t="inlineStr">
        <is>
          <t>HIGH</t>
        </is>
      </c>
      <c r="AA233" s="24" t="inlineStr">
        <is>
          <t>HIGH</t>
        </is>
      </c>
      <c r="AB233" s="24" t="inlineStr">
        <is>
          <t>0.04594870251712977</t>
        </is>
      </c>
      <c r="AC233" s="24" t="inlineStr">
        <is>
          <t>False</t>
        </is>
      </c>
      <c r="AD233" s="24" t="inlineStr">
        <is>
          <t>False</t>
        </is>
      </c>
      <c r="AE233" s="24" t="inlineStr">
        <is>
          <t>valuation_credit_ml_overlay_candidate.csv</t>
        </is>
      </c>
      <c r="AF233" s="24" t="inlineStr">
        <is>
          <t>208개 반도체 reference universe. Valuation Agent가 자체 intake 폴더로 복제해 Peer/ML/대시보드 비교에 사용.</t>
        </is>
      </c>
    </row>
    <row r="234" ht="24" customHeight="1">
      <c r="A234" s="29" t="inlineStr">
        <is>
          <t>188</t>
        </is>
      </c>
      <c r="B234" s="29" t="inlineStr">
        <is>
          <t>해당 없음</t>
        </is>
      </c>
      <c r="C234" s="29" t="inlineStr">
        <is>
          <t>프로이천</t>
        </is>
      </c>
      <c r="D234" s="29" t="inlineStr">
        <is>
          <t>321260</t>
        </is>
      </c>
      <c r="E234" s="29" t="inlineStr">
        <is>
          <t>KOSDAQ</t>
        </is>
      </c>
      <c r="F234" s="29" t="inlineStr">
        <is>
          <t>후공정/패키징/테스트</t>
        </is>
      </c>
      <c r="G234" s="29" t="inlineStr">
        <is>
          <t>후공정/패키징/테스트</t>
        </is>
      </c>
      <c r="H234" s="29" t="inlineStr">
        <is>
          <t>False</t>
        </is>
      </c>
      <c r="I234" s="29" t="inlineStr">
        <is>
          <t>True</t>
        </is>
      </c>
      <c r="J234" s="29" t="inlineStr">
        <is>
          <t>OK</t>
        </is>
      </c>
      <c r="K234" s="29" t="inlineStr">
        <is>
          <t>데이터 사용 가능</t>
        </is>
      </c>
      <c r="L234" s="29" t="inlineStr">
        <is>
          <t>LOW</t>
        </is>
      </c>
      <c r="M234" s="29" t="inlineStr">
        <is>
          <t>LOW</t>
        </is>
      </c>
      <c r="N234" s="29" t="inlineStr">
        <is>
          <t>0.6905185185185185</t>
        </is>
      </c>
      <c r="O234" s="29" t="inlineStr">
        <is>
          <t>ATTRACTIVE</t>
        </is>
      </c>
      <c r="P234" s="29" t="inlineStr">
        <is>
          <t>가치 매력</t>
        </is>
      </c>
      <c r="Q234" s="29" t="inlineStr">
        <is>
          <t>ATTRACTIVE</t>
        </is>
      </c>
      <c r="R234" s="29" t="inlineStr">
        <is>
          <t>0.9481469936627798</t>
        </is>
      </c>
      <c r="S234" s="29" t="inlineStr">
        <is>
          <t>HIGH</t>
        </is>
      </c>
      <c r="T234" s="29" t="inlineStr">
        <is>
          <t>HIGH</t>
        </is>
      </c>
      <c r="U234" s="29" t="inlineStr">
        <is>
          <t>0.1428571428571428</t>
        </is>
      </c>
      <c r="V234" s="29" t="inlineStr">
        <is>
          <t>LOW_RISK</t>
        </is>
      </c>
      <c r="W234" s="29" t="inlineStr">
        <is>
          <t>저위험</t>
        </is>
      </c>
      <c r="X234" s="29" t="inlineStr">
        <is>
          <t>LOW_RISK</t>
        </is>
      </c>
      <c r="Y234" s="29" t="inlineStr">
        <is>
          <t>0.7571217577270841</t>
        </is>
      </c>
      <c r="Z234" s="29" t="inlineStr">
        <is>
          <t>HIGH</t>
        </is>
      </c>
      <c r="AA234" s="29" t="inlineStr">
        <is>
          <t>HIGH</t>
        </is>
      </c>
      <c r="AB234" s="29" t="inlineStr">
        <is>
          <t>0.1980202748075635</t>
        </is>
      </c>
      <c r="AC234" s="29" t="inlineStr">
        <is>
          <t>False</t>
        </is>
      </c>
      <c r="AD234" s="29" t="inlineStr">
        <is>
          <t>False</t>
        </is>
      </c>
      <c r="AE234" s="29" t="inlineStr">
        <is>
          <t>valuation_credit_ml_overlay_candidate.csv</t>
        </is>
      </c>
      <c r="AF234" s="29" t="inlineStr">
        <is>
          <t>208개 반도체 reference universe. Valuation Agent가 자체 intake 폴더로 복제해 Peer/ML/대시보드 비교에 사용.</t>
        </is>
      </c>
    </row>
    <row r="235" ht="24" customHeight="1">
      <c r="A235" s="24" t="inlineStr">
        <is>
          <t>167</t>
        </is>
      </c>
      <c r="B235" s="24" t="inlineStr">
        <is>
          <t>해당 없음</t>
        </is>
      </c>
      <c r="C235" s="24" t="inlineStr">
        <is>
          <t>샘씨엔에스</t>
        </is>
      </c>
      <c r="D235" s="24" t="inlineStr">
        <is>
          <t>252990</t>
        </is>
      </c>
      <c r="E235" s="24" t="inlineStr">
        <is>
          <t>KOSDAQ</t>
        </is>
      </c>
      <c r="F235" s="24" t="inlineStr">
        <is>
          <t>후공정/패키징/테스트</t>
        </is>
      </c>
      <c r="G235" s="24" t="inlineStr">
        <is>
          <t>후공정/패키징/테스트</t>
        </is>
      </c>
      <c r="H235" s="24" t="inlineStr">
        <is>
          <t>False</t>
        </is>
      </c>
      <c r="I235" s="24" t="inlineStr">
        <is>
          <t>True</t>
        </is>
      </c>
      <c r="J235" s="24" t="inlineStr">
        <is>
          <t>OK</t>
        </is>
      </c>
      <c r="K235" s="24" t="inlineStr">
        <is>
          <t>데이터 사용 가능</t>
        </is>
      </c>
      <c r="L235" s="24" t="inlineStr">
        <is>
          <t>LOW</t>
        </is>
      </c>
      <c r="M235" s="24" t="inlineStr">
        <is>
          <t>LOW</t>
        </is>
      </c>
      <c r="N235" s="24" t="inlineStr">
        <is>
          <t>0.6491851851851852</t>
        </is>
      </c>
      <c r="O235" s="24" t="inlineStr">
        <is>
          <t>ATTRACTIVE</t>
        </is>
      </c>
      <c r="P235" s="24" t="inlineStr">
        <is>
          <t>가치 매력</t>
        </is>
      </c>
      <c r="Q235" s="24" t="inlineStr">
        <is>
          <t>ATTRACTIVE</t>
        </is>
      </c>
      <c r="R235" s="24" t="inlineStr">
        <is>
          <t>0.5521991152548656</t>
        </is>
      </c>
      <c r="S235" s="24" t="inlineStr">
        <is>
          <t>MEDIUM</t>
        </is>
      </c>
      <c r="T235" s="24" t="inlineStr">
        <is>
          <t>MEDIUM</t>
        </is>
      </c>
      <c r="U235" s="24" t="inlineStr">
        <is>
          <t>0.1428571428571428</t>
        </is>
      </c>
      <c r="V235" s="24" t="inlineStr">
        <is>
          <t>LOW_RISK</t>
        </is>
      </c>
      <c r="W235" s="24" t="inlineStr">
        <is>
          <t>저위험</t>
        </is>
      </c>
      <c r="X235" s="24" t="inlineStr">
        <is>
          <t>LOW_RISK</t>
        </is>
      </c>
      <c r="Y235" s="24" t="inlineStr">
        <is>
          <t>0.8184283672559926</t>
        </is>
      </c>
      <c r="Z235" s="24" t="inlineStr">
        <is>
          <t>HIGH</t>
        </is>
      </c>
      <c r="AA235" s="24" t="inlineStr">
        <is>
          <t>HIGH</t>
        </is>
      </c>
      <c r="AB235" s="24" t="inlineStr">
        <is>
          <t>0.02862485694144737</t>
        </is>
      </c>
      <c r="AC235" s="24" t="inlineStr">
        <is>
          <t>False</t>
        </is>
      </c>
      <c r="AD235" s="24" t="inlineStr">
        <is>
          <t>False</t>
        </is>
      </c>
      <c r="AE235" s="24" t="inlineStr">
        <is>
          <t>valuation_credit_ml_overlay_candidate.csv</t>
        </is>
      </c>
      <c r="AF235" s="24" t="inlineStr">
        <is>
          <t>208개 반도체 reference universe. Valuation Agent가 자체 intake 폴더로 복제해 Peer/ML/대시보드 비교에 사용.</t>
        </is>
      </c>
    </row>
    <row r="236" ht="24" customHeight="1">
      <c r="A236" s="29" t="inlineStr">
        <is>
          <t>191</t>
        </is>
      </c>
      <c r="B236" s="29" t="inlineStr">
        <is>
          <t>해당 없음</t>
        </is>
      </c>
      <c r="C236" s="29" t="inlineStr">
        <is>
          <t>하나마이크론</t>
        </is>
      </c>
      <c r="D236" s="29" t="inlineStr">
        <is>
          <t>067310</t>
        </is>
      </c>
      <c r="E236" s="29" t="inlineStr">
        <is>
          <t>KOSDAQ</t>
        </is>
      </c>
      <c r="F236" s="29" t="inlineStr">
        <is>
          <t>후공정/패키징/테스트</t>
        </is>
      </c>
      <c r="G236" s="29" t="inlineStr">
        <is>
          <t>후공정/패키징/테스트</t>
        </is>
      </c>
      <c r="H236" s="29" t="inlineStr">
        <is>
          <t>False</t>
        </is>
      </c>
      <c r="I236" s="29" t="inlineStr">
        <is>
          <t>True</t>
        </is>
      </c>
      <c r="J236" s="29" t="inlineStr">
        <is>
          <t>OK</t>
        </is>
      </c>
      <c r="K236" s="29" t="inlineStr">
        <is>
          <t>데이터 사용 가능</t>
        </is>
      </c>
      <c r="L236" s="29" t="inlineStr">
        <is>
          <t>LOW</t>
        </is>
      </c>
      <c r="M236" s="29" t="inlineStr">
        <is>
          <t>LOW</t>
        </is>
      </c>
      <c r="N236" s="29" t="inlineStr">
        <is>
          <t>0.6405925925925926</t>
        </is>
      </c>
      <c r="O236" s="29" t="inlineStr">
        <is>
          <t>ATTRACTIVE</t>
        </is>
      </c>
      <c r="P236" s="29" t="inlineStr">
        <is>
          <t>가치 매력</t>
        </is>
      </c>
      <c r="Q236" s="29" t="inlineStr">
        <is>
          <t>ATTRACTIVE</t>
        </is>
      </c>
      <c r="R236" s="29" t="inlineStr">
        <is>
          <t>0.8727001075083287</t>
        </is>
      </c>
      <c r="S236" s="29" t="inlineStr">
        <is>
          <t>HIGH</t>
        </is>
      </c>
      <c r="T236" s="29" t="inlineStr">
        <is>
          <t>HIGH</t>
        </is>
      </c>
      <c r="U236" s="29" t="inlineStr">
        <is>
          <t>0.2857142857142857</t>
        </is>
      </c>
      <c r="V236" s="29" t="inlineStr">
        <is>
          <t>MEDIUM_RISK</t>
        </is>
      </c>
      <c r="W236" s="29" t="inlineStr">
        <is>
          <t>중위험</t>
        </is>
      </c>
      <c r="X236" s="29" t="inlineStr">
        <is>
          <t>MEDIUM_RISK</t>
        </is>
      </c>
      <c r="Y236" s="29" t="inlineStr">
        <is>
          <t>0.4659076101576026</t>
        </is>
      </c>
      <c r="Z236" s="29" t="inlineStr">
        <is>
          <t>LOW</t>
        </is>
      </c>
      <c r="AA236" s="29" t="inlineStr">
        <is>
          <t>LOW</t>
        </is>
      </c>
      <c r="AB236" s="29" t="inlineStr">
        <is>
          <t>0.1167493316831868</t>
        </is>
      </c>
      <c r="AC236" s="29" t="inlineStr">
        <is>
          <t>False</t>
        </is>
      </c>
      <c r="AD236" s="29" t="inlineStr">
        <is>
          <t>True</t>
        </is>
      </c>
      <c r="AE236" s="29" t="inlineStr">
        <is>
          <t>valuation_credit_ml_overlay_candidate.csv</t>
        </is>
      </c>
      <c r="AF236" s="29" t="inlineStr">
        <is>
          <t>208개 반도체 reference universe. Valuation Agent가 자체 intake 폴더로 복제해 Peer/ML/대시보드 비교에 사용.</t>
        </is>
      </c>
    </row>
    <row r="237" ht="24" customHeight="1">
      <c r="A237" s="24" t="inlineStr">
        <is>
          <t>157</t>
        </is>
      </c>
      <c r="B237" s="24" t="inlineStr">
        <is>
          <t>nepes</t>
        </is>
      </c>
      <c r="C237" s="24" t="inlineStr">
        <is>
          <t>네패스</t>
        </is>
      </c>
      <c r="D237" s="24" t="inlineStr">
        <is>
          <t>033640</t>
        </is>
      </c>
      <c r="E237" s="24" t="inlineStr">
        <is>
          <t>KOSDAQ</t>
        </is>
      </c>
      <c r="F237" s="24" t="inlineStr">
        <is>
          <t>후공정/패키징/테스트</t>
        </is>
      </c>
      <c r="G237" s="24" t="inlineStr">
        <is>
          <t>후공정/패키징/테스트</t>
        </is>
      </c>
      <c r="H237" s="24" t="inlineStr">
        <is>
          <t>True</t>
        </is>
      </c>
      <c r="I237" s="24" t="inlineStr">
        <is>
          <t>True</t>
        </is>
      </c>
      <c r="J237" s="24" t="inlineStr">
        <is>
          <t>OK</t>
        </is>
      </c>
      <c r="K237" s="24" t="inlineStr">
        <is>
          <t>데이터 사용 가능</t>
        </is>
      </c>
      <c r="L237" s="24" t="inlineStr">
        <is>
          <t>LOW</t>
        </is>
      </c>
      <c r="M237" s="24" t="inlineStr">
        <is>
          <t>LOW</t>
        </is>
      </c>
      <c r="N237" s="24" t="inlineStr">
        <is>
          <t>0.6385185185185186</t>
        </is>
      </c>
      <c r="O237" s="24" t="inlineStr">
        <is>
          <t>ATTRACTIVE</t>
        </is>
      </c>
      <c r="P237" s="24" t="inlineStr">
        <is>
          <t>가치 매력</t>
        </is>
      </c>
      <c r="Q237" s="24" t="inlineStr">
        <is>
          <t>ATTRACTIVE</t>
        </is>
      </c>
      <c r="R237" s="24" t="inlineStr">
        <is>
          <t>0.8763685947958789</t>
        </is>
      </c>
      <c r="S237" s="24" t="inlineStr">
        <is>
          <t>HIGH</t>
        </is>
      </c>
      <c r="T237" s="24" t="inlineStr">
        <is>
          <t>HIGH</t>
        </is>
      </c>
      <c r="U237" s="24" t="inlineStr">
        <is>
          <t>0.2857142857142857</t>
        </is>
      </c>
      <c r="V237" s="24" t="inlineStr">
        <is>
          <t>MEDIUM_RISK</t>
        </is>
      </c>
      <c r="W237" s="24" t="inlineStr">
        <is>
          <t>중위험</t>
        </is>
      </c>
      <c r="X237" s="24" t="inlineStr">
        <is>
          <t>MEDIUM_RISK</t>
        </is>
      </c>
      <c r="Y237" s="24" t="inlineStr">
        <is>
          <t>0.5963458259503356</t>
        </is>
      </c>
      <c r="Z237" s="24" t="inlineStr">
        <is>
          <t>MEDIUM</t>
        </is>
      </c>
      <c r="AA237" s="24" t="inlineStr">
        <is>
          <t>MEDIUM</t>
        </is>
      </c>
      <c r="AB237" s="24" t="inlineStr">
        <is>
          <t>0.07896643996759804</t>
        </is>
      </c>
      <c r="AC237" s="24" t="inlineStr">
        <is>
          <t>False</t>
        </is>
      </c>
      <c r="AD237" s="24" t="inlineStr">
        <is>
          <t>False</t>
        </is>
      </c>
      <c r="AE237" s="24" t="inlineStr">
        <is>
          <t>valuation_credit_ml_overlay_candidate.csv</t>
        </is>
      </c>
      <c r="AF237" s="24" t="inlineStr">
        <is>
          <t>208개 반도체 reference universe. Valuation Agent가 자체 intake 폴더로 복제해 Peer/ML/대시보드 비교에 사용.</t>
        </is>
      </c>
    </row>
    <row r="238" ht="24" customHeight="1">
      <c r="A238" s="29" t="inlineStr">
        <is>
          <t>151</t>
        </is>
      </c>
      <c r="B238" s="29" t="inlineStr">
        <is>
          <t>해당 없음</t>
        </is>
      </c>
      <c r="C238" s="29" t="inlineStr">
        <is>
          <t>KX하이텍</t>
        </is>
      </c>
      <c r="D238" s="29" t="inlineStr">
        <is>
          <t>052900</t>
        </is>
      </c>
      <c r="E238" s="29" t="inlineStr">
        <is>
          <t>KOSDAQ</t>
        </is>
      </c>
      <c r="F238" s="29" t="inlineStr">
        <is>
          <t>후공정/패키징/테스트</t>
        </is>
      </c>
      <c r="G238" s="29" t="inlineStr">
        <is>
          <t>후공정/패키징/테스트</t>
        </is>
      </c>
      <c r="H238" s="29" t="inlineStr">
        <is>
          <t>False</t>
        </is>
      </c>
      <c r="I238" s="29" t="inlineStr">
        <is>
          <t>True</t>
        </is>
      </c>
      <c r="J238" s="29" t="inlineStr">
        <is>
          <t>OK</t>
        </is>
      </c>
      <c r="K238" s="29" t="inlineStr">
        <is>
          <t>데이터 사용 가능</t>
        </is>
      </c>
      <c r="L238" s="29" t="inlineStr">
        <is>
          <t>LOW</t>
        </is>
      </c>
      <c r="M238" s="29" t="inlineStr">
        <is>
          <t>LOW</t>
        </is>
      </c>
      <c r="N238" s="29" t="inlineStr">
        <is>
          <t>0.6361481481481482</t>
        </is>
      </c>
      <c r="O238" s="29" t="inlineStr">
        <is>
          <t>ATTRACTIVE</t>
        </is>
      </c>
      <c r="P238" s="29" t="inlineStr">
        <is>
          <t>가치 매력</t>
        </is>
      </c>
      <c r="Q238" s="29" t="inlineStr">
        <is>
          <t>ATTRACTIVE</t>
        </is>
      </c>
      <c r="R238" s="29" t="inlineStr">
        <is>
          <t>0.7896879678479897</t>
        </is>
      </c>
      <c r="S238" s="29" t="inlineStr">
        <is>
          <t>HIGH</t>
        </is>
      </c>
      <c r="T238" s="29" t="inlineStr">
        <is>
          <t>HIGH</t>
        </is>
      </c>
      <c r="U238" s="29" t="inlineStr">
        <is>
          <t>0.0714285714285714</t>
        </is>
      </c>
      <c r="V238" s="29" t="inlineStr">
        <is>
          <t>LOW_RISK</t>
        </is>
      </c>
      <c r="W238" s="29" t="inlineStr">
        <is>
          <t>저위험</t>
        </is>
      </c>
      <c r="X238" s="29" t="inlineStr">
        <is>
          <t>LOW_RISK</t>
        </is>
      </c>
      <c r="Y238" s="29" t="inlineStr">
        <is>
          <t>0.87015899446037</t>
        </is>
      </c>
      <c r="Z238" s="29" t="inlineStr">
        <is>
          <t>HIGH</t>
        </is>
      </c>
      <c r="AA238" s="29" t="inlineStr">
        <is>
          <t>HIGH</t>
        </is>
      </c>
      <c r="AB238" s="29" t="inlineStr">
        <is>
          <t>0.012348610212675635</t>
        </is>
      </c>
      <c r="AC238" s="29" t="inlineStr">
        <is>
          <t>False</t>
        </is>
      </c>
      <c r="AD238" s="29" t="inlineStr">
        <is>
          <t>False</t>
        </is>
      </c>
      <c r="AE238" s="29" t="inlineStr">
        <is>
          <t>valuation_credit_ml_overlay_candidate.csv</t>
        </is>
      </c>
      <c r="AF238" s="29" t="inlineStr">
        <is>
          <t>208개 반도체 reference universe. Valuation Agent가 자체 intake 폴더로 복제해 Peer/ML/대시보드 비교에 사용.</t>
        </is>
      </c>
    </row>
    <row r="239" ht="24" customHeight="1">
      <c r="A239" s="24" t="inlineStr">
        <is>
          <t>172</t>
        </is>
      </c>
      <c r="B239" s="24" t="inlineStr">
        <is>
          <t>해당 없음</t>
        </is>
      </c>
      <c r="C239" s="24" t="inlineStr">
        <is>
          <t>에이치엠넥스</t>
        </is>
      </c>
      <c r="D239" s="24" t="inlineStr">
        <is>
          <t>036170</t>
        </is>
      </c>
      <c r="E239" s="24" t="inlineStr">
        <is>
          <t>KOSDAQ</t>
        </is>
      </c>
      <c r="F239" s="24" t="inlineStr">
        <is>
          <t>후공정/패키징/테스트</t>
        </is>
      </c>
      <c r="G239" s="24" t="inlineStr">
        <is>
          <t>후공정/패키징/테스트</t>
        </is>
      </c>
      <c r="H239" s="24" t="inlineStr">
        <is>
          <t>False</t>
        </is>
      </c>
      <c r="I239" s="24" t="inlineStr">
        <is>
          <t>True</t>
        </is>
      </c>
      <c r="J239" s="24" t="inlineStr">
        <is>
          <t>OK</t>
        </is>
      </c>
      <c r="K239" s="24" t="inlineStr">
        <is>
          <t>데이터 사용 가능</t>
        </is>
      </c>
      <c r="L239" s="24" t="inlineStr">
        <is>
          <t>LOW</t>
        </is>
      </c>
      <c r="M239" s="24" t="inlineStr">
        <is>
          <t>LOW</t>
        </is>
      </c>
      <c r="N239" s="24" t="inlineStr">
        <is>
          <t>0.621037037037037</t>
        </is>
      </c>
      <c r="O239" s="24" t="inlineStr">
        <is>
          <t>FAIR</t>
        </is>
      </c>
      <c r="P239" s="24" t="inlineStr">
        <is>
          <t>FAIR</t>
        </is>
      </c>
      <c r="Q239" s="24" t="inlineStr">
        <is>
          <t>FAIR</t>
        </is>
      </c>
      <c r="R239" s="24" t="inlineStr">
        <is>
          <t>0.7433115072206052</t>
        </is>
      </c>
      <c r="S239" s="24" t="inlineStr">
        <is>
          <t>HIGH</t>
        </is>
      </c>
      <c r="T239" s="24" t="inlineStr">
        <is>
          <t>HIGH</t>
        </is>
      </c>
      <c r="U239" s="24" t="inlineStr">
        <is>
          <t>0.3571428571428571</t>
        </is>
      </c>
      <c r="V239" s="24" t="inlineStr">
        <is>
          <t>MEDIUM_RISK</t>
        </is>
      </c>
      <c r="W239" s="24" t="inlineStr">
        <is>
          <t>중위험</t>
        </is>
      </c>
      <c r="X239" s="24" t="inlineStr">
        <is>
          <t>MEDIUM_RISK</t>
        </is>
      </c>
      <c r="Y239" s="24" t="inlineStr">
        <is>
          <t>0.7084051764737881</t>
        </is>
      </c>
      <c r="Z239" s="24" t="inlineStr">
        <is>
          <t>HIGH</t>
        </is>
      </c>
      <c r="AA239" s="24" t="inlineStr">
        <is>
          <t>HIGH</t>
        </is>
      </c>
      <c r="AB239" s="24" t="inlineStr">
        <is>
          <t>0.3531105059628509</t>
        </is>
      </c>
      <c r="AC239" s="24" t="inlineStr">
        <is>
          <t>True</t>
        </is>
      </c>
      <c r="AD239" s="24" t="inlineStr">
        <is>
          <t>True</t>
        </is>
      </c>
      <c r="AE239" s="24" t="inlineStr">
        <is>
          <t>valuation_credit_ml_overlay_candidate.csv</t>
        </is>
      </c>
      <c r="AF239" s="24" t="inlineStr">
        <is>
          <t>208개 반도체 reference universe. Valuation Agent가 자체 intake 폴더로 복제해 Peer/ML/대시보드 비교에 사용.</t>
        </is>
      </c>
    </row>
    <row r="240" ht="24" customHeight="1">
      <c r="A240" s="29" t="inlineStr">
        <is>
          <t>162</t>
        </is>
      </c>
      <c r="B240" s="29" t="inlineStr">
        <is>
          <t>해당 없음</t>
        </is>
      </c>
      <c r="C240" s="29" t="inlineStr">
        <is>
          <t>리노공업</t>
        </is>
      </c>
      <c r="D240" s="29" t="inlineStr">
        <is>
          <t>058470</t>
        </is>
      </c>
      <c r="E240" s="29" t="inlineStr">
        <is>
          <t>KOSDAQ GLOBAL</t>
        </is>
      </c>
      <c r="F240" s="29" t="inlineStr">
        <is>
          <t>후공정/패키징/테스트</t>
        </is>
      </c>
      <c r="G240" s="29" t="inlineStr">
        <is>
          <t>후공정/패키징/테스트</t>
        </is>
      </c>
      <c r="H240" s="29" t="inlineStr">
        <is>
          <t>False</t>
        </is>
      </c>
      <c r="I240" s="29" t="inlineStr">
        <is>
          <t>True</t>
        </is>
      </c>
      <c r="J240" s="29" t="inlineStr">
        <is>
          <t>OK</t>
        </is>
      </c>
      <c r="K240" s="29" t="inlineStr">
        <is>
          <t>데이터 사용 가능</t>
        </is>
      </c>
      <c r="L240" s="29" t="inlineStr">
        <is>
          <t>LOW</t>
        </is>
      </c>
      <c r="M240" s="29" t="inlineStr">
        <is>
          <t>LOW</t>
        </is>
      </c>
      <c r="N240" s="29" t="inlineStr">
        <is>
          <t>0.6191111111111112</t>
        </is>
      </c>
      <c r="O240" s="29" t="inlineStr">
        <is>
          <t>ATTRACTIVE</t>
        </is>
      </c>
      <c r="P240" s="29" t="inlineStr">
        <is>
          <t>가치 매력</t>
        </is>
      </c>
      <c r="Q240" s="29" t="inlineStr">
        <is>
          <t>ATTRACTIVE</t>
        </is>
      </c>
      <c r="R240" s="29" t="inlineStr">
        <is>
          <t>0.6825301704423244</t>
        </is>
      </c>
      <c r="S240" s="29" t="inlineStr">
        <is>
          <t>MEDIUM</t>
        </is>
      </c>
      <c r="T240" s="29" t="inlineStr">
        <is>
          <t>MEDIUM</t>
        </is>
      </c>
      <c r="U240" s="29" t="inlineStr">
        <is>
          <t>0.0</t>
        </is>
      </c>
      <c r="V240" s="29" t="inlineStr">
        <is>
          <t>LOW_RISK</t>
        </is>
      </c>
      <c r="W240" s="29" t="inlineStr">
        <is>
          <t>저위험</t>
        </is>
      </c>
      <c r="X240" s="29" t="inlineStr">
        <is>
          <t>LOW_RISK</t>
        </is>
      </c>
      <c r="Y240" s="29" t="inlineStr">
        <is>
          <t>0.941163557572434</t>
        </is>
      </c>
      <c r="Z240" s="29" t="inlineStr">
        <is>
          <t>HIGH</t>
        </is>
      </c>
      <c r="AA240" s="29" t="inlineStr">
        <is>
          <t>HIGH</t>
        </is>
      </c>
      <c r="AB240" s="29" t="inlineStr">
        <is>
          <t>0.3137137380028342</t>
        </is>
      </c>
      <c r="AC240" s="29" t="inlineStr">
        <is>
          <t>True</t>
        </is>
      </c>
      <c r="AD240" s="29" t="inlineStr">
        <is>
          <t>True</t>
        </is>
      </c>
      <c r="AE240" s="29" t="inlineStr">
        <is>
          <t>valuation_credit_ml_overlay_candidate.csv</t>
        </is>
      </c>
      <c r="AF240" s="29" t="inlineStr">
        <is>
          <t>208개 반도체 reference universe. Valuation Agent가 자체 intake 폴더로 복제해 Peer/ML/대시보드 비교에 사용.</t>
        </is>
      </c>
    </row>
    <row r="241" ht="24" customHeight="1">
      <c r="A241" s="24" t="inlineStr">
        <is>
          <t>175</t>
        </is>
      </c>
      <c r="B241" s="24" t="inlineStr">
        <is>
          <t>해당 없음</t>
        </is>
      </c>
      <c r="C241" s="24" t="inlineStr">
        <is>
          <t>오킨스전자</t>
        </is>
      </c>
      <c r="D241" s="24" t="inlineStr">
        <is>
          <t>080580</t>
        </is>
      </c>
      <c r="E241" s="24" t="inlineStr">
        <is>
          <t>KOSDAQ</t>
        </is>
      </c>
      <c r="F241" s="24" t="inlineStr">
        <is>
          <t>후공정/패키징/테스트</t>
        </is>
      </c>
      <c r="G241" s="24" t="inlineStr">
        <is>
          <t>후공정/패키징/테스트</t>
        </is>
      </c>
      <c r="H241" s="24" t="inlineStr">
        <is>
          <t>False</t>
        </is>
      </c>
      <c r="I241" s="24" t="inlineStr">
        <is>
          <t>True</t>
        </is>
      </c>
      <c r="J241" s="24" t="inlineStr">
        <is>
          <t>OK</t>
        </is>
      </c>
      <c r="K241" s="24" t="inlineStr">
        <is>
          <t>데이터 사용 가능</t>
        </is>
      </c>
      <c r="L241" s="24" t="inlineStr">
        <is>
          <t>LOW</t>
        </is>
      </c>
      <c r="M241" s="24" t="inlineStr">
        <is>
          <t>LOW</t>
        </is>
      </c>
      <c r="N241" s="24" t="inlineStr">
        <is>
          <t>0.6062222222222222</t>
        </is>
      </c>
      <c r="O241" s="24" t="inlineStr">
        <is>
          <t>ATTRACTIVE</t>
        </is>
      </c>
      <c r="P241" s="24" t="inlineStr">
        <is>
          <t>가치 매력</t>
        </is>
      </c>
      <c r="Q241" s="24" t="inlineStr">
        <is>
          <t>ATTRACTIVE</t>
        </is>
      </c>
      <c r="R241" s="24" t="inlineStr">
        <is>
          <t>0.8105235691914331</t>
        </is>
      </c>
      <c r="S241" s="24" t="inlineStr">
        <is>
          <t>HIGH</t>
        </is>
      </c>
      <c r="T241" s="24" t="inlineStr">
        <is>
          <t>HIGH</t>
        </is>
      </c>
      <c r="U241" s="24" t="inlineStr">
        <is>
          <t>0.2142857142857142</t>
        </is>
      </c>
      <c r="V241" s="24" t="inlineStr">
        <is>
          <t>MEDIUM_RISK</t>
        </is>
      </c>
      <c r="W241" s="24" t="inlineStr">
        <is>
          <t>중위험</t>
        </is>
      </c>
      <c r="X241" s="24" t="inlineStr">
        <is>
          <t>MEDIUM_RISK</t>
        </is>
      </c>
      <c r="Y241" s="24" t="inlineStr">
        <is>
          <t>0.5565647223385506</t>
        </is>
      </c>
      <c r="Z241" s="24" t="inlineStr">
        <is>
          <t>MEDIUM</t>
        </is>
      </c>
      <c r="AA241" s="24" t="inlineStr">
        <is>
          <t>MEDIUM</t>
        </is>
      </c>
      <c r="AB241" s="24" t="inlineStr">
        <is>
          <t>0.05131400931985753</t>
        </is>
      </c>
      <c r="AC241" s="24" t="inlineStr">
        <is>
          <t>False</t>
        </is>
      </c>
      <c r="AD241" s="24" t="inlineStr">
        <is>
          <t>False</t>
        </is>
      </c>
      <c r="AE241" s="24" t="inlineStr">
        <is>
          <t>valuation_credit_ml_overlay_candidate.csv</t>
        </is>
      </c>
      <c r="AF241" s="24" t="inlineStr">
        <is>
          <t>208개 반도체 reference universe. Valuation Agent가 자체 intake 폴더로 복제해 Peer/ML/대시보드 비교에 사용.</t>
        </is>
      </c>
    </row>
    <row r="242" ht="24" customHeight="1">
      <c r="A242" s="29" t="inlineStr">
        <is>
          <t>160</t>
        </is>
      </c>
      <c r="B242" s="29" t="inlineStr">
        <is>
          <t>해당 없음</t>
        </is>
      </c>
      <c r="C242" s="29" t="inlineStr">
        <is>
          <t>디아이</t>
        </is>
      </c>
      <c r="D242" s="29" t="inlineStr">
        <is>
          <t>003160</t>
        </is>
      </c>
      <c r="E242" s="29" t="inlineStr">
        <is>
          <t>KOSPI</t>
        </is>
      </c>
      <c r="F242" s="29" t="inlineStr">
        <is>
          <t>후공정/패키징/테스트</t>
        </is>
      </c>
      <c r="G242" s="29" t="inlineStr">
        <is>
          <t>후공정/패키징/테스트</t>
        </is>
      </c>
      <c r="H242" s="29" t="inlineStr">
        <is>
          <t>False</t>
        </is>
      </c>
      <c r="I242" s="29" t="inlineStr">
        <is>
          <t>True</t>
        </is>
      </c>
      <c r="J242" s="29" t="inlineStr">
        <is>
          <t>OK</t>
        </is>
      </c>
      <c r="K242" s="29" t="inlineStr">
        <is>
          <t>데이터 사용 가능</t>
        </is>
      </c>
      <c r="L242" s="29" t="inlineStr">
        <is>
          <t>LOW</t>
        </is>
      </c>
      <c r="M242" s="29" t="inlineStr">
        <is>
          <t>LOW</t>
        </is>
      </c>
      <c r="N242" s="29" t="inlineStr">
        <is>
          <t>0.5875555555555555</t>
        </is>
      </c>
      <c r="O242" s="29" t="inlineStr">
        <is>
          <t>ATTRACTIVE</t>
        </is>
      </c>
      <c r="P242" s="29" t="inlineStr">
        <is>
          <t>가치 매력</t>
        </is>
      </c>
      <c r="Q242" s="29" t="inlineStr">
        <is>
          <t>ATTRACTIVE</t>
        </is>
      </c>
      <c r="R242" s="29" t="inlineStr">
        <is>
          <t>0.6560906263736197</t>
        </is>
      </c>
      <c r="S242" s="29" t="inlineStr">
        <is>
          <t>MEDIUM</t>
        </is>
      </c>
      <c r="T242" s="29" t="inlineStr">
        <is>
          <t>MEDIUM</t>
        </is>
      </c>
      <c r="U242" s="29" t="inlineStr">
        <is>
          <t>0.0714285714285714</t>
        </is>
      </c>
      <c r="V242" s="29" t="inlineStr">
        <is>
          <t>LOW_RISK</t>
        </is>
      </c>
      <c r="W242" s="29" t="inlineStr">
        <is>
          <t>저위험</t>
        </is>
      </c>
      <c r="X242" s="29" t="inlineStr">
        <is>
          <t>LOW_RISK</t>
        </is>
      </c>
      <c r="Y242" s="29" t="inlineStr">
        <is>
          <t>0.7571818581431954</t>
        </is>
      </c>
      <c r="Z242" s="29" t="inlineStr">
        <is>
          <t>HIGH</t>
        </is>
      </c>
      <c r="AA242" s="29" t="inlineStr">
        <is>
          <t>HIGH</t>
        </is>
      </c>
      <c r="AB242" s="29" t="inlineStr">
        <is>
          <t>0.027510707117244317</t>
        </is>
      </c>
      <c r="AC242" s="29" t="inlineStr">
        <is>
          <t>False</t>
        </is>
      </c>
      <c r="AD242" s="29" t="inlineStr">
        <is>
          <t>False</t>
        </is>
      </c>
      <c r="AE242" s="29" t="inlineStr">
        <is>
          <t>valuation_credit_ml_overlay_candidate.csv</t>
        </is>
      </c>
      <c r="AF242" s="29" t="inlineStr">
        <is>
          <t>208개 반도체 reference universe. Valuation Agent가 자체 intake 폴더로 복제해 Peer/ML/대시보드 비교에 사용.</t>
        </is>
      </c>
    </row>
    <row r="243" ht="24" customHeight="1">
      <c r="A243" s="24" t="inlineStr">
        <is>
          <t>174</t>
        </is>
      </c>
      <c r="B243" s="24" t="inlineStr">
        <is>
          <t>해당 없음</t>
        </is>
      </c>
      <c r="C243" s="24" t="inlineStr">
        <is>
          <t>엑시콘</t>
        </is>
      </c>
      <c r="D243" s="24" t="inlineStr">
        <is>
          <t>092870</t>
        </is>
      </c>
      <c r="E243" s="24" t="inlineStr">
        <is>
          <t>KOSDAQ</t>
        </is>
      </c>
      <c r="F243" s="24" t="inlineStr">
        <is>
          <t>후공정/패키징/테스트</t>
        </is>
      </c>
      <c r="G243" s="24" t="inlineStr">
        <is>
          <t>후공정/패키징/테스트</t>
        </is>
      </c>
      <c r="H243" s="24" t="inlineStr">
        <is>
          <t>False</t>
        </is>
      </c>
      <c r="I243" s="24" t="inlineStr">
        <is>
          <t>True</t>
        </is>
      </c>
      <c r="J243" s="24" t="inlineStr">
        <is>
          <t>OK</t>
        </is>
      </c>
      <c r="K243" s="24" t="inlineStr">
        <is>
          <t>데이터 사용 가능</t>
        </is>
      </c>
      <c r="L243" s="24" t="inlineStr">
        <is>
          <t>LOW</t>
        </is>
      </c>
      <c r="M243" s="24" t="inlineStr">
        <is>
          <t>LOW</t>
        </is>
      </c>
      <c r="N243" s="24" t="inlineStr">
        <is>
          <t>0.5711111111111111</t>
        </is>
      </c>
      <c r="O243" s="24" t="inlineStr">
        <is>
          <t>FAIR</t>
        </is>
      </c>
      <c r="P243" s="24" t="inlineStr">
        <is>
          <t>FAIR</t>
        </is>
      </c>
      <c r="Q243" s="24" t="inlineStr">
        <is>
          <t>FAIR</t>
        </is>
      </c>
      <c r="R243" s="24" t="inlineStr">
        <is>
          <t>0.7870958268046786</t>
        </is>
      </c>
      <c r="S243" s="24" t="inlineStr">
        <is>
          <t>HIGH</t>
        </is>
      </c>
      <c r="T243" s="24" t="inlineStr">
        <is>
          <t>HIGH</t>
        </is>
      </c>
      <c r="U243" s="24" t="inlineStr">
        <is>
          <t>0.2142857142857142</t>
        </is>
      </c>
      <c r="V243" s="24" t="inlineStr">
        <is>
          <t>MEDIUM_RISK</t>
        </is>
      </c>
      <c r="W243" s="24" t="inlineStr">
        <is>
          <t>중위험</t>
        </is>
      </c>
      <c r="X243" s="24" t="inlineStr">
        <is>
          <t>MEDIUM_RISK</t>
        </is>
      </c>
      <c r="Y243" s="24" t="inlineStr">
        <is>
          <t>0.6956414267155251</t>
        </is>
      </c>
      <c r="Z243" s="24" t="inlineStr">
        <is>
          <t>MEDIUM</t>
        </is>
      </c>
      <c r="AA243" s="24" t="inlineStr">
        <is>
          <t>MEDIUM</t>
        </is>
      </c>
      <c r="AB243" s="24" t="inlineStr">
        <is>
          <t>0.09079387845598708</t>
        </is>
      </c>
      <c r="AC243" s="24" t="inlineStr">
        <is>
          <t>False</t>
        </is>
      </c>
      <c r="AD243" s="24" t="inlineStr">
        <is>
          <t>False</t>
        </is>
      </c>
      <c r="AE243" s="24" t="inlineStr">
        <is>
          <t>valuation_credit_ml_overlay_candidate.csv</t>
        </is>
      </c>
      <c r="AF243" s="24" t="inlineStr">
        <is>
          <t>208개 반도체 reference universe. Valuation Agent가 자체 intake 폴더로 복제해 Peer/ML/대시보드 비교에 사용.</t>
        </is>
      </c>
    </row>
    <row r="244" ht="24" customHeight="1">
      <c r="A244" s="29" t="inlineStr">
        <is>
          <t>177</t>
        </is>
      </c>
      <c r="B244" s="29" t="inlineStr">
        <is>
          <t>해당 없음</t>
        </is>
      </c>
      <c r="C244" s="29" t="inlineStr">
        <is>
          <t>우리이앤엘하루틴</t>
        </is>
      </c>
      <c r="D244" s="29" t="inlineStr">
        <is>
          <t>153490</t>
        </is>
      </c>
      <c r="E244" s="29" t="inlineStr">
        <is>
          <t>KOSDAQ</t>
        </is>
      </c>
      <c r="F244" s="29" t="inlineStr">
        <is>
          <t>후공정/패키징/테스트</t>
        </is>
      </c>
      <c r="G244" s="29" t="inlineStr">
        <is>
          <t>후공정/패키징/테스트</t>
        </is>
      </c>
      <c r="H244" s="29" t="inlineStr">
        <is>
          <t>False</t>
        </is>
      </c>
      <c r="I244" s="29" t="inlineStr">
        <is>
          <t>True</t>
        </is>
      </c>
      <c r="J244" s="29" t="inlineStr">
        <is>
          <t>OK</t>
        </is>
      </c>
      <c r="K244" s="29" t="inlineStr">
        <is>
          <t>데이터 사용 가능</t>
        </is>
      </c>
      <c r="L244" s="29" t="inlineStr">
        <is>
          <t>LOW</t>
        </is>
      </c>
      <c r="M244" s="29" t="inlineStr">
        <is>
          <t>LOW</t>
        </is>
      </c>
      <c r="N244" s="29" t="inlineStr">
        <is>
          <t>0.5598518518518519</t>
        </is>
      </c>
      <c r="O244" s="29" t="inlineStr">
        <is>
          <t>FAIR</t>
        </is>
      </c>
      <c r="P244" s="29" t="inlineStr">
        <is>
          <t>FAIR</t>
        </is>
      </c>
      <c r="Q244" s="29" t="inlineStr">
        <is>
          <t>FAIR</t>
        </is>
      </c>
      <c r="R244" s="29" t="inlineStr">
        <is>
          <t>0.803860880134826</t>
        </is>
      </c>
      <c r="S244" s="29" t="inlineStr">
        <is>
          <t>HIGH</t>
        </is>
      </c>
      <c r="T244" s="29" t="inlineStr">
        <is>
          <t>HIGH</t>
        </is>
      </c>
      <c r="U244" s="29" t="inlineStr">
        <is>
          <t>0.1428571428571428</t>
        </is>
      </c>
      <c r="V244" s="29" t="inlineStr">
        <is>
          <t>LOW_RISK</t>
        </is>
      </c>
      <c r="W244" s="29" t="inlineStr">
        <is>
          <t>저위험</t>
        </is>
      </c>
      <c r="X244" s="29" t="inlineStr">
        <is>
          <t>LOW_RISK</t>
        </is>
      </c>
      <c r="Y244" s="29" t="inlineStr">
        <is>
          <t>0.5263237628250668</t>
        </is>
      </c>
      <c r="Z244" s="29" t="inlineStr">
        <is>
          <t>MEDIUM</t>
        </is>
      </c>
      <c r="AA244" s="29" t="inlineStr">
        <is>
          <t>MEDIUM</t>
        </is>
      </c>
      <c r="AB244" s="29" t="inlineStr">
        <is>
          <t>0.12425981563248314</t>
        </is>
      </c>
      <c r="AC244" s="29" t="inlineStr">
        <is>
          <t>False</t>
        </is>
      </c>
      <c r="AD244" s="29" t="inlineStr">
        <is>
          <t>False</t>
        </is>
      </c>
      <c r="AE244" s="29" t="inlineStr">
        <is>
          <t>valuation_credit_ml_overlay_candidate.csv</t>
        </is>
      </c>
      <c r="AF244" s="29" t="inlineStr">
        <is>
          <t>208개 반도체 reference universe. Valuation Agent가 자체 intake 폴더로 복제해 Peer/ML/대시보드 비교에 사용.</t>
        </is>
      </c>
    </row>
    <row r="245" ht="24" customHeight="1">
      <c r="A245" s="24" t="inlineStr">
        <is>
          <t>176</t>
        </is>
      </c>
      <c r="B245" s="24" t="inlineStr">
        <is>
          <t>해당 없음</t>
        </is>
      </c>
      <c r="C245" s="24" t="inlineStr">
        <is>
          <t>와이씨</t>
        </is>
      </c>
      <c r="D245" s="24" t="inlineStr">
        <is>
          <t>232140</t>
        </is>
      </c>
      <c r="E245" s="24" t="inlineStr">
        <is>
          <t>KOSDAQ</t>
        </is>
      </c>
      <c r="F245" s="24" t="inlineStr">
        <is>
          <t>후공정/패키징/테스트</t>
        </is>
      </c>
      <c r="G245" s="24" t="inlineStr">
        <is>
          <t>후공정/패키징/테스트</t>
        </is>
      </c>
      <c r="H245" s="24" t="inlineStr">
        <is>
          <t>False</t>
        </is>
      </c>
      <c r="I245" s="24" t="inlineStr">
        <is>
          <t>True</t>
        </is>
      </c>
      <c r="J245" s="24" t="inlineStr">
        <is>
          <t>OK</t>
        </is>
      </c>
      <c r="K245" s="24" t="inlineStr">
        <is>
          <t>데이터 사용 가능</t>
        </is>
      </c>
      <c r="L245" s="24" t="inlineStr">
        <is>
          <t>LOW</t>
        </is>
      </c>
      <c r="M245" s="24" t="inlineStr">
        <is>
          <t>LOW</t>
        </is>
      </c>
      <c r="N245" s="24" t="inlineStr">
        <is>
          <t>0.5573333333333333</t>
        </is>
      </c>
      <c r="O245" s="24" t="inlineStr">
        <is>
          <t>FAIR</t>
        </is>
      </c>
      <c r="P245" s="24" t="inlineStr">
        <is>
          <t>FAIR</t>
        </is>
      </c>
      <c r="Q245" s="24" t="inlineStr">
        <is>
          <t>FAIR</t>
        </is>
      </c>
      <c r="R245" s="24" t="inlineStr">
        <is>
          <t>0.5813875575219858</t>
        </is>
      </c>
      <c r="S245" s="24" t="inlineStr">
        <is>
          <t>MEDIUM</t>
        </is>
      </c>
      <c r="T245" s="24" t="inlineStr">
        <is>
          <t>MEDIUM</t>
        </is>
      </c>
      <c r="U245" s="24" t="inlineStr">
        <is>
          <t>0.0</t>
        </is>
      </c>
      <c r="V245" s="24" t="inlineStr">
        <is>
          <t>LOW_RISK</t>
        </is>
      </c>
      <c r="W245" s="24" t="inlineStr">
        <is>
          <t>저위험</t>
        </is>
      </c>
      <c r="X245" s="24" t="inlineStr">
        <is>
          <t>LOW_RISK</t>
        </is>
      </c>
      <c r="Y245" s="24" t="inlineStr">
        <is>
          <t>0.9779169949984006</t>
        </is>
      </c>
      <c r="Z245" s="24" t="inlineStr">
        <is>
          <t>HIGH</t>
        </is>
      </c>
      <c r="AA245" s="24" t="inlineStr">
        <is>
          <t>HIGH</t>
        </is>
      </c>
      <c r="AB245" s="24" t="inlineStr">
        <is>
          <t>0.027903490153269303</t>
        </is>
      </c>
      <c r="AC245" s="24" t="inlineStr">
        <is>
          <t>False</t>
        </is>
      </c>
      <c r="AD245" s="24" t="inlineStr">
        <is>
          <t>False</t>
        </is>
      </c>
      <c r="AE245" s="24" t="inlineStr">
        <is>
          <t>valuation_credit_ml_overlay_candidate.csv</t>
        </is>
      </c>
      <c r="AF245" s="24" t="inlineStr">
        <is>
          <t>208개 반도체 reference universe. Valuation Agent가 자체 intake 폴더로 복제해 Peer/ML/대시보드 비교에 사용.</t>
        </is>
      </c>
    </row>
    <row r="246" ht="24" customHeight="1">
      <c r="A246" s="29" t="inlineStr">
        <is>
          <t>155</t>
        </is>
      </c>
      <c r="B246" s="29" t="inlineStr">
        <is>
          <t>해당 없음</t>
        </is>
      </c>
      <c r="C246" s="29" t="inlineStr">
        <is>
          <t>기가비스</t>
        </is>
      </c>
      <c r="D246" s="29" t="inlineStr">
        <is>
          <t>420770</t>
        </is>
      </c>
      <c r="E246" s="29" t="inlineStr">
        <is>
          <t>KOSDAQ</t>
        </is>
      </c>
      <c r="F246" s="29" t="inlineStr">
        <is>
          <t>후공정/패키징/테스트</t>
        </is>
      </c>
      <c r="G246" s="29" t="inlineStr">
        <is>
          <t>후공정/패키징/테스트</t>
        </is>
      </c>
      <c r="H246" s="29" t="inlineStr">
        <is>
          <t>False</t>
        </is>
      </c>
      <c r="I246" s="29" t="inlineStr">
        <is>
          <t>True</t>
        </is>
      </c>
      <c r="J246" s="29" t="inlineStr">
        <is>
          <t>OK_LIMITED_HISTORY_OR_GROWTH_NA</t>
        </is>
      </c>
      <c r="K246" s="29" t="inlineStr">
        <is>
          <t>데이터 사용 가능</t>
        </is>
      </c>
      <c r="L246" s="29" t="inlineStr">
        <is>
          <t>LOW</t>
        </is>
      </c>
      <c r="M246" s="29" t="inlineStr">
        <is>
          <t>LOW</t>
        </is>
      </c>
      <c r="N246" s="29" t="inlineStr">
        <is>
          <t>0.5544444444444445</t>
        </is>
      </c>
      <c r="O246" s="29" t="inlineStr">
        <is>
          <t>FAIR</t>
        </is>
      </c>
      <c r="P246" s="29" t="inlineStr">
        <is>
          <t>FAIR</t>
        </is>
      </c>
      <c r="Q246" s="29" t="inlineStr">
        <is>
          <t>FAIR</t>
        </is>
      </c>
      <c r="R246" s="29" t="inlineStr">
        <is>
          <t>0.604283449323821</t>
        </is>
      </c>
      <c r="S246" s="29" t="inlineStr">
        <is>
          <t>MEDIUM</t>
        </is>
      </c>
      <c r="T246" s="29" t="inlineStr">
        <is>
          <t>MEDIUM</t>
        </is>
      </c>
      <c r="U246" s="29" t="inlineStr">
        <is>
          <t>0.0714285714285714</t>
        </is>
      </c>
      <c r="V246" s="29" t="inlineStr">
        <is>
          <t>LOW_RISK</t>
        </is>
      </c>
      <c r="W246" s="29" t="inlineStr">
        <is>
          <t>저위험</t>
        </is>
      </c>
      <c r="X246" s="29" t="inlineStr">
        <is>
          <t>LOW_RISK</t>
        </is>
      </c>
      <c r="Y246" s="29" t="inlineStr">
        <is>
          <t>0.9462252670112353</t>
        </is>
      </c>
      <c r="Z246" s="29" t="inlineStr">
        <is>
          <t>HIGH</t>
        </is>
      </c>
      <c r="AA246" s="29" t="inlineStr">
        <is>
          <t>HIGH</t>
        </is>
      </c>
      <c r="AB246" s="29" t="inlineStr">
        <is>
          <t>0.34444594339538714</t>
        </is>
      </c>
      <c r="AC246" s="29" t="inlineStr">
        <is>
          <t>True</t>
        </is>
      </c>
      <c r="AD246" s="29" t="inlineStr">
        <is>
          <t>True</t>
        </is>
      </c>
      <c r="AE246" s="29" t="inlineStr">
        <is>
          <t>valuation_credit_ml_overlay_candidate.csv</t>
        </is>
      </c>
      <c r="AF246" s="29" t="inlineStr">
        <is>
          <t>208개 반도체 reference universe. Valuation Agent가 자체 intake 폴더로 복제해 Peer/ML/대시보드 비교에 사용.</t>
        </is>
      </c>
    </row>
    <row r="247" ht="24" customHeight="1">
      <c r="A247" s="24" t="inlineStr">
        <is>
          <t>194</t>
        </is>
      </c>
      <c r="B247" s="24" t="inlineStr">
        <is>
          <t>해당 없음</t>
        </is>
      </c>
      <c r="C247" s="24" t="inlineStr">
        <is>
          <t>해성디에스</t>
        </is>
      </c>
      <c r="D247" s="24" t="inlineStr">
        <is>
          <t>195870</t>
        </is>
      </c>
      <c r="E247" s="24" t="inlineStr">
        <is>
          <t>KOSPI</t>
        </is>
      </c>
      <c r="F247" s="24" t="inlineStr">
        <is>
          <t>후공정/패키징/테스트</t>
        </is>
      </c>
      <c r="G247" s="24" t="inlineStr">
        <is>
          <t>후공정/패키징/테스트</t>
        </is>
      </c>
      <c r="H247" s="24" t="inlineStr">
        <is>
          <t>False</t>
        </is>
      </c>
      <c r="I247" s="24" t="inlineStr">
        <is>
          <t>True</t>
        </is>
      </c>
      <c r="J247" s="24" t="inlineStr">
        <is>
          <t>OK</t>
        </is>
      </c>
      <c r="K247" s="24" t="inlineStr">
        <is>
          <t>데이터 사용 가능</t>
        </is>
      </c>
      <c r="L247" s="24" t="inlineStr">
        <is>
          <t>LOW</t>
        </is>
      </c>
      <c r="M247" s="24" t="inlineStr">
        <is>
          <t>LOW</t>
        </is>
      </c>
      <c r="N247" s="24" t="inlineStr">
        <is>
          <t>0.5333333333333333</t>
        </is>
      </c>
      <c r="O247" s="24" t="inlineStr">
        <is>
          <t>FAIR</t>
        </is>
      </c>
      <c r="P247" s="24" t="inlineStr">
        <is>
          <t>FAIR</t>
        </is>
      </c>
      <c r="Q247" s="24" t="inlineStr">
        <is>
          <t>FAIR</t>
        </is>
      </c>
      <c r="R247" s="24" t="inlineStr">
        <is>
          <t>0.8942165906576592</t>
        </is>
      </c>
      <c r="S247" s="24" t="inlineStr">
        <is>
          <t>HIGH</t>
        </is>
      </c>
      <c r="T247" s="24" t="inlineStr">
        <is>
          <t>HIGH</t>
        </is>
      </c>
      <c r="U247" s="24" t="inlineStr">
        <is>
          <t>0.0714285714285714</t>
        </is>
      </c>
      <c r="V247" s="24" t="inlineStr">
        <is>
          <t>LOW_RISK</t>
        </is>
      </c>
      <c r="W247" s="24" t="inlineStr">
        <is>
          <t>저위험</t>
        </is>
      </c>
      <c r="X247" s="24" t="inlineStr">
        <is>
          <t>LOW_RISK</t>
        </is>
      </c>
      <c r="Y247" s="24" t="inlineStr">
        <is>
          <t>0.7552918248784374</t>
        </is>
      </c>
      <c r="Z247" s="24" t="inlineStr">
        <is>
          <t>HIGH</t>
        </is>
      </c>
      <c r="AA247" s="24" t="inlineStr">
        <is>
          <t>HIGH</t>
        </is>
      </c>
      <c r="AB247" s="24" t="inlineStr">
        <is>
          <t>0.0</t>
        </is>
      </c>
      <c r="AC247" s="24" t="inlineStr">
        <is>
          <t>False</t>
        </is>
      </c>
      <c r="AD247" s="24" t="inlineStr">
        <is>
          <t>False</t>
        </is>
      </c>
      <c r="AE247" s="24" t="inlineStr">
        <is>
          <t>valuation_credit_ml_overlay_candidate.csv</t>
        </is>
      </c>
      <c r="AF247" s="24" t="inlineStr">
        <is>
          <t>208개 반도체 reference universe. Valuation Agent가 자체 intake 폴더로 복제해 Peer/ML/대시보드 비교에 사용.</t>
        </is>
      </c>
    </row>
    <row r="248" ht="24" customHeight="1">
      <c r="A248" s="29" t="inlineStr">
        <is>
          <t>150</t>
        </is>
      </c>
      <c r="B248" s="29" t="inlineStr">
        <is>
          <t>해당 없음</t>
        </is>
      </c>
      <c r="C248" s="29" t="inlineStr">
        <is>
          <t>ISC</t>
        </is>
      </c>
      <c r="D248" s="29" t="inlineStr">
        <is>
          <t>095340</t>
        </is>
      </c>
      <c r="E248" s="29" t="inlineStr">
        <is>
          <t>KOSDAQ GLOBAL</t>
        </is>
      </c>
      <c r="F248" s="29" t="inlineStr">
        <is>
          <t>후공정/패키징/테스트</t>
        </is>
      </c>
      <c r="G248" s="29" t="inlineStr">
        <is>
          <t>후공정/패키징/테스트</t>
        </is>
      </c>
      <c r="H248" s="29" t="inlineStr">
        <is>
          <t>False</t>
        </is>
      </c>
      <c r="I248" s="29" t="inlineStr">
        <is>
          <t>True</t>
        </is>
      </c>
      <c r="J248" s="29" t="inlineStr">
        <is>
          <t>OK</t>
        </is>
      </c>
      <c r="K248" s="29" t="inlineStr">
        <is>
          <t>데이터 사용 가능</t>
        </is>
      </c>
      <c r="L248" s="29" t="inlineStr">
        <is>
          <t>LOW</t>
        </is>
      </c>
      <c r="M248" s="29" t="inlineStr">
        <is>
          <t>LOW</t>
        </is>
      </c>
      <c r="N248" s="29" t="inlineStr">
        <is>
          <t>0.5176296296296296</t>
        </is>
      </c>
      <c r="O248" s="29" t="inlineStr">
        <is>
          <t>FAIR</t>
        </is>
      </c>
      <c r="P248" s="29" t="inlineStr">
        <is>
          <t>FAIR</t>
        </is>
      </c>
      <c r="Q248" s="29" t="inlineStr">
        <is>
          <t>FAIR</t>
        </is>
      </c>
      <c r="R248" s="29" t="inlineStr">
        <is>
          <t>0.5753148434947495</t>
        </is>
      </c>
      <c r="S248" s="29" t="inlineStr">
        <is>
          <t>MEDIUM</t>
        </is>
      </c>
      <c r="T248" s="29" t="inlineStr">
        <is>
          <t>MEDIUM</t>
        </is>
      </c>
      <c r="U248" s="29" t="inlineStr">
        <is>
          <t>0.0</t>
        </is>
      </c>
      <c r="V248" s="29" t="inlineStr">
        <is>
          <t>LOW_RISK</t>
        </is>
      </c>
      <c r="W248" s="29" t="inlineStr">
        <is>
          <t>저위험</t>
        </is>
      </c>
      <c r="X248" s="29" t="inlineStr">
        <is>
          <t>LOW_RISK</t>
        </is>
      </c>
      <c r="Y248" s="29" t="inlineStr">
        <is>
          <t>0.9755870924998499</t>
        </is>
      </c>
      <c r="Z248" s="29" t="inlineStr">
        <is>
          <t>HIGH</t>
        </is>
      </c>
      <c r="AA248" s="29" t="inlineStr">
        <is>
          <t>HIGH</t>
        </is>
      </c>
      <c r="AB248" s="29" t="inlineStr">
        <is>
          <t>0.14006921921799445</t>
        </is>
      </c>
      <c r="AC248" s="29" t="inlineStr">
        <is>
          <t>False</t>
        </is>
      </c>
      <c r="AD248" s="29" t="inlineStr">
        <is>
          <t>False</t>
        </is>
      </c>
      <c r="AE248" s="29" t="inlineStr">
        <is>
          <t>valuation_credit_ml_overlay_candidate.csv</t>
        </is>
      </c>
      <c r="AF248" s="29" t="inlineStr">
        <is>
          <t>208개 반도체 reference universe. Valuation Agent가 자체 intake 폴더로 복제해 Peer/ML/대시보드 비교에 사용.</t>
        </is>
      </c>
    </row>
    <row r="249" ht="24" customHeight="1">
      <c r="A249" s="24" t="inlineStr">
        <is>
          <t>173</t>
        </is>
      </c>
      <c r="B249" s="24" t="inlineStr">
        <is>
          <t>해당 없음</t>
        </is>
      </c>
      <c r="C249" s="24" t="inlineStr">
        <is>
          <t>에이팩트</t>
        </is>
      </c>
      <c r="D249" s="24" t="inlineStr">
        <is>
          <t>200470</t>
        </is>
      </c>
      <c r="E249" s="24" t="inlineStr">
        <is>
          <t>KOSDAQ</t>
        </is>
      </c>
      <c r="F249" s="24" t="inlineStr">
        <is>
          <t>후공정/패키징/테스트</t>
        </is>
      </c>
      <c r="G249" s="24" t="inlineStr">
        <is>
          <t>후공정/패키징/테스트</t>
        </is>
      </c>
      <c r="H249" s="24" t="inlineStr">
        <is>
          <t>False</t>
        </is>
      </c>
      <c r="I249" s="24" t="inlineStr">
        <is>
          <t>True</t>
        </is>
      </c>
      <c r="J249" s="24" t="inlineStr">
        <is>
          <t>OK</t>
        </is>
      </c>
      <c r="K249" s="24" t="inlineStr">
        <is>
          <t>데이터 사용 가능</t>
        </is>
      </c>
      <c r="L249" s="24" t="inlineStr">
        <is>
          <t>LOW</t>
        </is>
      </c>
      <c r="M249" s="24" t="inlineStr">
        <is>
          <t>LOW</t>
        </is>
      </c>
      <c r="N249" s="24" t="inlineStr">
        <is>
          <t>0.5026666666666667</t>
        </is>
      </c>
      <c r="O249" s="24" t="inlineStr">
        <is>
          <t>FAIR</t>
        </is>
      </c>
      <c r="P249" s="24" t="inlineStr">
        <is>
          <t>FAIR</t>
        </is>
      </c>
      <c r="Q249" s="24" t="inlineStr">
        <is>
          <t>FAIR</t>
        </is>
      </c>
      <c r="R249" s="24" t="inlineStr">
        <is>
          <t>0.8010795762920226</t>
        </is>
      </c>
      <c r="S249" s="24" t="inlineStr">
        <is>
          <t>HIGH</t>
        </is>
      </c>
      <c r="T249" s="24" t="inlineStr">
        <is>
          <t>HIGH</t>
        </is>
      </c>
      <c r="U249" s="24" t="inlineStr">
        <is>
          <t>0.4285714285714285</t>
        </is>
      </c>
      <c r="V249" s="24" t="inlineStr">
        <is>
          <t>HIGH_RISK</t>
        </is>
      </c>
      <c r="W249" s="24" t="inlineStr">
        <is>
          <t>고위험</t>
        </is>
      </c>
      <c r="X249" s="24" t="inlineStr">
        <is>
          <t>MEDIUM_RISK</t>
        </is>
      </c>
      <c r="Y249" s="24" t="inlineStr">
        <is>
          <t>0.40666664980482187</t>
        </is>
      </c>
      <c r="Z249" s="24" t="inlineStr">
        <is>
          <t>LOW</t>
        </is>
      </c>
      <c r="AA249" s="24" t="inlineStr">
        <is>
          <t>LOW</t>
        </is>
      </c>
      <c r="AB249" s="24" t="inlineStr">
        <is>
          <t>0.060282917359955154</t>
        </is>
      </c>
      <c r="AC249" s="24" t="inlineStr">
        <is>
          <t>False</t>
        </is>
      </c>
      <c r="AD249" s="24" t="inlineStr">
        <is>
          <t>True</t>
        </is>
      </c>
      <c r="AE249" s="24" t="inlineStr">
        <is>
          <t>valuation_credit_ml_overlay_candidate.csv</t>
        </is>
      </c>
      <c r="AF249" s="24" t="inlineStr">
        <is>
          <t>208개 반도체 reference universe. Valuation Agent가 자체 intake 폴더로 복제해 Peer/ML/대시보드 비교에 사용.</t>
        </is>
      </c>
    </row>
    <row r="250" ht="24" customHeight="1">
      <c r="A250" s="29" t="inlineStr">
        <is>
          <t>166</t>
        </is>
      </c>
      <c r="B250" s="29" t="inlineStr">
        <is>
          <t>해당 없음</t>
        </is>
      </c>
      <c r="C250" s="29" t="inlineStr">
        <is>
          <t>삼성전기</t>
        </is>
      </c>
      <c r="D250" s="29" t="inlineStr">
        <is>
          <t>009150</t>
        </is>
      </c>
      <c r="E250" s="29" t="inlineStr">
        <is>
          <t>KOSPI</t>
        </is>
      </c>
      <c r="F250" s="29" t="inlineStr">
        <is>
          <t>후공정/패키징/테스트</t>
        </is>
      </c>
      <c r="G250" s="29" t="inlineStr">
        <is>
          <t>후공정/패키징/테스트</t>
        </is>
      </c>
      <c r="H250" s="29" t="inlineStr">
        <is>
          <t>False</t>
        </is>
      </c>
      <c r="I250" s="29" t="inlineStr">
        <is>
          <t>True</t>
        </is>
      </c>
      <c r="J250" s="29" t="inlineStr">
        <is>
          <t>OK</t>
        </is>
      </c>
      <c r="K250" s="29" t="inlineStr">
        <is>
          <t>데이터 사용 가능</t>
        </is>
      </c>
      <c r="L250" s="29" t="inlineStr">
        <is>
          <t>LOW</t>
        </is>
      </c>
      <c r="M250" s="29" t="inlineStr">
        <is>
          <t>LOW</t>
        </is>
      </c>
      <c r="N250" s="29" t="inlineStr">
        <is>
          <t>0.4957037037037037</t>
        </is>
      </c>
      <c r="O250" s="29" t="inlineStr">
        <is>
          <t>FAIR</t>
        </is>
      </c>
      <c r="P250" s="29" t="inlineStr">
        <is>
          <t>FAIR</t>
        </is>
      </c>
      <c r="Q250" s="29" t="inlineStr">
        <is>
          <t>FAIR</t>
        </is>
      </c>
      <c r="R250" s="29" t="inlineStr">
        <is>
          <t>0.5297655139045552</t>
        </is>
      </c>
      <c r="S250" s="29" t="inlineStr">
        <is>
          <t>MEDIUM</t>
        </is>
      </c>
      <c r="T250" s="29" t="inlineStr">
        <is>
          <t>MEDIUM</t>
        </is>
      </c>
      <c r="U250" s="29" t="inlineStr">
        <is>
          <t>0.0</t>
        </is>
      </c>
      <c r="V250" s="29" t="inlineStr">
        <is>
          <t>LOW_RISK</t>
        </is>
      </c>
      <c r="W250" s="29" t="inlineStr">
        <is>
          <t>저위험</t>
        </is>
      </c>
      <c r="X250" s="29" t="inlineStr">
        <is>
          <t>LOW_RISK</t>
        </is>
      </c>
      <c r="Y250" s="29" t="inlineStr">
        <is>
          <t>0.9613637696053304</t>
        </is>
      </c>
      <c r="Z250" s="29" t="inlineStr">
        <is>
          <t>HIGH</t>
        </is>
      </c>
      <c r="AA250" s="29" t="inlineStr">
        <is>
          <t>HIGH</t>
        </is>
      </c>
      <c r="AB250" s="29" t="inlineStr">
        <is>
          <t>0.09523408011479967</t>
        </is>
      </c>
      <c r="AC250" s="29" t="inlineStr">
        <is>
          <t>False</t>
        </is>
      </c>
      <c r="AD250" s="29" t="inlineStr">
        <is>
          <t>False</t>
        </is>
      </c>
      <c r="AE250" s="29" t="inlineStr">
        <is>
          <t>valuation_credit_ml_overlay_candidate.csv</t>
        </is>
      </c>
      <c r="AF250" s="29" t="inlineStr">
        <is>
          <t>208개 반도체 reference universe. Valuation Agent가 자체 intake 폴더로 복제해 Peer/ML/대시보드 비교에 사용.</t>
        </is>
      </c>
    </row>
    <row r="251" ht="24" customHeight="1">
      <c r="A251" s="24" t="inlineStr">
        <is>
          <t>171</t>
        </is>
      </c>
      <c r="B251" s="24" t="inlineStr">
        <is>
          <t>해당 없음</t>
        </is>
      </c>
      <c r="C251" s="24" t="inlineStr">
        <is>
          <t>에이엘티</t>
        </is>
      </c>
      <c r="D251" s="24" t="inlineStr">
        <is>
          <t>172670</t>
        </is>
      </c>
      <c r="E251" s="24" t="inlineStr">
        <is>
          <t>KOSDAQ</t>
        </is>
      </c>
      <c r="F251" s="24" t="inlineStr">
        <is>
          <t>후공정/패키징/테스트</t>
        </is>
      </c>
      <c r="G251" s="24" t="inlineStr">
        <is>
          <t>후공정/패키징/테스트</t>
        </is>
      </c>
      <c r="H251" s="24" t="inlineStr">
        <is>
          <t>False</t>
        </is>
      </c>
      <c r="I251" s="24" t="inlineStr">
        <is>
          <t>True</t>
        </is>
      </c>
      <c r="J251" s="24" t="inlineStr">
        <is>
          <t>OK</t>
        </is>
      </c>
      <c r="K251" s="24" t="inlineStr">
        <is>
          <t>데이터 사용 가능</t>
        </is>
      </c>
      <c r="L251" s="24" t="inlineStr">
        <is>
          <t>LOW</t>
        </is>
      </c>
      <c r="M251" s="24" t="inlineStr">
        <is>
          <t>LOW</t>
        </is>
      </c>
      <c r="N251" s="24" t="inlineStr">
        <is>
          <t>0.4877037037037036</t>
        </is>
      </c>
      <c r="O251" s="24" t="inlineStr">
        <is>
          <t>FAIR</t>
        </is>
      </c>
      <c r="P251" s="24" t="inlineStr">
        <is>
          <t>FAIR</t>
        </is>
      </c>
      <c r="Q251" s="24" t="inlineStr">
        <is>
          <t>FAIR</t>
        </is>
      </c>
      <c r="R251" s="24" t="inlineStr">
        <is>
          <t>0.5308622758067901</t>
        </is>
      </c>
      <c r="S251" s="24" t="inlineStr">
        <is>
          <t>MEDIUM</t>
        </is>
      </c>
      <c r="T251" s="24" t="inlineStr">
        <is>
          <t>MEDIUM</t>
        </is>
      </c>
      <c r="U251" s="24" t="inlineStr">
        <is>
          <t>0.3571428571428571</t>
        </is>
      </c>
      <c r="V251" s="24" t="inlineStr">
        <is>
          <t>MEDIUM_RISK</t>
        </is>
      </c>
      <c r="W251" s="24" t="inlineStr">
        <is>
          <t>중위험</t>
        </is>
      </c>
      <c r="X251" s="24" t="inlineStr">
        <is>
          <t>MEDIUM_RISK</t>
        </is>
      </c>
      <c r="Y251" s="24" t="inlineStr">
        <is>
          <t>0.6934148613969219</t>
        </is>
      </c>
      <c r="Z251" s="24" t="inlineStr">
        <is>
          <t>MEDIUM</t>
        </is>
      </c>
      <c r="AA251" s="24" t="inlineStr">
        <is>
          <t>MEDIUM</t>
        </is>
      </c>
      <c r="AB251" s="24" t="inlineStr">
        <is>
          <t>0.07946889412350498</t>
        </is>
      </c>
      <c r="AC251" s="24" t="inlineStr">
        <is>
          <t>False</t>
        </is>
      </c>
      <c r="AD251" s="24" t="inlineStr">
        <is>
          <t>False</t>
        </is>
      </c>
      <c r="AE251" s="24" t="inlineStr">
        <is>
          <t>valuation_credit_ml_overlay_candidate.csv</t>
        </is>
      </c>
      <c r="AF251" s="24" t="inlineStr">
        <is>
          <t>208개 반도체 reference universe. Valuation Agent가 자체 intake 폴더로 복제해 Peer/ML/대시보드 비교에 사용.</t>
        </is>
      </c>
    </row>
    <row r="252" ht="24" customHeight="1">
      <c r="A252" s="29" t="inlineStr">
        <is>
          <t>184</t>
        </is>
      </c>
      <c r="B252" s="29" t="inlineStr">
        <is>
          <t>해당 없음</t>
        </is>
      </c>
      <c r="C252" s="29" t="inlineStr">
        <is>
          <t>큐알티</t>
        </is>
      </c>
      <c r="D252" s="29" t="inlineStr">
        <is>
          <t>405100</t>
        </is>
      </c>
      <c r="E252" s="29" t="inlineStr">
        <is>
          <t>KOSDAQ</t>
        </is>
      </c>
      <c r="F252" s="29" t="inlineStr">
        <is>
          <t>후공정/패키징/테스트</t>
        </is>
      </c>
      <c r="G252" s="29" t="inlineStr">
        <is>
          <t>후공정/패키징/테스트</t>
        </is>
      </c>
      <c r="H252" s="29" t="inlineStr">
        <is>
          <t>False</t>
        </is>
      </c>
      <c r="I252" s="29" t="inlineStr">
        <is>
          <t>True</t>
        </is>
      </c>
      <c r="J252" s="29" t="inlineStr">
        <is>
          <t>OK</t>
        </is>
      </c>
      <c r="K252" s="29" t="inlineStr">
        <is>
          <t>데이터 사용 가능</t>
        </is>
      </c>
      <c r="L252" s="29" t="inlineStr">
        <is>
          <t>LOW</t>
        </is>
      </c>
      <c r="M252" s="29" t="inlineStr">
        <is>
          <t>LOW</t>
        </is>
      </c>
      <c r="N252" s="29" t="inlineStr">
        <is>
          <t>0.4782222222222222</t>
        </is>
      </c>
      <c r="O252" s="29" t="inlineStr">
        <is>
          <t>FAIR</t>
        </is>
      </c>
      <c r="P252" s="29" t="inlineStr">
        <is>
          <t>FAIR</t>
        </is>
      </c>
      <c r="Q252" s="29" t="inlineStr">
        <is>
          <t>ATTRACTIVE</t>
        </is>
      </c>
      <c r="R252" s="29" t="inlineStr">
        <is>
          <t>0.4463498311096922</t>
        </is>
      </c>
      <c r="S252" s="29" t="inlineStr">
        <is>
          <t>LOW</t>
        </is>
      </c>
      <c r="T252" s="29" t="inlineStr">
        <is>
          <t>LOW</t>
        </is>
      </c>
      <c r="U252" s="29" t="inlineStr">
        <is>
          <t>0.0</t>
        </is>
      </c>
      <c r="V252" s="29" t="inlineStr">
        <is>
          <t>LOW_RISK</t>
        </is>
      </c>
      <c r="W252" s="29" t="inlineStr">
        <is>
          <t>저위험</t>
        </is>
      </c>
      <c r="X252" s="29" t="inlineStr">
        <is>
          <t>LOW_RISK</t>
        </is>
      </c>
      <c r="Y252" s="29" t="inlineStr">
        <is>
          <t>0.8693080817598533</t>
        </is>
      </c>
      <c r="Z252" s="29" t="inlineStr">
        <is>
          <t>HIGH</t>
        </is>
      </c>
      <c r="AA252" s="29" t="inlineStr">
        <is>
          <t>HIGH</t>
        </is>
      </c>
      <c r="AB252" s="29" t="inlineStr">
        <is>
          <t>0.014158930737617927</t>
        </is>
      </c>
      <c r="AC252" s="29" t="inlineStr">
        <is>
          <t>False</t>
        </is>
      </c>
      <c r="AD252" s="29" t="inlineStr">
        <is>
          <t>True</t>
        </is>
      </c>
      <c r="AE252" s="29" t="inlineStr">
        <is>
          <t>valuation_credit_ml_overlay_candidate.csv</t>
        </is>
      </c>
      <c r="AF252" s="29" t="inlineStr">
        <is>
          <t>208개 반도체 reference universe. Valuation Agent가 자체 intake 폴더로 복제해 Peer/ML/대시보드 비교에 사용.</t>
        </is>
      </c>
    </row>
    <row r="253" ht="24" customHeight="1">
      <c r="A253" s="24" t="inlineStr">
        <is>
          <t>192</t>
        </is>
      </c>
      <c r="B253" s="24" t="inlineStr">
        <is>
          <t>hanmi</t>
        </is>
      </c>
      <c r="C253" s="24" t="inlineStr">
        <is>
          <t>한미반도체</t>
        </is>
      </c>
      <c r="D253" s="24" t="inlineStr">
        <is>
          <t>042700</t>
        </is>
      </c>
      <c r="E253" s="24" t="inlineStr">
        <is>
          <t>KOSPI</t>
        </is>
      </c>
      <c r="F253" s="24" t="inlineStr">
        <is>
          <t>후공정/패키징/테스트</t>
        </is>
      </c>
      <c r="G253" s="24" t="inlineStr">
        <is>
          <t>후공정/패키징/테스트</t>
        </is>
      </c>
      <c r="H253" s="24" t="inlineStr">
        <is>
          <t>True</t>
        </is>
      </c>
      <c r="I253" s="24" t="inlineStr">
        <is>
          <t>True</t>
        </is>
      </c>
      <c r="J253" s="24" t="inlineStr">
        <is>
          <t>OK</t>
        </is>
      </c>
      <c r="K253" s="24" t="inlineStr">
        <is>
          <t>데이터 사용 가능</t>
        </is>
      </c>
      <c r="L253" s="24" t="inlineStr">
        <is>
          <t>LOW</t>
        </is>
      </c>
      <c r="M253" s="24" t="inlineStr">
        <is>
          <t>LOW</t>
        </is>
      </c>
      <c r="N253" s="24" t="inlineStr">
        <is>
          <t>0.4712592592592592</t>
        </is>
      </c>
      <c r="O253" s="24" t="inlineStr">
        <is>
          <t>FAIR</t>
        </is>
      </c>
      <c r="P253" s="24" t="inlineStr">
        <is>
          <t>FAIR</t>
        </is>
      </c>
      <c r="Q253" s="24" t="inlineStr">
        <is>
          <t>FAIR</t>
        </is>
      </c>
      <c r="R253" s="24" t="inlineStr">
        <is>
          <t>0.618072727307107</t>
        </is>
      </c>
      <c r="S253" s="24" t="inlineStr">
        <is>
          <t>MEDIUM</t>
        </is>
      </c>
      <c r="T253" s="24" t="inlineStr">
        <is>
          <t>MEDIUM</t>
        </is>
      </c>
      <c r="U253" s="24" t="inlineStr">
        <is>
          <t>0.0</t>
        </is>
      </c>
      <c r="V253" s="24" t="inlineStr">
        <is>
          <t>LOW_RISK</t>
        </is>
      </c>
      <c r="W253" s="24" t="inlineStr">
        <is>
          <t>저위험</t>
        </is>
      </c>
      <c r="X253" s="24" t="inlineStr">
        <is>
          <t>LOW_RISK</t>
        </is>
      </c>
      <c r="Y253" s="24" t="inlineStr">
        <is>
          <t>0.9350232170644448</t>
        </is>
      </c>
      <c r="Z253" s="24" t="inlineStr">
        <is>
          <t>HIGH</t>
        </is>
      </c>
      <c r="AA253" s="24" t="inlineStr">
        <is>
          <t>HIGH</t>
        </is>
      </c>
      <c r="AB253" s="24" t="inlineStr">
        <is>
          <t>0.2707179947680644</t>
        </is>
      </c>
      <c r="AC253" s="24" t="inlineStr">
        <is>
          <t>True</t>
        </is>
      </c>
      <c r="AD253" s="24" t="inlineStr">
        <is>
          <t>True</t>
        </is>
      </c>
      <c r="AE253" s="24" t="inlineStr">
        <is>
          <t>valuation_credit_ml_overlay_candidate.csv</t>
        </is>
      </c>
      <c r="AF253" s="24" t="inlineStr">
        <is>
          <t>208개 반도체 reference universe. Valuation Agent가 자체 intake 폴더로 복제해 Peer/ML/대시보드 비교에 사용.</t>
        </is>
      </c>
    </row>
    <row r="254" ht="24" customHeight="1">
      <c r="A254" s="29" t="inlineStr">
        <is>
          <t>185</t>
        </is>
      </c>
      <c r="B254" s="29" t="inlineStr">
        <is>
          <t>해당 없음</t>
        </is>
      </c>
      <c r="C254" s="29" t="inlineStr">
        <is>
          <t>큐엠씨</t>
        </is>
      </c>
      <c r="D254" s="29" t="inlineStr">
        <is>
          <t>136660</t>
        </is>
      </c>
      <c r="E254" s="29" t="inlineStr">
        <is>
          <t>KONEX</t>
        </is>
      </c>
      <c r="F254" s="29" t="inlineStr">
        <is>
          <t>후공정/패키징/테스트</t>
        </is>
      </c>
      <c r="G254" s="29" t="inlineStr">
        <is>
          <t>후공정/패키징/테스트</t>
        </is>
      </c>
      <c r="H254" s="29" t="inlineStr">
        <is>
          <t>False</t>
        </is>
      </c>
      <c r="I254" s="29" t="inlineStr">
        <is>
          <t>True</t>
        </is>
      </c>
      <c r="J254" s="29" t="inlineStr">
        <is>
          <t>NO_DART_FINANCIAL_DATA</t>
        </is>
      </c>
      <c r="K254" s="29" t="inlineStr">
        <is>
          <t>데이터 사용 가능</t>
        </is>
      </c>
      <c r="L254" s="29" t="inlineStr">
        <is>
          <t>HIGH</t>
        </is>
      </c>
      <c r="M254" s="29" t="inlineStr">
        <is>
          <t>HIGH</t>
        </is>
      </c>
      <c r="N254" s="29" t="inlineStr">
        <is>
          <t>0.4711111111111111</t>
        </is>
      </c>
      <c r="O254" s="29" t="inlineStr">
        <is>
          <t>FAIR</t>
        </is>
      </c>
      <c r="P254" s="29" t="inlineStr">
        <is>
          <t>FAIR</t>
        </is>
      </c>
      <c r="Q254" s="29" t="inlineStr">
        <is>
          <t>FAIR</t>
        </is>
      </c>
      <c r="R254" s="29" t="inlineStr">
        <is>
          <t>0.9731046168075388</t>
        </is>
      </c>
      <c r="S254" s="29" t="inlineStr">
        <is>
          <t>HIGH</t>
        </is>
      </c>
      <c r="T254" s="29" t="inlineStr">
        <is>
          <t>HIGH</t>
        </is>
      </c>
      <c r="U254" s="29" t="inlineStr">
        <is>
          <t>0.2857142857142857</t>
        </is>
      </c>
      <c r="V254" s="29" t="inlineStr">
        <is>
          <t>MEDIUM_RISK</t>
        </is>
      </c>
      <c r="W254" s="29" t="inlineStr">
        <is>
          <t>중위험</t>
        </is>
      </c>
      <c r="X254" s="29" t="inlineStr">
        <is>
          <t>MEDIUM_RISK</t>
        </is>
      </c>
      <c r="Y254" s="29" t="inlineStr">
        <is>
          <t>0.7892126449586269</t>
        </is>
      </c>
      <c r="Z254" s="29" t="inlineStr">
        <is>
          <t>HIGH</t>
        </is>
      </c>
      <c r="AA254" s="29" t="inlineStr">
        <is>
          <t>HIGH</t>
        </is>
      </c>
      <c r="AB254" s="29" t="inlineStr">
        <is>
          <t>0.07859474908410963</t>
        </is>
      </c>
      <c r="AC254" s="29" t="inlineStr">
        <is>
          <t>False</t>
        </is>
      </c>
      <c r="AD254" s="29" t="inlineStr">
        <is>
          <t>True</t>
        </is>
      </c>
      <c r="AE254" s="29" t="inlineStr">
        <is>
          <t>valuation_credit_ml_overlay_candidate.csv</t>
        </is>
      </c>
      <c r="AF254" s="29" t="inlineStr">
        <is>
          <t>208개 반도체 reference universe. Valuation Agent가 자체 intake 폴더로 복제해 Peer/ML/대시보드 비교에 사용.</t>
        </is>
      </c>
    </row>
    <row r="255" ht="24" customHeight="1">
      <c r="A255" s="24" t="inlineStr">
        <is>
          <t>161</t>
        </is>
      </c>
      <c r="B255" s="24" t="inlineStr">
        <is>
          <t>해당 없음</t>
        </is>
      </c>
      <c r="C255" s="24" t="inlineStr">
        <is>
          <t>럭스피아</t>
        </is>
      </c>
      <c r="D255" s="24" t="inlineStr">
        <is>
          <t>092590</t>
        </is>
      </c>
      <c r="E255" s="24" t="inlineStr">
        <is>
          <t>KONEX</t>
        </is>
      </c>
      <c r="F255" s="24" t="inlineStr">
        <is>
          <t>후공정/패키징/테스트</t>
        </is>
      </c>
      <c r="G255" s="24" t="inlineStr">
        <is>
          <t>후공정/패키징/테스트</t>
        </is>
      </c>
      <c r="H255" s="24" t="inlineStr">
        <is>
          <t>False</t>
        </is>
      </c>
      <c r="I255" s="24" t="inlineStr">
        <is>
          <t>True</t>
        </is>
      </c>
      <c r="J255" s="24" t="inlineStr">
        <is>
          <t>NO_DART_FINANCIAL_DATA</t>
        </is>
      </c>
      <c r="K255" s="24" t="inlineStr">
        <is>
          <t>데이터 사용 가능</t>
        </is>
      </c>
      <c r="L255" s="24" t="inlineStr">
        <is>
          <t>HIGH</t>
        </is>
      </c>
      <c r="M255" s="24" t="inlineStr">
        <is>
          <t>HIGH</t>
        </is>
      </c>
      <c r="N255" s="24" t="inlineStr">
        <is>
          <t>0.4681481481481481</t>
        </is>
      </c>
      <c r="O255" s="24" t="inlineStr">
        <is>
          <t>FAIR</t>
        </is>
      </c>
      <c r="P255" s="24" t="inlineStr">
        <is>
          <t>FAIR</t>
        </is>
      </c>
      <c r="Q255" s="24" t="inlineStr">
        <is>
          <t>FAIR</t>
        </is>
      </c>
      <c r="R255" s="24" t="inlineStr">
        <is>
          <t>0.969533908094729</t>
        </is>
      </c>
      <c r="S255" s="24" t="inlineStr">
        <is>
          <t>HIGH</t>
        </is>
      </c>
      <c r="T255" s="24" t="inlineStr">
        <is>
          <t>HIGH</t>
        </is>
      </c>
      <c r="U255" s="24" t="inlineStr">
        <is>
          <t>0.2857142857142857</t>
        </is>
      </c>
      <c r="V255" s="24" t="inlineStr">
        <is>
          <t>MEDIUM_RISK</t>
        </is>
      </c>
      <c r="W255" s="24" t="inlineStr">
        <is>
          <t>중위험</t>
        </is>
      </c>
      <c r="X255" s="24" t="inlineStr">
        <is>
          <t>MEDIUM_RISK</t>
        </is>
      </c>
      <c r="Y255" s="24" t="inlineStr">
        <is>
          <t>0.7911598348888624</t>
        </is>
      </c>
      <c r="Z255" s="24" t="inlineStr">
        <is>
          <t>HIGH</t>
        </is>
      </c>
      <c r="AA255" s="24" t="inlineStr">
        <is>
          <t>HIGH</t>
        </is>
      </c>
      <c r="AB255" s="24" t="inlineStr">
        <is>
          <t>0.2507708118458056</t>
        </is>
      </c>
      <c r="AC255" s="24" t="inlineStr">
        <is>
          <t>True</t>
        </is>
      </c>
      <c r="AD255" s="24" t="inlineStr">
        <is>
          <t>True</t>
        </is>
      </c>
      <c r="AE255" s="24" t="inlineStr">
        <is>
          <t>valuation_credit_ml_overlay_candidate.csv</t>
        </is>
      </c>
      <c r="AF255" s="24" t="inlineStr">
        <is>
          <t>208개 반도체 reference universe. Valuation Agent가 자체 intake 폴더로 복제해 Peer/ML/대시보드 비교에 사용.</t>
        </is>
      </c>
    </row>
    <row r="256" ht="24" customHeight="1">
      <c r="A256" s="29" t="inlineStr">
        <is>
          <t>170</t>
        </is>
      </c>
      <c r="B256" s="29" t="inlineStr">
        <is>
          <t>해당 없음</t>
        </is>
      </c>
      <c r="C256" s="29" t="inlineStr">
        <is>
          <t>아이텍</t>
        </is>
      </c>
      <c r="D256" s="29" t="inlineStr">
        <is>
          <t>119830</t>
        </is>
      </c>
      <c r="E256" s="29" t="inlineStr">
        <is>
          <t>KOSDAQ</t>
        </is>
      </c>
      <c r="F256" s="29" t="inlineStr">
        <is>
          <t>후공정/패키징/테스트</t>
        </is>
      </c>
      <c r="G256" s="29" t="inlineStr">
        <is>
          <t>후공정/패키징/테스트</t>
        </is>
      </c>
      <c r="H256" s="29" t="inlineStr">
        <is>
          <t>False</t>
        </is>
      </c>
      <c r="I256" s="29" t="inlineStr">
        <is>
          <t>True</t>
        </is>
      </c>
      <c r="J256" s="29" t="inlineStr">
        <is>
          <t>OK</t>
        </is>
      </c>
      <c r="K256" s="29" t="inlineStr">
        <is>
          <t>데이터 사용 가능</t>
        </is>
      </c>
      <c r="L256" s="29" t="inlineStr">
        <is>
          <t>LOW</t>
        </is>
      </c>
      <c r="M256" s="29" t="inlineStr">
        <is>
          <t>LOW</t>
        </is>
      </c>
      <c r="N256" s="29" t="inlineStr">
        <is>
          <t>0.4573333333333333</t>
        </is>
      </c>
      <c r="O256" s="29" t="inlineStr">
        <is>
          <t>FAIR</t>
        </is>
      </c>
      <c r="P256" s="29" t="inlineStr">
        <is>
          <t>FAIR</t>
        </is>
      </c>
      <c r="Q256" s="29" t="inlineStr">
        <is>
          <t>FAIR</t>
        </is>
      </c>
      <c r="R256" s="29" t="inlineStr">
        <is>
          <t>0.6018206034002739</t>
        </is>
      </c>
      <c r="S256" s="29" t="inlineStr">
        <is>
          <t>MEDIUM</t>
        </is>
      </c>
      <c r="T256" s="29" t="inlineStr">
        <is>
          <t>MEDIUM</t>
        </is>
      </c>
      <c r="U256" s="29" t="inlineStr">
        <is>
          <t>0.2142857142857142</t>
        </is>
      </c>
      <c r="V256" s="29" t="inlineStr">
        <is>
          <t>MEDIUM_RISK</t>
        </is>
      </c>
      <c r="W256" s="29" t="inlineStr">
        <is>
          <t>중위험</t>
        </is>
      </c>
      <c r="X256" s="29" t="inlineStr">
        <is>
          <t>MEDIUM_RISK</t>
        </is>
      </c>
      <c r="Y256" s="29" t="inlineStr">
        <is>
          <t>0.793957358322354</t>
        </is>
      </c>
      <c r="Z256" s="29" t="inlineStr">
        <is>
          <t>HIGH</t>
        </is>
      </c>
      <c r="AA256" s="29" t="inlineStr">
        <is>
          <t>HIGH</t>
        </is>
      </c>
      <c r="AB256" s="29" t="inlineStr">
        <is>
          <t>0.17465361432297097</t>
        </is>
      </c>
      <c r="AC256" s="29" t="inlineStr">
        <is>
          <t>False</t>
        </is>
      </c>
      <c r="AD256" s="29" t="inlineStr">
        <is>
          <t>False</t>
        </is>
      </c>
      <c r="AE256" s="29" t="inlineStr">
        <is>
          <t>valuation_credit_ml_overlay_candidate.csv</t>
        </is>
      </c>
      <c r="AF256" s="29" t="inlineStr">
        <is>
          <t>208개 반도체 reference universe. Valuation Agent가 자체 intake 폴더로 복제해 Peer/ML/대시보드 비교에 사용.</t>
        </is>
      </c>
    </row>
    <row r="257" ht="24" customHeight="1">
      <c r="A257" s="24" t="inlineStr">
        <is>
          <t>179</t>
        </is>
      </c>
      <c r="B257" s="24" t="inlineStr">
        <is>
          <t>해당 없음</t>
        </is>
      </c>
      <c r="C257" s="24" t="inlineStr">
        <is>
          <t>윈팩</t>
        </is>
      </c>
      <c r="D257" s="24" t="inlineStr">
        <is>
          <t>097800</t>
        </is>
      </c>
      <c r="E257" s="24" t="inlineStr">
        <is>
          <t>KOSDAQ</t>
        </is>
      </c>
      <c r="F257" s="24" t="inlineStr">
        <is>
          <t>후공정/패키징/테스트</t>
        </is>
      </c>
      <c r="G257" s="24" t="inlineStr">
        <is>
          <t>후공정/패키징/테스트</t>
        </is>
      </c>
      <c r="H257" s="24" t="inlineStr">
        <is>
          <t>False</t>
        </is>
      </c>
      <c r="I257" s="24" t="inlineStr">
        <is>
          <t>True</t>
        </is>
      </c>
      <c r="J257" s="24" t="inlineStr">
        <is>
          <t>OK</t>
        </is>
      </c>
      <c r="K257" s="24" t="inlineStr">
        <is>
          <t>데이터 사용 가능</t>
        </is>
      </c>
      <c r="L257" s="24" t="inlineStr">
        <is>
          <t>LOW</t>
        </is>
      </c>
      <c r="M257" s="24" t="inlineStr">
        <is>
          <t>LOW</t>
        </is>
      </c>
      <c r="N257" s="24" t="inlineStr">
        <is>
          <t>0.4417777777777778</t>
        </is>
      </c>
      <c r="O257" s="24" t="inlineStr">
        <is>
          <t>FAIR</t>
        </is>
      </c>
      <c r="P257" s="24" t="inlineStr">
        <is>
          <t>FAIR</t>
        </is>
      </c>
      <c r="Q257" s="24" t="inlineStr">
        <is>
          <t>FAIR</t>
        </is>
      </c>
      <c r="R257" s="24" t="inlineStr">
        <is>
          <t>0.5735742758518154</t>
        </is>
      </c>
      <c r="S257" s="24" t="inlineStr">
        <is>
          <t>MEDIUM</t>
        </is>
      </c>
      <c r="T257" s="24" t="inlineStr">
        <is>
          <t>MEDIUM</t>
        </is>
      </c>
      <c r="U257" s="24" t="inlineStr">
        <is>
          <t>0.7142857142857143</t>
        </is>
      </c>
      <c r="V257" s="24" t="inlineStr">
        <is>
          <t>HIGH_RISK</t>
        </is>
      </c>
      <c r="W257" s="24" t="inlineStr">
        <is>
          <t>고위험</t>
        </is>
      </c>
      <c r="X257" s="24" t="inlineStr">
        <is>
          <t>HIGH_RISK</t>
        </is>
      </c>
      <c r="Y257" s="24" t="inlineStr">
        <is>
          <t>0.9273765785577542</t>
        </is>
      </c>
      <c r="Z257" s="24" t="inlineStr">
        <is>
          <t>HIGH</t>
        </is>
      </c>
      <c r="AA257" s="24" t="inlineStr">
        <is>
          <t>HIGH</t>
        </is>
      </c>
      <c r="AB257" s="24" t="inlineStr">
        <is>
          <t>0.09157899320413745</t>
        </is>
      </c>
      <c r="AC257" s="24" t="inlineStr">
        <is>
          <t>False</t>
        </is>
      </c>
      <c r="AD257" s="24" t="inlineStr">
        <is>
          <t>False</t>
        </is>
      </c>
      <c r="AE257" s="24" t="inlineStr">
        <is>
          <t>valuation_credit_ml_overlay_candidate.csv</t>
        </is>
      </c>
      <c r="AF257" s="24" t="inlineStr">
        <is>
          <t>208개 반도체 reference universe. Valuation Agent가 자체 intake 폴더로 복제해 Peer/ML/대시보드 비교에 사용.</t>
        </is>
      </c>
    </row>
    <row r="258" ht="24" customHeight="1">
      <c r="A258" s="29" t="inlineStr">
        <is>
          <t>187</t>
        </is>
      </c>
      <c r="B258" s="29" t="inlineStr">
        <is>
          <t>해당 없음</t>
        </is>
      </c>
      <c r="C258" s="29" t="inlineStr">
        <is>
          <t>팸텍</t>
        </is>
      </c>
      <c r="D258" s="29" t="inlineStr">
        <is>
          <t>271830</t>
        </is>
      </c>
      <c r="E258" s="29" t="inlineStr">
        <is>
          <t>KOSDAQ</t>
        </is>
      </c>
      <c r="F258" s="29" t="inlineStr">
        <is>
          <t>후공정/패키징/테스트</t>
        </is>
      </c>
      <c r="G258" s="29" t="inlineStr">
        <is>
          <t>후공정/패키징/테스트</t>
        </is>
      </c>
      <c r="H258" s="29" t="inlineStr">
        <is>
          <t>False</t>
        </is>
      </c>
      <c r="I258" s="29" t="inlineStr">
        <is>
          <t>True</t>
        </is>
      </c>
      <c r="J258" s="29" t="inlineStr">
        <is>
          <t>OK</t>
        </is>
      </c>
      <c r="K258" s="29" t="inlineStr">
        <is>
          <t>데이터 사용 가능</t>
        </is>
      </c>
      <c r="L258" s="29" t="inlineStr">
        <is>
          <t>LOW</t>
        </is>
      </c>
      <c r="M258" s="29" t="inlineStr">
        <is>
          <t>LOW</t>
        </is>
      </c>
      <c r="N258" s="29" t="inlineStr">
        <is>
          <t>0.4402962962962963</t>
        </is>
      </c>
      <c r="O258" s="29" t="inlineStr">
        <is>
          <t>FAIR</t>
        </is>
      </c>
      <c r="P258" s="29" t="inlineStr">
        <is>
          <t>FAIR</t>
        </is>
      </c>
      <c r="Q258" s="29" t="inlineStr">
        <is>
          <t>FAIR</t>
        </is>
      </c>
      <c r="R258" s="29" t="inlineStr">
        <is>
          <t>0.6809009837226325</t>
        </is>
      </c>
      <c r="S258" s="29" t="inlineStr">
        <is>
          <t>MEDIUM</t>
        </is>
      </c>
      <c r="T258" s="29" t="inlineStr">
        <is>
          <t>MEDIUM</t>
        </is>
      </c>
      <c r="U258" s="29" t="inlineStr">
        <is>
          <t>0.5714285714285714</t>
        </is>
      </c>
      <c r="V258" s="29" t="inlineStr">
        <is>
          <t>HIGH_RISK</t>
        </is>
      </c>
      <c r="W258" s="29" t="inlineStr">
        <is>
          <t>고위험</t>
        </is>
      </c>
      <c r="X258" s="29" t="inlineStr">
        <is>
          <t>HIGH_RISK</t>
        </is>
      </c>
      <c r="Y258" s="29" t="inlineStr">
        <is>
          <t>0.9054415631219938</t>
        </is>
      </c>
      <c r="Z258" s="29" t="inlineStr">
        <is>
          <t>HIGH</t>
        </is>
      </c>
      <c r="AA258" s="29" t="inlineStr">
        <is>
          <t>HIGH</t>
        </is>
      </c>
      <c r="AB258" s="29" t="inlineStr">
        <is>
          <t>0.08867309587377735</t>
        </is>
      </c>
      <c r="AC258" s="29" t="inlineStr">
        <is>
          <t>False</t>
        </is>
      </c>
      <c r="AD258" s="29" t="inlineStr">
        <is>
          <t>False</t>
        </is>
      </c>
      <c r="AE258" s="29" t="inlineStr">
        <is>
          <t>valuation_credit_ml_overlay_candidate.csv</t>
        </is>
      </c>
      <c r="AF258" s="29" t="inlineStr">
        <is>
          <t>208개 반도체 reference universe. Valuation Agent가 자체 intake 폴더로 복제해 Peer/ML/대시보드 비교에 사용.</t>
        </is>
      </c>
    </row>
    <row r="259" ht="24" customHeight="1">
      <c r="A259" s="24" t="inlineStr">
        <is>
          <t>152</t>
        </is>
      </c>
      <c r="B259" s="24" t="inlineStr">
        <is>
          <t>해당 없음</t>
        </is>
      </c>
      <c r="C259" s="24" t="inlineStr">
        <is>
          <t>LB세미콘</t>
        </is>
      </c>
      <c r="D259" s="24" t="inlineStr">
        <is>
          <t>061970</t>
        </is>
      </c>
      <c r="E259" s="24" t="inlineStr">
        <is>
          <t>KOSDAQ</t>
        </is>
      </c>
      <c r="F259" s="24" t="inlineStr">
        <is>
          <t>후공정/패키징/테스트</t>
        </is>
      </c>
      <c r="G259" s="24" t="inlineStr">
        <is>
          <t>후공정/패키징/테스트</t>
        </is>
      </c>
      <c r="H259" s="24" t="inlineStr">
        <is>
          <t>False</t>
        </is>
      </c>
      <c r="I259" s="24" t="inlineStr">
        <is>
          <t>True</t>
        </is>
      </c>
      <c r="J259" s="24" t="inlineStr">
        <is>
          <t>OK</t>
        </is>
      </c>
      <c r="K259" s="24" t="inlineStr">
        <is>
          <t>데이터 사용 가능</t>
        </is>
      </c>
      <c r="L259" s="24" t="inlineStr">
        <is>
          <t>LOW</t>
        </is>
      </c>
      <c r="M259" s="24" t="inlineStr">
        <is>
          <t>LOW</t>
        </is>
      </c>
      <c r="N259" s="24" t="inlineStr">
        <is>
          <t>0.4394074074074074</t>
        </is>
      </c>
      <c r="O259" s="24" t="inlineStr">
        <is>
          <t>FAIR</t>
        </is>
      </c>
      <c r="P259" s="24" t="inlineStr">
        <is>
          <t>FAIR</t>
        </is>
      </c>
      <c r="Q259" s="24" t="inlineStr">
        <is>
          <t>FAIR</t>
        </is>
      </c>
      <c r="R259" s="24" t="inlineStr">
        <is>
          <t>0.519835518569549</t>
        </is>
      </c>
      <c r="S259" s="24" t="inlineStr">
        <is>
          <t>MEDIUM</t>
        </is>
      </c>
      <c r="T259" s="24" t="inlineStr">
        <is>
          <t>MEDIUM</t>
        </is>
      </c>
      <c r="U259" s="24" t="inlineStr">
        <is>
          <t>0.5714285714285714</t>
        </is>
      </c>
      <c r="V259" s="24" t="inlineStr">
        <is>
          <t>HIGH_RISK</t>
        </is>
      </c>
      <c r="W259" s="24" t="inlineStr">
        <is>
          <t>고위험</t>
        </is>
      </c>
      <c r="X259" s="24" t="inlineStr">
        <is>
          <t>HIGH_RISK</t>
        </is>
      </c>
      <c r="Y259" s="24" t="inlineStr">
        <is>
          <t>0.8577554718342005</t>
        </is>
      </c>
      <c r="Z259" s="24" t="inlineStr">
        <is>
          <t>HIGH</t>
        </is>
      </c>
      <c r="AA259" s="24" t="inlineStr">
        <is>
          <t>HIGH</t>
        </is>
      </c>
      <c r="AB259" s="24" t="inlineStr">
        <is>
          <t>0.04865368060535977</t>
        </is>
      </c>
      <c r="AC259" s="24" t="inlineStr">
        <is>
          <t>False</t>
        </is>
      </c>
      <c r="AD259" s="24" t="inlineStr">
        <is>
          <t>False</t>
        </is>
      </c>
      <c r="AE259" s="24" t="inlineStr">
        <is>
          <t>valuation_credit_ml_overlay_candidate.csv</t>
        </is>
      </c>
      <c r="AF259" s="24" t="inlineStr">
        <is>
          <t>208개 반도체 reference universe. Valuation Agent가 자체 intake 폴더로 복제해 Peer/ML/대시보드 비교에 사용.</t>
        </is>
      </c>
    </row>
    <row r="260" ht="24" customHeight="1">
      <c r="A260" s="29" t="inlineStr">
        <is>
          <t>183</t>
        </is>
      </c>
      <c r="B260" s="29" t="inlineStr">
        <is>
          <t>해당 없음</t>
        </is>
      </c>
      <c r="C260" s="29" t="inlineStr">
        <is>
          <t>제이티</t>
        </is>
      </c>
      <c r="D260" s="29" t="inlineStr">
        <is>
          <t>089790</t>
        </is>
      </c>
      <c r="E260" s="29" t="inlineStr">
        <is>
          <t>KOSDAQ</t>
        </is>
      </c>
      <c r="F260" s="29" t="inlineStr">
        <is>
          <t>후공정/패키징/테스트</t>
        </is>
      </c>
      <c r="G260" s="29" t="inlineStr">
        <is>
          <t>후공정/패키징/테스트</t>
        </is>
      </c>
      <c r="H260" s="29" t="inlineStr">
        <is>
          <t>False</t>
        </is>
      </c>
      <c r="I260" s="29" t="inlineStr">
        <is>
          <t>True</t>
        </is>
      </c>
      <c r="J260" s="29" t="inlineStr">
        <is>
          <t>OK</t>
        </is>
      </c>
      <c r="K260" s="29" t="inlineStr">
        <is>
          <t>데이터 사용 가능</t>
        </is>
      </c>
      <c r="L260" s="29" t="inlineStr">
        <is>
          <t>LOW</t>
        </is>
      </c>
      <c r="M260" s="29" t="inlineStr">
        <is>
          <t>LOW</t>
        </is>
      </c>
      <c r="N260" s="29" t="inlineStr">
        <is>
          <t>0.4293333333333333</t>
        </is>
      </c>
      <c r="O260" s="29" t="inlineStr">
        <is>
          <t>FAIR</t>
        </is>
      </c>
      <c r="P260" s="29" t="inlineStr">
        <is>
          <t>FAIR</t>
        </is>
      </c>
      <c r="Q260" s="29" t="inlineStr">
        <is>
          <t>FAIR</t>
        </is>
      </c>
      <c r="R260" s="29" t="inlineStr">
        <is>
          <t>0.7953438622461361</t>
        </is>
      </c>
      <c r="S260" s="29" t="inlineStr">
        <is>
          <t>HIGH</t>
        </is>
      </c>
      <c r="T260" s="29" t="inlineStr">
        <is>
          <t>HIGH</t>
        </is>
      </c>
      <c r="U260" s="29" t="inlineStr">
        <is>
          <t>0.2857142857142857</t>
        </is>
      </c>
      <c r="V260" s="29" t="inlineStr">
        <is>
          <t>MEDIUM_RISK</t>
        </is>
      </c>
      <c r="W260" s="29" t="inlineStr">
        <is>
          <t>중위험</t>
        </is>
      </c>
      <c r="X260" s="29" t="inlineStr">
        <is>
          <t>MEDIUM_RISK</t>
        </is>
      </c>
      <c r="Y260" s="29" t="inlineStr">
        <is>
          <t>0.634985809262478</t>
        </is>
      </c>
      <c r="Z260" s="29" t="inlineStr">
        <is>
          <t>MEDIUM</t>
        </is>
      </c>
      <c r="AA260" s="29" t="inlineStr">
        <is>
          <t>MEDIUM</t>
        </is>
      </c>
      <c r="AB260" s="29" t="inlineStr">
        <is>
          <t>0.0037958156542815414</t>
        </is>
      </c>
      <c r="AC260" s="29" t="inlineStr">
        <is>
          <t>False</t>
        </is>
      </c>
      <c r="AD260" s="29" t="inlineStr">
        <is>
          <t>False</t>
        </is>
      </c>
      <c r="AE260" s="29" t="inlineStr">
        <is>
          <t>valuation_credit_ml_overlay_candidate.csv</t>
        </is>
      </c>
      <c r="AF260" s="29" t="inlineStr">
        <is>
          <t>208개 반도체 reference universe. Valuation Agent가 자체 intake 폴더로 복제해 Peer/ML/대시보드 비교에 사용.</t>
        </is>
      </c>
    </row>
    <row r="261" ht="24" customHeight="1">
      <c r="A261" s="24" t="inlineStr">
        <is>
          <t>182</t>
        </is>
      </c>
      <c r="B261" s="24" t="inlineStr">
        <is>
          <t>해당 없음</t>
        </is>
      </c>
      <c r="C261" s="24" t="inlineStr">
        <is>
          <t>제너셈</t>
        </is>
      </c>
      <c r="D261" s="24" t="inlineStr">
        <is>
          <t>217190</t>
        </is>
      </c>
      <c r="E261" s="24" t="inlineStr">
        <is>
          <t>KOSDAQ</t>
        </is>
      </c>
      <c r="F261" s="24" t="inlineStr">
        <is>
          <t>후공정/패키징/테스트</t>
        </is>
      </c>
      <c r="G261" s="24" t="inlineStr">
        <is>
          <t>후공정/패키징/테스트</t>
        </is>
      </c>
      <c r="H261" s="24" t="inlineStr">
        <is>
          <t>False</t>
        </is>
      </c>
      <c r="I261" s="24" t="inlineStr">
        <is>
          <t>True</t>
        </is>
      </c>
      <c r="J261" s="24" t="inlineStr">
        <is>
          <t>HIGH_PRIORITY_MANUAL_REVIEW</t>
        </is>
      </c>
      <c r="K261" s="24" t="inlineStr">
        <is>
          <t>데이터 사용 가능</t>
        </is>
      </c>
      <c r="L261" s="24" t="inlineStr">
        <is>
          <t>HIGH</t>
        </is>
      </c>
      <c r="M261" s="24" t="inlineStr">
        <is>
          <t>HIGH</t>
        </is>
      </c>
      <c r="N261" s="24" t="inlineStr">
        <is>
          <t>0.4278518518518518</t>
        </is>
      </c>
      <c r="O261" s="24" t="inlineStr">
        <is>
          <t>FAIR</t>
        </is>
      </c>
      <c r="P261" s="24" t="inlineStr">
        <is>
          <t>FAIR</t>
        </is>
      </c>
      <c r="Q261" s="24" t="inlineStr">
        <is>
          <t>FAIR</t>
        </is>
      </c>
      <c r="R261" s="24" t="inlineStr">
        <is>
          <t>0.7410125545144256</t>
        </is>
      </c>
      <c r="S261" s="24" t="inlineStr">
        <is>
          <t>HIGH</t>
        </is>
      </c>
      <c r="T261" s="24" t="inlineStr">
        <is>
          <t>HIGH</t>
        </is>
      </c>
      <c r="U261" s="24" t="inlineStr">
        <is>
          <t>0.2857142857142857</t>
        </is>
      </c>
      <c r="V261" s="24" t="inlineStr">
        <is>
          <t>MEDIUM_RISK</t>
        </is>
      </c>
      <c r="W261" s="24" t="inlineStr">
        <is>
          <t>중위험</t>
        </is>
      </c>
      <c r="X261" s="24" t="inlineStr">
        <is>
          <t>MEDIUM_RISK</t>
        </is>
      </c>
      <c r="Y261" s="24" t="inlineStr">
        <is>
          <t>0.7596080290203916</t>
        </is>
      </c>
      <c r="Z261" s="24" t="inlineStr">
        <is>
          <t>HIGH</t>
        </is>
      </c>
      <c r="AA261" s="24" t="inlineStr">
        <is>
          <t>HIGH</t>
        </is>
      </c>
      <c r="AB261" s="24" t="inlineStr">
        <is>
          <t>0.005601152238630833</t>
        </is>
      </c>
      <c r="AC261" s="24" t="inlineStr">
        <is>
          <t>False</t>
        </is>
      </c>
      <c r="AD261" s="24" t="inlineStr">
        <is>
          <t>True</t>
        </is>
      </c>
      <c r="AE261" s="24" t="inlineStr">
        <is>
          <t>valuation_credit_ml_overlay_candidate.csv</t>
        </is>
      </c>
      <c r="AF261" s="24" t="inlineStr">
        <is>
          <t>208개 반도체 reference universe. Valuation Agent가 자체 intake 폴더로 복제해 Peer/ML/대시보드 비교에 사용.</t>
        </is>
      </c>
    </row>
    <row r="262" ht="24" customHeight="1">
      <c r="A262" s="29" t="inlineStr">
        <is>
          <t>158</t>
        </is>
      </c>
      <c r="B262" s="29" t="inlineStr">
        <is>
          <t>해당 없음</t>
        </is>
      </c>
      <c r="C262" s="29" t="inlineStr">
        <is>
          <t>네패스아크</t>
        </is>
      </c>
      <c r="D262" s="29" t="inlineStr">
        <is>
          <t>330860</t>
        </is>
      </c>
      <c r="E262" s="29" t="inlineStr">
        <is>
          <t>KOSDAQ</t>
        </is>
      </c>
      <c r="F262" s="29" t="inlineStr">
        <is>
          <t>후공정/패키징/테스트</t>
        </is>
      </c>
      <c r="G262" s="29" t="inlineStr">
        <is>
          <t>후공정/패키징/테스트</t>
        </is>
      </c>
      <c r="H262" s="29" t="inlineStr">
        <is>
          <t>False</t>
        </is>
      </c>
      <c r="I262" s="29" t="inlineStr">
        <is>
          <t>True</t>
        </is>
      </c>
      <c r="J262" s="29" t="inlineStr">
        <is>
          <t>OK</t>
        </is>
      </c>
      <c r="K262" s="29" t="inlineStr">
        <is>
          <t>데이터 사용 가능</t>
        </is>
      </c>
      <c r="L262" s="29" t="inlineStr">
        <is>
          <t>LOW</t>
        </is>
      </c>
      <c r="M262" s="29" t="inlineStr">
        <is>
          <t>LOW</t>
        </is>
      </c>
      <c r="N262" s="29" t="inlineStr">
        <is>
          <t>0.4207407407407407</t>
        </is>
      </c>
      <c r="O262" s="29" t="inlineStr">
        <is>
          <t>EXPENSIVE</t>
        </is>
      </c>
      <c r="P262" s="29" t="inlineStr">
        <is>
          <t>EXPENSIVE</t>
        </is>
      </c>
      <c r="Q262" s="29" t="inlineStr">
        <is>
          <t>EXPENSIVE</t>
        </is>
      </c>
      <c r="R262" s="29" t="inlineStr">
        <is>
          <t>0.5804758808286147</t>
        </is>
      </c>
      <c r="S262" s="29" t="inlineStr">
        <is>
          <t>MEDIUM</t>
        </is>
      </c>
      <c r="T262" s="29" t="inlineStr">
        <is>
          <t>MEDIUM</t>
        </is>
      </c>
      <c r="U262" s="29" t="inlineStr">
        <is>
          <t>0.0</t>
        </is>
      </c>
      <c r="V262" s="29" t="inlineStr">
        <is>
          <t>LOW_RISK</t>
        </is>
      </c>
      <c r="W262" s="29" t="inlineStr">
        <is>
          <t>저위험</t>
        </is>
      </c>
      <c r="X262" s="29" t="inlineStr">
        <is>
          <t>LOW_RISK</t>
        </is>
      </c>
      <c r="Y262" s="29" t="inlineStr">
        <is>
          <t>0.7522882908851339</t>
        </is>
      </c>
      <c r="Z262" s="29" t="inlineStr">
        <is>
          <t>HIGH</t>
        </is>
      </c>
      <c r="AA262" s="29" t="inlineStr">
        <is>
          <t>HIGH</t>
        </is>
      </c>
      <c r="AB262" s="29" t="inlineStr">
        <is>
          <t>0.07850484580290398</t>
        </is>
      </c>
      <c r="AC262" s="29" t="inlineStr">
        <is>
          <t>False</t>
        </is>
      </c>
      <c r="AD262" s="29" t="inlineStr">
        <is>
          <t>False</t>
        </is>
      </c>
      <c r="AE262" s="29" t="inlineStr">
        <is>
          <t>valuation_credit_ml_overlay_candidate.csv</t>
        </is>
      </c>
      <c r="AF262" s="29" t="inlineStr">
        <is>
          <t>208개 반도체 reference universe. Valuation Agent가 자체 intake 폴더로 복제해 Peer/ML/대시보드 비교에 사용.</t>
        </is>
      </c>
    </row>
    <row r="263" ht="24" customHeight="1">
      <c r="A263" s="24" t="inlineStr">
        <is>
          <t>164</t>
        </is>
      </c>
      <c r="B263" s="24" t="inlineStr">
        <is>
          <t>해당 없음</t>
        </is>
      </c>
      <c r="C263" s="24" t="inlineStr">
        <is>
          <t>마이크로투나노</t>
        </is>
      </c>
      <c r="D263" s="24" t="inlineStr">
        <is>
          <t>424980</t>
        </is>
      </c>
      <c r="E263" s="24" t="inlineStr">
        <is>
          <t>KOSDAQ</t>
        </is>
      </c>
      <c r="F263" s="24" t="inlineStr">
        <is>
          <t>후공정/패키징/테스트</t>
        </is>
      </c>
      <c r="G263" s="24" t="inlineStr">
        <is>
          <t>후공정/패키징/테스트</t>
        </is>
      </c>
      <c r="H263" s="24" t="inlineStr">
        <is>
          <t>False</t>
        </is>
      </c>
      <c r="I263" s="24" t="inlineStr">
        <is>
          <t>True</t>
        </is>
      </c>
      <c r="J263" s="24" t="inlineStr">
        <is>
          <t>OK_LIMITED_HISTORY_OR_GROWTH_NA</t>
        </is>
      </c>
      <c r="K263" s="24" t="inlineStr">
        <is>
          <t>데이터 사용 가능</t>
        </is>
      </c>
      <c r="L263" s="24" t="inlineStr">
        <is>
          <t>LOW</t>
        </is>
      </c>
      <c r="M263" s="24" t="inlineStr">
        <is>
          <t>LOW</t>
        </is>
      </c>
      <c r="N263" s="24" t="inlineStr">
        <is>
          <t>0.4188148148148148</t>
        </is>
      </c>
      <c r="O263" s="24" t="inlineStr">
        <is>
          <t>EXPENSIVE</t>
        </is>
      </c>
      <c r="P263" s="24" t="inlineStr">
        <is>
          <t>EXPENSIVE</t>
        </is>
      </c>
      <c r="Q263" s="24" t="inlineStr">
        <is>
          <t>EXPENSIVE</t>
        </is>
      </c>
      <c r="R263" s="24" t="inlineStr">
        <is>
          <t>0.8919952418828875</t>
        </is>
      </c>
      <c r="S263" s="24" t="inlineStr">
        <is>
          <t>HIGH</t>
        </is>
      </c>
      <c r="T263" s="24" t="inlineStr">
        <is>
          <t>HIGH</t>
        </is>
      </c>
      <c r="U263" s="24" t="inlineStr">
        <is>
          <t>0.5714285714285714</t>
        </is>
      </c>
      <c r="V263" s="24" t="inlineStr">
        <is>
          <t>HIGH_RISK</t>
        </is>
      </c>
      <c r="W263" s="24" t="inlineStr">
        <is>
          <t>고위험</t>
        </is>
      </c>
      <c r="X263" s="24" t="inlineStr">
        <is>
          <t>HIGH_RISK</t>
        </is>
      </c>
      <c r="Y263" s="24" t="inlineStr">
        <is>
          <t>0.8679140027753699</t>
        </is>
      </c>
      <c r="Z263" s="24" t="inlineStr">
        <is>
          <t>HIGH</t>
        </is>
      </c>
      <c r="AA263" s="24" t="inlineStr">
        <is>
          <t>HIGH</t>
        </is>
      </c>
      <c r="AB263" s="24" t="inlineStr">
        <is>
          <t>0.06592211461176288</t>
        </is>
      </c>
      <c r="AC263" s="24" t="inlineStr">
        <is>
          <t>False</t>
        </is>
      </c>
      <c r="AD263" s="24" t="inlineStr">
        <is>
          <t>True</t>
        </is>
      </c>
      <c r="AE263" s="24" t="inlineStr">
        <is>
          <t>valuation_credit_ml_overlay_candidate.csv</t>
        </is>
      </c>
      <c r="AF263" s="24" t="inlineStr">
        <is>
          <t>208개 반도체 reference universe. Valuation Agent가 자체 intake 폴더로 복제해 Peer/ML/대시보드 비교에 사용.</t>
        </is>
      </c>
    </row>
    <row r="264" ht="24" customHeight="1">
      <c r="A264" s="29" t="inlineStr">
        <is>
          <t>169</t>
        </is>
      </c>
      <c r="B264" s="29" t="inlineStr">
        <is>
          <t>해당 없음</t>
        </is>
      </c>
      <c r="C264" s="29" t="inlineStr">
        <is>
          <t>시그네틱스</t>
        </is>
      </c>
      <c r="D264" s="29" t="inlineStr">
        <is>
          <t>033170</t>
        </is>
      </c>
      <c r="E264" s="29" t="inlineStr">
        <is>
          <t>KOSDAQ</t>
        </is>
      </c>
      <c r="F264" s="29" t="inlineStr">
        <is>
          <t>후공정/패키징/테스트</t>
        </is>
      </c>
      <c r="G264" s="29" t="inlineStr">
        <is>
          <t>후공정/패키징/테스트</t>
        </is>
      </c>
      <c r="H264" s="29" t="inlineStr">
        <is>
          <t>False</t>
        </is>
      </c>
      <c r="I264" s="29" t="inlineStr">
        <is>
          <t>True</t>
        </is>
      </c>
      <c r="J264" s="29" t="inlineStr">
        <is>
          <t>OK</t>
        </is>
      </c>
      <c r="K264" s="29" t="inlineStr">
        <is>
          <t>데이터 사용 가능</t>
        </is>
      </c>
      <c r="L264" s="29" t="inlineStr">
        <is>
          <t>LOW</t>
        </is>
      </c>
      <c r="M264" s="29" t="inlineStr">
        <is>
          <t>LOW</t>
        </is>
      </c>
      <c r="N264" s="29" t="inlineStr">
        <is>
          <t>0.4068148148148148</t>
        </is>
      </c>
      <c r="O264" s="29" t="inlineStr">
        <is>
          <t>EXPENSIVE</t>
        </is>
      </c>
      <c r="P264" s="29" t="inlineStr">
        <is>
          <t>EXPENSIVE</t>
        </is>
      </c>
      <c r="Q264" s="29" t="inlineStr">
        <is>
          <t>EXPENSIVE</t>
        </is>
      </c>
      <c r="R264" s="29" t="inlineStr">
        <is>
          <t>0.6660306558324866</t>
        </is>
      </c>
      <c r="S264" s="29" t="inlineStr">
        <is>
          <t>MEDIUM</t>
        </is>
      </c>
      <c r="T264" s="29" t="inlineStr">
        <is>
          <t>MEDIUM</t>
        </is>
      </c>
      <c r="U264" s="29" t="inlineStr">
        <is>
          <t>0.6428571428571429</t>
        </is>
      </c>
      <c r="V264" s="29" t="inlineStr">
        <is>
          <t>HIGH_RISK</t>
        </is>
      </c>
      <c r="W264" s="29" t="inlineStr">
        <is>
          <t>고위험</t>
        </is>
      </c>
      <c r="X264" s="29" t="inlineStr">
        <is>
          <t>HIGH_RISK</t>
        </is>
      </c>
      <c r="Y264" s="29" t="inlineStr">
        <is>
          <t>0.9103717836414464</t>
        </is>
      </c>
      <c r="Z264" s="29" t="inlineStr">
        <is>
          <t>HIGH</t>
        </is>
      </c>
      <c r="AA264" s="29" t="inlineStr">
        <is>
          <t>HIGH</t>
        </is>
      </c>
      <c r="AB264" s="29" t="inlineStr">
        <is>
          <t>0.09415815096164672</t>
        </is>
      </c>
      <c r="AC264" s="29" t="inlineStr">
        <is>
          <t>False</t>
        </is>
      </c>
      <c r="AD264" s="29" t="inlineStr">
        <is>
          <t>False</t>
        </is>
      </c>
      <c r="AE264" s="29" t="inlineStr">
        <is>
          <t>valuation_credit_ml_overlay_candidate.csv</t>
        </is>
      </c>
      <c r="AF264" s="29" t="inlineStr">
        <is>
          <t>208개 반도체 reference universe. Valuation Agent가 자체 intake 폴더로 복제해 Peer/ML/대시보드 비교에 사용.</t>
        </is>
      </c>
    </row>
    <row r="265" ht="24" customHeight="1">
      <c r="A265" s="24" t="inlineStr">
        <is>
          <t>154</t>
        </is>
      </c>
      <c r="B265" s="24" t="inlineStr">
        <is>
          <t>해당 없음</t>
        </is>
      </c>
      <c r="C265" s="24" t="inlineStr">
        <is>
          <t>고영</t>
        </is>
      </c>
      <c r="D265" s="24" t="inlineStr">
        <is>
          <t>098460</t>
        </is>
      </c>
      <c r="E265" s="24" t="inlineStr">
        <is>
          <t>KOSDAQ</t>
        </is>
      </c>
      <c r="F265" s="24" t="inlineStr">
        <is>
          <t>후공정/패키징/테스트</t>
        </is>
      </c>
      <c r="G265" s="24" t="inlineStr">
        <is>
          <t>후공정/패키징/테스트</t>
        </is>
      </c>
      <c r="H265" s="24" t="inlineStr">
        <is>
          <t>False</t>
        </is>
      </c>
      <c r="I265" s="24" t="inlineStr">
        <is>
          <t>True</t>
        </is>
      </c>
      <c r="J265" s="24" t="inlineStr">
        <is>
          <t>OK</t>
        </is>
      </c>
      <c r="K265" s="24" t="inlineStr">
        <is>
          <t>데이터 사용 가능</t>
        </is>
      </c>
      <c r="L265" s="24" t="inlineStr">
        <is>
          <t>LOW</t>
        </is>
      </c>
      <c r="M265" s="24" t="inlineStr">
        <is>
          <t>LOW</t>
        </is>
      </c>
      <c r="N265" s="24" t="inlineStr">
        <is>
          <t>0.3933333333333333</t>
        </is>
      </c>
      <c r="O265" s="24" t="inlineStr">
        <is>
          <t>EXPENSIVE</t>
        </is>
      </c>
      <c r="P265" s="24" t="inlineStr">
        <is>
          <t>EXPENSIVE</t>
        </is>
      </c>
      <c r="Q265" s="24" t="inlineStr">
        <is>
          <t>EXPENSIVE</t>
        </is>
      </c>
      <c r="R265" s="24" t="inlineStr">
        <is>
          <t>0.4306692416005982</t>
        </is>
      </c>
      <c r="S265" s="24" t="inlineStr">
        <is>
          <t>LOW</t>
        </is>
      </c>
      <c r="T265" s="24" t="inlineStr">
        <is>
          <t>LOW</t>
        </is>
      </c>
      <c r="U265" s="24" t="inlineStr">
        <is>
          <t>0.0714285714285714</t>
        </is>
      </c>
      <c r="V265" s="24" t="inlineStr">
        <is>
          <t>LOW_RISK</t>
        </is>
      </c>
      <c r="W265" s="24" t="inlineStr">
        <is>
          <t>저위험</t>
        </is>
      </c>
      <c r="X265" s="24" t="inlineStr">
        <is>
          <t>LOW_RISK</t>
        </is>
      </c>
      <c r="Y265" s="24" t="inlineStr">
        <is>
          <t>0.9147267479763326</t>
        </is>
      </c>
      <c r="Z265" s="24" t="inlineStr">
        <is>
          <t>HIGH</t>
        </is>
      </c>
      <c r="AA265" s="24" t="inlineStr">
        <is>
          <t>HIGH</t>
        </is>
      </c>
      <c r="AB265" s="24" t="inlineStr">
        <is>
          <t>0.05497222824798623</t>
        </is>
      </c>
      <c r="AC265" s="24" t="inlineStr">
        <is>
          <t>False</t>
        </is>
      </c>
      <c r="AD265" s="24" t="inlineStr">
        <is>
          <t>True</t>
        </is>
      </c>
      <c r="AE265" s="24" t="inlineStr">
        <is>
          <t>valuation_credit_ml_overlay_candidate.csv</t>
        </is>
      </c>
      <c r="AF265" s="24" t="inlineStr">
        <is>
          <t>208개 반도체 reference universe. Valuation Agent가 자체 intake 폴더로 복제해 Peer/ML/대시보드 비교에 사용.</t>
        </is>
      </c>
    </row>
    <row r="266" ht="24" customHeight="1">
      <c r="A266" s="29" t="inlineStr">
        <is>
          <t>178</t>
        </is>
      </c>
      <c r="B266" s="29" t="inlineStr">
        <is>
          <t>해당 없음</t>
        </is>
      </c>
      <c r="C266" s="29" t="inlineStr">
        <is>
          <t>웨이비스</t>
        </is>
      </c>
      <c r="D266" s="29" t="inlineStr">
        <is>
          <t>289930</t>
        </is>
      </c>
      <c r="E266" s="29" t="inlineStr">
        <is>
          <t>KOSDAQ</t>
        </is>
      </c>
      <c r="F266" s="29" t="inlineStr">
        <is>
          <t>후공정/패키징/테스트</t>
        </is>
      </c>
      <c r="G266" s="29" t="inlineStr">
        <is>
          <t>후공정/패키징/테스트</t>
        </is>
      </c>
      <c r="H266" s="29" t="inlineStr">
        <is>
          <t>False</t>
        </is>
      </c>
      <c r="I266" s="29" t="inlineStr">
        <is>
          <t>True</t>
        </is>
      </c>
      <c r="J266" s="29" t="inlineStr">
        <is>
          <t>OK_LIMITED_HISTORY_OR_GROWTH_NA</t>
        </is>
      </c>
      <c r="K266" s="29" t="inlineStr">
        <is>
          <t>데이터 사용 가능</t>
        </is>
      </c>
      <c r="L266" s="29" t="inlineStr">
        <is>
          <t>LOW</t>
        </is>
      </c>
      <c r="M266" s="29" t="inlineStr">
        <is>
          <t>LOW</t>
        </is>
      </c>
      <c r="N266" s="29" t="inlineStr">
        <is>
          <t>0.3765925925925926</t>
        </is>
      </c>
      <c r="O266" s="29" t="inlineStr">
        <is>
          <t>EXPENSIVE</t>
        </is>
      </c>
      <c r="P266" s="29" t="inlineStr">
        <is>
          <t>EXPENSIVE</t>
        </is>
      </c>
      <c r="Q266" s="29" t="inlineStr">
        <is>
          <t>EXPENSIVE</t>
        </is>
      </c>
      <c r="R266" s="29" t="inlineStr">
        <is>
          <t>0.5209890944205295</t>
        </is>
      </c>
      <c r="S266" s="29" t="inlineStr">
        <is>
          <t>MEDIUM</t>
        </is>
      </c>
      <c r="T266" s="29" t="inlineStr">
        <is>
          <t>MEDIUM</t>
        </is>
      </c>
      <c r="U266" s="29" t="inlineStr">
        <is>
          <t>0.1428571428571428</t>
        </is>
      </c>
      <c r="V266" s="29" t="inlineStr">
        <is>
          <t>LOW_RISK</t>
        </is>
      </c>
      <c r="W266" s="29" t="inlineStr">
        <is>
          <t>저위험</t>
        </is>
      </c>
      <c r="X266" s="29" t="inlineStr">
        <is>
          <t>LOW_RISK</t>
        </is>
      </c>
      <c r="Y266" s="29" t="inlineStr">
        <is>
          <t>0.5760026387111382</t>
        </is>
      </c>
      <c r="Z266" s="29" t="inlineStr">
        <is>
          <t>MEDIUM</t>
        </is>
      </c>
      <c r="AA266" s="29" t="inlineStr">
        <is>
          <t>MEDIUM</t>
        </is>
      </c>
      <c r="AB266" s="29" t="inlineStr">
        <is>
          <t>0.04339911179550382</t>
        </is>
      </c>
      <c r="AC266" s="29" t="inlineStr">
        <is>
          <t>False</t>
        </is>
      </c>
      <c r="AD266" s="29" t="inlineStr">
        <is>
          <t>True</t>
        </is>
      </c>
      <c r="AE266" s="29" t="inlineStr">
        <is>
          <t>valuation_credit_ml_overlay_candidate.csv</t>
        </is>
      </c>
      <c r="AF266" s="29" t="inlineStr">
        <is>
          <t>208개 반도체 reference universe. Valuation Agent가 자체 intake 폴더로 복제해 Peer/ML/대시보드 비교에 사용.</t>
        </is>
      </c>
    </row>
    <row r="267" ht="24" customHeight="1">
      <c r="A267" s="24" t="inlineStr">
        <is>
          <t>153</t>
        </is>
      </c>
      <c r="B267" s="24" t="inlineStr">
        <is>
          <t>해당 없음</t>
        </is>
      </c>
      <c r="C267" s="24" t="inlineStr">
        <is>
          <t>SFA반도체</t>
        </is>
      </c>
      <c r="D267" s="24" t="inlineStr">
        <is>
          <t>036540</t>
        </is>
      </c>
      <c r="E267" s="24" t="inlineStr">
        <is>
          <t>KOSDAQ</t>
        </is>
      </c>
      <c r="F267" s="24" t="inlineStr">
        <is>
          <t>후공정/패키징/테스트</t>
        </is>
      </c>
      <c r="G267" s="24" t="inlineStr">
        <is>
          <t>후공정/패키징/테스트</t>
        </is>
      </c>
      <c r="H267" s="24" t="inlineStr">
        <is>
          <t>False</t>
        </is>
      </c>
      <c r="I267" s="24" t="inlineStr">
        <is>
          <t>True</t>
        </is>
      </c>
      <c r="J267" s="24" t="inlineStr">
        <is>
          <t>OK</t>
        </is>
      </c>
      <c r="K267" s="24" t="inlineStr">
        <is>
          <t>데이터 사용 가능</t>
        </is>
      </c>
      <c r="L267" s="24" t="inlineStr">
        <is>
          <t>LOW</t>
        </is>
      </c>
      <c r="M267" s="24" t="inlineStr">
        <is>
          <t>LOW</t>
        </is>
      </c>
      <c r="N267" s="24" t="inlineStr">
        <is>
          <t>0.3725925925925926</t>
        </is>
      </c>
      <c r="O267" s="24" t="inlineStr">
        <is>
          <t>EXPENSIVE</t>
        </is>
      </c>
      <c r="P267" s="24" t="inlineStr">
        <is>
          <t>EXPENSIVE</t>
        </is>
      </c>
      <c r="Q267" s="24" t="inlineStr">
        <is>
          <t>EXPENSIVE</t>
        </is>
      </c>
      <c r="R267" s="24" t="inlineStr">
        <is>
          <t>0.7912156659089058</t>
        </is>
      </c>
      <c r="S267" s="24" t="inlineStr">
        <is>
          <t>HIGH</t>
        </is>
      </c>
      <c r="T267" s="24" t="inlineStr">
        <is>
          <t>HIGH</t>
        </is>
      </c>
      <c r="U267" s="24" t="inlineStr">
        <is>
          <t>0.2857142857142857</t>
        </is>
      </c>
      <c r="V267" s="24" t="inlineStr">
        <is>
          <t>MEDIUM_RISK</t>
        </is>
      </c>
      <c r="W267" s="24" t="inlineStr">
        <is>
          <t>중위험</t>
        </is>
      </c>
      <c r="X267" s="24" t="inlineStr">
        <is>
          <t>MEDIUM_RISK</t>
        </is>
      </c>
      <c r="Y267" s="24" t="inlineStr">
        <is>
          <t>0.6035260416354965</t>
        </is>
      </c>
      <c r="Z267" s="24" t="inlineStr">
        <is>
          <t>MEDIUM</t>
        </is>
      </c>
      <c r="AA267" s="24" t="inlineStr">
        <is>
          <t>MEDIUM</t>
        </is>
      </c>
      <c r="AB267" s="24" t="inlineStr">
        <is>
          <t>0.060421941503641885</t>
        </is>
      </c>
      <c r="AC267" s="24" t="inlineStr">
        <is>
          <t>False</t>
        </is>
      </c>
      <c r="AD267" s="24" t="inlineStr">
        <is>
          <t>False</t>
        </is>
      </c>
      <c r="AE267" s="24" t="inlineStr">
        <is>
          <t>valuation_credit_ml_overlay_candidate.csv</t>
        </is>
      </c>
      <c r="AF267" s="24" t="inlineStr">
        <is>
          <t>208개 반도체 reference universe. Valuation Agent가 자체 intake 폴더로 복제해 Peer/ML/대시보드 비교에 사용.</t>
        </is>
      </c>
    </row>
    <row r="268" ht="24" customHeight="1">
      <c r="A268" s="29" t="inlineStr">
        <is>
          <t>181</t>
        </is>
      </c>
      <c r="B268" s="29" t="inlineStr">
        <is>
          <t>해당 없음</t>
        </is>
      </c>
      <c r="C268" s="29" t="inlineStr">
        <is>
          <t>인텍플러스</t>
        </is>
      </c>
      <c r="D268" s="29" t="inlineStr">
        <is>
          <t>064290</t>
        </is>
      </c>
      <c r="E268" s="29" t="inlineStr">
        <is>
          <t>KOSDAQ</t>
        </is>
      </c>
      <c r="F268" s="29" t="inlineStr">
        <is>
          <t>후공정/패키징/테스트</t>
        </is>
      </c>
      <c r="G268" s="29" t="inlineStr">
        <is>
          <t>후공정/패키징/테스트</t>
        </is>
      </c>
      <c r="H268" s="29" t="inlineStr">
        <is>
          <t>False</t>
        </is>
      </c>
      <c r="I268" s="29" t="inlineStr">
        <is>
          <t>True</t>
        </is>
      </c>
      <c r="J268" s="29" t="inlineStr">
        <is>
          <t>OK</t>
        </is>
      </c>
      <c r="K268" s="29" t="inlineStr">
        <is>
          <t>데이터 사용 가능</t>
        </is>
      </c>
      <c r="L268" s="29" t="inlineStr">
        <is>
          <t>LOW</t>
        </is>
      </c>
      <c r="M268" s="29" t="inlineStr">
        <is>
          <t>LOW</t>
        </is>
      </c>
      <c r="N268" s="29" t="inlineStr">
        <is>
          <t>0.3431111111111111</t>
        </is>
      </c>
      <c r="O268" s="29" t="inlineStr">
        <is>
          <t>EXPENSIVE</t>
        </is>
      </c>
      <c r="P268" s="29" t="inlineStr">
        <is>
          <t>EXPENSIVE</t>
        </is>
      </c>
      <c r="Q268" s="29" t="inlineStr">
        <is>
          <t>EXPENSIVE</t>
        </is>
      </c>
      <c r="R268" s="29" t="inlineStr">
        <is>
          <t>0.7612288958400996</t>
        </is>
      </c>
      <c r="S268" s="29" t="inlineStr">
        <is>
          <t>HIGH</t>
        </is>
      </c>
      <c r="T268" s="29" t="inlineStr">
        <is>
          <t>HIGH</t>
        </is>
      </c>
      <c r="U268" s="29" t="inlineStr">
        <is>
          <t>0.4285714285714285</t>
        </is>
      </c>
      <c r="V268" s="29" t="inlineStr">
        <is>
          <t>HIGH_RISK</t>
        </is>
      </c>
      <c r="W268" s="29" t="inlineStr">
        <is>
          <t>고위험</t>
        </is>
      </c>
      <c r="X268" s="29" t="inlineStr">
        <is>
          <t>MEDIUM_RISK</t>
        </is>
      </c>
      <c r="Y268" s="29" t="inlineStr">
        <is>
          <t>0.5782298550270377</t>
        </is>
      </c>
      <c r="Z268" s="29" t="inlineStr">
        <is>
          <t>MEDIUM</t>
        </is>
      </c>
      <c r="AA268" s="29" t="inlineStr">
        <is>
          <t>MEDIUM</t>
        </is>
      </c>
      <c r="AB268" s="29" t="inlineStr">
        <is>
          <t>0.054796756066406084</t>
        </is>
      </c>
      <c r="AC268" s="29" t="inlineStr">
        <is>
          <t>False</t>
        </is>
      </c>
      <c r="AD268" s="29" t="inlineStr">
        <is>
          <t>False</t>
        </is>
      </c>
      <c r="AE268" s="29" t="inlineStr">
        <is>
          <t>valuation_credit_ml_overlay_candidate.csv</t>
        </is>
      </c>
      <c r="AF268" s="29" t="inlineStr">
        <is>
          <t>208개 반도체 reference universe. Valuation Agent가 자체 intake 폴더로 복제해 Peer/ML/대시보드 비교에 사용.</t>
        </is>
      </c>
    </row>
    <row r="269" ht="24" customHeight="1">
      <c r="A269" s="24" t="inlineStr">
        <is>
          <t>193</t>
        </is>
      </c>
      <c r="B269" s="24" t="inlineStr">
        <is>
          <t>해당 없음</t>
        </is>
      </c>
      <c r="C269" s="24" t="inlineStr">
        <is>
          <t>한울반도체</t>
        </is>
      </c>
      <c r="D269" s="24" t="inlineStr">
        <is>
          <t>320000</t>
        </is>
      </c>
      <c r="E269" s="24" t="inlineStr">
        <is>
          <t>KOSDAQ</t>
        </is>
      </c>
      <c r="F269" s="24" t="inlineStr">
        <is>
          <t>후공정/패키징/테스트</t>
        </is>
      </c>
      <c r="G269" s="24" t="inlineStr">
        <is>
          <t>후공정/패키징/테스트</t>
        </is>
      </c>
      <c r="H269" s="24" t="inlineStr">
        <is>
          <t>False</t>
        </is>
      </c>
      <c r="I269" s="24" t="inlineStr">
        <is>
          <t>True</t>
        </is>
      </c>
      <c r="J269" s="24" t="inlineStr">
        <is>
          <t>OK</t>
        </is>
      </c>
      <c r="K269" s="24" t="inlineStr">
        <is>
          <t>데이터 사용 가능</t>
        </is>
      </c>
      <c r="L269" s="24" t="inlineStr">
        <is>
          <t>LOW</t>
        </is>
      </c>
      <c r="M269" s="24" t="inlineStr">
        <is>
          <t>LOW</t>
        </is>
      </c>
      <c r="N269" s="24" t="inlineStr">
        <is>
          <t>0.3376296296296296</t>
        </is>
      </c>
      <c r="O269" s="24" t="inlineStr">
        <is>
          <t>EXPENSIVE</t>
        </is>
      </c>
      <c r="P269" s="24" t="inlineStr">
        <is>
          <t>EXPENSIVE</t>
        </is>
      </c>
      <c r="Q269" s="24" t="inlineStr">
        <is>
          <t>EXPENSIVE</t>
        </is>
      </c>
      <c r="R269" s="24" t="inlineStr">
        <is>
          <t>0.7769228627558715</t>
        </is>
      </c>
      <c r="S269" s="24" t="inlineStr">
        <is>
          <t>HIGH</t>
        </is>
      </c>
      <c r="T269" s="24" t="inlineStr">
        <is>
          <t>HIGH</t>
        </is>
      </c>
      <c r="U269" s="24" t="inlineStr">
        <is>
          <t>0.7142857142857143</t>
        </is>
      </c>
      <c r="V269" s="24" t="inlineStr">
        <is>
          <t>HIGH_RISK</t>
        </is>
      </c>
      <c r="W269" s="24" t="inlineStr">
        <is>
          <t>고위험</t>
        </is>
      </c>
      <c r="X269" s="24" t="inlineStr">
        <is>
          <t>HIGH_RISK</t>
        </is>
      </c>
      <c r="Y269" s="24" t="inlineStr">
        <is>
          <t>0.9268996528836525</t>
        </is>
      </c>
      <c r="Z269" s="24" t="inlineStr">
        <is>
          <t>HIGH</t>
        </is>
      </c>
      <c r="AA269" s="24" t="inlineStr">
        <is>
          <t>HIGH</t>
        </is>
      </c>
      <c r="AB269" s="24" t="inlineStr">
        <is>
          <t>0.3732718821533064</t>
        </is>
      </c>
      <c r="AC269" s="24" t="inlineStr">
        <is>
          <t>True</t>
        </is>
      </c>
      <c r="AD269" s="24" t="inlineStr">
        <is>
          <t>True</t>
        </is>
      </c>
      <c r="AE269" s="24" t="inlineStr">
        <is>
          <t>valuation_credit_ml_overlay_candidate.csv</t>
        </is>
      </c>
      <c r="AF269" s="24" t="inlineStr">
        <is>
          <t>208개 반도체 reference universe. Valuation Agent가 자체 intake 폴더로 복제해 Peer/ML/대시보드 비교에 사용.</t>
        </is>
      </c>
    </row>
    <row r="270" ht="24" customHeight="1">
      <c r="A270" s="29" t="inlineStr">
        <is>
          <t>180</t>
        </is>
      </c>
      <c r="B270" s="29" t="inlineStr">
        <is>
          <t>해당 없음</t>
        </is>
      </c>
      <c r="C270" s="29" t="inlineStr">
        <is>
          <t>유니테스트</t>
        </is>
      </c>
      <c r="D270" s="29" t="inlineStr">
        <is>
          <t>086390</t>
        </is>
      </c>
      <c r="E270" s="29" t="inlineStr">
        <is>
          <t>KOSDAQ</t>
        </is>
      </c>
      <c r="F270" s="29" t="inlineStr">
        <is>
          <t>후공정/패키징/테스트</t>
        </is>
      </c>
      <c r="G270" s="29" t="inlineStr">
        <is>
          <t>후공정/패키징/테스트</t>
        </is>
      </c>
      <c r="H270" s="29" t="inlineStr">
        <is>
          <t>False</t>
        </is>
      </c>
      <c r="I270" s="29" t="inlineStr">
        <is>
          <t>True</t>
        </is>
      </c>
      <c r="J270" s="29" t="inlineStr">
        <is>
          <t>OK</t>
        </is>
      </c>
      <c r="K270" s="29" t="inlineStr">
        <is>
          <t>데이터 사용 가능</t>
        </is>
      </c>
      <c r="L270" s="29" t="inlineStr">
        <is>
          <t>LOW</t>
        </is>
      </c>
      <c r="M270" s="29" t="inlineStr">
        <is>
          <t>LOW</t>
        </is>
      </c>
      <c r="N270" s="29" t="inlineStr">
        <is>
          <t>0.3371851851851852</t>
        </is>
      </c>
      <c r="O270" s="29" t="inlineStr">
        <is>
          <t>EXPENSIVE</t>
        </is>
      </c>
      <c r="P270" s="29" t="inlineStr">
        <is>
          <t>EXPENSIVE</t>
        </is>
      </c>
      <c r="Q270" s="29" t="inlineStr">
        <is>
          <t>EXPENSIVE</t>
        </is>
      </c>
      <c r="R270" s="29" t="inlineStr">
        <is>
          <t>0.9109345080202441</t>
        </is>
      </c>
      <c r="S270" s="29" t="inlineStr">
        <is>
          <t>HIGH</t>
        </is>
      </c>
      <c r="T270" s="29" t="inlineStr">
        <is>
          <t>HIGH</t>
        </is>
      </c>
      <c r="U270" s="29" t="inlineStr">
        <is>
          <t>0.5714285714285714</t>
        </is>
      </c>
      <c r="V270" s="29" t="inlineStr">
        <is>
          <t>HIGH_RISK</t>
        </is>
      </c>
      <c r="W270" s="29" t="inlineStr">
        <is>
          <t>고위험</t>
        </is>
      </c>
      <c r="X270" s="29" t="inlineStr">
        <is>
          <t>HIGH_RISK</t>
        </is>
      </c>
      <c r="Y270" s="29" t="inlineStr">
        <is>
          <t>0.9310666121801914</t>
        </is>
      </c>
      <c r="Z270" s="29" t="inlineStr">
        <is>
          <t>HIGH</t>
        </is>
      </c>
      <c r="AA270" s="29" t="inlineStr">
        <is>
          <t>HIGH</t>
        </is>
      </c>
      <c r="AB270" s="29" t="inlineStr">
        <is>
          <t>0.07777762014388422</t>
        </is>
      </c>
      <c r="AC270" s="29" t="inlineStr">
        <is>
          <t>False</t>
        </is>
      </c>
      <c r="AD270" s="29" t="inlineStr">
        <is>
          <t>False</t>
        </is>
      </c>
      <c r="AE270" s="29" t="inlineStr">
        <is>
          <t>valuation_credit_ml_overlay_candidate.csv</t>
        </is>
      </c>
      <c r="AF270" s="29" t="inlineStr">
        <is>
          <t>208개 반도체 reference universe. Valuation Agent가 자체 intake 폴더로 복제해 Peer/ML/대시보드 비교에 사용.</t>
        </is>
      </c>
    </row>
    <row r="271" ht="24" customHeight="1">
      <c r="A271" s="24" t="inlineStr">
        <is>
          <t>159</t>
        </is>
      </c>
      <c r="B271" s="24" t="inlineStr">
        <is>
          <t>해당 없음</t>
        </is>
      </c>
      <c r="C271" s="24" t="inlineStr">
        <is>
          <t>두산테스나</t>
        </is>
      </c>
      <c r="D271" s="24" t="inlineStr">
        <is>
          <t>131970</t>
        </is>
      </c>
      <c r="E271" s="24" t="inlineStr">
        <is>
          <t>KOSDAQ GLOBAL</t>
        </is>
      </c>
      <c r="F271" s="24" t="inlineStr">
        <is>
          <t>후공정/패키징/테스트</t>
        </is>
      </c>
      <c r="G271" s="24" t="inlineStr">
        <is>
          <t>후공정/패키징/테스트</t>
        </is>
      </c>
      <c r="H271" s="24" t="inlineStr">
        <is>
          <t>False</t>
        </is>
      </c>
      <c r="I271" s="24" t="inlineStr">
        <is>
          <t>True</t>
        </is>
      </c>
      <c r="J271" s="24" t="inlineStr">
        <is>
          <t>OK</t>
        </is>
      </c>
      <c r="K271" s="24" t="inlineStr">
        <is>
          <t>데이터 사용 가능</t>
        </is>
      </c>
      <c r="L271" s="24" t="inlineStr">
        <is>
          <t>LOW</t>
        </is>
      </c>
      <c r="M271" s="24" t="inlineStr">
        <is>
          <t>LOW</t>
        </is>
      </c>
      <c r="N271" s="24" t="inlineStr">
        <is>
          <t>0.3217037037037037</t>
        </is>
      </c>
      <c r="O271" s="24" t="inlineStr">
        <is>
          <t>EXPENSIVE</t>
        </is>
      </c>
      <c r="P271" s="24" t="inlineStr">
        <is>
          <t>EXPENSIVE</t>
        </is>
      </c>
      <c r="Q271" s="24" t="inlineStr">
        <is>
          <t>EXPENSIVE</t>
        </is>
      </c>
      <c r="R271" s="24" t="inlineStr">
        <is>
          <t>0.5774876642912814</t>
        </is>
      </c>
      <c r="S271" s="24" t="inlineStr">
        <is>
          <t>MEDIUM</t>
        </is>
      </c>
      <c r="T271" s="24" t="inlineStr">
        <is>
          <t>MEDIUM</t>
        </is>
      </c>
      <c r="U271" s="24" t="inlineStr">
        <is>
          <t>0.1428571428571428</t>
        </is>
      </c>
      <c r="V271" s="24" t="inlineStr">
        <is>
          <t>LOW_RISK</t>
        </is>
      </c>
      <c r="W271" s="24" t="inlineStr">
        <is>
          <t>저위험</t>
        </is>
      </c>
      <c r="X271" s="24" t="inlineStr">
        <is>
          <t>LOW_RISK</t>
        </is>
      </c>
      <c r="Y271" s="24" t="inlineStr">
        <is>
          <t>0.5730698742411416</t>
        </is>
      </c>
      <c r="Z271" s="24" t="inlineStr">
        <is>
          <t>MEDIUM</t>
        </is>
      </c>
      <c r="AA271" s="24" t="inlineStr">
        <is>
          <t>MEDIUM</t>
        </is>
      </c>
      <c r="AB271" s="24" t="inlineStr">
        <is>
          <t>0.11339298523731103</t>
        </is>
      </c>
      <c r="AC271" s="24" t="inlineStr">
        <is>
          <t>False</t>
        </is>
      </c>
      <c r="AD271" s="24" t="inlineStr">
        <is>
          <t>False</t>
        </is>
      </c>
      <c r="AE271" s="24" t="inlineStr">
        <is>
          <t>valuation_credit_ml_overlay_candidate.csv</t>
        </is>
      </c>
      <c r="AF271" s="24" t="inlineStr">
        <is>
          <t>208개 반도체 reference universe. Valuation Agent가 자체 intake 폴더로 복제해 Peer/ML/대시보드 비교에 사용.</t>
        </is>
      </c>
    </row>
    <row r="272" ht="24" customHeight="1">
      <c r="A272" s="29" t="inlineStr">
        <is>
          <t>156</t>
        </is>
      </c>
      <c r="B272" s="29" t="inlineStr">
        <is>
          <t>해당 없음</t>
        </is>
      </c>
      <c r="C272" s="29" t="inlineStr">
        <is>
          <t>네오셈</t>
        </is>
      </c>
      <c r="D272" s="29" t="inlineStr">
        <is>
          <t>253590</t>
        </is>
      </c>
      <c r="E272" s="29" t="inlineStr">
        <is>
          <t>KOSDAQ</t>
        </is>
      </c>
      <c r="F272" s="29" t="inlineStr">
        <is>
          <t>후공정/패키징/테스트</t>
        </is>
      </c>
      <c r="G272" s="29" t="inlineStr">
        <is>
          <t>후공정/패키징/테스트</t>
        </is>
      </c>
      <c r="H272" s="29" t="inlineStr">
        <is>
          <t>False</t>
        </is>
      </c>
      <c r="I272" s="29" t="inlineStr">
        <is>
          <t>True</t>
        </is>
      </c>
      <c r="J272" s="29" t="inlineStr">
        <is>
          <t>OK</t>
        </is>
      </c>
      <c r="K272" s="29" t="inlineStr">
        <is>
          <t>데이터 사용 가능</t>
        </is>
      </c>
      <c r="L272" s="29" t="inlineStr">
        <is>
          <t>LOW</t>
        </is>
      </c>
      <c r="M272" s="29" t="inlineStr">
        <is>
          <t>LOW</t>
        </is>
      </c>
      <c r="N272" s="29" t="inlineStr">
        <is>
          <t>0.3059259259259259</t>
        </is>
      </c>
      <c r="O272" s="29" t="inlineStr">
        <is>
          <t>EXPENSIVE</t>
        </is>
      </c>
      <c r="P272" s="29" t="inlineStr">
        <is>
          <t>EXPENSIVE</t>
        </is>
      </c>
      <c r="Q272" s="29" t="inlineStr">
        <is>
          <t>EXPENSIVE</t>
        </is>
      </c>
      <c r="R272" s="29" t="inlineStr">
        <is>
          <t>0.7695353673338539</t>
        </is>
      </c>
      <c r="S272" s="29" t="inlineStr">
        <is>
          <t>HIGH</t>
        </is>
      </c>
      <c r="T272" s="29" t="inlineStr">
        <is>
          <t>HIGH</t>
        </is>
      </c>
      <c r="U272" s="29" t="inlineStr">
        <is>
          <t>0.0714285714285714</t>
        </is>
      </c>
      <c r="V272" s="29" t="inlineStr">
        <is>
          <t>LOW_RISK</t>
        </is>
      </c>
      <c r="W272" s="29" t="inlineStr">
        <is>
          <t>저위험</t>
        </is>
      </c>
      <c r="X272" s="29" t="inlineStr">
        <is>
          <t>LOW_RISK</t>
        </is>
      </c>
      <c r="Y272" s="29" t="inlineStr">
        <is>
          <t>0.7735591671201707</t>
        </is>
      </c>
      <c r="Z272" s="29" t="inlineStr">
        <is>
          <t>HIGH</t>
        </is>
      </c>
      <c r="AA272" s="29" t="inlineStr">
        <is>
          <t>HIGH</t>
        </is>
      </c>
      <c r="AB272" s="29" t="inlineStr">
        <is>
          <t>0.06887713556186657</t>
        </is>
      </c>
      <c r="AC272" s="29" t="inlineStr">
        <is>
          <t>False</t>
        </is>
      </c>
      <c r="AD272" s="29" t="inlineStr">
        <is>
          <t>False</t>
        </is>
      </c>
      <c r="AE272" s="29" t="inlineStr">
        <is>
          <t>valuation_credit_ml_overlay_candidate.csv</t>
        </is>
      </c>
      <c r="AF272" s="29" t="inlineStr">
        <is>
          <t>208개 반도체 reference universe. Valuation Agent가 자체 intake 폴더로 복제해 Peer/ML/대시보드 비교에 사용.</t>
        </is>
      </c>
    </row>
    <row r="273" ht="24" customHeight="1">
      <c r="A273" s="24" t="inlineStr">
        <is>
          <t>190</t>
        </is>
      </c>
      <c r="B273" s="24" t="inlineStr">
        <is>
          <t>해당 없음</t>
        </is>
      </c>
      <c r="C273" s="24" t="inlineStr">
        <is>
          <t>피엠티</t>
        </is>
      </c>
      <c r="D273" s="24" t="inlineStr">
        <is>
          <t>147760</t>
        </is>
      </c>
      <c r="E273" s="24" t="inlineStr">
        <is>
          <t>KOSDAQ</t>
        </is>
      </c>
      <c r="F273" s="24" t="inlineStr">
        <is>
          <t>후공정/패키징/테스트</t>
        </is>
      </c>
      <c r="G273" s="24" t="inlineStr">
        <is>
          <t>후공정/패키징/테스트</t>
        </is>
      </c>
      <c r="H273" s="24" t="inlineStr">
        <is>
          <t>False</t>
        </is>
      </c>
      <c r="I273" s="24" t="inlineStr">
        <is>
          <t>True</t>
        </is>
      </c>
      <c r="J273" s="24" t="inlineStr">
        <is>
          <t>OK</t>
        </is>
      </c>
      <c r="K273" s="24" t="inlineStr">
        <is>
          <t>데이터 사용 가능</t>
        </is>
      </c>
      <c r="L273" s="24" t="inlineStr">
        <is>
          <t>LOW</t>
        </is>
      </c>
      <c r="M273" s="24" t="inlineStr">
        <is>
          <t>LOW</t>
        </is>
      </c>
      <c r="N273" s="24" t="inlineStr">
        <is>
          <t>0.2471111111111111</t>
        </is>
      </c>
      <c r="O273" s="24" t="inlineStr">
        <is>
          <t>EXPENSIVE</t>
        </is>
      </c>
      <c r="P273" s="24" t="inlineStr">
        <is>
          <t>EXPENSIVE</t>
        </is>
      </c>
      <c r="Q273" s="24" t="inlineStr">
        <is>
          <t>EXPENSIVE</t>
        </is>
      </c>
      <c r="R273" s="24" t="inlineStr">
        <is>
          <t>0.952821790032095</t>
        </is>
      </c>
      <c r="S273" s="24" t="inlineStr">
        <is>
          <t>HIGH</t>
        </is>
      </c>
      <c r="T273" s="24" t="inlineStr">
        <is>
          <t>HIGH</t>
        </is>
      </c>
      <c r="U273" s="24" t="inlineStr">
        <is>
          <t>0.7857142857142857</t>
        </is>
      </c>
      <c r="V273" s="24" t="inlineStr">
        <is>
          <t>HIGH_RISK</t>
        </is>
      </c>
      <c r="W273" s="24" t="inlineStr">
        <is>
          <t>고위험</t>
        </is>
      </c>
      <c r="X273" s="24" t="inlineStr">
        <is>
          <t>HIGH_RISK</t>
        </is>
      </c>
      <c r="Y273" s="24" t="inlineStr">
        <is>
          <t>0.9374258948385606</t>
        </is>
      </c>
      <c r="Z273" s="24" t="inlineStr">
        <is>
          <t>HIGH</t>
        </is>
      </c>
      <c r="AA273" s="24" t="inlineStr">
        <is>
          <t>HIGH</t>
        </is>
      </c>
      <c r="AB273" s="24" t="inlineStr">
        <is>
          <t>0.45054632167168013</t>
        </is>
      </c>
      <c r="AC273" s="24" t="inlineStr">
        <is>
          <t>True</t>
        </is>
      </c>
      <c r="AD273" s="24" t="inlineStr">
        <is>
          <t>True</t>
        </is>
      </c>
      <c r="AE273" s="24" t="inlineStr">
        <is>
          <t>valuation_credit_ml_overlay_candidate.csv</t>
        </is>
      </c>
      <c r="AF273" s="24" t="inlineStr">
        <is>
          <t>208개 반도체 reference universe. Valuation Agent가 자체 intake 폴더로 복제해 Peer/ML/대시보드 비교에 사용.</t>
        </is>
      </c>
    </row>
    <row r="274" ht="24" customHeight="1">
      <c r="A274" s="29" t="inlineStr">
        <is>
          <t>186</t>
        </is>
      </c>
      <c r="B274" s="29" t="inlineStr">
        <is>
          <t>해당 없음</t>
        </is>
      </c>
      <c r="C274" s="29" t="inlineStr">
        <is>
          <t>테크윙</t>
        </is>
      </c>
      <c r="D274" s="29" t="inlineStr">
        <is>
          <t>089030</t>
        </is>
      </c>
      <c r="E274" s="29" t="inlineStr">
        <is>
          <t>KOSDAQ</t>
        </is>
      </c>
      <c r="F274" s="29" t="inlineStr">
        <is>
          <t>후공정/패키징/테스트</t>
        </is>
      </c>
      <c r="G274" s="29" t="inlineStr">
        <is>
          <t>후공정/패키징/테스트</t>
        </is>
      </c>
      <c r="H274" s="29" t="inlineStr">
        <is>
          <t>False</t>
        </is>
      </c>
      <c r="I274" s="29" t="inlineStr">
        <is>
          <t>True</t>
        </is>
      </c>
      <c r="J274" s="29" t="inlineStr">
        <is>
          <t>OK</t>
        </is>
      </c>
      <c r="K274" s="29" t="inlineStr">
        <is>
          <t>데이터 사용 가능</t>
        </is>
      </c>
      <c r="L274" s="29" t="inlineStr">
        <is>
          <t>LOW</t>
        </is>
      </c>
      <c r="M274" s="29" t="inlineStr">
        <is>
          <t>LOW</t>
        </is>
      </c>
      <c r="N274" s="29" t="inlineStr">
        <is>
          <t>0.2205925925925926</t>
        </is>
      </c>
      <c r="O274" s="29" t="inlineStr">
        <is>
          <t>EXPENSIVE</t>
        </is>
      </c>
      <c r="P274" s="29" t="inlineStr">
        <is>
          <t>EXPENSIVE</t>
        </is>
      </c>
      <c r="Q274" s="29" t="inlineStr">
        <is>
          <t>EXPENSIVE</t>
        </is>
      </c>
      <c r="R274" s="29" t="inlineStr">
        <is>
          <t>0.7946423848576873</t>
        </is>
      </c>
      <c r="S274" s="29" t="inlineStr">
        <is>
          <t>HIGH</t>
        </is>
      </c>
      <c r="T274" s="29" t="inlineStr">
        <is>
          <t>HIGH</t>
        </is>
      </c>
      <c r="U274" s="29" t="inlineStr">
        <is>
          <t>0.5714285714285714</t>
        </is>
      </c>
      <c r="V274" s="29" t="inlineStr">
        <is>
          <t>HIGH_RISK</t>
        </is>
      </c>
      <c r="W274" s="29" t="inlineStr">
        <is>
          <t>고위험</t>
        </is>
      </c>
      <c r="X274" s="29" t="inlineStr">
        <is>
          <t>MEDIUM_RISK</t>
        </is>
      </c>
      <c r="Y274" s="29" t="inlineStr">
        <is>
          <t>0.4396420822644243</t>
        </is>
      </c>
      <c r="Z274" s="29" t="inlineStr">
        <is>
          <t>LOW</t>
        </is>
      </c>
      <c r="AA274" s="29" t="inlineStr">
        <is>
          <t>LOW</t>
        </is>
      </c>
      <c r="AB274" s="29" t="inlineStr">
        <is>
          <t>0.13035438491081522</t>
        </is>
      </c>
      <c r="AC274" s="29" t="inlineStr">
        <is>
          <t>False</t>
        </is>
      </c>
      <c r="AD274" s="29" t="inlineStr">
        <is>
          <t>True</t>
        </is>
      </c>
      <c r="AE274" s="29" t="inlineStr">
        <is>
          <t>valuation_credit_ml_overlay_candidate.csv</t>
        </is>
      </c>
      <c r="AF274" s="29" t="inlineStr">
        <is>
          <t>208개 반도체 reference universe. Valuation Agent가 자체 intake 폴더로 복제해 Peer/ML/대시보드 비교에 사용.</t>
        </is>
      </c>
    </row>
  </sheetData>
  <autoFilter ref="A66:AF274"/>
  <mergeCells count="5">
    <mergeCell ref="A2:L2"/>
    <mergeCell ref="A1:L1"/>
    <mergeCell ref="A4:F4"/>
    <mergeCell ref="A21:F21"/>
    <mergeCell ref="A65:F65"/>
  </mergeCells>
  <pageMargins left="0.75" right="0.75" top="1" bottom="1" header="0.5" footer="0.5"/>
  <pageSetup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36" customWidth="1" min="2" max="2"/>
    <col width="17" customWidth="1" min="3" max="3"/>
    <col width="36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덕산테코피아 가치평가 브릿지</t>
        </is>
      </c>
    </row>
    <row r="2" ht="28" customHeight="1">
      <c r="A2" s="17" t="inlineStr">
        <is>
          <t>DCF · Peer P/S · 208개 Universe · 품질 ML · 유동성/리스크를 하나의 보조 점수로 연결</t>
        </is>
      </c>
    </row>
    <row r="3" ht="24" customHeight="1"/>
    <row r="4" ht="24" customHeight="1">
      <c r="A4" s="18" t="inlineStr">
        <is>
          <t>종합 점수</t>
        </is>
      </c>
      <c r="B4" s="19" t="n"/>
      <c r="C4" s="18" t="inlineStr">
        <is>
          <t>DCF 괴리율</t>
        </is>
      </c>
      <c r="D4" s="19" t="n"/>
      <c r="E4" s="18" t="inlineStr">
        <is>
          <t>P/S</t>
        </is>
      </c>
      <c r="F4" s="19" t="n"/>
      <c r="G4" s="18" t="inlineStr">
        <is>
          <t>Peer P/S 중앙값</t>
        </is>
      </c>
      <c r="H4" s="19" t="n"/>
      <c r="I4" s="18" t="inlineStr">
        <is>
          <t>208개 Universe</t>
        </is>
      </c>
      <c r="J4" s="19" t="n"/>
    </row>
    <row r="5" ht="24" customHeight="1">
      <c r="A5" s="20" t="inlineStr">
        <is>
          <t>24.6/100</t>
        </is>
      </c>
      <c r="B5" s="19" t="n"/>
      <c r="C5" s="20" t="inlineStr">
        <is>
          <t>-298.1%</t>
        </is>
      </c>
      <c r="D5" s="19" t="n"/>
      <c r="E5" s="20" t="inlineStr">
        <is>
          <t>3.68배</t>
        </is>
      </c>
      <c r="F5" s="19" t="n"/>
      <c r="G5" s="20" t="inlineStr">
        <is>
          <t>3.50배</t>
        </is>
      </c>
      <c r="H5" s="19" t="n"/>
      <c r="I5" s="20" t="inlineStr">
        <is>
          <t>208개</t>
        </is>
      </c>
      <c r="J5" s="19" t="n"/>
    </row>
    <row r="6" ht="24" customHeight="1">
      <c r="A6" s="21" t="inlineStr">
        <is>
          <t>밸류에이션 부담</t>
        </is>
      </c>
      <c r="B6" s="19" t="n"/>
      <c r="C6" s="21" t="inlineStr">
        <is>
          <t>내재주가/현재가-1</t>
        </is>
      </c>
      <c r="D6" s="19" t="n"/>
      <c r="E6" s="21" t="inlineStr">
        <is>
          <t>피어 중앙값 부근: 상대가치 중립</t>
        </is>
      </c>
      <c r="F6" s="19" t="n"/>
      <c r="G6" s="21" t="inlineStr">
        <is>
          <t>live peer 기준</t>
        </is>
      </c>
      <c r="H6" s="19" t="n"/>
      <c r="I6" s="21" t="inlineStr">
        <is>
          <t>소재</t>
        </is>
      </c>
      <c r="J6" s="19" t="n"/>
    </row>
    <row r="7" ht="24" customHeight="1"/>
    <row r="8" ht="24" customHeight="1"/>
    <row r="9" ht="24" customHeight="1">
      <c r="A9" s="22" t="inlineStr">
        <is>
          <t>핵심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역할</t>
        </is>
      </c>
      <c r="B11" s="24" t="inlineStr">
        <is>
          <t>Chair 최종 가중합을 대체하지 않는 보조 밸류에이션 판단 근거</t>
        </is>
      </c>
    </row>
    <row r="12" ht="24" customHeight="1">
      <c r="A12" s="29" t="inlineStr">
        <is>
          <t>해석</t>
        </is>
      </c>
      <c r="B12" s="29" t="inlineStr">
        <is>
          <t>DCF·상대가치 또는 품질 지표의 보수적 확인이 필요합니다.</t>
        </is>
      </c>
    </row>
    <row r="13" ht="24" customHeight="1">
      <c r="A13" s="24" t="inlineStr">
        <is>
          <t>방법</t>
        </is>
      </c>
      <c r="B13" s="24" t="inlineStr">
        <is>
          <t>DCF 25% + Peer P/S 15% + 품질 ML 15% + 208개 Universe 10% + 가치범위표/역산 DCF/오너 이익 20% + 유동성/리스크 10% + 검증 5%</t>
        </is>
      </c>
    </row>
    <row r="14" ht="24" customHeight="1">
      <c r="A14" s="29" t="inlineStr">
        <is>
          <t>검증상태</t>
        </is>
      </c>
      <c r="B14" s="29" t="inlineStr">
        <is>
          <t>PASS_WITH_WARNINGS</t>
        </is>
      </c>
    </row>
    <row r="15" ht="24" customHeight="1"/>
    <row r="16" ht="24" customHeight="1"/>
    <row r="17" ht="24" customHeight="1">
      <c r="A17" s="22" t="inlineStr">
        <is>
          <t>가중 점수 구성</t>
        </is>
      </c>
    </row>
    <row r="18" ht="24" customHeight="1">
      <c r="A18" s="25" t="inlineStr">
        <is>
          <t>요인 코드</t>
        </is>
      </c>
      <c r="B18" s="25" t="inlineStr">
        <is>
          <t>요인</t>
        </is>
      </c>
      <c r="C18" s="25" t="inlineStr">
        <is>
          <t>가중치</t>
        </is>
      </c>
      <c r="D18" s="25" t="inlineStr">
        <is>
          <t>원천값</t>
        </is>
      </c>
      <c r="E18" s="25" t="inlineStr">
        <is>
          <t>점수</t>
        </is>
      </c>
      <c r="F18" s="25" t="inlineStr">
        <is>
          <t>해석</t>
        </is>
      </c>
    </row>
    <row r="19" ht="24" customHeight="1">
      <c r="A19" s="24" t="inlineStr">
        <is>
          <t>DCF_UPSIDE</t>
        </is>
      </c>
      <c r="B19" s="24" t="inlineStr">
        <is>
          <t>DCF 현재가 대비 괴리율</t>
        </is>
      </c>
      <c r="C19" s="30" t="n">
        <v>0.25</v>
      </c>
      <c r="D19" s="30" t="n">
        <v>-2.98101810403592</v>
      </c>
      <c r="E19" s="30" t="n">
        <v>0</v>
      </c>
      <c r="F19" s="24" t="inlineStr">
        <is>
          <t>내재주가가 현재가보다 높을수록 우호</t>
        </is>
      </c>
    </row>
    <row r="20" ht="24" customHeight="1">
      <c r="A20" s="29" t="inlineStr">
        <is>
          <t>PEER_PSR</t>
        </is>
      </c>
      <c r="B20" s="29" t="inlineStr">
        <is>
          <t>Peer P/S 상대 매력도</t>
        </is>
      </c>
      <c r="C20" s="31" t="n">
        <v>0.15</v>
      </c>
      <c r="D20" s="31" t="n">
        <v>3.681361674930534</v>
      </c>
      <c r="E20" s="31" t="n">
        <v>40</v>
      </c>
      <c r="F20" s="29" t="inlineStr">
        <is>
          <t>P/S가 동종 피어 대비 낮을수록 우호</t>
        </is>
      </c>
    </row>
    <row r="21" ht="24" customHeight="1">
      <c r="A21" s="24" t="inlineStr">
        <is>
          <t>QUALITY_ML</t>
        </is>
      </c>
      <c r="B21" s="24" t="inlineStr">
        <is>
          <t>수익성·현금흐름·안정성 ML 보조점수</t>
        </is>
      </c>
      <c r="C21" s="30" t="n">
        <v>0.15</v>
      </c>
      <c r="D21" s="30" t="n">
        <v>20.62</v>
      </c>
      <c r="E21" s="30" t="n">
        <v>20.62</v>
      </c>
      <c r="F21" s="24" t="inlineStr">
        <is>
          <t>Valuation Agent 자체 peer percentile composite</t>
        </is>
      </c>
    </row>
    <row r="22" ht="24" customHeight="1">
      <c r="A22" s="29" t="inlineStr">
        <is>
          <t>REFERENCE_UNIVERSE</t>
        </is>
      </c>
      <c r="B22" s="29" t="inlineStr">
        <is>
          <t>208개 반도체 Reference Universe 위치</t>
        </is>
      </c>
      <c r="C22" s="31" t="n">
        <v>0.1</v>
      </c>
      <c r="D22" s="31" t="n">
        <v>25.1025641025641</v>
      </c>
      <c r="E22" s="31" t="n">
        <v>25.1025641025641</v>
      </c>
      <c r="F22" s="29" t="inlineStr">
        <is>
          <t>업로드/기존 universe 후보 파일의 valuation proxy 기반 상대 위치</t>
        </is>
      </c>
    </row>
    <row r="23" ht="24" customHeight="1">
      <c r="A23" s="24" t="inlineStr">
        <is>
          <t>ADVANCED_VALUATION</t>
        </is>
      </c>
      <c r="B23" s="24" t="inlineStr">
        <is>
          <t>가치범위표·역산 DCF·오너 이익 교차검증</t>
        </is>
      </c>
      <c r="C23" s="30" t="n">
        <v>0.2</v>
      </c>
      <c r="D23" s="30" t="n">
        <v>23</v>
      </c>
      <c r="E23" s="30" t="n">
        <v>23</v>
      </c>
      <c r="F23" s="24" t="inlineStr">
        <is>
          <t>DCF 하나에 의존하지 않고 복수 가치평가 방법의 중앙값·안전마진·역산가정을 함께 평가</t>
        </is>
      </c>
    </row>
    <row r="24" ht="24" customHeight="1">
      <c r="A24" s="29" t="inlineStr">
        <is>
          <t>LIQUIDITY_RISK</t>
        </is>
      </c>
      <c r="B24" s="29" t="inlineStr">
        <is>
          <t>유동성·변동성 리스크</t>
        </is>
      </c>
      <c r="C24" s="31" t="n">
        <v>0.1</v>
      </c>
      <c r="D24" s="31" t="n">
        <v>11121560520</v>
      </c>
      <c r="E24" s="31" t="n">
        <v>46</v>
      </c>
      <c r="F24" s="29" t="inlineStr">
        <is>
          <t>거래대금은 높을수록, 변동성과 MDD는 낮을수록 우호</t>
        </is>
      </c>
    </row>
    <row r="25" ht="24" customHeight="1">
      <c r="A25" s="24" t="inlineStr">
        <is>
          <t>DATA_VALIDATION</t>
        </is>
      </c>
      <c r="B25" s="24" t="inlineStr">
        <is>
          <t>데이터 검증 상태</t>
        </is>
      </c>
      <c r="C25" s="30" t="n">
        <v>0.05</v>
      </c>
      <c r="D25" s="24" t="inlineStr">
        <is>
          <t>PASS_WITH_WARNINGS</t>
        </is>
      </c>
      <c r="E25" s="30" t="n">
        <v>75</v>
      </c>
      <c r="F25" s="24" t="inlineStr">
        <is>
          <t>PASS이면 workbook/dashboard용 주요 데이터 준비 완료</t>
        </is>
      </c>
    </row>
    <row r="26" ht="24" customHeight="1"/>
    <row r="27" ht="24" customHeight="1"/>
    <row r="28" ht="24" customHeight="1">
      <c r="A28" s="22" t="inlineStr">
        <is>
          <t>데이터 연결 맵</t>
        </is>
      </c>
    </row>
    <row r="29" ht="24" customHeight="1">
      <c r="A29" s="25" t="inlineStr">
        <is>
          <t>데이터블록</t>
        </is>
      </c>
      <c r="B29" s="25" t="inlineStr">
        <is>
          <t>사용값</t>
        </is>
      </c>
      <c r="C29" s="25" t="inlineStr">
        <is>
          <t>출처</t>
        </is>
      </c>
    </row>
    <row r="30" ht="24" customHeight="1">
      <c r="A30" s="24" t="inlineStr">
        <is>
          <t>DCF</t>
        </is>
      </c>
      <c r="B30" s="24" t="inlineStr">
        <is>
          <t>-40,017원</t>
        </is>
      </c>
      <c r="C30" s="24" t="inlineStr">
        <is>
          <t>valuation_metrics.json / 09_DCF_가치평가</t>
        </is>
      </c>
    </row>
    <row r="31" ht="24" customHeight="1">
      <c r="A31" s="29" t="inlineStr">
        <is>
          <t>Peer P/S</t>
        </is>
      </c>
      <c r="B31" s="29" t="inlineStr">
        <is>
          <t>3.68배</t>
        </is>
      </c>
      <c r="C31" s="29" t="inlineStr">
        <is>
          <t>valuation_peer_input.csv / 10_피어비교</t>
        </is>
      </c>
    </row>
    <row r="32" ht="24" customHeight="1">
      <c r="A32" s="24" t="inlineStr">
        <is>
          <t>208개 Universe</t>
        </is>
      </c>
      <c r="B32" s="24" t="inlineStr">
        <is>
          <t>208개</t>
        </is>
      </c>
      <c r="C32" s="24" t="inlineStr">
        <is>
          <t>valuation_reference_universe_208.csv</t>
        </is>
      </c>
    </row>
    <row r="33" ht="24" customHeight="1">
      <c r="A33" s="29" t="inlineStr">
        <is>
          <t>주가·유동성</t>
        </is>
      </c>
      <c r="B33" s="29" t="inlineStr">
        <is>
          <t>111.2억원</t>
        </is>
      </c>
      <c r="C33" s="29" t="inlineStr">
        <is>
          <t>valuation_price_history.csv / valuation_price_summary.json</t>
        </is>
      </c>
    </row>
    <row r="34" ht="24" customHeight="1">
      <c r="A34" s="24" t="inlineStr">
        <is>
          <t>ML 보조판단</t>
        </is>
      </c>
      <c r="B34" s="24" t="inlineStr">
        <is>
          <t>20.6/100</t>
        </is>
      </c>
      <c r="C34" s="24" t="inlineStr">
        <is>
          <t>valuation_agent 자체 peer percentile composite</t>
        </is>
      </c>
    </row>
  </sheetData>
  <autoFilter ref="A29:C34"/>
  <mergeCells count="20">
    <mergeCell ref="C6:D6"/>
    <mergeCell ref="I6:J6"/>
    <mergeCell ref="C5:D5"/>
    <mergeCell ref="E5:F5"/>
    <mergeCell ref="A1:K1"/>
    <mergeCell ref="A6:B6"/>
    <mergeCell ref="C4:D4"/>
    <mergeCell ref="E4:F4"/>
    <mergeCell ref="A17:F17"/>
    <mergeCell ref="G6:H6"/>
    <mergeCell ref="E6:F6"/>
    <mergeCell ref="A28:F28"/>
    <mergeCell ref="A9:F9"/>
    <mergeCell ref="A5:B5"/>
    <mergeCell ref="A2:K2"/>
    <mergeCell ref="G5:H5"/>
    <mergeCell ref="I5:J5"/>
    <mergeCell ref="A4:B4"/>
    <mergeCell ref="G4:H4"/>
    <mergeCell ref="I4:J4"/>
  </mergeCells>
  <pageMargins left="0.75" right="0.75" top="1" bottom="1" header="0.5" footer="0.5"/>
  <pageSetup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38" customWidth="1" min="6" max="6"/>
    <col width="17" customWidth="1" min="7" max="7"/>
    <col width="17" customWidth="1" min="8" max="8"/>
    <col width="17" customWidth="1" min="9" max="9"/>
    <col width="17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덕산테코피아 시나리오 요약</t>
        </is>
      </c>
    </row>
    <row r="2" ht="28" customHeight="1">
      <c r="A2" s="17" t="inlineStr">
        <is>
          <t>Base/Bull/Bear 가정을 한눈에 볼 수 있도록 대시보드 다운로드용으로 정리</t>
        </is>
      </c>
    </row>
    <row r="3" ht="24" customHeight="1"/>
    <row r="4" ht="24" customHeight="1">
      <c r="A4" s="22" t="inlineStr">
        <is>
          <t>3단계 시나리오 가정</t>
        </is>
      </c>
    </row>
    <row r="5" ht="24" customHeight="1">
      <c r="A5" s="25" t="inlineStr">
        <is>
          <t>시나리오</t>
        </is>
      </c>
      <c r="B5" s="25" t="inlineStr">
        <is>
          <t>매출성장률</t>
        </is>
      </c>
      <c r="C5" s="25" t="inlineStr">
        <is>
          <t>FCF마진</t>
        </is>
      </c>
      <c r="D5" s="25" t="inlineStr">
        <is>
          <t>WACC</t>
        </is>
      </c>
      <c r="E5" s="25" t="inlineStr">
        <is>
          <t>영구성장률</t>
        </is>
      </c>
      <c r="F5" s="25" t="inlineStr">
        <is>
          <t>해석</t>
        </is>
      </c>
    </row>
    <row r="6" ht="24" customHeight="1">
      <c r="A6" s="24" t="inlineStr">
        <is>
          <t>Bear</t>
        </is>
      </c>
      <c r="B6" s="30" t="n">
        <v>-0.00952069713145959</v>
      </c>
      <c r="C6" s="30" t="n">
        <v>-0.05</v>
      </c>
      <c r="D6" s="30" t="n">
        <v>0.09568398456306622</v>
      </c>
      <c r="E6" s="30" t="n">
        <v>0.009999999999999998</v>
      </c>
      <c r="F6" s="24" t="inlineStr">
        <is>
          <t>보수적 수익성·할인율 가정</t>
        </is>
      </c>
    </row>
    <row r="7" ht="24" customHeight="1">
      <c r="A7" s="29" t="inlineStr">
        <is>
          <t>Base</t>
        </is>
      </c>
      <c r="B7" s="31" t="n">
        <v>0.01047930286854041</v>
      </c>
      <c r="C7" s="31" t="n">
        <v>-0.2</v>
      </c>
      <c r="D7" s="31" t="n">
        <v>0.08568398456306622</v>
      </c>
      <c r="E7" s="31" t="n">
        <v>0.015</v>
      </c>
      <c r="F7" s="29" t="inlineStr">
        <is>
          <t>현재 모델 기본 가정</t>
        </is>
      </c>
    </row>
    <row r="8" ht="24" customHeight="1">
      <c r="A8" s="24" t="inlineStr">
        <is>
          <t>Bull</t>
        </is>
      </c>
      <c r="B8" s="30" t="n">
        <v>0.03047930286854041</v>
      </c>
      <c r="C8" s="30" t="n">
        <v>-0.18</v>
      </c>
      <c r="D8" s="30" t="n">
        <v>0.07568398456306623</v>
      </c>
      <c r="E8" s="30" t="n">
        <v>0.02</v>
      </c>
      <c r="F8" s="24" t="inlineStr">
        <is>
          <t>성장·마진 개선 가정</t>
        </is>
      </c>
    </row>
    <row r="9" ht="24" customHeight="1"/>
    <row r="10" ht="24" customHeight="1"/>
    <row r="11" ht="24" customHeight="1">
      <c r="A11" s="22" t="inlineStr">
        <is>
          <t>대시보드 연결 가이드</t>
        </is>
      </c>
    </row>
    <row r="12" ht="24" customHeight="1">
      <c r="A12" s="25" t="inlineStr">
        <is>
          <t>항목</t>
        </is>
      </c>
      <c r="B12" s="25" t="inlineStr">
        <is>
          <t>내용</t>
        </is>
      </c>
    </row>
    <row r="13" ht="24" customHeight="1">
      <c r="A13" s="24" t="inlineStr">
        <is>
          <t>활용</t>
        </is>
      </c>
      <c r="B13" s="24" t="inlineStr">
        <is>
          <t>대시보드에서 WACC/성장률/마진 슬라이더를 만들 때 기본 입력값으로 사용</t>
        </is>
      </c>
    </row>
    <row r="14" ht="24" customHeight="1">
      <c r="A14" s="29" t="inlineStr">
        <is>
          <t>주의</t>
        </is>
      </c>
      <c r="B14" s="29" t="inlineStr">
        <is>
          <t>정식 투자 판단은 Chair의 6개 에이전트 종합과 별도 검토 필요</t>
        </is>
      </c>
    </row>
  </sheetData>
  <autoFilter ref="A12:B14"/>
  <mergeCells count="4">
    <mergeCell ref="A1:J1"/>
    <mergeCell ref="A11:F11"/>
    <mergeCell ref="A4:F4"/>
    <mergeCell ref="A2:J2"/>
  </mergeCells>
  <pageMargins left="0.75" right="0.75" top="1" bottom="1" header="0.5" footer="0.5"/>
  <pageSetup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18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데이터 품질·커버리지</t>
        </is>
      </c>
    </row>
    <row r="2" ht="28" customHeight="1">
      <c r="A2" s="17" t="inlineStr">
        <is>
          <t>공란/해당 없음/계산 제외 항목을 숨기지 않고 데이터 커버리지로 관리</t>
        </is>
      </c>
    </row>
    <row r="3" ht="24" customHeight="1"/>
    <row r="4" ht="24" customHeight="1">
      <c r="A4" s="22" t="inlineStr">
        <is>
          <t>커버리지 체크</t>
        </is>
      </c>
    </row>
    <row r="5" ht="24" customHeight="1">
      <c r="A5" s="25" t="inlineStr">
        <is>
          <t>데이터블록</t>
        </is>
      </c>
      <c r="B5" s="25" t="inlineStr">
        <is>
          <t>행수</t>
        </is>
      </c>
      <c r="C5" s="25" t="inlineStr">
        <is>
          <t>상태</t>
        </is>
      </c>
      <c r="D5" s="25" t="inlineStr">
        <is>
          <t>대시보드 영향</t>
        </is>
      </c>
    </row>
    <row r="6" ht="24" customHeight="1">
      <c r="A6" s="24" t="inlineStr">
        <is>
          <t>DART 정규화 재무제표</t>
        </is>
      </c>
      <c r="B6" s="30" t="n">
        <v>5</v>
      </c>
      <c r="C6" s="24" t="inlineStr">
        <is>
          <t>OK</t>
        </is>
      </c>
      <c r="D6" s="24" t="inlineStr">
        <is>
          <t>DCF/WACC/핵심비율</t>
        </is>
      </c>
    </row>
    <row r="7" ht="24" customHeight="1">
      <c r="A7" s="29" t="inlineStr">
        <is>
          <t>주가 이력</t>
        </is>
      </c>
      <c r="B7" s="31" t="n">
        <v>1221</v>
      </c>
      <c r="C7" s="29" t="inlineStr">
        <is>
          <t>OK</t>
        </is>
      </c>
      <c r="D7" s="29" t="inlineStr">
        <is>
          <t>현재가/변동성/MDD/차트</t>
        </is>
      </c>
    </row>
    <row r="8" ht="24" customHeight="1">
      <c r="A8" s="24" t="inlineStr">
        <is>
          <t>Live peer</t>
        </is>
      </c>
      <c r="B8" s="30" t="n">
        <v>5</v>
      </c>
      <c r="C8" s="24" t="inlineStr">
        <is>
          <t>OK</t>
        </is>
      </c>
      <c r="D8" s="24" t="inlineStr">
        <is>
          <t>P/S, PER, PBR</t>
        </is>
      </c>
    </row>
    <row r="9" ht="24" customHeight="1">
      <c r="A9" s="29" t="inlineStr">
        <is>
          <t>208개 Reference Universe</t>
        </is>
      </c>
      <c r="B9" s="31" t="n">
        <v>208</v>
      </c>
      <c r="C9" s="29" t="inlineStr">
        <is>
          <t>OK</t>
        </is>
      </c>
      <c r="D9" s="29" t="inlineStr">
        <is>
          <t>상대 위치/ML 보조</t>
        </is>
      </c>
    </row>
    <row r="10" ht="24" customHeight="1">
      <c r="A10" s="24" t="inlineStr">
        <is>
          <t>가치평가 스코어카드</t>
        </is>
      </c>
      <c r="B10" s="30" t="n">
        <v>7</v>
      </c>
      <c r="C10" s="24" t="inlineStr">
        <is>
          <t>OK</t>
        </is>
      </c>
      <c r="D10" s="24" t="inlineStr">
        <is>
          <t>투자자 요약/Chair 보조</t>
        </is>
      </c>
    </row>
    <row r="11" ht="24" customHeight="1">
      <c r="A11" s="29" t="inlineStr">
        <is>
          <t>Validation</t>
        </is>
      </c>
      <c r="B11" s="31" t="n">
        <v>3</v>
      </c>
      <c r="C11" s="29" t="inlineStr">
        <is>
          <t>PASS_WITH_WARNINGS</t>
        </is>
      </c>
      <c r="D11" s="29" t="inlineStr">
        <is>
          <t>경고/품질 배지</t>
        </is>
      </c>
    </row>
    <row r="12" ht="24" customHeight="1"/>
    <row r="13" ht="24" customHeight="1"/>
    <row r="14" ht="24" customHeight="1">
      <c r="A14" s="22" t="inlineStr">
        <is>
          <t>Validation 이슈</t>
        </is>
      </c>
    </row>
    <row r="15" ht="24" customHeight="1">
      <c r="A15" s="25" t="inlineStr">
        <is>
          <t>중요도</t>
        </is>
      </c>
      <c r="B15" s="25" t="inlineStr">
        <is>
          <t>코드</t>
        </is>
      </c>
      <c r="C15" s="25" t="inlineStr">
        <is>
          <t>메시지</t>
        </is>
      </c>
    </row>
    <row r="16" ht="24" customHeight="1">
      <c r="A16" s="24" t="inlineStr">
        <is>
          <t>MEDIUM</t>
        </is>
      </c>
      <c r="B16" s="24" t="inlineStr">
        <is>
          <t>NEGATIVE_FCF_MARGIN</t>
        </is>
      </c>
      <c r="C16" s="24" t="inlineStr">
        <is>
          <t>최근 연도 FCF margin이 음수입니다. DCF 결과 해석 시 보수적으로 봐야 합니다.</t>
        </is>
      </c>
    </row>
    <row r="17" ht="24" customHeight="1">
      <c r="A17" s="29" t="inlineStr">
        <is>
          <t>MEDIUM</t>
        </is>
      </c>
      <c r="B17" s="29" t="inlineStr">
        <is>
          <t>NEGATIVE_ENTERPRISE_VALUE</t>
        </is>
      </c>
      <c r="C17" s="29" t="inlineStr">
        <is>
          <t>DCF EV가 음수입니다. FCF margin/성장률/WACC 가정을 확인하세요.</t>
        </is>
      </c>
    </row>
    <row r="18" ht="24" customHeight="1">
      <c r="A18" s="24" t="inlineStr">
        <is>
          <t>MEDIUM</t>
        </is>
      </c>
      <c r="B18" s="24" t="inlineStr">
        <is>
          <t>NEGATIVE_EQUITY_VALUE</t>
        </is>
      </c>
      <c r="C18" s="24" t="inlineStr">
        <is>
          <t>DCF 지분가치가 음수입니다. 부채 proxy와 현금흐름 가정을 확인하세요.</t>
        </is>
      </c>
    </row>
  </sheetData>
  <autoFilter ref="A15:C18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N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4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덕산테코피아 종합 가치평가 요약</t>
        </is>
      </c>
    </row>
    <row r="2" ht="28" customHeight="1">
      <c r="A2" s="17" t="inlineStr">
        <is>
          <t>DCF·상대가치·역산 DCF·오너 이익·EPV·Graham Number로 교차검증</t>
        </is>
      </c>
    </row>
    <row r="3" ht="24" customHeight="1"/>
    <row r="4" ht="24" customHeight="1">
      <c r="A4" s="18" t="inlineStr">
        <is>
          <t>종합 가치평가 점수</t>
        </is>
      </c>
      <c r="B4" s="19" t="n"/>
      <c r="C4" s="18" t="inlineStr">
        <is>
          <t>가치범위 중앙값</t>
        </is>
      </c>
      <c r="D4" s="19" t="n"/>
      <c r="E4" s="18" t="inlineStr">
        <is>
          <t>안전마진</t>
        </is>
      </c>
      <c r="F4" s="19" t="n"/>
      <c r="G4" s="18" t="inlineStr">
        <is>
          <t>역산 DCF</t>
        </is>
      </c>
      <c r="H4" s="19" t="n"/>
      <c r="I4" s="18" t="inlineStr">
        <is>
          <t>오너 이익</t>
        </is>
      </c>
      <c r="J4" s="19" t="n"/>
      <c r="K4" s="18" t="inlineStr">
        <is>
          <t>검증상태</t>
        </is>
      </c>
      <c r="L4" s="19" t="n"/>
    </row>
    <row r="5" ht="24" customHeight="1">
      <c r="A5" s="20" t="inlineStr">
        <is>
          <t>23.0/100</t>
        </is>
      </c>
      <c r="B5" s="19" t="n"/>
      <c r="C5" s="20" t="inlineStr">
        <is>
          <t>5,511원</t>
        </is>
      </c>
      <c r="D5" s="19" t="n"/>
      <c r="E5" s="20" t="inlineStr">
        <is>
          <t>-72.7%</t>
        </is>
      </c>
      <c r="F5" s="19" t="n"/>
      <c r="G5" s="20" t="inlineStr">
        <is>
          <t>8.0%</t>
        </is>
      </c>
      <c r="H5" s="19" t="n"/>
      <c r="I5" s="20" t="inlineStr">
        <is>
          <t>-12,311원</t>
        </is>
      </c>
      <c r="J5" s="19" t="n"/>
      <c r="K5" s="20" t="inlineStr">
        <is>
          <t>PASS_WITH_WARNINGS</t>
        </is>
      </c>
      <c r="L5" s="19" t="n"/>
    </row>
    <row r="6" ht="24" customHeight="1">
      <c r="A6" s="21" t="inlineStr">
        <is>
          <t>복수 방법 교차검증</t>
        </is>
      </c>
      <c r="B6" s="19" t="n"/>
      <c r="C6" s="21" t="inlineStr">
        <is>
          <t>밸류에이션 부담</t>
        </is>
      </c>
      <c r="D6" s="19" t="n"/>
      <c r="E6" s="21" t="inlineStr">
        <is>
          <t>중앙값/현재가-1</t>
        </is>
      </c>
      <c r="F6" s="19" t="n"/>
      <c r="G6" s="21" t="inlineStr">
        <is>
          <t>시장가격 내재 성장률</t>
        </is>
      </c>
      <c r="H6" s="19" t="n"/>
      <c r="I6" s="21" t="inlineStr">
        <is>
          <t>보수 현금창출 기준</t>
        </is>
      </c>
      <c r="J6" s="19" t="n"/>
      <c r="K6" s="21" t="inlineStr">
        <is>
          <t>PASS 권장</t>
        </is>
      </c>
      <c r="L6" s="19" t="n"/>
    </row>
    <row r="7" ht="24" customHeight="1"/>
    <row r="8" ht="24" customHeight="1"/>
    <row r="9" ht="24" customHeight="1">
      <c r="A9" s="22" t="inlineStr">
        <is>
          <t>투자자용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결론</t>
        </is>
      </c>
      <c r="B11" s="24" t="inlineStr">
        <is>
          <t>DCF·상대가치 또는 품질 지표의 보수적 확인이 필요합니다.</t>
        </is>
      </c>
    </row>
    <row r="12" ht="24" customHeight="1">
      <c r="A12" s="29" t="inlineStr">
        <is>
          <t>핵심 산식</t>
        </is>
      </c>
      <c r="B12" s="29" t="inlineStr">
        <is>
          <t>DCF + 피어 멀티플 가치범위표 + 역산 DCF + 오너 이익/EPV + 시장내재 배수 + 데이터 커버리지</t>
        </is>
      </c>
    </row>
    <row r="13" ht="24" customHeight="1">
      <c r="A13" s="24" t="inlineStr">
        <is>
          <t>사용 이유</t>
        </is>
      </c>
      <c r="B13" s="24" t="inlineStr">
        <is>
          <t>DCF는 가정 민감도가 크므로, 시장이 내재한 성장률과 상대가치·현금창출 가치가 같은 방향인지 확인합니다.</t>
        </is>
      </c>
    </row>
    <row r="14" ht="24" customHeight="1">
      <c r="A14" s="29" t="inlineStr">
        <is>
          <t>대시보드 활용</t>
        </is>
      </c>
      <c r="B14" s="29" t="inlineStr">
        <is>
          <t>summary_cards와 advanced_valuation 블록을 사용하면 Streamlit/React에서 가치범위 차트·민감도 카드·다운로드 버튼 구현 가능</t>
        </is>
      </c>
    </row>
    <row r="15" ht="24" customHeight="1"/>
    <row r="16" ht="24" customHeight="1"/>
    <row r="17" ht="24" customHeight="1">
      <c r="A17" s="22" t="inlineStr">
        <is>
          <t>방법별 내재가격 요약</t>
        </is>
      </c>
    </row>
    <row r="18" ht="24" customHeight="1">
      <c r="A18" s="25" t="inlineStr">
        <is>
          <t>방법 코드</t>
        </is>
      </c>
      <c r="B18" s="25" t="inlineStr">
        <is>
          <t>가치평가 방법</t>
        </is>
      </c>
      <c r="C18" s="25" t="inlineStr">
        <is>
          <t>하단 지분가치</t>
        </is>
      </c>
      <c r="D18" s="25" t="inlineStr">
        <is>
          <t>중앙 지분가치</t>
        </is>
      </c>
      <c r="E18" s="25" t="inlineStr">
        <is>
          <t>상단 지분가치</t>
        </is>
      </c>
      <c r="F18" s="25" t="inlineStr">
        <is>
          <t>하단 주당가치</t>
        </is>
      </c>
      <c r="G18" s="25" t="inlineStr">
        <is>
          <t>중앙 주당가치</t>
        </is>
      </c>
      <c r="H18" s="25" t="inlineStr">
        <is>
          <t>상단 주당가치</t>
        </is>
      </c>
      <c r="I18" s="25" t="inlineStr">
        <is>
          <t>현재가</t>
        </is>
      </c>
      <c r="J18" s="25" t="inlineStr">
        <is>
          <t>현재가 대비</t>
        </is>
      </c>
      <c r="K18" s="25" t="inlineStr">
        <is>
          <t>해석</t>
        </is>
      </c>
      <c r="L18" s="25" t="inlineStr">
        <is>
          <t>출처</t>
        </is>
      </c>
      <c r="M18" s="25" t="inlineStr">
        <is>
          <t>신뢰도</t>
        </is>
      </c>
    </row>
    <row r="19" ht="24" customHeight="1">
      <c r="A19" s="24" t="inlineStr">
        <is>
          <t>DCF_BASE</t>
        </is>
      </c>
      <c r="B19" s="24" t="inlineStr">
        <is>
          <t>DCF 기준가치</t>
        </is>
      </c>
      <c r="C19" s="30" t="n">
        <v>-696492183631.9866</v>
      </c>
      <c r="D19" s="30" t="n">
        <v>-819402568978.8077</v>
      </c>
      <c r="E19" s="30" t="n">
        <v>-942312954325.6288</v>
      </c>
      <c r="F19" s="30" t="n">
        <v>-34014.08084629675</v>
      </c>
      <c r="G19" s="30" t="n">
        <v>-40016.56570152559</v>
      </c>
      <c r="H19" s="30" t="n">
        <v>-46019.05055675442</v>
      </c>
      <c r="I19" s="30" t="n">
        <v>20200</v>
      </c>
      <c r="J19" s="35" t="n">
        <v>-2.98101810403592</v>
      </c>
      <c r="K19" s="24" t="inlineStr">
        <is>
          <t>밸류에이션 부담</t>
        </is>
      </c>
      <c r="L19" s="24" t="inlineStr">
        <is>
          <t>Valuation Agent DCF</t>
        </is>
      </c>
      <c r="M19" s="24" t="inlineStr">
        <is>
          <t>핵심 모델</t>
        </is>
      </c>
    </row>
    <row r="20" ht="24" customHeight="1">
      <c r="A20" s="29" t="inlineStr">
        <is>
          <t>PSR_COMP</t>
        </is>
      </c>
      <c r="B20" s="29" t="inlineStr">
        <is>
          <t>P/S 상대가치</t>
        </is>
      </c>
      <c r="C20" s="31" t="n">
        <v>152014714321.261</v>
      </c>
      <c r="D20" s="31" t="n">
        <v>392354663783.9818</v>
      </c>
      <c r="E20" s="31" t="n">
        <v>412603167600</v>
      </c>
      <c r="F20" s="31" t="n">
        <v>7423.831744653356</v>
      </c>
      <c r="G20" s="31" t="n">
        <v>19161.13858561476</v>
      </c>
      <c r="H20" s="31" t="n">
        <v>20150</v>
      </c>
      <c r="I20" s="31" t="n">
        <v>20200</v>
      </c>
      <c r="J20" s="36" t="n">
        <v>-0.05142878289035835</v>
      </c>
      <c r="K20" s="29" t="inlineStr">
        <is>
          <t>중립권</t>
        </is>
      </c>
      <c r="L20" s="29" t="inlineStr">
        <is>
          <t>시가총액/매출 피어 비교</t>
        </is>
      </c>
      <c r="M20" s="29" t="inlineStr">
        <is>
          <t>피어 중앙값 기반</t>
        </is>
      </c>
    </row>
    <row r="21" ht="24" customHeight="1">
      <c r="A21" s="24" t="inlineStr">
        <is>
          <t>PBR_COMP</t>
        </is>
      </c>
      <c r="B21" s="24" t="inlineStr">
        <is>
          <t>P/B 상대가치</t>
        </is>
      </c>
      <c r="C21" s="30" t="n">
        <v>269609030712.0407</v>
      </c>
      <c r="D21" s="30" t="n">
        <v>279876957463.4119</v>
      </c>
      <c r="E21" s="30" t="n">
        <v>412603167600</v>
      </c>
      <c r="F21" s="30" t="n">
        <v>13166.69961708656</v>
      </c>
      <c r="G21" s="30" t="n">
        <v>13668.14686782775</v>
      </c>
      <c r="H21" s="30" t="n">
        <v>20150</v>
      </c>
      <c r="I21" s="30" t="n">
        <v>20200</v>
      </c>
      <c r="J21" s="35" t="n">
        <v>-0.3233590659491211</v>
      </c>
      <c r="K21" s="24" t="inlineStr">
        <is>
          <t>밸류에이션 부담</t>
        </is>
      </c>
      <c r="L21" s="24" t="inlineStr">
        <is>
          <t>시가총액/자본 피어 비교</t>
        </is>
      </c>
      <c r="M21" s="24" t="inlineStr">
        <is>
          <t>피어 중앙값 기반</t>
        </is>
      </c>
    </row>
    <row r="22" ht="24" customHeight="1">
      <c r="A22" s="29" t="inlineStr">
        <is>
          <t>EV_SALES_COMP</t>
        </is>
      </c>
      <c r="B22" s="29" t="inlineStr">
        <is>
          <t>EV/Sales 상대가치</t>
        </is>
      </c>
      <c r="C22" s="31" t="n">
        <v>-269733158771.3516</v>
      </c>
      <c r="D22" s="31" t="n">
        <v>-54200066527.00122</v>
      </c>
      <c r="E22" s="31" t="n">
        <v>452635785666.9999</v>
      </c>
      <c r="F22" s="31" t="n">
        <v>-13172.76156859716</v>
      </c>
      <c r="G22" s="31" t="n">
        <v>-2646.929122894777</v>
      </c>
      <c r="H22" s="31" t="n">
        <v>22105.04377424476</v>
      </c>
      <c r="I22" s="31" t="n">
        <v>20200</v>
      </c>
      <c r="J22" s="36" t="n">
        <v>-1.131036095192811</v>
      </c>
      <c r="K22" s="29" t="inlineStr">
        <is>
          <t>밸류에이션 부담</t>
        </is>
      </c>
      <c r="L22" s="29" t="inlineStr">
        <is>
          <t>EV/매출 피어 비교</t>
        </is>
      </c>
      <c r="M22" s="29" t="inlineStr">
        <is>
          <t>EV 조정 피어 기준</t>
        </is>
      </c>
    </row>
    <row r="23" ht="24" customHeight="1"/>
    <row r="24" ht="24" customHeight="1"/>
    <row r="25" ht="24" customHeight="1">
      <c r="A25" s="22" t="inlineStr">
        <is>
          <t>시장내재 배수 자동산출</t>
        </is>
      </c>
    </row>
    <row r="26" ht="24" customHeight="1">
      <c r="A26" s="25" t="inlineStr">
        <is>
          <t>latest_close</t>
        </is>
      </c>
      <c r="B26" s="25" t="inlineStr">
        <is>
          <t>시가총액</t>
        </is>
      </c>
      <c r="C26" s="25" t="inlineStr">
        <is>
          <t>EV proxy</t>
        </is>
      </c>
      <c r="D26" s="25" t="inlineStr">
        <is>
          <t>psr_market</t>
        </is>
      </c>
      <c r="E26" s="25" t="inlineStr">
        <is>
          <t>pbr_market</t>
        </is>
      </c>
      <c r="F26" s="25" t="inlineStr">
        <is>
          <t>per_market</t>
        </is>
      </c>
      <c r="G26" s="25" t="inlineStr">
        <is>
          <t>p_fcf_market</t>
        </is>
      </c>
      <c r="H26" s="25" t="inlineStr">
        <is>
          <t>ev_sales_market</t>
        </is>
      </c>
      <c r="I26" s="25" t="inlineStr">
        <is>
          <t>ev_ebit_market</t>
        </is>
      </c>
      <c r="J26" s="25" t="inlineStr">
        <is>
          <t>eps_derived</t>
        </is>
      </c>
      <c r="K26" s="25" t="inlineStr">
        <is>
          <t>bps_derived</t>
        </is>
      </c>
      <c r="L26" s="25" t="inlineStr">
        <is>
          <t>fcf_yield_market</t>
        </is>
      </c>
      <c r="M26" s="25" t="inlineStr">
        <is>
          <t>sales_yield_market</t>
        </is>
      </c>
      <c r="N26" s="25" t="inlineStr">
        <is>
          <t>source_kr</t>
        </is>
      </c>
    </row>
    <row r="27" ht="24" customHeight="1">
      <c r="A27" s="30" t="n">
        <v>20200</v>
      </c>
      <c r="B27" s="30" t="n">
        <v>413626996800</v>
      </c>
      <c r="C27" s="30" t="n">
        <v>913824523506</v>
      </c>
      <c r="D27" s="42" t="n">
        <v>3.690496567424158</v>
      </c>
      <c r="E27" s="42" t="n">
        <v>3.88471024433095</v>
      </c>
      <c r="F27" s="24" t="inlineStr">
        <is>
          <t>해당 없음</t>
        </is>
      </c>
      <c r="G27" s="24" t="inlineStr">
        <is>
          <t>해당 없음</t>
        </is>
      </c>
      <c r="H27" s="42" t="n">
        <v>8.153399786082121</v>
      </c>
      <c r="I27" s="24" t="inlineStr">
        <is>
          <t>해당 없음</t>
        </is>
      </c>
      <c r="J27" s="30" t="n">
        <v>-5154.690951283671</v>
      </c>
      <c r="K27" s="30" t="n">
        <v>5199.873022570561</v>
      </c>
      <c r="L27" s="35" t="n">
        <v>-0.05222059612913545</v>
      </c>
      <c r="M27" s="35" t="n">
        <v>0.2709662457965558</v>
      </c>
      <c r="N27" s="24" t="inlineStr">
        <is>
          <t>DART 정규화 재무제표 + Valuation Agent 주가/발행주식 수 intake로 자동 산출</t>
        </is>
      </c>
    </row>
    <row r="28" ht="24" customHeight="1"/>
    <row r="29" ht="24" customHeight="1"/>
    <row r="30" ht="24" customHeight="1">
      <c r="A30" s="22" t="inlineStr">
        <is>
          <t>품질 진단 체크</t>
        </is>
      </c>
    </row>
    <row r="31" ht="24" customHeight="1">
      <c r="A31" s="25" t="inlineStr">
        <is>
          <t>진단항목</t>
        </is>
      </c>
      <c r="B31" s="25" t="inlineStr">
        <is>
          <t>상태</t>
        </is>
      </c>
      <c r="C31" s="25" t="inlineStr">
        <is>
          <t>근거값</t>
        </is>
      </c>
      <c r="D31" s="25" t="inlineStr">
        <is>
          <t>해석</t>
        </is>
      </c>
    </row>
    <row r="32" ht="24" customHeight="1">
      <c r="A32" s="24" t="inlineStr">
        <is>
          <t>재무제표 기간</t>
        </is>
      </c>
      <c r="B32" s="24" t="inlineStr">
        <is>
          <t>충분</t>
        </is>
      </c>
      <c r="C32" s="30" t="n">
        <v>5</v>
      </c>
      <c r="D32" s="24" t="inlineStr">
        <is>
          <t>5개년이면 DCF 추세 가정과 CAGR 산정에 충분합니다.</t>
        </is>
      </c>
    </row>
    <row r="33" ht="24" customHeight="1">
      <c r="A33" s="29" t="inlineStr">
        <is>
          <t>주가 이력</t>
        </is>
      </c>
      <c r="B33" s="29" t="inlineStr">
        <is>
          <t>충분</t>
        </is>
      </c>
      <c r="C33" s="31" t="n">
        <v>1221</v>
      </c>
      <c r="D33" s="29" t="inlineStr">
        <is>
          <t>현재가, 52주 범위, MDD, 변동성, 거래대금 지표 품질을 좌우합니다.</t>
        </is>
      </c>
    </row>
    <row r="34" ht="24" customHeight="1">
      <c r="A34" s="24" t="inlineStr">
        <is>
          <t>가치평가 방법 수</t>
        </is>
      </c>
      <c r="B34" s="24" t="inlineStr">
        <is>
          <t>사용 가능</t>
        </is>
      </c>
      <c r="C34" s="30" t="n">
        <v>4</v>
      </c>
      <c r="D34" s="24" t="inlineStr">
        <is>
          <t>DCF 하나가 아니라 상대가치·EV 멀티플·현금창출 지표까지 교차검증합니다.</t>
        </is>
      </c>
    </row>
    <row r="35" ht="24" customHeight="1">
      <c r="A35" s="29" t="inlineStr">
        <is>
          <t>수익성</t>
        </is>
      </c>
      <c r="B35" s="29" t="inlineStr">
        <is>
          <t>주의</t>
        </is>
      </c>
      <c r="C35" s="31" t="n">
        <v>-0.3838937530375178</v>
      </c>
      <c r="D35" s="29" t="inlineStr">
        <is>
          <t>영업이익률이 높을수록 DCF의 현금흐름 안정성이 높습니다.</t>
        </is>
      </c>
    </row>
    <row r="36" ht="24" customHeight="1">
      <c r="A36" s="24" t="inlineStr">
        <is>
          <t>현금창출</t>
        </is>
      </c>
      <c r="B36" s="24" t="inlineStr">
        <is>
          <t>주의</t>
        </is>
      </c>
      <c r="C36" s="30" t="n">
        <v>-0.1927199307634177</v>
      </c>
      <c r="D36" s="24" t="inlineStr">
        <is>
          <t>FCF margin과 오너 이익 수익률이 DCF 품질의 핵심입니다.</t>
        </is>
      </c>
    </row>
    <row r="37" ht="24" customHeight="1">
      <c r="A37" s="29" t="inlineStr">
        <is>
          <t>재무 레버리지</t>
        </is>
      </c>
      <c r="B37" s="29" t="inlineStr">
        <is>
          <t>관리 필요</t>
        </is>
      </c>
      <c r="C37" s="31" t="n">
        <v>5.073744204155064</v>
      </c>
      <c r="D37" s="29" t="inlineStr">
        <is>
          <t>부채/자본이 높으면 WACC와 지분가치 산정에 보수 가정을 적용합니다.</t>
        </is>
      </c>
    </row>
    <row r="38" ht="24" customHeight="1">
      <c r="A38" s="24" t="inlineStr">
        <is>
          <t>시장 내재가정</t>
        </is>
      </c>
      <c r="B38" s="24" t="inlineStr">
        <is>
          <t>계산 완료</t>
        </is>
      </c>
      <c r="C38" s="30" t="n">
        <v>0.08</v>
      </c>
      <c r="D38" s="24" t="inlineStr">
        <is>
          <t>현재 시가총액이 요구하는 영구성장률을 역산해 과도한 기대가 반영됐는지 확인합니다.</t>
        </is>
      </c>
    </row>
    <row r="39" ht="24" customHeight="1">
      <c r="A39" s="29" t="inlineStr">
        <is>
          <t>오너 이익</t>
        </is>
      </c>
      <c r="B39" s="29" t="inlineStr">
        <is>
          <t>계산 완료</t>
        </is>
      </c>
      <c r="C39" s="31" t="n">
        <v>-12311.00592704261</v>
      </c>
      <c r="D39" s="29" t="inlineStr">
        <is>
          <t>CFO-CAPEX 또는 FCF 기반 보수 가치가 DCF와 같은 방향인지 확인합니다.</t>
        </is>
      </c>
    </row>
  </sheetData>
  <autoFilter ref="A31:D39"/>
  <mergeCells count="24">
    <mergeCell ref="C6:D6"/>
    <mergeCell ref="I6:J6"/>
    <mergeCell ref="C5:D5"/>
    <mergeCell ref="E5:F5"/>
    <mergeCell ref="K5:L5"/>
    <mergeCell ref="A6:B6"/>
    <mergeCell ref="C4:D4"/>
    <mergeCell ref="A2:L2"/>
    <mergeCell ref="E4:F4"/>
    <mergeCell ref="A17:F17"/>
    <mergeCell ref="G6:H6"/>
    <mergeCell ref="E6:F6"/>
    <mergeCell ref="A9:F9"/>
    <mergeCell ref="A5:B5"/>
    <mergeCell ref="G5:H5"/>
    <mergeCell ref="K6:L6"/>
    <mergeCell ref="I5:J5"/>
    <mergeCell ref="A30:F30"/>
    <mergeCell ref="A4:B4"/>
    <mergeCell ref="G4:H4"/>
    <mergeCell ref="I4:J4"/>
    <mergeCell ref="A1:L1"/>
    <mergeCell ref="K4:L4"/>
    <mergeCell ref="A25:F25"/>
  </mergeCells>
  <pageMargins left="0.75" right="0.75" top="1" bottom="1" header="0.5" footer="0.5"/>
  <pageSetup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M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4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덕산테코피아 가치범위표</t>
        </is>
      </c>
    </row>
    <row r="2" ht="28" customHeight="1">
      <c r="A2" s="17" t="inlineStr">
        <is>
          <t>DCF, P/S, P/B, PER, P/FCF, EV/Sales, EV/EBIT 기준 내재가격 범위를 한 화면에서 비교</t>
        </is>
      </c>
    </row>
    <row r="3" ht="24" customHeight="1"/>
    <row r="4" ht="24" customHeight="1">
      <c r="A4" s="18" t="inlineStr">
        <is>
          <t>현재가</t>
        </is>
      </c>
      <c r="B4" s="19" t="n"/>
      <c r="C4" s="18" t="inlineStr">
        <is>
          <t>하단값</t>
        </is>
      </c>
      <c r="D4" s="19" t="n"/>
      <c r="E4" s="18" t="inlineStr">
        <is>
          <t>중앙값</t>
        </is>
      </c>
      <c r="F4" s="19" t="n"/>
      <c r="G4" s="18" t="inlineStr">
        <is>
          <t>상단값</t>
        </is>
      </c>
      <c r="H4" s="19" t="n"/>
      <c r="I4" s="18" t="inlineStr">
        <is>
          <t>방법 수</t>
        </is>
      </c>
      <c r="J4" s="19" t="n"/>
      <c r="K4" s="18" t="inlineStr">
        <is>
          <t>안전마진</t>
        </is>
      </c>
      <c r="L4" s="19" t="n"/>
    </row>
    <row r="5" ht="24" customHeight="1">
      <c r="A5" s="20" t="inlineStr">
        <is>
          <t>20,200원</t>
        </is>
      </c>
      <c r="B5" s="19" t="n"/>
      <c r="C5" s="20" t="inlineStr">
        <is>
          <t>-11,989원</t>
        </is>
      </c>
      <c r="D5" s="19" t="n"/>
      <c r="E5" s="20" t="inlineStr">
        <is>
          <t>5,511원</t>
        </is>
      </c>
      <c r="F5" s="19" t="n"/>
      <c r="G5" s="20" t="inlineStr">
        <is>
          <t>15,041원</t>
        </is>
      </c>
      <c r="H5" s="19" t="n"/>
      <c r="I5" s="20" t="inlineStr">
        <is>
          <t>4</t>
        </is>
      </c>
      <c r="J5" s="19" t="n"/>
      <c r="K5" s="20" t="inlineStr">
        <is>
          <t>-72.7%</t>
        </is>
      </c>
      <c r="L5" s="19" t="n"/>
    </row>
    <row r="6" ht="24" customHeight="1">
      <c r="A6" s="21" t="inlineStr">
        <is>
          <t>시장 기준</t>
        </is>
      </c>
      <c r="B6" s="19" t="n"/>
      <c r="C6" s="21" t="inlineStr">
        <is>
          <t>25% 분위</t>
        </is>
      </c>
      <c r="D6" s="19" t="n"/>
      <c r="E6" s="21" t="inlineStr">
        <is>
          <t>50% 분위</t>
        </is>
      </c>
      <c r="F6" s="19" t="n"/>
      <c r="G6" s="21" t="inlineStr">
        <is>
          <t>75% 분위</t>
        </is>
      </c>
      <c r="H6" s="19" t="n"/>
      <c r="I6" s="21" t="inlineStr">
        <is>
          <t>산출 가능한 방법</t>
        </is>
      </c>
      <c r="J6" s="19" t="n"/>
      <c r="K6" s="21" t="inlineStr">
        <is>
          <t>중앙값 기준</t>
        </is>
      </c>
      <c r="L6" s="19" t="n"/>
    </row>
    <row r="7" ht="24" customHeight="1"/>
    <row r="8" ht="24" customHeight="1"/>
    <row r="9" ht="24" customHeight="1">
      <c r="A9" s="22" t="inlineStr">
        <is>
          <t>가치평가 방법별 Low/Base/High</t>
        </is>
      </c>
    </row>
    <row r="10" ht="24" customHeight="1">
      <c r="A10" s="25" t="inlineStr">
        <is>
          <t>방법 코드</t>
        </is>
      </c>
      <c r="B10" s="25" t="inlineStr">
        <is>
          <t>가치평가 방법</t>
        </is>
      </c>
      <c r="C10" s="25" t="inlineStr">
        <is>
          <t>하단 지분가치</t>
        </is>
      </c>
      <c r="D10" s="25" t="inlineStr">
        <is>
          <t>중앙 지분가치</t>
        </is>
      </c>
      <c r="E10" s="25" t="inlineStr">
        <is>
          <t>상단 지분가치</t>
        </is>
      </c>
      <c r="F10" s="25" t="inlineStr">
        <is>
          <t>하단 주당가치</t>
        </is>
      </c>
      <c r="G10" s="25" t="inlineStr">
        <is>
          <t>중앙 주당가치</t>
        </is>
      </c>
      <c r="H10" s="25" t="inlineStr">
        <is>
          <t>상단 주당가치</t>
        </is>
      </c>
      <c r="I10" s="25" t="inlineStr">
        <is>
          <t>현재가</t>
        </is>
      </c>
      <c r="J10" s="25" t="inlineStr">
        <is>
          <t>현재가 대비</t>
        </is>
      </c>
      <c r="K10" s="25" t="inlineStr">
        <is>
          <t>해석</t>
        </is>
      </c>
      <c r="L10" s="25" t="inlineStr">
        <is>
          <t>출처</t>
        </is>
      </c>
      <c r="M10" s="25" t="inlineStr">
        <is>
          <t>신뢰도</t>
        </is>
      </c>
    </row>
    <row r="11" ht="24" customHeight="1">
      <c r="A11" s="24" t="inlineStr">
        <is>
          <t>DCF_BASE</t>
        </is>
      </c>
      <c r="B11" s="24" t="inlineStr">
        <is>
          <t>DCF 기준가치</t>
        </is>
      </c>
      <c r="C11" s="30" t="n">
        <v>-696492183631.9866</v>
      </c>
      <c r="D11" s="30" t="n">
        <v>-819402568978.8077</v>
      </c>
      <c r="E11" s="30" t="n">
        <v>-942312954325.6288</v>
      </c>
      <c r="F11" s="30" t="n">
        <v>-34014.08084629675</v>
      </c>
      <c r="G11" s="30" t="n">
        <v>-40016.56570152559</v>
      </c>
      <c r="H11" s="30" t="n">
        <v>-46019.05055675442</v>
      </c>
      <c r="I11" s="30" t="n">
        <v>20200</v>
      </c>
      <c r="J11" s="35" t="n">
        <v>-2.98101810403592</v>
      </c>
      <c r="K11" s="24" t="inlineStr">
        <is>
          <t>밸류에이션 부담</t>
        </is>
      </c>
      <c r="L11" s="24" t="inlineStr">
        <is>
          <t>Valuation Agent DCF</t>
        </is>
      </c>
      <c r="M11" s="24" t="inlineStr">
        <is>
          <t>핵심 모델</t>
        </is>
      </c>
    </row>
    <row r="12" ht="24" customHeight="1">
      <c r="A12" s="29" t="inlineStr">
        <is>
          <t>PSR_COMP</t>
        </is>
      </c>
      <c r="B12" s="29" t="inlineStr">
        <is>
          <t>P/S 상대가치</t>
        </is>
      </c>
      <c r="C12" s="31" t="n">
        <v>152014714321.261</v>
      </c>
      <c r="D12" s="31" t="n">
        <v>392354663783.9818</v>
      </c>
      <c r="E12" s="31" t="n">
        <v>412603167600</v>
      </c>
      <c r="F12" s="31" t="n">
        <v>7423.831744653356</v>
      </c>
      <c r="G12" s="31" t="n">
        <v>19161.13858561476</v>
      </c>
      <c r="H12" s="31" t="n">
        <v>20150</v>
      </c>
      <c r="I12" s="31" t="n">
        <v>20200</v>
      </c>
      <c r="J12" s="36" t="n">
        <v>-0.05142878289035835</v>
      </c>
      <c r="K12" s="29" t="inlineStr">
        <is>
          <t>중립권</t>
        </is>
      </c>
      <c r="L12" s="29" t="inlineStr">
        <is>
          <t>시가총액/매출 피어 비교</t>
        </is>
      </c>
      <c r="M12" s="29" t="inlineStr">
        <is>
          <t>피어 중앙값 기반</t>
        </is>
      </c>
    </row>
    <row r="13" ht="24" customHeight="1">
      <c r="A13" s="24" t="inlineStr">
        <is>
          <t>PBR_COMP</t>
        </is>
      </c>
      <c r="B13" s="24" t="inlineStr">
        <is>
          <t>P/B 상대가치</t>
        </is>
      </c>
      <c r="C13" s="30" t="n">
        <v>269609030712.0407</v>
      </c>
      <c r="D13" s="30" t="n">
        <v>279876957463.4119</v>
      </c>
      <c r="E13" s="30" t="n">
        <v>412603167600</v>
      </c>
      <c r="F13" s="30" t="n">
        <v>13166.69961708656</v>
      </c>
      <c r="G13" s="30" t="n">
        <v>13668.14686782775</v>
      </c>
      <c r="H13" s="30" t="n">
        <v>20150</v>
      </c>
      <c r="I13" s="30" t="n">
        <v>20200</v>
      </c>
      <c r="J13" s="35" t="n">
        <v>-0.3233590659491211</v>
      </c>
      <c r="K13" s="24" t="inlineStr">
        <is>
          <t>밸류에이션 부담</t>
        </is>
      </c>
      <c r="L13" s="24" t="inlineStr">
        <is>
          <t>시가총액/자본 피어 비교</t>
        </is>
      </c>
      <c r="M13" s="24" t="inlineStr">
        <is>
          <t>피어 중앙값 기반</t>
        </is>
      </c>
    </row>
    <row r="14" ht="24" customHeight="1">
      <c r="A14" s="29" t="inlineStr">
        <is>
          <t>EV_SALES_COMP</t>
        </is>
      </c>
      <c r="B14" s="29" t="inlineStr">
        <is>
          <t>EV/Sales 상대가치</t>
        </is>
      </c>
      <c r="C14" s="31" t="n">
        <v>-269733158771.3516</v>
      </c>
      <c r="D14" s="31" t="n">
        <v>-54200066527.00122</v>
      </c>
      <c r="E14" s="31" t="n">
        <v>452635785666.9999</v>
      </c>
      <c r="F14" s="31" t="n">
        <v>-13172.76156859716</v>
      </c>
      <c r="G14" s="31" t="n">
        <v>-2646.929122894777</v>
      </c>
      <c r="H14" s="31" t="n">
        <v>22105.04377424476</v>
      </c>
      <c r="I14" s="31" t="n">
        <v>20200</v>
      </c>
      <c r="J14" s="36" t="n">
        <v>-1.131036095192811</v>
      </c>
      <c r="K14" s="29" t="inlineStr">
        <is>
          <t>밸류에이션 부담</t>
        </is>
      </c>
      <c r="L14" s="29" t="inlineStr">
        <is>
          <t>EV/매출 피어 비교</t>
        </is>
      </c>
      <c r="M14" s="29" t="inlineStr">
        <is>
          <t>EV 조정 피어 기준</t>
        </is>
      </c>
    </row>
    <row r="15" ht="24" customHeight="1"/>
    <row r="16" ht="24" customHeight="1"/>
    <row r="17" ht="24" customHeight="1">
      <c r="A17" s="22" t="inlineStr">
        <is>
          <t>사용 가이드</t>
        </is>
      </c>
    </row>
    <row r="18" ht="24" customHeight="1">
      <c r="A18" s="25" t="inlineStr">
        <is>
          <t>항목</t>
        </is>
      </c>
      <c r="B18" s="25" t="inlineStr">
        <is>
          <t>내용</t>
        </is>
      </c>
    </row>
    <row r="19" ht="24" customHeight="1">
      <c r="A19" s="24" t="inlineStr">
        <is>
          <t>해석 방법</t>
        </is>
      </c>
      <c r="B19" s="24" t="inlineStr">
        <is>
          <t>한 방법만 우호적이면 확신도가 낮고, 여러 방법의 중앙값이 현재가보다 높으면 상대적으로 우호적입니다.</t>
        </is>
      </c>
    </row>
    <row r="20" ht="24" customHeight="1">
      <c r="A20" s="29" t="inlineStr">
        <is>
          <t>주의</t>
        </is>
      </c>
      <c r="B20" s="29" t="inlineStr">
        <is>
          <t>PER/PBR/EV/EBIT는 적자·음수 지표에서 자동 제외됩니다. 제외 사유는 빈칸이 아니라 해당 없음으로 표시됩니다.</t>
        </is>
      </c>
    </row>
  </sheetData>
  <autoFilter ref="A18:B20"/>
  <mergeCells count="22">
    <mergeCell ref="C6:D6"/>
    <mergeCell ref="I6:J6"/>
    <mergeCell ref="C5:D5"/>
    <mergeCell ref="E5:F5"/>
    <mergeCell ref="K5:L5"/>
    <mergeCell ref="A6:B6"/>
    <mergeCell ref="C4:D4"/>
    <mergeCell ref="A2:L2"/>
    <mergeCell ref="E4:F4"/>
    <mergeCell ref="A17:F17"/>
    <mergeCell ref="G6:H6"/>
    <mergeCell ref="E6:F6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0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덕산테코피아 역산 DCF·오너 이익</t>
        </is>
      </c>
    </row>
    <row r="2" ht="28" customHeight="1">
      <c r="A2" s="17" t="inlineStr">
        <is>
          <t>현재 주가가 요구하는 성장률과 현금창출 기준 보수 가치를 점검</t>
        </is>
      </c>
    </row>
    <row r="3" ht="24" customHeight="1"/>
    <row r="4" ht="24" customHeight="1">
      <c r="A4" s="18" t="inlineStr">
        <is>
          <t>시장 내재 EV</t>
        </is>
      </c>
      <c r="B4" s="19" t="n"/>
      <c r="C4" s="18" t="inlineStr">
        <is>
          <t>모델 EV</t>
        </is>
      </c>
      <c r="D4" s="19" t="n"/>
      <c r="E4" s="18" t="inlineStr">
        <is>
          <t>EV 괴리</t>
        </is>
      </c>
      <c r="F4" s="19" t="n"/>
      <c r="G4" s="18" t="inlineStr">
        <is>
          <t>요구 FCF 수익률</t>
        </is>
      </c>
      <c r="H4" s="19" t="n"/>
      <c r="I4" s="18" t="inlineStr">
        <is>
          <t>역산 성장률</t>
        </is>
      </c>
      <c r="J4" s="19" t="n"/>
    </row>
    <row r="5" ht="24" customHeight="1">
      <c r="A5" s="20" t="inlineStr">
        <is>
          <t>9,138.2억원</t>
        </is>
      </c>
      <c r="B5" s="19" t="n"/>
      <c r="C5" s="20" t="inlineStr">
        <is>
          <t>-3,192.1억원</t>
        </is>
      </c>
      <c r="D5" s="19" t="n"/>
      <c r="E5" s="20" t="inlineStr">
        <is>
          <t>-386.3%</t>
        </is>
      </c>
      <c r="F5" s="19" t="n"/>
      <c r="G5" s="20" t="inlineStr">
        <is>
          <t>-2.4%</t>
        </is>
      </c>
      <c r="H5" s="19" t="n"/>
      <c r="I5" s="20" t="inlineStr">
        <is>
          <t>8.0%</t>
        </is>
      </c>
      <c r="J5" s="19" t="n"/>
    </row>
    <row r="6" ht="24" customHeight="1">
      <c r="A6" s="21" t="inlineStr">
        <is>
          <t>시가총액+부채-현금</t>
        </is>
      </c>
      <c r="B6" s="19" t="n"/>
      <c r="C6" s="21" t="inlineStr">
        <is>
          <t>DCF 산출 EV</t>
        </is>
      </c>
      <c r="D6" s="19" t="n"/>
      <c r="E6" s="21" t="inlineStr">
        <is>
          <t>시장/모델-1</t>
        </is>
      </c>
      <c r="F6" s="19" t="n"/>
      <c r="G6" s="21" t="inlineStr">
        <is>
          <t>FCF/시장내재 EV</t>
        </is>
      </c>
      <c r="H6" s="19" t="n"/>
      <c r="I6" s="21" t="inlineStr">
        <is>
          <t>시장가격 내재</t>
        </is>
      </c>
      <c r="J6" s="19" t="n"/>
    </row>
    <row r="7" ht="24" customHeight="1"/>
    <row r="8" ht="24" customHeight="1"/>
    <row r="9" ht="24" customHeight="1">
      <c r="A9" s="22" t="inlineStr">
        <is>
          <t>역산 DCF 핵심값</t>
        </is>
      </c>
    </row>
    <row r="10" ht="24" customHeight="1">
      <c r="A10" s="25" t="inlineStr">
        <is>
          <t>현재가</t>
        </is>
      </c>
      <c r="B10" s="25" t="inlineStr">
        <is>
          <t>시가총액</t>
        </is>
      </c>
      <c r="C10" s="25" t="inlineStr">
        <is>
          <t>시장 내재 EV</t>
        </is>
      </c>
      <c r="D10" s="25" t="inlineStr">
        <is>
          <t>모델 EV</t>
        </is>
      </c>
      <c r="E10" s="25" t="inlineStr">
        <is>
          <t>시장/모델 EV 괴리</t>
        </is>
      </c>
      <c r="F10" s="25" t="inlineStr">
        <is>
          <t>요구 FCF 수익률</t>
        </is>
      </c>
      <c r="G10" s="25" t="inlineStr">
        <is>
          <t>역산 영구성장률</t>
        </is>
      </c>
      <c r="H10" s="25" t="inlineStr">
        <is>
          <t>wacc_used</t>
        </is>
      </c>
      <c r="I10" s="25" t="inlineStr">
        <is>
          <t>해석</t>
        </is>
      </c>
    </row>
    <row r="11" ht="24" customHeight="1">
      <c r="A11" s="30" t="n">
        <v>20200</v>
      </c>
      <c r="B11" s="30" t="n">
        <v>413626996800</v>
      </c>
      <c r="C11" s="30" t="n">
        <v>913824523506</v>
      </c>
      <c r="D11" s="30" t="n">
        <v>-319205042272.8077</v>
      </c>
      <c r="E11" s="35" t="n">
        <v>-3.862813560209999</v>
      </c>
      <c r="F11" s="35" t="n">
        <v>-0.02363675715894506</v>
      </c>
      <c r="G11" s="35" t="n">
        <v>0.08</v>
      </c>
      <c r="H11" s="30" t="n">
        <v>0.08568398456306622</v>
      </c>
      <c r="I11" s="24" t="inlineStr">
        <is>
          <t>현재 주가가 요구하는 FCF yield와 영구성장률을 역산해 DCF 가정의 현실성을 점검합니다.</t>
        </is>
      </c>
    </row>
    <row r="12" ht="24" customHeight="1"/>
    <row r="13" ht="24" customHeight="1"/>
    <row r="14" ht="24" customHeight="1">
      <c r="A14" s="22" t="inlineStr">
        <is>
          <t>오너 이익 / EPV / Graham Number</t>
        </is>
      </c>
    </row>
    <row r="15" ht="24" customHeight="1">
      <c r="A15" s="25" t="inlineStr">
        <is>
          <t>오너 이익</t>
        </is>
      </c>
      <c r="B15" s="25" t="inlineStr">
        <is>
          <t>owner_earnings_method_kr</t>
        </is>
      </c>
      <c r="C15" s="25" t="inlineStr">
        <is>
          <t>오너 이익 수익률</t>
        </is>
      </c>
      <c r="D15" s="25" t="inlineStr">
        <is>
          <t>owner_earnings_value</t>
        </is>
      </c>
      <c r="E15" s="25" t="inlineStr">
        <is>
          <t>오너 이익 주당가치</t>
        </is>
      </c>
      <c r="F15" s="25" t="inlineStr">
        <is>
          <t>epv_equity_value</t>
        </is>
      </c>
      <c r="G15" s="25" t="inlineStr">
        <is>
          <t>EPV 주당가치</t>
        </is>
      </c>
      <c r="H15" s="25" t="inlineStr">
        <is>
          <t>eps</t>
        </is>
      </c>
      <c r="I15" s="25" t="inlineStr">
        <is>
          <t>bps</t>
        </is>
      </c>
      <c r="J15" s="25" t="inlineStr">
        <is>
          <t>Graham Number</t>
        </is>
      </c>
      <c r="K15" s="25" t="inlineStr">
        <is>
          <t>method_note_kr</t>
        </is>
      </c>
    </row>
    <row r="16" ht="24" customHeight="1">
      <c r="A16" s="30" t="n">
        <v>-21599848348</v>
      </c>
      <c r="B16" s="24" t="inlineStr">
        <is>
          <t>FCF = CFO - CAPEX</t>
        </is>
      </c>
      <c r="C16" s="35" t="n">
        <v>-0.05222059612913545</v>
      </c>
      <c r="D16" s="30" t="n">
        <v>-252087346989.5859</v>
      </c>
      <c r="E16" s="30" t="n">
        <v>-12311.00592704261</v>
      </c>
      <c r="F16" s="30" t="n">
        <v>-881833279597.6233</v>
      </c>
      <c r="G16" s="30" t="n">
        <v>-43065.44878763095</v>
      </c>
      <c r="H16" s="30" t="n">
        <v>-5154.690951283671</v>
      </c>
      <c r="I16" s="30" t="n">
        <v>5199.873022570561</v>
      </c>
      <c r="J16" s="24" t="inlineStr">
        <is>
          <t>해당 없음</t>
        </is>
      </c>
      <c r="K16" s="24" t="inlineStr">
        <is>
          <t>오너 이익, EPV, Graham Number는 DCF를 보완하는 보수적 교차검증 지표입니다.</t>
        </is>
      </c>
    </row>
    <row r="17" ht="24" customHeight="1"/>
    <row r="18" ht="24" customHeight="1"/>
    <row r="19" ht="24" customHeight="1">
      <c r="A19" s="22" t="inlineStr">
        <is>
          <t>해석 가이드</t>
        </is>
      </c>
    </row>
    <row r="20" ht="24" customHeight="1">
      <c r="A20" s="25" t="inlineStr">
        <is>
          <t>항목</t>
        </is>
      </c>
      <c r="B20" s="25" t="inlineStr">
        <is>
          <t>내용</t>
        </is>
      </c>
    </row>
    <row r="21" ht="24" customHeight="1">
      <c r="A21" s="24" t="inlineStr">
        <is>
          <t>역산 DCF</t>
        </is>
      </c>
      <c r="B21" s="24" t="inlineStr">
        <is>
          <t>현재 주가를 정당화하려면 어떤 영구성장률·FCF 수익률이 필요한지 역산합니다.</t>
        </is>
      </c>
    </row>
    <row r="22" ht="24" customHeight="1">
      <c r="A22" s="29" t="inlineStr">
        <is>
          <t>오너 이익</t>
        </is>
      </c>
      <c r="B22" s="29" t="inlineStr">
        <is>
          <t>CFO-CAPEX 또는 FCF를 기반으로 보수적 현금창출 가치를 계산합니다.</t>
        </is>
      </c>
    </row>
    <row r="23" ht="24" customHeight="1">
      <c r="A23" s="24" t="inlineStr">
        <is>
          <t>EPV</t>
        </is>
      </c>
      <c r="B23" s="24" t="inlineStr">
        <is>
          <t>영업이익의 지속가능성을 가정해 현재 수익력 기준 기업가치를 확인합니다.</t>
        </is>
      </c>
    </row>
  </sheetData>
  <autoFilter ref="A20:B23"/>
  <mergeCells count="20">
    <mergeCell ref="C6:D6"/>
    <mergeCell ref="I6:J6"/>
    <mergeCell ref="C5:D5"/>
    <mergeCell ref="E5:F5"/>
    <mergeCell ref="A6:B6"/>
    <mergeCell ref="C4:D4"/>
    <mergeCell ref="E4:F4"/>
    <mergeCell ref="A14:F14"/>
    <mergeCell ref="G6:H6"/>
    <mergeCell ref="A1:J1"/>
    <mergeCell ref="E6:F6"/>
    <mergeCell ref="A19:F19"/>
    <mergeCell ref="A9:F9"/>
    <mergeCell ref="A5:B5"/>
    <mergeCell ref="G5:H5"/>
    <mergeCell ref="I5:J5"/>
    <mergeCell ref="A4:B4"/>
    <mergeCell ref="G4:H4"/>
    <mergeCell ref="I4:J4"/>
    <mergeCell ref="A2:J2"/>
  </mergeCells>
  <pageMargins left="0.75" right="0.75" top="1" bottom="1" header="0.5" footer="0.5"/>
  <pageSetup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30" customWidth="1" min="2" max="2"/>
    <col width="4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덕산테코피아 데이터 수집현황·보강경로</t>
        </is>
      </c>
    </row>
    <row r="2" ht="28" customHeight="1">
      <c r="A2" s="17" t="inlineStr">
        <is>
          <t>원천 제공 여부와 대체 산출 경로를 분리해 Chair·대시보드에서 그대로 확인</t>
        </is>
      </c>
    </row>
    <row r="3" ht="24" customHeight="1"/>
    <row r="4" ht="24" customHeight="1">
      <c r="A4" s="22" t="inlineStr">
        <is>
          <t>데이터 블록별 확보 상태</t>
        </is>
      </c>
    </row>
    <row r="5" ht="24" customHeight="1">
      <c r="A5" s="25" t="inlineStr">
        <is>
          <t>데이터블록</t>
        </is>
      </c>
      <c r="B5" s="25" t="inlineStr">
        <is>
          <t>상태</t>
        </is>
      </c>
      <c r="C5" s="25" t="inlineStr">
        <is>
          <t>수집경로</t>
        </is>
      </c>
      <c r="D5" s="25" t="inlineStr">
        <is>
          <t>가치평가 활용</t>
        </is>
      </c>
      <c r="E5" s="25" t="inlineStr">
        <is>
          <t>대시보드 표시</t>
        </is>
      </c>
    </row>
    <row r="6" ht="24" customHeight="1">
      <c r="A6" s="24" t="inlineStr">
        <is>
          <t>DART 재무제표</t>
        </is>
      </c>
      <c r="B6" s="24" t="inlineStr">
        <is>
          <t>확보</t>
        </is>
      </c>
      <c r="C6" s="24" t="inlineStr">
        <is>
          <t>OpenDART fnlttSinglAcntAll/fnlttSinglAcnt</t>
        </is>
      </c>
      <c r="D6" s="24" t="inlineStr">
        <is>
          <t>매출·자본·순이익·현금흐름 확보</t>
        </is>
      </c>
      <c r="E6" s="24" t="inlineStr">
        <is>
          <t>표시 가능</t>
        </is>
      </c>
    </row>
    <row r="7" ht="24" customHeight="1">
      <c r="A7" s="29" t="inlineStr">
        <is>
          <t>주가 이력</t>
        </is>
      </c>
      <c r="B7" s="29" t="inlineStr">
        <is>
          <t>확보</t>
        </is>
      </c>
      <c r="C7" s="29" t="inlineStr">
        <is>
          <t>yfinance → Yahoo chart → Naver 일별시세 fallback</t>
        </is>
      </c>
      <c r="D7" s="29" t="inlineStr">
        <is>
          <t>현재가·변동성·MDD·거래대금 확보</t>
        </is>
      </c>
      <c r="E7" s="29" t="inlineStr">
        <is>
          <t>표시 가능</t>
        </is>
      </c>
    </row>
    <row r="8" ht="24" customHeight="1">
      <c r="A8" s="24" t="inlineStr">
        <is>
          <t>발행주식 수</t>
        </is>
      </c>
      <c r="B8" s="24" t="inlineStr">
        <is>
          <t>확보</t>
        </is>
      </c>
      <c r="C8" s="24" t="inlineStr">
        <is>
          <t>OpenDART stockTotqySttus</t>
        </is>
      </c>
      <c r="D8" s="24" t="inlineStr">
        <is>
          <t>내재주가·시가총액 계산</t>
        </is>
      </c>
      <c r="E8" s="24" t="inlineStr">
        <is>
          <t>표시 가능</t>
        </is>
      </c>
    </row>
    <row r="9" ht="24" customHeight="1">
      <c r="A9" s="29" t="inlineStr">
        <is>
          <t>피어 멀티플</t>
        </is>
      </c>
      <c r="B9" s="29" t="inlineStr">
        <is>
          <t>확보</t>
        </is>
      </c>
      <c r="C9" s="29" t="inlineStr">
        <is>
          <t>Valuation 전용 live peer intake</t>
        </is>
      </c>
      <c r="D9" s="29" t="inlineStr">
        <is>
          <t>P/S·PER·PBR·EV/Sales 비교</t>
        </is>
      </c>
      <c r="E9" s="29" t="inlineStr">
        <is>
          <t>표시 가능</t>
        </is>
      </c>
    </row>
    <row r="10" ht="24" customHeight="1">
      <c r="A10" s="24" t="inlineStr">
        <is>
          <t>208개 Universe</t>
        </is>
      </c>
      <c r="B10" s="24" t="inlineStr">
        <is>
          <t>확보</t>
        </is>
      </c>
      <c r="C10" s="24" t="inlineStr">
        <is>
          <t>Tech universe 축 복제 + valuation proxy</t>
        </is>
      </c>
      <c r="D10" s="24" t="inlineStr">
        <is>
          <t>대규모 상대 위치 비교</t>
        </is>
      </c>
      <c r="E10" s="24" t="inlineStr">
        <is>
          <t>표시 가능</t>
        </is>
      </c>
    </row>
    <row r="11" ht="24" customHeight="1">
      <c r="A11" s="29" t="inlineStr">
        <is>
          <t>보조 투자지표</t>
        </is>
      </c>
      <c r="B11" s="29" t="inlineStr">
        <is>
          <t>확보</t>
        </is>
      </c>
      <c r="C11" s="29" t="inlineStr">
        <is>
          <t>Naver finance live + DART/주가 자동 산출 fallback</t>
        </is>
      </c>
      <c r="D11" s="29" t="inlineStr">
        <is>
          <t>외부 표시 PER/PBR/EPS/BPS 또는 자체 산출값</t>
        </is>
      </c>
      <c r="E11" s="29" t="inlineStr">
        <is>
          <t>표시 가능</t>
        </is>
      </c>
    </row>
    <row r="12" ht="24" customHeight="1"/>
    <row r="13" ht="24" customHeight="1"/>
    <row r="14" ht="24" customHeight="1">
      <c r="A14" s="22" t="inlineStr">
        <is>
          <t>자동 생성/참조 파일 경로</t>
        </is>
      </c>
    </row>
    <row r="15" ht="24" customHeight="1">
      <c r="A15" s="25" t="inlineStr">
        <is>
          <t>파일구분</t>
        </is>
      </c>
      <c r="B15" s="25" t="inlineStr">
        <is>
          <t>경로</t>
        </is>
      </c>
      <c r="C15" s="25" t="inlineStr">
        <is>
          <t>활용</t>
        </is>
      </c>
    </row>
    <row r="16" ht="24" customHeight="1">
      <c r="A16" s="24" t="inlineStr">
        <is>
          <t>template_catalog_csv</t>
        </is>
      </c>
      <c r="B16" s="24" t="inlineStr">
        <is>
          <t>data/반도체/덕산테코피아/valuation/intake/valuation_modeling_template_catalog.csv</t>
        </is>
      </c>
      <c r="C16" s="24" t="inlineStr">
        <is>
          <t>Valuation Agent intake/output</t>
        </is>
      </c>
    </row>
    <row r="17" ht="24" customHeight="1">
      <c r="A17" s="29" t="inlineStr">
        <is>
          <t>template_catalog_json</t>
        </is>
      </c>
      <c r="B17" s="29" t="inlineStr">
        <is>
          <t>data/반도체/덕산테코피아/valuation/intake/valuation_modeling_template_catalog.json</t>
        </is>
      </c>
      <c r="C17" s="29" t="inlineStr">
        <is>
          <t>Valuation Agent intake/output</t>
        </is>
      </c>
    </row>
    <row r="18" ht="24" customHeight="1">
      <c r="A18" s="24" t="inlineStr">
        <is>
          <t>raw_dart_accounts_csv</t>
        </is>
      </c>
      <c r="B18" s="24" t="inlineStr">
        <is>
          <t>data/반도체/덕산테코피아/valuation/intake/valuation_raw_dart_accounts.csv</t>
        </is>
      </c>
      <c r="C18" s="24" t="inlineStr">
        <is>
          <t>Valuation Agent intake/output</t>
        </is>
      </c>
    </row>
    <row r="19" ht="24" customHeight="1">
      <c r="A19" s="29" t="inlineStr">
        <is>
          <t>normalized_financials_csv</t>
        </is>
      </c>
      <c r="B19" s="29" t="inlineStr">
        <is>
          <t>data/반도체/덕산테코피아/valuation/intake/valuation_normalized_financials.csv</t>
        </is>
      </c>
      <c r="C19" s="29" t="inlineStr">
        <is>
          <t>Valuation Agent intake/output</t>
        </is>
      </c>
    </row>
    <row r="20" ht="24" customHeight="1">
      <c r="A20" s="24" t="inlineStr">
        <is>
          <t>price_history_csv</t>
        </is>
      </c>
      <c r="B20" s="24" t="inlineStr">
        <is>
          <t>data/반도체/덕산테코피아/valuation/intake/valuation_price_history.csv</t>
        </is>
      </c>
      <c r="C20" s="24" t="inlineStr">
        <is>
          <t>Valuation Agent intake/output</t>
        </is>
      </c>
    </row>
    <row r="21" ht="24" customHeight="1">
      <c r="A21" s="29" t="inlineStr">
        <is>
          <t>share_count_csv</t>
        </is>
      </c>
      <c r="B21" s="29" t="inlineStr">
        <is>
          <t>data/반도체/덕산테코피아/valuation/intake/valuation_share_count.csv</t>
        </is>
      </c>
      <c r="C21" s="29" t="inlineStr">
        <is>
          <t>Valuation Agent intake/output</t>
        </is>
      </c>
    </row>
    <row r="22" ht="24" customHeight="1">
      <c r="A22" s="24" t="inlineStr">
        <is>
          <t>price_summary_json</t>
        </is>
      </c>
      <c r="B22" s="24" t="inlineStr">
        <is>
          <t>data/반도체/덕산테코피아/valuation/intake/valuation_price_summary.json</t>
        </is>
      </c>
      <c r="C22" s="24" t="inlineStr">
        <is>
          <t>Valuation Agent intake/output</t>
        </is>
      </c>
    </row>
    <row r="23" ht="24" customHeight="1">
      <c r="A23" s="29" t="inlineStr">
        <is>
          <t>market_snapshot_json</t>
        </is>
      </c>
      <c r="B23" s="29" t="inlineStr">
        <is>
          <t>data/반도체/덕산테코피아/valuation/intake/valuation_market_snapshot.json</t>
        </is>
      </c>
      <c r="C23" s="29" t="inlineStr">
        <is>
          <t>Valuation Agent intake/output</t>
        </is>
      </c>
    </row>
    <row r="24" ht="24" customHeight="1">
      <c r="A24" s="24" t="inlineStr">
        <is>
          <t>market_snapshot_csv</t>
        </is>
      </c>
      <c r="B24" s="24" t="inlineStr">
        <is>
          <t>data/반도체/덕산테코피아/valuation/intake/valuation_market_snapshot.csv</t>
        </is>
      </c>
      <c r="C24" s="24" t="inlineStr">
        <is>
          <t>Valuation Agent intake/output</t>
        </is>
      </c>
    </row>
    <row r="25" ht="24" customHeight="1">
      <c r="A25" s="29" t="inlineStr">
        <is>
          <t>peer_input_csv</t>
        </is>
      </c>
      <c r="B25" s="29" t="inlineStr">
        <is>
          <t>data/반도체/덕산테코피아/valuation/intake/valuation_peer_input.csv</t>
        </is>
      </c>
      <c r="C25" s="29" t="inlineStr">
        <is>
          <t>Valuation Agent intake/output</t>
        </is>
      </c>
    </row>
    <row r="26" ht="24" customHeight="1">
      <c r="A26" s="24" t="inlineStr">
        <is>
          <t>assumptions_json</t>
        </is>
      </c>
      <c r="B26" s="24" t="inlineStr">
        <is>
          <t>data/반도체/덕산테코피아/valuation/intake/valuation_assumptions.json</t>
        </is>
      </c>
      <c r="C26" s="24" t="inlineStr">
        <is>
          <t>Valuation Agent intake/output</t>
        </is>
      </c>
    </row>
    <row r="27" ht="24" customHeight="1">
      <c r="A27" s="29" t="inlineStr">
        <is>
          <t>reference_universe_208_csv</t>
        </is>
      </c>
      <c r="B27" s="29" t="inlineStr">
        <is>
          <t>data/반도체/덕산테코피아/valuation/intake/valuation_reference_universe_208.csv</t>
        </is>
      </c>
      <c r="C27" s="29" t="inlineStr">
        <is>
          <t>Valuation Agent intake/output</t>
        </is>
      </c>
    </row>
    <row r="28" ht="24" customHeight="1">
      <c r="A28" s="24" t="inlineStr">
        <is>
          <t>reference_universe_focus_csv</t>
        </is>
      </c>
      <c r="B28" s="24" t="inlineStr">
        <is>
          <t>data/반도체/덕산테코피아/valuation/intake/valuation_reference_universe_focus.csv</t>
        </is>
      </c>
      <c r="C28" s="24" t="inlineStr">
        <is>
          <t>Valuation Agent intake/output</t>
        </is>
      </c>
    </row>
    <row r="29" ht="24" customHeight="1">
      <c r="A29" s="29" t="inlineStr">
        <is>
          <t>reference_universe_summary_json</t>
        </is>
      </c>
      <c r="B29" s="29" t="inlineStr">
        <is>
          <t>data/반도체/덕산테코피아/valuation/intake/valuation_reference_universe_summary.json</t>
        </is>
      </c>
      <c r="C29" s="29" t="inlineStr">
        <is>
          <t>Valuation Agent intake/output</t>
        </is>
      </c>
    </row>
  </sheetData>
  <autoFilter ref="A15:C29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덕산테코피아 투자판단 요약</t>
        </is>
      </c>
      <c r="B1" t="inlineStr"/>
      <c r="C1" t="inlineStr"/>
      <c r="D1" t="inlineStr"/>
      <c r="E1" t="inlineStr"/>
      <c r="F1" t="inlineStr"/>
    </row>
    <row r="2">
      <c r="A2" t="inlineStr">
        <is>
          <t>목적</t>
        </is>
      </c>
      <c r="B2" t="inlineStr">
        <is>
          <t>DCF·상대가치·주가역산·오너이익·208개 기준 비교군을 한 장에서 확인하는 투자자용 요약입니다.</t>
        </is>
      </c>
      <c r="C2" t="inlineStr"/>
      <c r="D2" t="inlineStr"/>
      <c r="E2" t="inlineStr"/>
      <c r="F2" t="inlineStr"/>
    </row>
    <row r="3">
      <c r="A3" t="inlineStr">
        <is>
          <t>최종 가치평가 관점</t>
        </is>
      </c>
      <c r="B3" t="inlineStr">
        <is>
          <t>가치평가 관점 보수</t>
        </is>
      </c>
      <c r="C3" t="inlineStr">
        <is>
          <t>근거</t>
        </is>
      </c>
      <c r="D3" t="inlineStr">
        <is>
          <t>DCF 기준 현재가 부담이 큽니다. 보조 가치평가 점수가 45점 미만으로 보수적 해석이 필요합니다. 종합 가치평가 점수가 45점 미만으로 보수적 해석이 필요합니다.</t>
        </is>
      </c>
      <c r="E3" t="inlineStr">
        <is>
          <t>검증 상태</t>
        </is>
      </c>
      <c r="F3" t="inlineStr">
        <is>
          <t>주의 포함 통과</t>
        </is>
      </c>
    </row>
    <row r="4">
      <c r="A4" t="inlineStr">
        <is>
          <t>핵심 지표</t>
        </is>
      </c>
      <c r="B4" t="inlineStr">
        <is>
          <t>값</t>
        </is>
      </c>
      <c r="C4" t="inlineStr">
        <is>
          <t>해석</t>
        </is>
      </c>
      <c r="D4" t="inlineStr">
        <is>
          <t>원천/산식</t>
        </is>
      </c>
      <c r="E4" t="inlineStr">
        <is>
          <t>대시보드 활용</t>
        </is>
      </c>
      <c r="F4" t="inlineStr">
        <is>
          <t>주의사항</t>
        </is>
      </c>
    </row>
    <row r="5">
      <c r="A5" t="inlineStr">
        <is>
          <t>현재가</t>
        </is>
      </c>
      <c r="B5" t="inlineStr">
        <is>
          <t>20,200원</t>
        </is>
      </c>
      <c r="C5" t="inlineStr">
        <is>
          <t>시장 기준점</t>
        </is>
      </c>
      <c r="D5" t="inlineStr">
        <is>
          <t>가치평가 전용 주가 수집</t>
        </is>
      </c>
      <c r="E5" t="inlineStr">
        <is>
          <t>주가 카드</t>
        </is>
      </c>
      <c r="F5" t="inlineStr">
        <is>
          <t>수집일 기준 변동 가능</t>
        </is>
      </c>
    </row>
    <row r="6">
      <c r="A6" t="inlineStr">
        <is>
          <t>DCF 내재주가</t>
        </is>
      </c>
      <c r="B6" t="inlineStr">
        <is>
          <t>-40,017원</t>
        </is>
      </c>
      <c r="C6" t="inlineStr">
        <is>
          <t>절대가치 기준</t>
        </is>
      </c>
      <c r="D6" t="inlineStr">
        <is>
          <t>FCF 추정 + WACC + 영구성장률</t>
        </is>
      </c>
      <c r="E6" t="inlineStr">
        <is>
          <t>DCF 카드</t>
        </is>
      </c>
      <c r="F6" t="inlineStr">
        <is>
          <t>가정 민감도 확인 필요</t>
        </is>
      </c>
    </row>
    <row r="7">
      <c r="A7" t="inlineStr">
        <is>
          <t>현재가 대비 괴리율</t>
        </is>
      </c>
      <c r="B7" t="inlineStr">
        <is>
          <t>-298.1%</t>
        </is>
      </c>
      <c r="C7" t="inlineStr">
        <is>
          <t>안전마진 확인</t>
        </is>
      </c>
      <c r="D7" t="inlineStr">
        <is>
          <t>내재주가/현재가 - 1</t>
        </is>
      </c>
      <c r="E7" t="inlineStr">
        <is>
          <t>안전마진 배지</t>
        </is>
      </c>
      <c r="F7" t="inlineStr">
        <is>
          <t>절대 투자판단 단독 사용 금지</t>
        </is>
      </c>
    </row>
    <row r="8">
      <c r="A8" t="inlineStr">
        <is>
          <t>WACC</t>
        </is>
      </c>
      <c r="B8" t="inlineStr">
        <is>
          <t>8.6%</t>
        </is>
      </c>
      <c r="C8" t="inlineStr">
        <is>
          <t>할인율</t>
        </is>
      </c>
      <c r="D8" t="inlineStr">
        <is>
          <t>무위험이자율·시장위험프리미엄·베타·타인자본비용</t>
        </is>
      </c>
      <c r="E8" t="inlineStr">
        <is>
          <t>가정 슬라이더</t>
        </is>
      </c>
      <c r="F8" t="inlineStr">
        <is>
          <t>금리 변화 민감</t>
        </is>
      </c>
    </row>
    <row r="9">
      <c r="A9" t="inlineStr">
        <is>
          <t>P/S</t>
        </is>
      </c>
      <c r="B9" t="inlineStr">
        <is>
          <t>3.68배</t>
        </is>
      </c>
      <c r="C9" t="inlineStr">
        <is>
          <t>매출 대비 시장가치</t>
        </is>
      </c>
      <c r="D9" t="inlineStr">
        <is>
          <t>시가총액/매출액</t>
        </is>
      </c>
      <c r="E9" t="inlineStr">
        <is>
          <t>상대가치 카드</t>
        </is>
      </c>
      <c r="F9" t="inlineStr">
        <is>
          <t>적자기업에도 활용 가능</t>
        </is>
      </c>
    </row>
    <row r="10">
      <c r="A10" t="inlineStr">
        <is>
          <t>비교기업 P/S 중앙값</t>
        </is>
      </c>
      <c r="B10" t="inlineStr">
        <is>
          <t>3.50배</t>
        </is>
      </c>
      <c r="C10" t="inlineStr">
        <is>
          <t>5개 비교기업 기준</t>
        </is>
      </c>
      <c r="D10" t="inlineStr">
        <is>
          <t>피어 입력 자동 생성</t>
        </is>
      </c>
      <c r="E10" t="inlineStr">
        <is>
          <t>비교기업 차트</t>
        </is>
      </c>
      <c r="F10" t="inlineStr">
        <is>
          <t>비교기업 품질 확인 필요</t>
        </is>
      </c>
    </row>
    <row r="11">
      <c r="A11" t="inlineStr">
        <is>
          <t>가치범위 중앙값</t>
        </is>
      </c>
      <c r="B11" t="inlineStr">
        <is>
          <t>5,511원</t>
        </is>
      </c>
      <c r="C11" t="inlineStr">
        <is>
          <t>여러 방식의 교차검증</t>
        </is>
      </c>
      <c r="D11" t="inlineStr">
        <is>
          <t>DCF·P/S·P/B·PER·P/FCF 등</t>
        </is>
      </c>
      <c r="E11" t="inlineStr">
        <is>
          <t>가치범위표</t>
        </is>
      </c>
      <c r="F11" t="inlineStr">
        <is>
          <t>일부 방식은 손실기업에서 제외</t>
        </is>
      </c>
    </row>
    <row r="12">
      <c r="A12" t="inlineStr">
        <is>
          <t>주가역산 영구성장률</t>
        </is>
      </c>
      <c r="B12" t="inlineStr">
        <is>
          <t>8.0%</t>
        </is>
      </c>
      <c r="C12" t="inlineStr">
        <is>
          <t>현재 주가가 요구하는 장기 성장률</t>
        </is>
      </c>
      <c r="D12" t="inlineStr">
        <is>
          <t>현재가 기준 역산</t>
        </is>
      </c>
      <c r="E12" t="inlineStr">
        <is>
          <t>역산 DCF</t>
        </is>
      </c>
      <c r="F12" t="inlineStr">
        <is>
          <t>음수/과도한 값은 보수 해석</t>
        </is>
      </c>
    </row>
    <row r="13">
      <c r="A13" t="inlineStr">
        <is>
          <t>오너이익 주당가치</t>
        </is>
      </c>
      <c r="B13" t="inlineStr">
        <is>
          <t>-12,311원</t>
        </is>
      </c>
      <c r="C13" t="inlineStr">
        <is>
          <t>현금창출력 기반 교차검증</t>
        </is>
      </c>
      <c r="D13" t="inlineStr">
        <is>
          <t>CFO - CAPEX 또는 FCF</t>
        </is>
      </c>
      <c r="E13" t="inlineStr">
        <is>
          <t>오너이익 카드</t>
        </is>
      </c>
      <c r="F13" t="inlineStr">
        <is>
          <t>CAPEX 변동성 반영 필요</t>
        </is>
      </c>
    </row>
    <row r="14">
      <c r="A14" t="inlineStr">
        <is>
          <t>시장내재 P/S</t>
        </is>
      </c>
      <c r="B14" t="inlineStr">
        <is>
          <t>3.69배</t>
        </is>
      </c>
      <c r="C14" t="inlineStr">
        <is>
          <t>현재 시장이 부여한 매출 배수</t>
        </is>
      </c>
      <c r="D14" t="inlineStr">
        <is>
          <t>시가총액/매출</t>
        </is>
      </c>
      <c r="E14" t="inlineStr">
        <is>
          <t>시장내재 배수</t>
        </is>
      </c>
      <c r="F14" t="inlineStr">
        <is>
          <t>순환 업종에서는 변동 가능</t>
        </is>
      </c>
    </row>
    <row r="15">
      <c r="A15" t="inlineStr">
        <is>
          <t>208개 비교군</t>
        </is>
      </c>
      <c r="B15" t="inlineStr">
        <is>
          <t>208개 기준</t>
        </is>
      </c>
      <c r="C15" t="inlineStr">
        <is>
          <t>섹터 내부 상대 위치</t>
        </is>
      </c>
      <c r="D15" t="inlineStr">
        <is>
          <t>Tech 기준 비교군 파일 활용</t>
        </is>
      </c>
      <c r="E15" t="inlineStr">
        <is>
          <t>분포/랭킹</t>
        </is>
      </c>
      <c r="F15" t="inlineStr">
        <is>
          <t>데이터 원천 업데이트 필요</t>
        </is>
      </c>
    </row>
    <row r="16">
      <c r="A16" t="inlineStr">
        <is>
          <t>검증 결과</t>
        </is>
      </c>
      <c r="B16" t="inlineStr">
        <is>
          <t>주의 포함 통과</t>
        </is>
      </c>
      <c r="C16" t="inlineStr">
        <is>
          <t>모델 완성도</t>
        </is>
      </c>
      <c r="D16" t="inlineStr">
        <is>
          <t>검증 JSON</t>
        </is>
      </c>
      <c r="E16" t="inlineStr">
        <is>
          <t>검증 배지</t>
        </is>
      </c>
      <c r="F16" t="inlineStr">
        <is>
          <t>경고 발생 시 점검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덕산테코피아 데이터 보강 내역</t>
        </is>
      </c>
      <c r="B1" t="inlineStr"/>
      <c r="C1" t="inlineStr"/>
      <c r="D1" t="inlineStr"/>
      <c r="E1" t="inlineStr"/>
      <c r="F1" t="inlineStr"/>
    </row>
    <row r="2">
      <c r="A2" t="inlineStr">
        <is>
          <t>원칙</t>
        </is>
      </c>
      <c r="B2" t="inlineStr">
        <is>
          <t>공란을 반복 문구로 채우지 않고, DART·주가·발행주식 수·네이버금융·208개 기준 비교군 중 확인 가능한 원천 또는 명시적 대체 산식만 표시합니다.</t>
        </is>
      </c>
      <c r="C2" t="inlineStr"/>
      <c r="D2" t="inlineStr"/>
      <c r="E2" t="inlineStr"/>
      <c r="F2" t="inlineStr"/>
    </row>
    <row r="3">
      <c r="A3" t="inlineStr">
        <is>
          <t>항목</t>
        </is>
      </c>
      <c r="B3" t="inlineStr">
        <is>
          <t>보강 방식</t>
        </is>
      </c>
      <c r="C3" t="inlineStr">
        <is>
          <t>현재 값</t>
        </is>
      </c>
      <c r="D3" t="inlineStr">
        <is>
          <t>사용 원천</t>
        </is>
      </c>
      <c r="E3" t="inlineStr">
        <is>
          <t>계산/확인 방식</t>
        </is>
      </c>
      <c r="F3" t="inlineStr">
        <is>
          <t>비고</t>
        </is>
      </c>
    </row>
    <row r="4">
      <c r="A4" t="inlineStr">
        <is>
          <t>PER</t>
        </is>
      </c>
      <c r="B4" t="inlineStr">
        <is>
          <t>네이버금융 값 우선, 없으면 DART 순이익과 시가총액으로 자동 산출</t>
        </is>
      </c>
      <c r="C4" t="inlineStr">
        <is>
          <t>2.00배</t>
        </is>
      </c>
      <c r="D4" t="inlineStr">
        <is>
          <t>네이버금융 / DART / 주가</t>
        </is>
      </c>
      <c r="E4" t="inlineStr">
        <is>
          <t>시가총액 ÷ 순이익</t>
        </is>
      </c>
      <c r="F4" t="inlineStr">
        <is>
          <t>순손실이면 계산 제외</t>
        </is>
      </c>
    </row>
    <row r="5">
      <c r="A5" t="inlineStr">
        <is>
          <t>PBR</t>
        </is>
      </c>
      <c r="B5" t="inlineStr">
        <is>
          <t>네이버금융 값 우선, 없으면 DART 자본총계와 시가총액으로 자동 산출</t>
        </is>
      </c>
      <c r="C5" t="inlineStr">
        <is>
          <t>3.83배</t>
        </is>
      </c>
      <c r="D5" t="inlineStr">
        <is>
          <t>네이버금융 / DART / 주가</t>
        </is>
      </c>
      <c r="E5" t="inlineStr">
        <is>
          <t>시가총액 ÷ 자본총계</t>
        </is>
      </c>
      <c r="F5" t="inlineStr">
        <is>
          <t>자본잠식이면 보수 해석</t>
        </is>
      </c>
    </row>
    <row r="6">
      <c r="A6" t="inlineStr">
        <is>
          <t>PSR</t>
        </is>
      </c>
      <c r="B6" t="inlineStr">
        <is>
          <t>주가와 매출액으로 자동 산출</t>
        </is>
      </c>
      <c r="C6" t="inlineStr">
        <is>
          <t>3.68배</t>
        </is>
      </c>
      <c r="D6" t="inlineStr">
        <is>
          <t>DART 매출액 / 주가 / 발행주식 수</t>
        </is>
      </c>
      <c r="E6" t="inlineStr">
        <is>
          <t>시가총액 ÷ 매출액</t>
        </is>
      </c>
      <c r="F6" t="inlineStr">
        <is>
          <t>적자기업 비교에 유용</t>
        </is>
      </c>
    </row>
    <row r="7">
      <c r="A7" t="inlineStr">
        <is>
          <t>P/FCF</t>
        </is>
      </c>
      <c r="B7" t="inlineStr">
        <is>
          <t>FCF가 양수이면 자동 산출</t>
        </is>
      </c>
      <c r="C7" t="inlineStr"/>
      <c r="D7" t="inlineStr">
        <is>
          <t>DART 영업현금흐름·CAPEX / 주가</t>
        </is>
      </c>
      <c r="E7" t="inlineStr">
        <is>
          <t>시가총액 ÷ FCF</t>
        </is>
      </c>
      <c r="F7" t="inlineStr">
        <is>
          <t>FCF 음수이면 계산 제외</t>
        </is>
      </c>
    </row>
    <row r="8">
      <c r="A8" t="inlineStr">
        <is>
          <t>EV/Sales</t>
        </is>
      </c>
      <c r="B8" t="inlineStr">
        <is>
          <t>기업가치와 매출액으로 자동 산출</t>
        </is>
      </c>
      <c r="C8" t="inlineStr">
        <is>
          <t>8.15배</t>
        </is>
      </c>
      <c r="D8" t="inlineStr">
        <is>
          <t>DART 현금·부채 / 주가</t>
        </is>
      </c>
      <c r="E8" t="inlineStr">
        <is>
          <t>EV ÷ 매출액</t>
        </is>
      </c>
      <c r="F8" t="inlineStr">
        <is>
          <t>현금/부채 원천계정 확인</t>
        </is>
      </c>
    </row>
    <row r="9">
      <c r="A9" t="inlineStr">
        <is>
          <t>EV/EBIT</t>
        </is>
      </c>
      <c r="B9" t="inlineStr">
        <is>
          <t>영업이익이 양수이면 자동 산출</t>
        </is>
      </c>
      <c r="C9" t="inlineStr"/>
      <c r="D9" t="inlineStr">
        <is>
          <t>DART 영업이익 / 주가</t>
        </is>
      </c>
      <c r="E9" t="inlineStr">
        <is>
          <t>EV ÷ 영업이익</t>
        </is>
      </c>
      <c r="F9" t="inlineStr">
        <is>
          <t>적자이면 계산 제외</t>
        </is>
      </c>
    </row>
    <row r="10">
      <c r="A10" t="inlineStr">
        <is>
          <t>발행주식 수</t>
        </is>
      </c>
      <c r="B10" t="inlineStr">
        <is>
          <t>DART 주식총수 현황에서 보강</t>
        </is>
      </c>
      <c r="C10" t="inlineStr">
        <is>
          <t>20,476,584주</t>
        </is>
      </c>
      <c r="D10" t="inlineStr">
        <is>
          <t>OpenDART stockTotqySttus</t>
        </is>
      </c>
      <c r="E10" t="inlineStr">
        <is>
          <t>최신 보고서 기준</t>
        </is>
      </c>
      <c r="F10" t="inlineStr">
        <is>
          <t>자기주식/증자 반영 필요</t>
        </is>
      </c>
    </row>
    <row r="11">
      <c r="A11" t="inlineStr">
        <is>
          <t>시가총액</t>
        </is>
      </c>
      <c r="B11" t="inlineStr">
        <is>
          <t>현재가와 발행주식 수로 자동 산출</t>
        </is>
      </c>
      <c r="C11" t="inlineStr">
        <is>
          <t>4,136.3억원</t>
        </is>
      </c>
      <c r="D11" t="inlineStr">
        <is>
          <t>주가 provider / DART 발행주식 수</t>
        </is>
      </c>
      <c r="E11" t="inlineStr">
        <is>
          <t>현재가 × 발행주식 수</t>
        </is>
      </c>
      <c r="F11" t="inlineStr">
        <is>
          <t>주가 기준일 확인</t>
        </is>
      </c>
    </row>
    <row r="12">
      <c r="A12" t="inlineStr">
        <is>
          <t>유동성</t>
        </is>
      </c>
      <c r="B12" t="inlineStr">
        <is>
          <t>거래대금·거래회전율로 보강</t>
        </is>
      </c>
      <c r="C12" t="inlineStr">
        <is>
          <t>111.2억원</t>
        </is>
      </c>
      <c r="D12" t="inlineStr">
        <is>
          <t>주가 데이터</t>
        </is>
      </c>
      <c r="E12" t="inlineStr">
        <is>
          <t>20일 평균 거래대금</t>
        </is>
      </c>
      <c r="F12" t="inlineStr">
        <is>
          <t>대시보드 필터 활용</t>
        </is>
      </c>
    </row>
    <row r="13">
      <c r="A13" t="inlineStr">
        <is>
          <t>208개 기준 비교군</t>
        </is>
      </c>
      <c r="B13" t="inlineStr">
        <is>
          <t>Tech 기준 비교군 파일을 Valuation 비교군으로 재활용</t>
        </is>
      </c>
      <c r="C13" t="inlineStr">
        <is>
          <t>208</t>
        </is>
      </c>
      <c r="D13" t="inlineStr">
        <is>
          <t>valuation_기준_비교군_208.csv</t>
        </is>
      </c>
      <c r="E13" t="inlineStr">
        <is>
          <t>동일 섹터 상대 위치</t>
        </is>
      </c>
      <c r="F13" t="inlineStr">
        <is>
          <t>상대가치 확장용</t>
        </is>
      </c>
    </row>
    <row r="14">
      <c r="A14" t="inlineStr">
        <is>
          <t>후속 보강 계획</t>
        </is>
      </c>
      <c r="B14" t="inlineStr">
        <is>
          <t>항목</t>
        </is>
      </c>
      <c r="C14" t="inlineStr">
        <is>
          <t>현재 처리</t>
        </is>
      </c>
      <c r="D14" t="inlineStr">
        <is>
          <t>권장 원천</t>
        </is>
      </c>
      <c r="E14" t="inlineStr">
        <is>
          <t>목적</t>
        </is>
      </c>
      <c r="F14" t="inlineStr">
        <is>
          <t>비고</t>
        </is>
      </c>
    </row>
    <row r="15">
      <c r="A15" t="inlineStr">
        <is>
          <t>후속 보강 계획</t>
        </is>
      </c>
      <c r="B15" t="inlineStr">
        <is>
          <t>항목</t>
        </is>
      </c>
      <c r="C15" t="inlineStr">
        <is>
          <t>보조 산출</t>
        </is>
      </c>
      <c r="D15" t="inlineStr">
        <is>
          <t>DART/주가/공시</t>
        </is>
      </c>
      <c r="E15" t="inlineStr">
        <is>
          <t>가치평가 정확도 개선</t>
        </is>
      </c>
      <c r="F15" t="inlineStr">
        <is>
          <t>대체 산식 유지</t>
        </is>
      </c>
    </row>
    <row r="16">
      <c r="A16" t="inlineStr">
        <is>
          <t>후속 보강 계획</t>
        </is>
      </c>
      <c r="B16" t="inlineStr">
        <is>
          <t>항목</t>
        </is>
      </c>
      <c r="C16" t="inlineStr">
        <is>
          <t>보조 산출</t>
        </is>
      </c>
      <c r="D16" t="inlineStr">
        <is>
          <t>DART/주가/공시</t>
        </is>
      </c>
      <c r="E16" t="inlineStr">
        <is>
          <t>가치평가 정확도 개선</t>
        </is>
      </c>
      <c r="F16" t="inlineStr">
        <is>
          <t>대체 산식 유지</t>
        </is>
      </c>
    </row>
    <row r="17">
      <c r="A17" t="inlineStr">
        <is>
          <t>후속 보강 계획</t>
        </is>
      </c>
      <c r="B17" t="inlineStr">
        <is>
          <t>항목</t>
        </is>
      </c>
      <c r="C17" t="inlineStr">
        <is>
          <t>보조 산출</t>
        </is>
      </c>
      <c r="D17" t="inlineStr">
        <is>
          <t>DART/주가/공시</t>
        </is>
      </c>
      <c r="E17" t="inlineStr">
        <is>
          <t>가치평가 정확도 개선</t>
        </is>
      </c>
      <c r="F17" t="inlineStr">
        <is>
          <t>대체 산식 유지</t>
        </is>
      </c>
    </row>
    <row r="18">
      <c r="A18" t="inlineStr">
        <is>
          <t>후속 보강 계획</t>
        </is>
      </c>
      <c r="B18" t="inlineStr">
        <is>
          <t>항목</t>
        </is>
      </c>
      <c r="C18" t="inlineStr">
        <is>
          <t>보조 산출</t>
        </is>
      </c>
      <c r="D18" t="inlineStr">
        <is>
          <t>DART/주가/공시</t>
        </is>
      </c>
      <c r="E18" t="inlineStr">
        <is>
          <t>가치평가 정확도 개선</t>
        </is>
      </c>
      <c r="F18" t="inlineStr">
        <is>
          <t>대체 산식 유지</t>
        </is>
      </c>
    </row>
    <row r="19">
      <c r="A19" t="inlineStr">
        <is>
          <t>후속 보강 계획</t>
        </is>
      </c>
      <c r="B19" t="inlineStr">
        <is>
          <t>항목</t>
        </is>
      </c>
      <c r="C19" t="inlineStr">
        <is>
          <t>보조 산출</t>
        </is>
      </c>
      <c r="D19" t="inlineStr">
        <is>
          <t>DART/주가/공시</t>
        </is>
      </c>
      <c r="E19" t="inlineStr">
        <is>
          <t>가치평가 정확도 개선</t>
        </is>
      </c>
      <c r="F19" t="inlineStr">
        <is>
          <t>대체 산식 유지</t>
        </is>
      </c>
    </row>
    <row r="20">
      <c r="A20" t="inlineStr">
        <is>
          <t>후속 보강 계획</t>
        </is>
      </c>
      <c r="B20" t="inlineStr">
        <is>
          <t>항목</t>
        </is>
      </c>
      <c r="C20" t="inlineStr">
        <is>
          <t>보조 산출</t>
        </is>
      </c>
      <c r="D20" t="inlineStr">
        <is>
          <t>DART/주가/공시</t>
        </is>
      </c>
      <c r="E20" t="inlineStr">
        <is>
          <t>가치평가 정확도 개선</t>
        </is>
      </c>
      <c r="F20" t="inlineStr">
        <is>
          <t>대체 산식 유지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대시보드 연동키</t>
        </is>
      </c>
      <c r="B1" t="inlineStr"/>
      <c r="C1" t="inlineStr"/>
      <c r="D1" t="inlineStr"/>
      <c r="E1" t="inlineStr"/>
    </row>
    <row r="2">
      <c r="A2" t="inlineStr">
        <is>
          <t>설명</t>
        </is>
      </c>
      <c r="B2" t="inlineStr">
        <is>
          <t>React/Streamlit 대시보드에서 바로 사용할 수 있는 주요 JSON 키와 표시명을 정리합니다.</t>
        </is>
      </c>
      <c r="C2" t="inlineStr"/>
      <c r="D2" t="inlineStr"/>
      <c r="E2" t="inlineStr"/>
    </row>
    <row r="3">
      <c r="A3" t="inlineStr">
        <is>
          <t>JSON 키</t>
        </is>
      </c>
      <c r="B3" t="inlineStr">
        <is>
          <t>표시명</t>
        </is>
      </c>
      <c r="C3" t="inlineStr">
        <is>
          <t>값</t>
        </is>
      </c>
      <c r="D3" t="inlineStr">
        <is>
          <t>형식</t>
        </is>
      </c>
      <c r="E3" t="inlineStr">
        <is>
          <t>활용 위치</t>
        </is>
      </c>
    </row>
    <row r="4">
      <c r="A4" t="inlineStr">
        <is>
          <t>wacc</t>
        </is>
      </c>
      <c r="B4" t="inlineStr">
        <is>
          <t>WACC</t>
        </is>
      </c>
      <c r="C4" t="n">
        <v>0.08568398456306622</v>
      </c>
      <c r="D4" t="inlineStr">
        <is>
          <t>percent</t>
        </is>
      </c>
      <c r="E4" t="inlineStr">
        <is>
          <t>핵심 카드</t>
        </is>
      </c>
    </row>
    <row r="5">
      <c r="A5" t="inlineStr">
        <is>
          <t>enterprise_value</t>
        </is>
      </c>
      <c r="B5" t="inlineStr">
        <is>
          <t>DCF 기업가치</t>
        </is>
      </c>
      <c r="C5" t="n">
        <v>-319205042272.8077</v>
      </c>
      <c r="D5" t="inlineStr">
        <is>
          <t>krw</t>
        </is>
      </c>
      <c r="E5" t="inlineStr">
        <is>
          <t>핵심 카드</t>
        </is>
      </c>
    </row>
    <row r="6">
      <c r="A6" t="inlineStr">
        <is>
          <t>equity_value</t>
        </is>
      </c>
      <c r="B6" t="inlineStr">
        <is>
          <t>DCF 지분가치</t>
        </is>
      </c>
      <c r="C6" t="n">
        <v>-819402568978.8077</v>
      </c>
      <c r="D6" t="inlineStr">
        <is>
          <t>krw</t>
        </is>
      </c>
      <c r="E6" t="inlineStr">
        <is>
          <t>핵심 카드</t>
        </is>
      </c>
    </row>
    <row r="7">
      <c r="A7" t="inlineStr">
        <is>
          <t>latest_close</t>
        </is>
      </c>
      <c r="B7" t="inlineStr">
        <is>
          <t>현재가</t>
        </is>
      </c>
      <c r="C7" t="n">
        <v>20200</v>
      </c>
      <c r="D7" t="inlineStr">
        <is>
          <t>krw_per_share</t>
        </is>
      </c>
      <c r="E7" t="inlineStr">
        <is>
          <t>핵심 카드</t>
        </is>
      </c>
    </row>
    <row r="8">
      <c r="A8" t="inlineStr">
        <is>
          <t>implied_price</t>
        </is>
      </c>
      <c r="B8" t="inlineStr">
        <is>
          <t>DCF 내재주가</t>
        </is>
      </c>
      <c r="C8" t="n">
        <v>-40016.56570152559</v>
      </c>
      <c r="D8" t="inlineStr">
        <is>
          <t>krw_per_share</t>
        </is>
      </c>
      <c r="E8" t="inlineStr">
        <is>
          <t>핵심 카드</t>
        </is>
      </c>
    </row>
    <row r="9">
      <c r="A9" t="inlineStr">
        <is>
          <t>upside_downside_pct</t>
        </is>
      </c>
      <c r="B9" t="inlineStr">
        <is>
          <t>현재가 대비 괴리율</t>
        </is>
      </c>
      <c r="C9" t="n">
        <v>-2.98101810403592</v>
      </c>
      <c r="D9" t="inlineStr">
        <is>
          <t>percent</t>
        </is>
      </c>
      <c r="E9" t="inlineStr">
        <is>
          <t>핵심 카드</t>
        </is>
      </c>
    </row>
    <row r="10">
      <c r="A10" t="inlineStr">
        <is>
          <t>target_psr</t>
        </is>
      </c>
      <c r="B10" t="inlineStr">
        <is>
          <t>P/S</t>
        </is>
      </c>
      <c r="C10" t="n">
        <v>3.681361674930534</v>
      </c>
      <c r="D10" t="inlineStr">
        <is>
          <t>multiple</t>
        </is>
      </c>
      <c r="E10" t="inlineStr">
        <is>
          <t>핵심 카드</t>
        </is>
      </c>
    </row>
    <row r="11">
      <c r="A11" t="inlineStr">
        <is>
          <t>median_psr</t>
        </is>
      </c>
      <c r="B11" t="inlineStr">
        <is>
          <t>비교기업 P/S 중앙값</t>
        </is>
      </c>
      <c r="C11" t="n">
        <v>3.500698820700488</v>
      </c>
      <c r="D11" t="inlineStr">
        <is>
          <t>multiple</t>
        </is>
      </c>
      <c r="E11" t="inlineStr">
        <is>
          <t>핵심 카드</t>
        </is>
      </c>
    </row>
    <row r="12">
      <c r="A12" t="inlineStr">
        <is>
          <t>psr_gap</t>
        </is>
      </c>
      <c r="B12" t="inlineStr">
        <is>
          <t>P/S 중앙값 대비</t>
        </is>
      </c>
      <c r="C12" t="n">
        <v>0.05160765420942304</v>
      </c>
      <c r="D12" t="inlineStr">
        <is>
          <t>percent</t>
        </is>
      </c>
      <c r="E12" t="inlineStr">
        <is>
          <t>핵심 카드</t>
        </is>
      </c>
    </row>
    <row r="13">
      <c r="A13" t="inlineStr">
        <is>
          <t>기준_rows</t>
        </is>
      </c>
      <c r="B13" t="inlineStr">
        <is>
          <t>208개 반도체 비교군</t>
        </is>
      </c>
      <c r="C13" t="n">
        <v>208</v>
      </c>
      <c r="D13" t="inlineStr">
        <is>
          <t>count</t>
        </is>
      </c>
      <c r="E13" t="inlineStr">
        <is>
          <t>핵심 카드</t>
        </is>
      </c>
    </row>
    <row r="14">
      <c r="A14" t="inlineStr">
        <is>
          <t>기준_비교기업_group</t>
        </is>
      </c>
      <c r="B14" t="inlineStr">
        <is>
          <t>기준 비교군 그룹</t>
        </is>
      </c>
      <c r="C14" t="inlineStr">
        <is>
          <t>소재</t>
        </is>
      </c>
      <c r="D14" t="inlineStr">
        <is>
          <t>text</t>
        </is>
      </c>
      <c r="E14" t="inlineStr">
        <is>
          <t>핵심 카드</t>
        </is>
      </c>
    </row>
    <row r="15">
      <c r="A15" t="inlineStr">
        <is>
          <t>return_1y</t>
        </is>
      </c>
      <c r="B15" t="inlineStr">
        <is>
          <t>1년 수익률</t>
        </is>
      </c>
      <c r="C15" t="n">
        <v>0.01050525262631319</v>
      </c>
      <c r="D15" t="inlineStr">
        <is>
          <t>percent</t>
        </is>
      </c>
      <c r="E15" t="inlineStr">
        <is>
          <t>핵심 카드</t>
        </is>
      </c>
    </row>
    <row r="16">
      <c r="A16" t="inlineStr">
        <is>
          <t>mdd</t>
        </is>
      </c>
      <c r="B16" t="inlineStr">
        <is>
          <t>MDD</t>
        </is>
      </c>
      <c r="C16" t="n">
        <v>-0.7666123778501629</v>
      </c>
      <c r="D16" t="inlineStr">
        <is>
          <t>percent</t>
        </is>
      </c>
      <c r="E16" t="inlineStr">
        <is>
          <t>핵심 카드</t>
        </is>
      </c>
    </row>
    <row r="17">
      <c r="A17" t="inlineStr">
        <is>
          <t>volatility</t>
        </is>
      </c>
      <c r="B17" t="inlineStr">
        <is>
          <t>연환산 변동성</t>
        </is>
      </c>
      <c r="C17" t="n">
        <v>0.6804966551176381</v>
      </c>
      <c r="D17" t="inlineStr">
        <is>
          <t>percent</t>
        </is>
      </c>
      <c r="E17" t="inlineStr">
        <is>
          <t>핵심 카드</t>
        </is>
      </c>
    </row>
    <row r="18">
      <c r="A18" t="inlineStr">
        <is>
          <t>market_cap</t>
        </is>
      </c>
      <c r="B18" t="inlineStr">
        <is>
          <t>시가총액</t>
        </is>
      </c>
      <c r="C18" t="n">
        <v>413626996800</v>
      </c>
      <c r="D18" t="inlineStr">
        <is>
          <t>krw</t>
        </is>
      </c>
      <c r="E18" t="inlineStr">
        <is>
          <t>핵심 카드</t>
        </is>
      </c>
    </row>
    <row r="19">
      <c r="A19" t="inlineStr">
        <is>
          <t>shares_outstanding</t>
        </is>
      </c>
      <c r="B19" t="inlineStr">
        <is>
          <t>발행주식 수</t>
        </is>
      </c>
      <c r="C19" t="n">
        <v>20476584</v>
      </c>
      <c r="D19" t="inlineStr">
        <is>
          <t>shares</t>
        </is>
      </c>
      <c r="E19" t="inlineStr">
        <is>
          <t>핵심 카드</t>
        </is>
      </c>
    </row>
    <row r="20">
      <c r="A20" t="inlineStr">
        <is>
          <t>avg_trading_value_20d</t>
        </is>
      </c>
      <c r="B20" t="inlineStr">
        <is>
          <t>20일 평균 거래대금</t>
        </is>
      </c>
      <c r="C20" t="n">
        <v>11121560520</v>
      </c>
      <c r="D20" t="inlineStr">
        <is>
          <t>krw</t>
        </is>
      </c>
      <c r="E20" t="inlineStr">
        <is>
          <t>핵심 카드</t>
        </is>
      </c>
    </row>
    <row r="21">
      <c r="A21" t="inlineStr">
        <is>
          <t>turnover_latest</t>
        </is>
      </c>
      <c r="B21" t="inlineStr">
        <is>
          <t>최근 거래회전율</t>
        </is>
      </c>
      <c r="C21" t="n">
        <v>0.003466349660666056</v>
      </c>
      <c r="D21" t="inlineStr">
        <is>
          <t>percent</t>
        </is>
      </c>
      <c r="E21" t="inlineStr">
        <is>
          <t>핵심 카드</t>
        </is>
      </c>
    </row>
    <row r="22">
      <c r="A22" t="inlineStr">
        <is>
          <t>ml_composite_score</t>
        </is>
      </c>
      <c r="B22" t="inlineStr">
        <is>
          <t>ML 보조 품질점수</t>
        </is>
      </c>
      <c r="C22" t="n">
        <v>20.62</v>
      </c>
      <c r="D22" t="inlineStr">
        <is>
          <t>score</t>
        </is>
      </c>
      <c r="E22" t="inlineStr">
        <is>
          <t>핵심 카드</t>
        </is>
      </c>
    </row>
    <row r="23">
      <c r="A23" t="inlineStr">
        <is>
          <t>ml_label</t>
        </is>
      </c>
      <c r="B23" t="inlineStr">
        <is>
          <t>ML 보조 라벨</t>
        </is>
      </c>
      <c r="C23" t="inlineStr">
        <is>
          <t>가치평가 보조근거 주의</t>
        </is>
      </c>
      <c r="D23" t="inlineStr">
        <is>
          <t>text</t>
        </is>
      </c>
      <c r="E23" t="inlineStr">
        <is>
          <t>핵심 카드</t>
        </is>
      </c>
    </row>
    <row r="24">
      <c r="A24" t="inlineStr">
        <is>
          <t>valuation_점수판</t>
        </is>
      </c>
      <c r="B24" t="inlineStr">
        <is>
          <t>보조 가치평가 점수</t>
        </is>
      </c>
      <c r="C24" t="n">
        <v>24.55</v>
      </c>
      <c r="D24" t="inlineStr">
        <is>
          <t>score</t>
        </is>
      </c>
      <c r="E24" t="inlineStr">
        <is>
          <t>핵심 카드</t>
        </is>
      </c>
    </row>
    <row r="25">
      <c r="A25" t="inlineStr">
        <is>
          <t>valuation_점수판_label</t>
        </is>
      </c>
      <c r="B25" t="inlineStr">
        <is>
          <t>보조 가치평가 라벨</t>
        </is>
      </c>
      <c r="C25" t="inlineStr">
        <is>
          <t>밸류에이션 부담</t>
        </is>
      </c>
      <c r="D25" t="inlineStr">
        <is>
          <t>text</t>
        </is>
      </c>
      <c r="E25" t="inlineStr">
        <is>
          <t>핵심 카드</t>
        </is>
      </c>
    </row>
    <row r="26">
      <c r="A26" t="inlineStr">
        <is>
          <t>advanced_valuation_score</t>
        </is>
      </c>
      <c r="B26" t="inlineStr">
        <is>
          <t>종합 가치평가 점수</t>
        </is>
      </c>
      <c r="C26" t="n">
        <v>23</v>
      </c>
      <c r="D26" t="inlineStr">
        <is>
          <t>score</t>
        </is>
      </c>
      <c r="E26" t="inlineStr">
        <is>
          <t>핵심 카드</t>
        </is>
      </c>
    </row>
    <row r="27">
      <c r="A27" t="inlineStr">
        <is>
          <t>valuation_range_base_price</t>
        </is>
      </c>
      <c r="B27" t="inlineStr">
        <is>
          <t>가치범위 중앙값</t>
        </is>
      </c>
      <c r="C27" t="n">
        <v>5510.608872466488</v>
      </c>
      <c r="D27" t="inlineStr">
        <is>
          <t>krw_per_share</t>
        </is>
      </c>
      <c r="E27" t="inlineStr">
        <is>
          <t>핵심 카드</t>
        </is>
      </c>
    </row>
    <row r="28">
      <c r="A28" t="inlineStr">
        <is>
          <t>valuation_range_margin</t>
        </is>
      </c>
      <c r="B28" t="inlineStr">
        <is>
          <t>가치범위 안전마진</t>
        </is>
      </c>
      <c r="C28" t="n">
        <v>-0.727197580570966</v>
      </c>
      <c r="D28" t="inlineStr">
        <is>
          <t>percent</t>
        </is>
      </c>
      <c r="E28" t="inlineStr">
        <is>
          <t>핵심 카드</t>
        </is>
      </c>
    </row>
    <row r="29">
      <c r="A29" t="inlineStr">
        <is>
          <t>reverse_dcf_growth</t>
        </is>
      </c>
      <c r="B29" t="inlineStr">
        <is>
          <t>역산 영구성장률</t>
        </is>
      </c>
      <c r="C29" t="n">
        <v>0.08</v>
      </c>
      <c r="D29" t="inlineStr">
        <is>
          <t>percent</t>
        </is>
      </c>
      <c r="E29" t="inlineStr">
        <is>
          <t>핵심 카드</t>
        </is>
      </c>
    </row>
    <row r="30">
      <c r="A30" t="inlineStr">
        <is>
          <t>owner_earnings_price</t>
        </is>
      </c>
      <c r="B30" t="inlineStr">
        <is>
          <t>오너 이익 주당가치</t>
        </is>
      </c>
      <c r="C30" t="n">
        <v>-12311.00592704261</v>
      </c>
      <c r="D30" t="inlineStr">
        <is>
          <t>krw_per_share</t>
        </is>
      </c>
      <c r="E30" t="inlineStr">
        <is>
          <t>핵심 카드</t>
        </is>
      </c>
    </row>
    <row r="31">
      <c r="A31" t="inlineStr">
        <is>
          <t>market_psr</t>
        </is>
      </c>
      <c r="B31" t="inlineStr">
        <is>
          <t>시장내재 P/S</t>
        </is>
      </c>
      <c r="C31" t="n">
        <v>3.690496567424158</v>
      </c>
      <c r="D31" t="inlineStr">
        <is>
          <t>multiple</t>
        </is>
      </c>
      <c r="E31" t="inlineStr">
        <is>
          <t>핵심 카드</t>
        </is>
      </c>
    </row>
    <row r="32">
      <c r="A32" t="inlineStr">
        <is>
          <t>market_pbr</t>
        </is>
      </c>
      <c r="B32" t="inlineStr">
        <is>
          <t>시장내재 P/B</t>
        </is>
      </c>
      <c r="C32" t="n">
        <v>3.88471024433095</v>
      </c>
      <c r="D32" t="inlineStr">
        <is>
          <t>multiple</t>
        </is>
      </c>
      <c r="E32" t="inlineStr">
        <is>
          <t>핵심 카드</t>
        </is>
      </c>
    </row>
    <row r="33">
      <c r="A33" t="inlineStr">
        <is>
          <t>market_fcf_yield</t>
        </is>
      </c>
      <c r="B33" t="inlineStr">
        <is>
          <t>시장내재 FCF 수익률</t>
        </is>
      </c>
      <c r="C33" t="n">
        <v>-0.05222059612913545</v>
      </c>
      <c r="D33" t="inlineStr">
        <is>
          <t>percent</t>
        </is>
      </c>
      <c r="E33" t="inlineStr">
        <is>
          <t>핵심 카드</t>
        </is>
      </c>
    </row>
    <row r="34">
      <c r="A34" t="inlineStr">
        <is>
          <t>검증_status</t>
        </is>
      </c>
      <c r="B34" t="inlineStr">
        <is>
          <t>검증 상태</t>
        </is>
      </c>
      <c r="C34" t="inlineStr">
        <is>
          <t>PASS_WITH_WARNINGS</t>
        </is>
      </c>
      <c r="D34" t="inlineStr">
        <is>
          <t>text</t>
        </is>
      </c>
      <c r="E34" t="inlineStr">
        <is>
          <t>핵심 카드</t>
        </is>
      </c>
    </row>
    <row r="35">
      <c r="A35" t="inlineStr">
        <is>
          <t>price_history</t>
        </is>
      </c>
      <c r="B35" t="inlineStr">
        <is>
          <t>주가 차트</t>
        </is>
      </c>
      <c r="C35" t="inlineStr">
        <is>
          <t>최근 250거래일</t>
        </is>
      </c>
      <c r="D35" t="inlineStr">
        <is>
          <t>list</t>
        </is>
      </c>
      <c r="E35" t="inlineStr">
        <is>
          <t>라인차트</t>
        </is>
      </c>
    </row>
    <row r="36">
      <c r="A36" t="inlineStr">
        <is>
          <t>historical_ficials</t>
        </is>
      </c>
      <c r="B36" t="inlineStr">
        <is>
          <t>재무 추이</t>
        </is>
      </c>
      <c r="C36" t="inlineStr">
        <is>
          <t>최근 5개년</t>
        </is>
      </c>
      <c r="D36" t="inlineStr">
        <is>
          <t>list</t>
        </is>
      </c>
      <c r="E36" t="inlineStr">
        <is>
          <t>막대/라인 혼합</t>
        </is>
      </c>
    </row>
    <row r="37">
      <c r="A37" t="inlineStr">
        <is>
          <t>비교기업_multiples</t>
        </is>
      </c>
      <c r="B37" t="inlineStr">
        <is>
          <t>비교기업 배수</t>
        </is>
      </c>
      <c r="C37" t="inlineStr">
        <is>
          <t>5개 기업 + 확장 비교군</t>
        </is>
      </c>
      <c r="D37" t="inlineStr">
        <is>
          <t>list</t>
        </is>
      </c>
      <c r="E37" t="inlineStr">
        <is>
          <t>상대가치 표</t>
        </is>
      </c>
    </row>
    <row r="38">
      <c r="A38" t="inlineStr">
        <is>
          <t>기준_비교군_focus</t>
        </is>
      </c>
      <c r="B38" t="inlineStr">
        <is>
          <t>208개 비교군 상대위치</t>
        </is>
      </c>
      <c r="C38" t="inlineStr">
        <is>
          <t>선택기업/동일 세부군/전체 평균</t>
        </is>
      </c>
      <c r="D38" t="inlineStr">
        <is>
          <t>list</t>
        </is>
      </c>
      <c r="E38" t="inlineStr">
        <is>
          <t>시장위치 맵</t>
        </is>
      </c>
    </row>
    <row r="39">
      <c r="A39" t="inlineStr">
        <is>
          <t>advanced_valuation</t>
        </is>
      </c>
      <c r="B39" t="inlineStr">
        <is>
          <t>종합 가치평가</t>
        </is>
      </c>
      <c r="C39" t="inlineStr">
        <is>
          <t>가치범위·역산 DCF·오너이익</t>
        </is>
      </c>
      <c r="D39" t="inlineStr">
        <is>
          <t>object</t>
        </is>
      </c>
      <c r="E39" t="inlineStr">
        <is>
          <t>상세 패널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2" customWidth="1" min="4" max="4"/>
    <col width="18" customWidth="1" min="5" max="5"/>
    <col width="14" customWidth="1" min="6" max="6"/>
    <col width="14" customWidth="1" min="7" max="7"/>
    <col width="15" customWidth="1" min="8" max="8"/>
    <col width="13" customWidth="1" min="9" max="9"/>
    <col width="10" customWidth="1" min="10" max="10"/>
    <col width="10" customWidth="1" min="11" max="11"/>
    <col width="10" customWidth="1" min="12" max="12"/>
    <col width="13" customWidth="1" min="13" max="13"/>
    <col width="18" customWidth="1" min="14" max="14"/>
  </cols>
  <sheetData>
    <row r="1" ht="34" customHeight="1">
      <c r="A1" s="44" t="inlineStr">
        <is>
          <t>덕산테코피아 반도체 시장 내 상대 위치 맵</t>
        </is>
      </c>
    </row>
    <row r="2" ht="22" customHeight="1">
      <c r="A2" s="2" t="inlineStr">
        <is>
          <t>기업 선택값을 바꾸면 선택기업·동일 세부군·208개 전체 평균 비교와 TAM/SAM/SOM 범위가 함께 갱신됩니다.</t>
        </is>
      </c>
    </row>
    <row r="3" ht="22" customHeight="1"/>
    <row r="4" ht="22" customHeight="1">
      <c r="A4" s="3" t="inlineStr">
        <is>
          <t>기업 선택</t>
        </is>
      </c>
      <c r="B4" s="45" t="inlineStr">
        <is>
          <t>덕산테코피아</t>
        </is>
      </c>
      <c r="C4" t="inlineStr"/>
      <c r="D4" s="3" t="inlineStr">
        <is>
          <t>동일 세부군</t>
        </is>
      </c>
      <c r="E4" s="45">
        <f>IFERROR(XLOOKUP($B$4,$A$59:$A$266,$E$59:$E$266),"")</f>
        <v/>
      </c>
      <c r="F4" t="inlineStr"/>
      <c r="G4" s="3" t="inlineStr">
        <is>
          <t>선택기업 점수</t>
        </is>
      </c>
      <c r="H4" s="46">
        <f>IFERROR(XLOOKUP($B$4,$A$59:$A$266,$F$59:$F$266),"")</f>
        <v/>
      </c>
      <c r="I4" t="inlineStr"/>
      <c r="J4" s="3" t="inlineStr">
        <is>
          <t>208개 내 백분위</t>
        </is>
      </c>
      <c r="K4" s="47">
        <f>IFERROR(PERCENTRANK.INC($F$59:$F$266,$H$4),"")</f>
        <v/>
      </c>
      <c r="L4" t="inlineStr"/>
      <c r="M4" s="3" t="inlineStr">
        <is>
          <t>라벨</t>
        </is>
      </c>
      <c r="N4" s="45">
        <f>IFERROR(XLOOKUP($B$4,$A$59:$A$266,$H$59:$H$266),"")</f>
        <v/>
      </c>
    </row>
    <row r="5" ht="22" customHeight="1"/>
    <row r="6" ht="22" customHeight="1"/>
    <row r="7" ht="22" customHeight="1"/>
    <row r="8" ht="22" customHeight="1">
      <c r="A8" s="5" t="inlineStr">
        <is>
          <t>비교 기준</t>
        </is>
      </c>
      <c r="B8" s="5" t="inlineStr">
        <is>
          <t>밸류에이션 점수</t>
        </is>
      </c>
      <c r="C8" s="5" t="inlineStr">
        <is>
          <t>신용위험 점수</t>
        </is>
      </c>
      <c r="D8" s="5" t="inlineStr">
        <is>
          <t>기업 수</t>
        </is>
      </c>
    </row>
    <row r="9" ht="22" customHeight="1">
      <c r="A9" s="48" t="inlineStr">
        <is>
          <t>선택기업</t>
        </is>
      </c>
      <c r="B9" s="48">
        <f>IFERROR(XLOOKUP($B$4,$A$59:$A$266,$F$59:$F$266),"")</f>
        <v/>
      </c>
      <c r="C9" s="48">
        <f>IFERROR(XLOOKUP($B$4,$A$59:$A$266,$G$59:$G$266),"")</f>
        <v/>
      </c>
      <c r="D9" s="48" t="n">
        <v>1</v>
      </c>
    </row>
    <row r="10" ht="22" customHeight="1">
      <c r="A10" s="49" t="inlineStr">
        <is>
          <t>동일 세부군 평균</t>
        </is>
      </c>
      <c r="B10" s="49">
        <f>IFERROR(AVERAGEIF($E$59:$E$266,$E$4,$F$59:$F$266),"")</f>
        <v/>
      </c>
      <c r="C10" s="49">
        <f>IFERROR(AVERAGEIF($E$59:$E$266,$E$4,$G$59:$G$266),"")</f>
        <v/>
      </c>
      <c r="D10" s="49">
        <f>IFERROR(COUNTIF($E$59:$E$266,$E$4),"")</f>
        <v/>
      </c>
    </row>
    <row r="11" ht="22" customHeight="1">
      <c r="A11" s="50" t="inlineStr">
        <is>
          <t>208개 전체 평균</t>
        </is>
      </c>
      <c r="B11" s="50">
        <f>IFERROR(AVERAGE($F$59:$F$266),"")</f>
        <v/>
      </c>
      <c r="C11" s="50">
        <f>IFERROR(AVERAGE($G$59:$G$266),"")</f>
        <v/>
      </c>
      <c r="D11" s="50" t="n">
        <v>208</v>
      </c>
    </row>
    <row r="12" ht="22" customHeight="1"/>
    <row r="13" ht="22" customHeight="1"/>
    <row r="14" ht="22" customHeight="1"/>
    <row r="15" ht="22" customHeight="1"/>
    <row r="16" ht="22" customHeight="1">
      <c r="A16" s="5" t="inlineStr">
        <is>
          <t>범위</t>
        </is>
      </c>
      <c r="B16" s="5" t="inlineStr">
        <is>
          <t>기업 수</t>
        </is>
      </c>
      <c r="C16" s="5" t="inlineStr">
        <is>
          <t>해석</t>
        </is>
      </c>
    </row>
    <row r="17" ht="22" customHeight="1">
      <c r="A17" s="48" t="inlineStr">
        <is>
          <t>TAM: 반도체 전체 비교군</t>
        </is>
      </c>
      <c r="B17" s="48" t="n">
        <v>208</v>
      </c>
      <c r="C17" s="48" t="inlineStr">
        <is>
          <t>현재 가치평가 에이전트가 비교 가능한 전체 반도체 기준군</t>
        </is>
      </c>
    </row>
    <row r="18" ht="22" customHeight="1">
      <c r="A18" s="49" t="inlineStr">
        <is>
          <t>SAM: 선택기업 세부군</t>
        </is>
      </c>
      <c r="B18" s="49">
        <f>IFERROR(COUNTIF($E$59:$E$266,$E$4),"")</f>
        <v/>
      </c>
      <c r="C18" s="49" t="inlineStr">
        <is>
          <t>동일 사업축 안에서 상대가치 비교가 더 직접적인 집단</t>
        </is>
      </c>
    </row>
    <row r="19" ht="22" customHeight="1">
      <c r="A19" s="51" t="inlineStr">
        <is>
          <t>SOM: 선택기업</t>
        </is>
      </c>
      <c r="B19" s="51" t="n">
        <v>1</v>
      </c>
      <c r="C19" s="51" t="inlineStr">
        <is>
          <t>현재 선택한 분석 대상 기업</t>
        </is>
      </c>
    </row>
    <row r="20" ht="22" customHeight="1"/>
    <row r="21" ht="22" customHeight="1"/>
    <row r="22" ht="22" customHeight="1"/>
    <row r="23" ht="22" customHeight="1"/>
    <row r="24" ht="22" customHeight="1">
      <c r="A24" s="15" t="inlineStr">
        <is>
          <t>5개 핵심기업 비교</t>
        </is>
      </c>
      <c r="B24" t="inlineStr"/>
      <c r="C24" t="inlineStr"/>
      <c r="D24" t="inlineStr"/>
      <c r="E24" t="inlineStr"/>
      <c r="F24" t="inlineStr"/>
    </row>
    <row r="25" ht="22" customHeight="1">
      <c r="A25" s="5" t="inlineStr">
        <is>
          <t>기업명</t>
        </is>
      </c>
      <c r="B25" s="5" t="inlineStr">
        <is>
          <t>세부군</t>
        </is>
      </c>
      <c r="C25" s="5" t="inlineStr">
        <is>
          <t>밸류에이션 점수</t>
        </is>
      </c>
      <c r="D25" s="5" t="inlineStr">
        <is>
          <t>신용위험 점수</t>
        </is>
      </c>
      <c r="E25" s="5" t="inlineStr">
        <is>
          <t>라벨</t>
        </is>
      </c>
      <c r="F25" s="5" t="inlineStr">
        <is>
          <t>P/S</t>
        </is>
      </c>
    </row>
    <row r="26" ht="22" customHeight="1">
      <c r="A26" s="15" t="inlineStr">
        <is>
          <t>네패스</t>
        </is>
      </c>
      <c r="B26" s="15" t="inlineStr">
        <is>
          <t>후공정/패키징/테스트</t>
        </is>
      </c>
      <c r="C26" s="15" t="n">
        <v>63.85</v>
      </c>
      <c r="D26" s="15" t="n">
        <v>28.57</v>
      </c>
      <c r="E26" s="15" t="inlineStr">
        <is>
          <t>가치 매력</t>
        </is>
      </c>
      <c r="F26" t="inlineStr"/>
    </row>
    <row r="27" ht="22" customHeight="1">
      <c r="A27" s="15" t="inlineStr">
        <is>
          <t>한솔케미칼</t>
        </is>
      </c>
      <c r="B27" s="15" t="inlineStr">
        <is>
          <t>소재</t>
        </is>
      </c>
      <c r="C27" s="15" t="n">
        <v>63.31</v>
      </c>
      <c r="D27" s="15" t="n">
        <v>0</v>
      </c>
      <c r="E27" s="15" t="inlineStr">
        <is>
          <t>가치 매력</t>
        </is>
      </c>
      <c r="F27" t="inlineStr"/>
    </row>
    <row r="28" ht="22" customHeight="1">
      <c r="A28" s="15" t="inlineStr">
        <is>
          <t>엘티씨</t>
        </is>
      </c>
      <c r="B28" s="15" t="inlineStr">
        <is>
          <t>소재</t>
        </is>
      </c>
      <c r="C28" s="15" t="n">
        <v>58.38</v>
      </c>
      <c r="D28" s="15" t="n">
        <v>0</v>
      </c>
      <c r="E28" s="15" t="inlineStr">
        <is>
          <t>중립</t>
        </is>
      </c>
      <c r="F28" t="inlineStr"/>
    </row>
    <row r="29" ht="22" customHeight="1">
      <c r="A29" s="15" t="inlineStr">
        <is>
          <t>한미반도체</t>
        </is>
      </c>
      <c r="B29" s="15" t="inlineStr">
        <is>
          <t>후공정/패키징/테스트</t>
        </is>
      </c>
      <c r="C29" s="15" t="n">
        <v>47.13</v>
      </c>
      <c r="D29" s="15" t="n">
        <v>0</v>
      </c>
      <c r="E29" s="15" t="inlineStr">
        <is>
          <t>중립</t>
        </is>
      </c>
      <c r="F29" t="inlineStr"/>
    </row>
    <row r="30" ht="22" customHeight="1">
      <c r="A30" s="15" t="inlineStr">
        <is>
          <t>덕산테코피아</t>
        </is>
      </c>
      <c r="B30" s="15" t="inlineStr">
        <is>
          <t>소재</t>
        </is>
      </c>
      <c r="C30" s="15" t="n">
        <v>25.1</v>
      </c>
      <c r="D30" s="15" t="n">
        <v>71.43000000000001</v>
      </c>
      <c r="E30" s="15" t="inlineStr">
        <is>
          <t>고평가 부담</t>
        </is>
      </c>
      <c r="F30" t="inlineStr"/>
    </row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>
      <c r="A57" s="3" t="inlineStr">
        <is>
          <t>선택/차트 원천 데이터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 ht="22" customHeight="1">
      <c r="A58" s="5" t="inlineStr">
        <is>
          <t>기업명</t>
        </is>
      </c>
      <c r="B58" s="5" t="inlineStr">
        <is>
          <t>기업코드</t>
        </is>
      </c>
      <c r="C58" s="5" t="inlineStr">
        <is>
          <t>종목코드</t>
        </is>
      </c>
      <c r="D58" s="5" t="inlineStr">
        <is>
          <t>시장</t>
        </is>
      </c>
      <c r="E58" s="5" t="inlineStr">
        <is>
          <t>세부군</t>
        </is>
      </c>
      <c r="F58" s="5" t="inlineStr">
        <is>
          <t>밸류에이션 점수</t>
        </is>
      </c>
      <c r="G58" s="5" t="inlineStr">
        <is>
          <t>신용위험 점수</t>
        </is>
      </c>
      <c r="H58" s="5" t="inlineStr">
        <is>
          <t>라벨</t>
        </is>
      </c>
      <c r="I58" s="5" t="inlineStr">
        <is>
          <t>신뢰도</t>
        </is>
      </c>
      <c r="J58" s="5" t="inlineStr">
        <is>
          <t>5개 핵심</t>
        </is>
      </c>
      <c r="K58" s="5" t="inlineStr">
        <is>
          <t>분석대상</t>
        </is>
      </c>
      <c r="L58" s="5" t="inlineStr">
        <is>
          <t>P/S</t>
        </is>
      </c>
    </row>
    <row r="59" ht="22" customHeight="1">
      <c r="A59" s="15" t="inlineStr">
        <is>
          <t>엔투텍</t>
        </is>
      </c>
      <c r="B59" t="inlineStr"/>
      <c r="C59" s="15" t="inlineStr">
        <is>
          <t>227950</t>
        </is>
      </c>
      <c r="D59" s="15" t="inlineStr">
        <is>
          <t>KOSDAQ</t>
        </is>
      </c>
      <c r="E59" s="15" t="inlineStr">
        <is>
          <t>장비</t>
        </is>
      </c>
      <c r="F59" s="15" t="n">
        <v>81.29000000000001</v>
      </c>
      <c r="G59" s="15" t="n">
        <v>21.43</v>
      </c>
      <c r="H59" s="15" t="inlineStr">
        <is>
          <t>가치 매력</t>
        </is>
      </c>
      <c r="I59" s="15" t="inlineStr">
        <is>
          <t>0.8347222629406851</t>
        </is>
      </c>
      <c r="J59" t="inlineStr"/>
      <c r="K59" t="inlineStr"/>
      <c r="L59" t="inlineStr"/>
    </row>
    <row r="60" ht="22" customHeight="1">
      <c r="A60" s="15" t="inlineStr">
        <is>
          <t>에스에이엠티</t>
        </is>
      </c>
      <c r="B60" t="inlineStr"/>
      <c r="C60" s="15" t="inlineStr">
        <is>
          <t>031330</t>
        </is>
      </c>
      <c r="D60" s="15" t="inlineStr">
        <is>
          <t>KOSDAQ</t>
        </is>
      </c>
      <c r="E60" s="15" t="inlineStr">
        <is>
          <t>팹리스/설계</t>
        </is>
      </c>
      <c r="F60" s="15" t="n">
        <v>78.38</v>
      </c>
      <c r="G60" s="15" t="n">
        <v>50</v>
      </c>
      <c r="H60" s="15" t="inlineStr">
        <is>
          <t>중립</t>
        </is>
      </c>
      <c r="I60" s="15" t="inlineStr">
        <is>
          <t>0.8575928985222669</t>
        </is>
      </c>
      <c r="J60" t="inlineStr"/>
      <c r="K60" t="inlineStr"/>
      <c r="L60" t="inlineStr"/>
    </row>
    <row r="61" ht="22" customHeight="1">
      <c r="A61" s="15" t="inlineStr">
        <is>
          <t>성우테크론</t>
        </is>
      </c>
      <c r="B61" t="inlineStr"/>
      <c r="C61" s="15" t="inlineStr">
        <is>
          <t>045300</t>
        </is>
      </c>
      <c r="D61" s="15" t="inlineStr">
        <is>
          <t>KOSDAQ</t>
        </is>
      </c>
      <c r="E61" s="15" t="inlineStr">
        <is>
          <t>후공정/패키징/테스트</t>
        </is>
      </c>
      <c r="F61" s="15" t="n">
        <v>77.64</v>
      </c>
      <c r="G61" s="15" t="n">
        <v>7.14</v>
      </c>
      <c r="H61" s="15" t="inlineStr">
        <is>
          <t>가치 매력</t>
        </is>
      </c>
      <c r="I61" s="15" t="inlineStr">
        <is>
          <t>0.9526864248076319</t>
        </is>
      </c>
      <c r="J61" t="inlineStr"/>
      <c r="K61" t="inlineStr"/>
      <c r="L61" t="inlineStr"/>
    </row>
    <row r="62" ht="22" customHeight="1">
      <c r="A62" s="15" t="inlineStr">
        <is>
          <t>미래산업</t>
        </is>
      </c>
      <c r="B62" t="inlineStr"/>
      <c r="C62" s="15" t="inlineStr">
        <is>
          <t>025560</t>
        </is>
      </c>
      <c r="D62" s="15" t="inlineStr">
        <is>
          <t>KOSPI</t>
        </is>
      </c>
      <c r="E62" s="15" t="inlineStr">
        <is>
          <t>후공정/패키징/테스트</t>
        </is>
      </c>
      <c r="F62" s="15" t="n">
        <v>77.48</v>
      </c>
      <c r="G62" s="15" t="n">
        <v>28.57</v>
      </c>
      <c r="H62" s="15" t="inlineStr">
        <is>
          <t>중립</t>
        </is>
      </c>
      <c r="I62" s="15" t="inlineStr">
        <is>
          <t>0.883291104654336</t>
        </is>
      </c>
      <c r="J62" t="inlineStr"/>
      <c r="K62" t="inlineStr"/>
      <c r="L62" t="inlineStr"/>
    </row>
    <row r="63" ht="22" customHeight="1">
      <c r="A63" s="15" t="inlineStr">
        <is>
          <t>미코</t>
        </is>
      </c>
      <c r="B63" t="inlineStr"/>
      <c r="C63" s="15" t="inlineStr">
        <is>
          <t>059090</t>
        </is>
      </c>
      <c r="D63" s="15" t="inlineStr">
        <is>
          <t>KOSDAQ</t>
        </is>
      </c>
      <c r="E63" s="15" t="inlineStr">
        <is>
          <t>IDM/제조/메모리</t>
        </is>
      </c>
      <c r="F63" s="15" t="n">
        <v>77.33</v>
      </c>
      <c r="G63" s="15" t="n">
        <v>21.43</v>
      </c>
      <c r="H63" s="15" t="inlineStr">
        <is>
          <t>중립</t>
        </is>
      </c>
      <c r="I63" s="15" t="inlineStr">
        <is>
          <t>0.9066669659525092</t>
        </is>
      </c>
      <c r="J63" t="inlineStr"/>
      <c r="K63" t="inlineStr"/>
      <c r="L63" t="inlineStr"/>
    </row>
    <row r="64" ht="22" customHeight="1">
      <c r="A64" s="15" t="inlineStr">
        <is>
          <t>링크제니시스</t>
        </is>
      </c>
      <c r="B64" t="inlineStr"/>
      <c r="C64" s="15" t="inlineStr">
        <is>
          <t>219420</t>
        </is>
      </c>
      <c r="D64" s="15" t="inlineStr">
        <is>
          <t>KOSDAQ</t>
        </is>
      </c>
      <c r="E64" s="15" t="inlineStr">
        <is>
          <t>후공정/패키징/테스트</t>
        </is>
      </c>
      <c r="F64" s="15" t="n">
        <v>75.23</v>
      </c>
      <c r="G64" s="15" t="n">
        <v>7.14</v>
      </c>
      <c r="H64" s="15" t="inlineStr">
        <is>
          <t>가치 매력</t>
        </is>
      </c>
      <c r="I64" s="15" t="inlineStr">
        <is>
          <t>0.8724992666433111</t>
        </is>
      </c>
      <c r="J64" t="inlineStr"/>
      <c r="K64" t="inlineStr"/>
      <c r="L64" t="inlineStr"/>
    </row>
    <row r="65" ht="22" customHeight="1">
      <c r="A65" s="15" t="inlineStr">
        <is>
          <t>엘디티</t>
        </is>
      </c>
      <c r="B65" t="inlineStr"/>
      <c r="C65" s="15" t="inlineStr">
        <is>
          <t>096870</t>
        </is>
      </c>
      <c r="D65" s="15" t="inlineStr">
        <is>
          <t>KOSDAQ</t>
        </is>
      </c>
      <c r="E65" s="15" t="inlineStr">
        <is>
          <t>IDM/제조/메모리</t>
        </is>
      </c>
      <c r="F65" s="15" t="n">
        <v>75.18000000000001</v>
      </c>
      <c r="G65" s="15" t="n">
        <v>7.14</v>
      </c>
      <c r="H65" s="15" t="inlineStr">
        <is>
          <t>가치 매력</t>
        </is>
      </c>
      <c r="I65" s="15" t="inlineStr">
        <is>
          <t>0.8817908899004964</t>
        </is>
      </c>
      <c r="J65" t="inlineStr"/>
      <c r="K65" t="inlineStr"/>
      <c r="L65" t="inlineStr"/>
    </row>
    <row r="66" ht="22" customHeight="1">
      <c r="A66" s="15" t="inlineStr">
        <is>
          <t>유니트론텍</t>
        </is>
      </c>
      <c r="B66" t="inlineStr"/>
      <c r="C66" s="15" t="inlineStr">
        <is>
          <t>142210</t>
        </is>
      </c>
      <c r="D66" s="15" t="inlineStr">
        <is>
          <t>KOSDAQ</t>
        </is>
      </c>
      <c r="E66" s="15" t="inlineStr">
        <is>
          <t>팹리스/설계</t>
        </is>
      </c>
      <c r="F66" s="15" t="n">
        <v>74.79000000000001</v>
      </c>
      <c r="G66" s="15" t="n">
        <v>35.71</v>
      </c>
      <c r="H66" s="15" t="inlineStr">
        <is>
          <t>중립</t>
        </is>
      </c>
      <c r="I66" s="15" t="inlineStr">
        <is>
          <t>0.8593164302034415</t>
        </is>
      </c>
      <c r="J66" t="inlineStr"/>
      <c r="K66" t="inlineStr"/>
      <c r="L66" t="inlineStr"/>
    </row>
    <row r="67" ht="22" customHeight="1">
      <c r="A67" s="15" t="inlineStr">
        <is>
          <t>메카로</t>
        </is>
      </c>
      <c r="B67" t="inlineStr"/>
      <c r="C67" s="15" t="inlineStr">
        <is>
          <t>241770</t>
        </is>
      </c>
      <c r="D67" s="15" t="inlineStr">
        <is>
          <t>KOSDAQ</t>
        </is>
      </c>
      <c r="E67" s="15" t="inlineStr">
        <is>
          <t>IDM/제조/메모리</t>
        </is>
      </c>
      <c r="F67" s="15" t="n">
        <v>74.77</v>
      </c>
      <c r="G67" s="15" t="n">
        <v>0</v>
      </c>
      <c r="H67" s="15" t="inlineStr">
        <is>
          <t>가치 매력</t>
        </is>
      </c>
      <c r="I67" s="15" t="inlineStr">
        <is>
          <t>0.9154158498128573</t>
        </is>
      </c>
      <c r="J67" t="inlineStr"/>
      <c r="K67" t="inlineStr"/>
      <c r="L67" t="inlineStr"/>
    </row>
    <row r="68" ht="22" customHeight="1">
      <c r="A68" s="15" t="inlineStr">
        <is>
          <t>월덱스</t>
        </is>
      </c>
      <c r="B68" t="inlineStr"/>
      <c r="C68" s="15" t="inlineStr">
        <is>
          <t>101160</t>
        </is>
      </c>
      <c r="D68" s="15" t="inlineStr">
        <is>
          <t>KOSDAQ</t>
        </is>
      </c>
      <c r="E68" s="15" t="inlineStr">
        <is>
          <t>소재</t>
        </is>
      </c>
      <c r="F68" s="15" t="n">
        <v>74.59</v>
      </c>
      <c r="G68" s="15" t="n">
        <v>0</v>
      </c>
      <c r="H68" s="15" t="inlineStr">
        <is>
          <t>가치 매력</t>
        </is>
      </c>
      <c r="I68" s="15" t="inlineStr">
        <is>
          <t>0.9476922450763601</t>
        </is>
      </c>
      <c r="J68" t="inlineStr"/>
      <c r="K68" t="inlineStr"/>
      <c r="L68" t="inlineStr"/>
    </row>
    <row r="69" ht="22" customHeight="1">
      <c r="A69" s="15" t="inlineStr">
        <is>
          <t>앤씨앤</t>
        </is>
      </c>
      <c r="B69" t="inlineStr"/>
      <c r="C69" s="15" t="inlineStr">
        <is>
          <t>092600</t>
        </is>
      </c>
      <c r="D69" s="15" t="inlineStr">
        <is>
          <t>KOSDAQ</t>
        </is>
      </c>
      <c r="E69" s="15" t="inlineStr">
        <is>
          <t>팹리스/설계</t>
        </is>
      </c>
      <c r="F69" s="15" t="n">
        <v>74.51000000000001</v>
      </c>
      <c r="G69" s="15" t="n">
        <v>50</v>
      </c>
      <c r="H69" s="15" t="inlineStr">
        <is>
          <t>중립</t>
        </is>
      </c>
      <c r="I69" s="15" t="inlineStr">
        <is>
          <t>0.8450252323777523</t>
        </is>
      </c>
      <c r="J69" t="inlineStr"/>
      <c r="K69" t="inlineStr"/>
      <c r="L69" t="inlineStr"/>
    </row>
    <row r="70" ht="22" customHeight="1">
      <c r="A70" s="15" t="inlineStr">
        <is>
          <t>퓨릿</t>
        </is>
      </c>
      <c r="B70" t="inlineStr"/>
      <c r="C70" s="15" t="inlineStr">
        <is>
          <t>445180</t>
        </is>
      </c>
      <c r="D70" s="15" t="inlineStr">
        <is>
          <t>KOSDAQ</t>
        </is>
      </c>
      <c r="E70" s="15" t="inlineStr">
        <is>
          <t>소재</t>
        </is>
      </c>
      <c r="F70" s="15" t="n">
        <v>74.48999999999999</v>
      </c>
      <c r="G70" s="15" t="n">
        <v>7.14</v>
      </c>
      <c r="H70" s="15" t="inlineStr">
        <is>
          <t>가치 매력</t>
        </is>
      </c>
      <c r="I70" s="15" t="inlineStr">
        <is>
          <t>0.8817607106455689</t>
        </is>
      </c>
      <c r="J70" t="inlineStr"/>
      <c r="K70" t="inlineStr"/>
      <c r="L70" t="inlineStr"/>
    </row>
    <row r="71" ht="22" customHeight="1">
      <c r="A71" s="15" t="inlineStr">
        <is>
          <t>마이크로컨텍솔</t>
        </is>
      </c>
      <c r="B71" t="inlineStr"/>
      <c r="C71" s="15" t="inlineStr">
        <is>
          <t>098120</t>
        </is>
      </c>
      <c r="D71" s="15" t="inlineStr">
        <is>
          <t>KOSDAQ</t>
        </is>
      </c>
      <c r="E71" s="15" t="inlineStr">
        <is>
          <t>팹리스/설계</t>
        </is>
      </c>
      <c r="F71" s="15" t="n">
        <v>73.84</v>
      </c>
      <c r="G71" s="15" t="n">
        <v>14.29</v>
      </c>
      <c r="H71" s="15" t="inlineStr">
        <is>
          <t>가치 매력</t>
        </is>
      </c>
      <c r="I71" s="15" t="inlineStr">
        <is>
          <t>0.8262966149459129</t>
        </is>
      </c>
      <c r="J71" t="inlineStr"/>
      <c r="K71" t="inlineStr"/>
      <c r="L71" t="inlineStr"/>
    </row>
    <row r="72" ht="22" customHeight="1">
      <c r="A72" s="15" t="inlineStr">
        <is>
          <t>프로텍</t>
        </is>
      </c>
      <c r="B72" t="inlineStr"/>
      <c r="C72" s="15" t="inlineStr">
        <is>
          <t>053610</t>
        </is>
      </c>
      <c r="D72" s="15" t="inlineStr">
        <is>
          <t>KOSDAQ</t>
        </is>
      </c>
      <c r="E72" s="15" t="inlineStr">
        <is>
          <t>후공정/패키징/테스트</t>
        </is>
      </c>
      <c r="F72" s="15" t="n">
        <v>73.42</v>
      </c>
      <c r="G72" s="15" t="n">
        <v>7.14</v>
      </c>
      <c r="H72" s="15" t="inlineStr">
        <is>
          <t>중립</t>
        </is>
      </c>
      <c r="I72" s="15" t="inlineStr">
        <is>
          <t>0.8971257561900263</t>
        </is>
      </c>
      <c r="J72" t="inlineStr"/>
      <c r="K72" t="inlineStr"/>
      <c r="L72" t="inlineStr"/>
    </row>
    <row r="73" ht="22" customHeight="1">
      <c r="A73" s="15" t="inlineStr">
        <is>
          <t>아이앤씨</t>
        </is>
      </c>
      <c r="B73" t="inlineStr"/>
      <c r="C73" s="15" t="inlineStr">
        <is>
          <t>052860</t>
        </is>
      </c>
      <c r="D73" s="15" t="inlineStr">
        <is>
          <t>KOSDAQ</t>
        </is>
      </c>
      <c r="E73" s="15" t="inlineStr">
        <is>
          <t>팹리스/설계</t>
        </is>
      </c>
      <c r="F73" s="15" t="n">
        <v>73.25</v>
      </c>
      <c r="G73" s="15" t="n">
        <v>0</v>
      </c>
      <c r="H73" s="15" t="inlineStr">
        <is>
          <t>가치 매력</t>
        </is>
      </c>
      <c r="I73" s="15" t="inlineStr">
        <is>
          <t>0.9267130449922303</t>
        </is>
      </c>
      <c r="J73" t="inlineStr"/>
      <c r="K73" t="inlineStr"/>
      <c r="L73" t="inlineStr"/>
    </row>
    <row r="74" ht="22" customHeight="1">
      <c r="A74" s="15" t="inlineStr">
        <is>
          <t>비아트론</t>
        </is>
      </c>
      <c r="B74" t="inlineStr"/>
      <c r="C74" s="15" t="inlineStr">
        <is>
          <t>141000</t>
        </is>
      </c>
      <c r="D74" s="15" t="inlineStr">
        <is>
          <t>KOSDAQ</t>
        </is>
      </c>
      <c r="E74" s="15" t="inlineStr">
        <is>
          <t>장비</t>
        </is>
      </c>
      <c r="F74" s="15" t="n">
        <v>71.05</v>
      </c>
      <c r="G74" s="15" t="n">
        <v>0</v>
      </c>
      <c r="H74" s="15" t="inlineStr">
        <is>
          <t>가치 매력</t>
        </is>
      </c>
      <c r="I74" s="15" t="inlineStr">
        <is>
          <t>0.934708213344448</t>
        </is>
      </c>
      <c r="J74" t="inlineStr"/>
      <c r="K74" t="inlineStr"/>
      <c r="L74" t="inlineStr"/>
    </row>
    <row r="75" ht="22" customHeight="1">
      <c r="A75" s="15" t="inlineStr">
        <is>
          <t>인터플렉스</t>
        </is>
      </c>
      <c r="B75" t="inlineStr"/>
      <c r="C75" s="15" t="inlineStr">
        <is>
          <t>051370</t>
        </is>
      </c>
      <c r="D75" s="15" t="inlineStr">
        <is>
          <t>KOSDAQ</t>
        </is>
      </c>
      <c r="E75" s="15" t="inlineStr">
        <is>
          <t>부품/기판</t>
        </is>
      </c>
      <c r="F75" s="15" t="n">
        <v>70.90000000000001</v>
      </c>
      <c r="G75" s="15" t="n">
        <v>7.14</v>
      </c>
      <c r="H75" s="15" t="inlineStr">
        <is>
          <t>중립</t>
        </is>
      </c>
      <c r="I75" s="15" t="inlineStr">
        <is>
          <t>0.904555257888918</t>
        </is>
      </c>
      <c r="J75" t="inlineStr"/>
      <c r="K75" t="inlineStr"/>
      <c r="L75" t="inlineStr"/>
    </row>
    <row r="76" ht="22" customHeight="1">
      <c r="A76" s="15" t="inlineStr">
        <is>
          <t>삼성전자</t>
        </is>
      </c>
      <c r="B76" t="inlineStr"/>
      <c r="C76" s="15" t="inlineStr">
        <is>
          <t>005930</t>
        </is>
      </c>
      <c r="D76" s="15" t="inlineStr">
        <is>
          <t>KOSPI</t>
        </is>
      </c>
      <c r="E76" s="15" t="inlineStr">
        <is>
          <t>IDM/제조/메모리</t>
        </is>
      </c>
      <c r="F76" s="15" t="n">
        <v>70.78</v>
      </c>
      <c r="G76" s="15" t="n">
        <v>0</v>
      </c>
      <c r="H76" s="15" t="inlineStr">
        <is>
          <t>가치 매력</t>
        </is>
      </c>
      <c r="I76" s="15" t="inlineStr">
        <is>
          <t>0.9371541027950523</t>
        </is>
      </c>
      <c r="J76" t="inlineStr"/>
      <c r="K76" t="inlineStr"/>
      <c r="L76" t="inlineStr"/>
    </row>
    <row r="77" ht="22" customHeight="1">
      <c r="A77" s="15" t="inlineStr">
        <is>
          <t>케이씨</t>
        </is>
      </c>
      <c r="B77" t="inlineStr"/>
      <c r="C77" s="15" t="inlineStr">
        <is>
          <t>029460</t>
        </is>
      </c>
      <c r="D77" s="15" t="inlineStr">
        <is>
          <t>KOSPI</t>
        </is>
      </c>
      <c r="E77" s="15" t="inlineStr">
        <is>
          <t>장비</t>
        </is>
      </c>
      <c r="F77" s="15" t="n">
        <v>70.65000000000001</v>
      </c>
      <c r="G77" s="15" t="n">
        <v>0</v>
      </c>
      <c r="H77" s="15" t="inlineStr">
        <is>
          <t>가치 매력</t>
        </is>
      </c>
      <c r="I77" s="15" t="inlineStr">
        <is>
          <t>0.9151708177015135</t>
        </is>
      </c>
      <c r="J77" t="inlineStr"/>
      <c r="K77" t="inlineStr"/>
      <c r="L77" t="inlineStr"/>
    </row>
    <row r="78" ht="22" customHeight="1">
      <c r="A78" s="15" t="inlineStr">
        <is>
          <t>이엔에프테크놀로지</t>
        </is>
      </c>
      <c r="B78" t="inlineStr"/>
      <c r="C78" s="15" t="inlineStr">
        <is>
          <t>102710</t>
        </is>
      </c>
      <c r="D78" s="15" t="inlineStr">
        <is>
          <t>KOSDAQ</t>
        </is>
      </c>
      <c r="E78" s="15" t="inlineStr">
        <is>
          <t>소재</t>
        </is>
      </c>
      <c r="F78" s="15" t="n">
        <v>70.62</v>
      </c>
      <c r="G78" s="15" t="n">
        <v>0</v>
      </c>
      <c r="H78" s="15" t="inlineStr">
        <is>
          <t>가치 매력</t>
        </is>
      </c>
      <c r="I78" s="15" t="inlineStr">
        <is>
          <t>0.9371627732042065</t>
        </is>
      </c>
      <c r="J78" t="inlineStr"/>
      <c r="K78" t="inlineStr"/>
      <c r="L78" t="inlineStr"/>
    </row>
    <row r="79" ht="22" customHeight="1">
      <c r="A79" s="15" t="inlineStr">
        <is>
          <t>매커스</t>
        </is>
      </c>
      <c r="B79" t="inlineStr"/>
      <c r="C79" s="15" t="inlineStr">
        <is>
          <t>093520</t>
        </is>
      </c>
      <c r="D79" s="15" t="inlineStr">
        <is>
          <t>KOSDAQ</t>
        </is>
      </c>
      <c r="E79" s="15" t="inlineStr">
        <is>
          <t>팹리스/설계</t>
        </is>
      </c>
      <c r="F79" s="15" t="n">
        <v>70.56999999999999</v>
      </c>
      <c r="G79" s="15" t="n">
        <v>0</v>
      </c>
      <c r="H79" s="15" t="inlineStr">
        <is>
          <t>가치 매력</t>
        </is>
      </c>
      <c r="I79" s="15" t="inlineStr">
        <is>
          <t>0.9375173489226767</t>
        </is>
      </c>
      <c r="J79" t="inlineStr"/>
      <c r="K79" t="inlineStr"/>
      <c r="L79" t="inlineStr"/>
    </row>
    <row r="80" ht="22" customHeight="1">
      <c r="A80" s="15" t="inlineStr">
        <is>
          <t>LX세미콘</t>
        </is>
      </c>
      <c r="B80" t="inlineStr"/>
      <c r="C80" s="15" t="inlineStr">
        <is>
          <t>108320</t>
        </is>
      </c>
      <c r="D80" s="15" t="inlineStr">
        <is>
          <t>KOSPI</t>
        </is>
      </c>
      <c r="E80" s="15" t="inlineStr">
        <is>
          <t>팹리스/설계</t>
        </is>
      </c>
      <c r="F80" s="15" t="n">
        <v>69.54000000000001</v>
      </c>
      <c r="G80" s="15" t="n">
        <v>0</v>
      </c>
      <c r="H80" s="15" t="inlineStr">
        <is>
          <t>가치 매력</t>
        </is>
      </c>
      <c r="I80" s="15" t="inlineStr">
        <is>
          <t>0.951012131492064</t>
        </is>
      </c>
      <c r="J80" t="inlineStr"/>
      <c r="K80" t="inlineStr"/>
      <c r="L80" t="inlineStr"/>
    </row>
    <row r="81" ht="22" customHeight="1">
      <c r="A81" s="15" t="inlineStr">
        <is>
          <t>SK하이닉스</t>
        </is>
      </c>
      <c r="B81" t="inlineStr"/>
      <c r="C81" s="15" t="inlineStr">
        <is>
          <t>000660</t>
        </is>
      </c>
      <c r="D81" s="15" t="inlineStr">
        <is>
          <t>KOSPI</t>
        </is>
      </c>
      <c r="E81" s="15" t="inlineStr">
        <is>
          <t>IDM/제조/메모리</t>
        </is>
      </c>
      <c r="F81" s="15" t="n">
        <v>69.33</v>
      </c>
      <c r="G81" s="15" t="n">
        <v>0</v>
      </c>
      <c r="H81" s="15" t="inlineStr">
        <is>
          <t>가치 매력</t>
        </is>
      </c>
      <c r="I81" s="15" t="inlineStr">
        <is>
          <t>0.8582250965188642</t>
        </is>
      </c>
      <c r="J81" t="inlineStr"/>
      <c r="K81" t="inlineStr"/>
      <c r="L81" t="inlineStr"/>
    </row>
    <row r="82" ht="22" customHeight="1">
      <c r="A82" s="15" t="inlineStr">
        <is>
          <t>어보브반도체</t>
        </is>
      </c>
      <c r="B82" t="inlineStr"/>
      <c r="C82" s="15" t="inlineStr">
        <is>
          <t>102120</t>
        </is>
      </c>
      <c r="D82" s="15" t="inlineStr">
        <is>
          <t>KOSDAQ</t>
        </is>
      </c>
      <c r="E82" s="15" t="inlineStr">
        <is>
          <t>팹리스/설계</t>
        </is>
      </c>
      <c r="F82" s="15" t="n">
        <v>69.33</v>
      </c>
      <c r="G82" s="15" t="n">
        <v>7.14</v>
      </c>
      <c r="H82" s="15" t="inlineStr">
        <is>
          <t>중립</t>
        </is>
      </c>
      <c r="I82" s="15" t="inlineStr">
        <is>
          <t>0.9028406871788379</t>
        </is>
      </c>
      <c r="J82" t="inlineStr"/>
      <c r="K82" t="inlineStr"/>
      <c r="L82" t="inlineStr"/>
    </row>
    <row r="83" ht="22" customHeight="1">
      <c r="A83" s="15" t="inlineStr">
        <is>
          <t>더코디</t>
        </is>
      </c>
      <c r="B83" t="inlineStr"/>
      <c r="C83" s="15" t="inlineStr">
        <is>
          <t>224060</t>
        </is>
      </c>
      <c r="D83" s="15" t="inlineStr">
        <is>
          <t>KOSDAQ</t>
        </is>
      </c>
      <c r="E83" s="15" t="inlineStr">
        <is>
          <t>장비</t>
        </is>
      </c>
      <c r="F83" s="15" t="n">
        <v>69.09</v>
      </c>
      <c r="G83" s="15" t="n">
        <v>85.70999999999999</v>
      </c>
      <c r="H83" s="15" t="inlineStr">
        <is>
          <t>중립</t>
        </is>
      </c>
      <c r="I83" s="15" t="inlineStr">
        <is>
          <t>0.6613330626239345</t>
        </is>
      </c>
      <c r="J83" t="inlineStr"/>
      <c r="K83" t="inlineStr"/>
      <c r="L83" t="inlineStr"/>
    </row>
    <row r="84" ht="22" customHeight="1">
      <c r="A84" s="15" t="inlineStr">
        <is>
          <t>프로이천</t>
        </is>
      </c>
      <c r="B84" t="inlineStr"/>
      <c r="C84" s="15" t="inlineStr">
        <is>
          <t>321260</t>
        </is>
      </c>
      <c r="D84" s="15" t="inlineStr">
        <is>
          <t>KOSDAQ</t>
        </is>
      </c>
      <c r="E84" s="15" t="inlineStr">
        <is>
          <t>후공정/패키징/테스트</t>
        </is>
      </c>
      <c r="F84" s="15" t="n">
        <v>69.05</v>
      </c>
      <c r="G84" s="15" t="n">
        <v>14.29</v>
      </c>
      <c r="H84" s="15" t="inlineStr">
        <is>
          <t>가치 매력</t>
        </is>
      </c>
      <c r="I84" s="15" t="inlineStr">
        <is>
          <t>0.9481469936627798</t>
        </is>
      </c>
      <c r="J84" t="inlineStr"/>
      <c r="K84" t="inlineStr"/>
      <c r="L84" t="inlineStr"/>
    </row>
    <row r="85" ht="22" customHeight="1">
      <c r="A85" s="15" t="inlineStr">
        <is>
          <t>케이엔제이</t>
        </is>
      </c>
      <c r="B85" t="inlineStr"/>
      <c r="C85" s="15" t="inlineStr">
        <is>
          <t>272110</t>
        </is>
      </c>
      <c r="D85" s="15" t="inlineStr">
        <is>
          <t>KOSDAQ</t>
        </is>
      </c>
      <c r="E85" s="15" t="inlineStr">
        <is>
          <t>IDM/제조/메모리</t>
        </is>
      </c>
      <c r="F85" s="15" t="n">
        <v>69</v>
      </c>
      <c r="G85" s="15" t="n">
        <v>35.71</v>
      </c>
      <c r="H85" s="15" t="inlineStr">
        <is>
          <t>중립</t>
        </is>
      </c>
      <c r="I85" s="15" t="inlineStr">
        <is>
          <t>0.8941431334693103</t>
        </is>
      </c>
      <c r="J85" t="inlineStr"/>
      <c r="K85" t="inlineStr"/>
      <c r="L85" t="inlineStr"/>
    </row>
    <row r="86" ht="22" customHeight="1">
      <c r="A86" s="15" t="inlineStr">
        <is>
          <t>KPX케미칼</t>
        </is>
      </c>
      <c r="B86" t="inlineStr"/>
      <c r="C86" s="15" t="inlineStr">
        <is>
          <t>025000</t>
        </is>
      </c>
      <c r="D86" s="15" t="inlineStr">
        <is>
          <t>KOSPI</t>
        </is>
      </c>
      <c r="E86" s="15" t="inlineStr">
        <is>
          <t>장비</t>
        </is>
      </c>
      <c r="F86" s="15" t="n">
        <v>68.76000000000001</v>
      </c>
      <c r="G86" s="15" t="n">
        <v>0</v>
      </c>
      <c r="H86" s="15" t="inlineStr">
        <is>
          <t>가치 매력</t>
        </is>
      </c>
      <c r="I86" s="15" t="inlineStr">
        <is>
          <t>0.9091955435785402</t>
        </is>
      </c>
      <c r="J86" t="inlineStr"/>
      <c r="K86" t="inlineStr"/>
      <c r="L86" t="inlineStr"/>
    </row>
    <row r="87" ht="22" customHeight="1">
      <c r="A87" s="15" t="inlineStr">
        <is>
          <t>성도이엔지</t>
        </is>
      </c>
      <c r="B87" t="inlineStr"/>
      <c r="C87" s="15" t="inlineStr">
        <is>
          <t>037350</t>
        </is>
      </c>
      <c r="D87" s="15" t="inlineStr">
        <is>
          <t>KOSDAQ</t>
        </is>
      </c>
      <c r="E87" s="15" t="inlineStr">
        <is>
          <t>장비</t>
        </is>
      </c>
      <c r="F87" s="15" t="n">
        <v>68.75</v>
      </c>
      <c r="G87" s="15" t="n">
        <v>0</v>
      </c>
      <c r="H87" s="15" t="inlineStr">
        <is>
          <t>가치 매력</t>
        </is>
      </c>
      <c r="I87" s="15" t="inlineStr">
        <is>
          <t>0.9250659167833418</t>
        </is>
      </c>
      <c r="J87" t="inlineStr"/>
      <c r="K87" t="inlineStr"/>
      <c r="L87" t="inlineStr"/>
    </row>
    <row r="88" ht="22" customHeight="1">
      <c r="A88" s="15" t="inlineStr">
        <is>
          <t>한양디지텍</t>
        </is>
      </c>
      <c r="B88" t="inlineStr"/>
      <c r="C88" s="15" t="inlineStr">
        <is>
          <t>078350</t>
        </is>
      </c>
      <c r="D88" s="15" t="inlineStr">
        <is>
          <t>KOSDAQ</t>
        </is>
      </c>
      <c r="E88" s="15" t="inlineStr">
        <is>
          <t>IDM/제조/메모리</t>
        </is>
      </c>
      <c r="F88" s="15" t="n">
        <v>68.05</v>
      </c>
      <c r="G88" s="15" t="n">
        <v>7.14</v>
      </c>
      <c r="H88" s="15" t="inlineStr">
        <is>
          <t>가치 매력</t>
        </is>
      </c>
      <c r="I88" s="15" t="inlineStr">
        <is>
          <t>0.8705426081647281</t>
        </is>
      </c>
      <c r="J88" t="inlineStr"/>
      <c r="K88" t="inlineStr"/>
      <c r="L88" t="inlineStr"/>
    </row>
    <row r="89" ht="22" customHeight="1">
      <c r="A89" s="15" t="inlineStr">
        <is>
          <t>유니퀘스트</t>
        </is>
      </c>
      <c r="B89" t="inlineStr"/>
      <c r="C89" s="15" t="inlineStr">
        <is>
          <t>077500</t>
        </is>
      </c>
      <c r="D89" s="15" t="inlineStr">
        <is>
          <t>KOSPI</t>
        </is>
      </c>
      <c r="E89" s="15" t="inlineStr">
        <is>
          <t>장비</t>
        </is>
      </c>
      <c r="F89" s="15" t="n">
        <v>67.84</v>
      </c>
      <c r="G89" s="15" t="n">
        <v>0</v>
      </c>
      <c r="H89" s="15" t="inlineStr">
        <is>
          <t>가치 매력</t>
        </is>
      </c>
      <c r="I89" s="15" t="inlineStr">
        <is>
          <t>0.8881603628406226</t>
        </is>
      </c>
      <c r="J89" t="inlineStr"/>
      <c r="K89" t="inlineStr"/>
      <c r="L89" t="inlineStr"/>
    </row>
    <row r="90" ht="22" customHeight="1">
      <c r="A90" s="15" t="inlineStr">
        <is>
          <t>원익머트리얼즈</t>
        </is>
      </c>
      <c r="B90" t="inlineStr"/>
      <c r="C90" s="15" t="inlineStr">
        <is>
          <t>104830</t>
        </is>
      </c>
      <c r="D90" s="15" t="inlineStr">
        <is>
          <t>KOSDAQ</t>
        </is>
      </c>
      <c r="E90" s="15" t="inlineStr">
        <is>
          <t>소재</t>
        </is>
      </c>
      <c r="F90" s="15" t="n">
        <v>66.81999999999999</v>
      </c>
      <c r="G90" s="15" t="n">
        <v>7.14</v>
      </c>
      <c r="H90" s="15" t="inlineStr">
        <is>
          <t>중립</t>
        </is>
      </c>
      <c r="I90" s="15" t="inlineStr">
        <is>
          <t>0.9160049727267536</t>
        </is>
      </c>
      <c r="J90" t="inlineStr"/>
      <c r="K90" t="inlineStr"/>
      <c r="L90" t="inlineStr"/>
    </row>
    <row r="91" ht="22" customHeight="1">
      <c r="A91" s="15" t="inlineStr">
        <is>
          <t>솔브레인홀딩스</t>
        </is>
      </c>
      <c r="B91" t="inlineStr"/>
      <c r="C91" s="15" t="inlineStr">
        <is>
          <t>036830</t>
        </is>
      </c>
      <c r="D91" s="15" t="inlineStr">
        <is>
          <t>KOSDAQ GLOBAL</t>
        </is>
      </c>
      <c r="E91" s="15" t="inlineStr">
        <is>
          <t>소재</t>
        </is>
      </c>
      <c r="F91" s="15" t="n">
        <v>66.67</v>
      </c>
      <c r="G91" s="15" t="n">
        <v>0</v>
      </c>
      <c r="H91" s="15" t="inlineStr">
        <is>
          <t>가치 매력</t>
        </is>
      </c>
      <c r="I91" s="15" t="inlineStr">
        <is>
          <t>0.5229115612060397</t>
        </is>
      </c>
      <c r="J91" t="inlineStr"/>
      <c r="K91" t="inlineStr"/>
      <c r="L91" t="inlineStr"/>
    </row>
    <row r="92" ht="22" customHeight="1">
      <c r="A92" s="15" t="inlineStr">
        <is>
          <t>DB하이텍</t>
        </is>
      </c>
      <c r="B92" t="inlineStr"/>
      <c r="C92" s="15" t="inlineStr">
        <is>
          <t>000990</t>
        </is>
      </c>
      <c r="D92" s="15" t="inlineStr">
        <is>
          <t>KOSPI</t>
        </is>
      </c>
      <c r="E92" s="15" t="inlineStr">
        <is>
          <t>IDM/제조/메모리</t>
        </is>
      </c>
      <c r="F92" s="15" t="n">
        <v>66.53</v>
      </c>
      <c r="G92" s="15" t="n">
        <v>0</v>
      </c>
      <c r="H92" s="15" t="inlineStr">
        <is>
          <t>가치 매력</t>
        </is>
      </c>
      <c r="I92" s="15" t="inlineStr">
        <is>
          <t>0.9104444876024207</t>
        </is>
      </c>
      <c r="J92" t="inlineStr"/>
      <c r="K92" t="inlineStr"/>
      <c r="L92" t="inlineStr"/>
    </row>
    <row r="93" ht="22" customHeight="1">
      <c r="A93" s="15" t="inlineStr">
        <is>
          <t>자화전자</t>
        </is>
      </c>
      <c r="B93" t="inlineStr"/>
      <c r="C93" s="15" t="inlineStr">
        <is>
          <t>033240</t>
        </is>
      </c>
      <c r="D93" s="15" t="inlineStr">
        <is>
          <t>KOSPI</t>
        </is>
      </c>
      <c r="E93" s="15" t="inlineStr">
        <is>
          <t>부품/기판</t>
        </is>
      </c>
      <c r="F93" s="15" t="n">
        <v>66.48</v>
      </c>
      <c r="G93" s="15" t="n">
        <v>7.14</v>
      </c>
      <c r="H93" s="15" t="inlineStr">
        <is>
          <t>중립</t>
        </is>
      </c>
      <c r="I93" s="15" t="inlineStr">
        <is>
          <t>0.9380223994723259</t>
        </is>
      </c>
      <c r="J93" t="inlineStr"/>
      <c r="K93" t="inlineStr"/>
      <c r="L93" t="inlineStr"/>
    </row>
    <row r="94" ht="22" customHeight="1">
      <c r="A94" s="15" t="inlineStr">
        <is>
          <t>한솔아이원스</t>
        </is>
      </c>
      <c r="B94" t="inlineStr"/>
      <c r="C94" s="15" t="inlineStr">
        <is>
          <t>114810</t>
        </is>
      </c>
      <c r="D94" s="15" t="inlineStr">
        <is>
          <t>KOSDAQ</t>
        </is>
      </c>
      <c r="E94" s="15" t="inlineStr">
        <is>
          <t>장비</t>
        </is>
      </c>
      <c r="F94" s="15" t="n">
        <v>66.48</v>
      </c>
      <c r="G94" s="15" t="n">
        <v>14.29</v>
      </c>
      <c r="H94" s="15" t="inlineStr">
        <is>
          <t>가치 매력</t>
        </is>
      </c>
      <c r="I94" s="15" t="inlineStr">
        <is>
          <t>0.9031428820161691</t>
        </is>
      </c>
      <c r="J94" t="inlineStr"/>
      <c r="K94" t="inlineStr"/>
      <c r="L94" t="inlineStr"/>
    </row>
    <row r="95" ht="22" customHeight="1">
      <c r="A95" s="15" t="inlineStr">
        <is>
          <t>샘씨엔에스</t>
        </is>
      </c>
      <c r="B95" t="inlineStr"/>
      <c r="C95" s="15" t="inlineStr">
        <is>
          <t>252990</t>
        </is>
      </c>
      <c r="D95" s="15" t="inlineStr">
        <is>
          <t>KOSDAQ</t>
        </is>
      </c>
      <c r="E95" s="15" t="inlineStr">
        <is>
          <t>후공정/패키징/테스트</t>
        </is>
      </c>
      <c r="F95" s="15" t="n">
        <v>64.92</v>
      </c>
      <c r="G95" s="15" t="n">
        <v>14.29</v>
      </c>
      <c r="H95" s="15" t="inlineStr">
        <is>
          <t>가치 매력</t>
        </is>
      </c>
      <c r="I95" s="15" t="inlineStr">
        <is>
          <t>0.5521991152548656</t>
        </is>
      </c>
      <c r="J95" t="inlineStr"/>
      <c r="K95" t="inlineStr"/>
      <c r="L95" t="inlineStr"/>
    </row>
    <row r="96" ht="22" customHeight="1">
      <c r="A96" s="15" t="inlineStr">
        <is>
          <t>GST</t>
        </is>
      </c>
      <c r="B96" t="inlineStr"/>
      <c r="C96" s="15" t="inlineStr">
        <is>
          <t>083450</t>
        </is>
      </c>
      <c r="D96" s="15" t="inlineStr">
        <is>
          <t>KOSDAQ</t>
        </is>
      </c>
      <c r="E96" s="15" t="inlineStr">
        <is>
          <t>장비</t>
        </is>
      </c>
      <c r="F96" s="15" t="n">
        <v>64.75</v>
      </c>
      <c r="G96" s="15" t="n">
        <v>0</v>
      </c>
      <c r="H96" s="15" t="inlineStr">
        <is>
          <t>가치 매력</t>
        </is>
      </c>
      <c r="I96" s="15" t="inlineStr">
        <is>
          <t>0.900491542853433</t>
        </is>
      </c>
      <c r="J96" t="inlineStr"/>
      <c r="K96" t="inlineStr"/>
      <c r="L96" t="inlineStr"/>
    </row>
    <row r="97" ht="22" customHeight="1">
      <c r="A97" s="15" t="inlineStr">
        <is>
          <t>하나마이크론</t>
        </is>
      </c>
      <c r="B97" t="inlineStr"/>
      <c r="C97" s="15" t="inlineStr">
        <is>
          <t>067310</t>
        </is>
      </c>
      <c r="D97" s="15" t="inlineStr">
        <is>
          <t>KOSDAQ</t>
        </is>
      </c>
      <c r="E97" s="15" t="inlineStr">
        <is>
          <t>후공정/패키징/테스트</t>
        </is>
      </c>
      <c r="F97" s="15" t="n">
        <v>64.06</v>
      </c>
      <c r="G97" s="15" t="n">
        <v>28.57</v>
      </c>
      <c r="H97" s="15" t="inlineStr">
        <is>
          <t>가치 매력</t>
        </is>
      </c>
      <c r="I97" s="15" t="inlineStr">
        <is>
          <t>0.8727001075083287</t>
        </is>
      </c>
      <c r="J97" t="inlineStr"/>
      <c r="K97" t="inlineStr"/>
      <c r="L97" t="inlineStr"/>
    </row>
    <row r="98" ht="22" customHeight="1">
      <c r="A98" s="15" t="inlineStr">
        <is>
          <t>티이엠씨씨엔에스</t>
        </is>
      </c>
      <c r="B98" t="inlineStr"/>
      <c r="C98" s="15" t="inlineStr">
        <is>
          <t>241790</t>
        </is>
      </c>
      <c r="D98" s="15" t="inlineStr">
        <is>
          <t>KOSDAQ</t>
        </is>
      </c>
      <c r="E98" s="15" t="inlineStr">
        <is>
          <t>장비</t>
        </is>
      </c>
      <c r="F98" s="15" t="n">
        <v>63.93</v>
      </c>
      <c r="G98" s="15" t="n">
        <v>7.14</v>
      </c>
      <c r="H98" s="15" t="inlineStr">
        <is>
          <t>가치 매력</t>
        </is>
      </c>
      <c r="I98" s="15" t="inlineStr">
        <is>
          <t>0.8915695356337118</t>
        </is>
      </c>
      <c r="J98" t="inlineStr"/>
      <c r="K98" t="inlineStr"/>
      <c r="L98" t="inlineStr"/>
    </row>
    <row r="99" ht="22" customHeight="1">
      <c r="A99" s="15" t="inlineStr">
        <is>
          <t>네패스</t>
        </is>
      </c>
      <c r="B99" s="15" t="inlineStr">
        <is>
          <t>nepes</t>
        </is>
      </c>
      <c r="C99" s="15" t="inlineStr">
        <is>
          <t>033640</t>
        </is>
      </c>
      <c r="D99" s="15" t="inlineStr">
        <is>
          <t>KOSDAQ</t>
        </is>
      </c>
      <c r="E99" s="15" t="inlineStr">
        <is>
          <t>후공정/패키징/테스트</t>
        </is>
      </c>
      <c r="F99" s="15" t="n">
        <v>63.85</v>
      </c>
      <c r="G99" s="15" t="n">
        <v>28.57</v>
      </c>
      <c r="H99" s="15" t="inlineStr">
        <is>
          <t>가치 매력</t>
        </is>
      </c>
      <c r="I99" s="15" t="inlineStr">
        <is>
          <t>0.8763685947958789</t>
        </is>
      </c>
      <c r="J99" s="15" t="inlineStr">
        <is>
          <t>예</t>
        </is>
      </c>
      <c r="K99" t="inlineStr"/>
      <c r="L99" t="inlineStr"/>
    </row>
    <row r="100" ht="22" customHeight="1">
      <c r="A100" s="15" t="inlineStr">
        <is>
          <t>KX하이텍</t>
        </is>
      </c>
      <c r="B100" t="inlineStr"/>
      <c r="C100" s="15" t="inlineStr">
        <is>
          <t>052900</t>
        </is>
      </c>
      <c r="D100" s="15" t="inlineStr">
        <is>
          <t>KOSDAQ</t>
        </is>
      </c>
      <c r="E100" s="15" t="inlineStr">
        <is>
          <t>후공정/패키징/테스트</t>
        </is>
      </c>
      <c r="F100" s="15" t="n">
        <v>63.61</v>
      </c>
      <c r="G100" s="15" t="n">
        <v>7.14</v>
      </c>
      <c r="H100" s="15" t="inlineStr">
        <is>
          <t>가치 매력</t>
        </is>
      </c>
      <c r="I100" s="15" t="inlineStr">
        <is>
          <t>0.7896879678479897</t>
        </is>
      </c>
      <c r="J100" t="inlineStr"/>
      <c r="K100" t="inlineStr"/>
      <c r="L100" t="inlineStr"/>
    </row>
    <row r="101" ht="22" customHeight="1">
      <c r="A101" s="15" t="inlineStr">
        <is>
          <t>코미코</t>
        </is>
      </c>
      <c r="B101" t="inlineStr"/>
      <c r="C101" s="15" t="inlineStr">
        <is>
          <t>183300</t>
        </is>
      </c>
      <c r="D101" s="15" t="inlineStr">
        <is>
          <t>KOSDAQ GLOBAL</t>
        </is>
      </c>
      <c r="E101" s="15" t="inlineStr">
        <is>
          <t>부품/기판</t>
        </is>
      </c>
      <c r="F101" s="15" t="n">
        <v>63.43</v>
      </c>
      <c r="G101" s="15" t="n">
        <v>35.71</v>
      </c>
      <c r="H101" s="15" t="inlineStr">
        <is>
          <t>중립</t>
        </is>
      </c>
      <c r="I101" s="15" t="inlineStr">
        <is>
          <t>0.8305894153326006</t>
        </is>
      </c>
      <c r="J101" t="inlineStr"/>
      <c r="K101" t="inlineStr"/>
      <c r="L101" t="inlineStr"/>
    </row>
    <row r="102" ht="22" customHeight="1">
      <c r="A102" s="15" t="inlineStr">
        <is>
          <t>디아이티</t>
        </is>
      </c>
      <c r="B102" t="inlineStr"/>
      <c r="C102" s="15" t="inlineStr">
        <is>
          <t>110990</t>
        </is>
      </c>
      <c r="D102" s="15" t="inlineStr">
        <is>
          <t>KOSDAQ</t>
        </is>
      </c>
      <c r="E102" s="15" t="inlineStr">
        <is>
          <t>장비</t>
        </is>
      </c>
      <c r="F102" s="15" t="n">
        <v>63.41</v>
      </c>
      <c r="G102" s="15" t="n">
        <v>0</v>
      </c>
      <c r="H102" s="15" t="inlineStr">
        <is>
          <t>가치 매력</t>
        </is>
      </c>
      <c r="I102" s="15" t="inlineStr">
        <is>
          <t>0.8847780199048246</t>
        </is>
      </c>
      <c r="J102" t="inlineStr"/>
      <c r="K102" t="inlineStr"/>
      <c r="L102" t="inlineStr"/>
    </row>
    <row r="103" ht="22" customHeight="1">
      <c r="A103" s="15" t="inlineStr">
        <is>
          <t>한솔케미칼</t>
        </is>
      </c>
      <c r="B103" s="15" t="inlineStr">
        <is>
          <t>hansol</t>
        </is>
      </c>
      <c r="C103" s="15" t="inlineStr">
        <is>
          <t>014680</t>
        </is>
      </c>
      <c r="D103" s="15" t="inlineStr">
        <is>
          <t>KOSPI</t>
        </is>
      </c>
      <c r="E103" s="15" t="inlineStr">
        <is>
          <t>소재</t>
        </is>
      </c>
      <c r="F103" s="15" t="n">
        <v>63.31</v>
      </c>
      <c r="G103" s="15" t="n">
        <v>0</v>
      </c>
      <c r="H103" s="15" t="inlineStr">
        <is>
          <t>가치 매력</t>
        </is>
      </c>
      <c r="I103" s="15" t="inlineStr">
        <is>
          <t>0.8364696976606926</t>
        </is>
      </c>
      <c r="J103" s="15" t="inlineStr">
        <is>
          <t>예</t>
        </is>
      </c>
      <c r="K103" t="inlineStr"/>
      <c r="L103" t="inlineStr"/>
    </row>
    <row r="104" ht="22" customHeight="1">
      <c r="A104" s="15" t="inlineStr">
        <is>
          <t>케이씨텍</t>
        </is>
      </c>
      <c r="B104" t="inlineStr"/>
      <c r="C104" s="15" t="inlineStr">
        <is>
          <t>281820</t>
        </is>
      </c>
      <c r="D104" s="15" t="inlineStr">
        <is>
          <t>KOSPI</t>
        </is>
      </c>
      <c r="E104" s="15" t="inlineStr">
        <is>
          <t>장비</t>
        </is>
      </c>
      <c r="F104" s="15" t="n">
        <v>63.15</v>
      </c>
      <c r="G104" s="15" t="n">
        <v>0</v>
      </c>
      <c r="H104" s="15" t="inlineStr">
        <is>
          <t>가치 매력</t>
        </is>
      </c>
      <c r="I104" s="15" t="inlineStr">
        <is>
          <t>0.8895261430914092</t>
        </is>
      </c>
      <c r="J104" t="inlineStr"/>
      <c r="K104" t="inlineStr"/>
      <c r="L104" t="inlineStr"/>
    </row>
    <row r="105" ht="22" customHeight="1">
      <c r="A105" s="15" t="inlineStr">
        <is>
          <t>이녹스첨단소재</t>
        </is>
      </c>
      <c r="B105" t="inlineStr"/>
      <c r="C105" s="15" t="inlineStr">
        <is>
          <t>272290</t>
        </is>
      </c>
      <c r="D105" s="15" t="inlineStr">
        <is>
          <t>KOSDAQ GLOBAL</t>
        </is>
      </c>
      <c r="E105" s="15" t="inlineStr">
        <is>
          <t>소재</t>
        </is>
      </c>
      <c r="F105" s="15" t="n">
        <v>63.13</v>
      </c>
      <c r="G105" s="15" t="n">
        <v>7.14</v>
      </c>
      <c r="H105" s="15" t="inlineStr">
        <is>
          <t>중립</t>
        </is>
      </c>
      <c r="I105" s="15" t="inlineStr">
        <is>
          <t>0.900184891106931</t>
        </is>
      </c>
      <c r="J105" t="inlineStr"/>
      <c r="K105" t="inlineStr"/>
      <c r="L105" t="inlineStr"/>
    </row>
    <row r="106" ht="22" customHeight="1">
      <c r="A106" s="15" t="inlineStr">
        <is>
          <t>로체시스템즈</t>
        </is>
      </c>
      <c r="B106" t="inlineStr"/>
      <c r="C106" s="15" t="inlineStr">
        <is>
          <t>071280</t>
        </is>
      </c>
      <c r="D106" s="15" t="inlineStr">
        <is>
          <t>KOSDAQ</t>
        </is>
      </c>
      <c r="E106" s="15" t="inlineStr">
        <is>
          <t>장비</t>
        </is>
      </c>
      <c r="F106" s="15" t="n">
        <v>62.59</v>
      </c>
      <c r="G106" s="15" t="n">
        <v>7.14</v>
      </c>
      <c r="H106" s="15" t="inlineStr">
        <is>
          <t>가치 매력</t>
        </is>
      </c>
      <c r="I106" s="15" t="inlineStr">
        <is>
          <t>0.9642438845844894</t>
        </is>
      </c>
      <c r="J106" t="inlineStr"/>
      <c r="K106" t="inlineStr"/>
      <c r="L106" t="inlineStr"/>
    </row>
    <row r="107" ht="22" customHeight="1">
      <c r="A107" s="15" t="inlineStr">
        <is>
          <t>에이치엠넥스</t>
        </is>
      </c>
      <c r="B107" t="inlineStr"/>
      <c r="C107" s="15" t="inlineStr">
        <is>
          <t>036170</t>
        </is>
      </c>
      <c r="D107" s="15" t="inlineStr">
        <is>
          <t>KOSDAQ</t>
        </is>
      </c>
      <c r="E107" s="15" t="inlineStr">
        <is>
          <t>후공정/패키징/테스트</t>
        </is>
      </c>
      <c r="F107" s="15" t="n">
        <v>62.1</v>
      </c>
      <c r="G107" s="15" t="n">
        <v>35.71</v>
      </c>
      <c r="H107" s="15" t="inlineStr">
        <is>
          <t>중립</t>
        </is>
      </c>
      <c r="I107" s="15" t="inlineStr">
        <is>
          <t>0.7433115072206052</t>
        </is>
      </c>
      <c r="J107" t="inlineStr"/>
      <c r="K107" t="inlineStr"/>
      <c r="L107" t="inlineStr"/>
    </row>
    <row r="108" ht="22" customHeight="1">
      <c r="A108" s="15" t="inlineStr">
        <is>
          <t>리노공업</t>
        </is>
      </c>
      <c r="B108" t="inlineStr"/>
      <c r="C108" s="15" t="inlineStr">
        <is>
          <t>058470</t>
        </is>
      </c>
      <c r="D108" s="15" t="inlineStr">
        <is>
          <t>KOSDAQ GLOBAL</t>
        </is>
      </c>
      <c r="E108" s="15" t="inlineStr">
        <is>
          <t>후공정/패키징/테스트</t>
        </is>
      </c>
      <c r="F108" s="15" t="n">
        <v>61.91</v>
      </c>
      <c r="G108" s="15" t="n">
        <v>0</v>
      </c>
      <c r="H108" s="15" t="inlineStr">
        <is>
          <t>가치 매력</t>
        </is>
      </c>
      <c r="I108" s="15" t="inlineStr">
        <is>
          <t>0.6825301704423244</t>
        </is>
      </c>
      <c r="J108" t="inlineStr"/>
      <c r="K108" t="inlineStr"/>
      <c r="L108" t="inlineStr"/>
    </row>
    <row r="109" ht="22" customHeight="1">
      <c r="A109" s="15" t="inlineStr">
        <is>
          <t>아이씨디</t>
        </is>
      </c>
      <c r="B109" t="inlineStr"/>
      <c r="C109" s="15" t="inlineStr">
        <is>
          <t>040910</t>
        </is>
      </c>
      <c r="D109" s="15" t="inlineStr">
        <is>
          <t>KOSDAQ</t>
        </is>
      </c>
      <c r="E109" s="15" t="inlineStr">
        <is>
          <t>장비</t>
        </is>
      </c>
      <c r="F109" s="15" t="n">
        <v>61.59</v>
      </c>
      <c r="G109" s="15" t="n">
        <v>7.14</v>
      </c>
      <c r="H109" s="15" t="inlineStr">
        <is>
          <t>중립</t>
        </is>
      </c>
      <c r="I109" s="15" t="inlineStr">
        <is>
          <t>0.692546582663732</t>
        </is>
      </c>
      <c r="J109" t="inlineStr"/>
      <c r="K109" t="inlineStr"/>
      <c r="L109" t="inlineStr"/>
    </row>
    <row r="110" ht="22" customHeight="1">
      <c r="A110" s="15" t="inlineStr">
        <is>
          <t>에스에프에이</t>
        </is>
      </c>
      <c r="B110" t="inlineStr"/>
      <c r="C110" s="15" t="inlineStr">
        <is>
          <t>056190</t>
        </is>
      </c>
      <c r="D110" s="15" t="inlineStr">
        <is>
          <t>KOSDAQ GLOBAL</t>
        </is>
      </c>
      <c r="E110" s="15" t="inlineStr">
        <is>
          <t>장비</t>
        </is>
      </c>
      <c r="F110" s="15" t="n">
        <v>60.99</v>
      </c>
      <c r="G110" s="15" t="n">
        <v>0</v>
      </c>
      <c r="H110" s="15" t="inlineStr">
        <is>
          <t>가치 매력</t>
        </is>
      </c>
      <c r="I110" s="15" t="inlineStr">
        <is>
          <t>0.8690882589557657</t>
        </is>
      </c>
      <c r="J110" t="inlineStr"/>
      <c r="K110" t="inlineStr"/>
      <c r="L110" t="inlineStr"/>
    </row>
    <row r="111" ht="22" customHeight="1">
      <c r="A111" s="15" t="inlineStr">
        <is>
          <t>오디텍</t>
        </is>
      </c>
      <c r="B111" t="inlineStr"/>
      <c r="C111" s="15" t="inlineStr">
        <is>
          <t>080520</t>
        </is>
      </c>
      <c r="D111" s="15" t="inlineStr">
        <is>
          <t>KOSDAQ</t>
        </is>
      </c>
      <c r="E111" s="15" t="inlineStr">
        <is>
          <t>IDM/제조/메모리</t>
        </is>
      </c>
      <c r="F111" s="15" t="n">
        <v>60.83</v>
      </c>
      <c r="G111" s="15" t="n">
        <v>42.86</v>
      </c>
      <c r="H111" s="15" t="inlineStr">
        <is>
          <t>중립</t>
        </is>
      </c>
      <c r="I111" s="15" t="inlineStr">
        <is>
          <t>0.8328575689014174</t>
        </is>
      </c>
      <c r="J111" t="inlineStr"/>
      <c r="K111" t="inlineStr"/>
      <c r="L111" t="inlineStr"/>
    </row>
    <row r="112" ht="22" customHeight="1">
      <c r="A112" s="15" t="inlineStr">
        <is>
          <t>오킨스전자</t>
        </is>
      </c>
      <c r="B112" t="inlineStr"/>
      <c r="C112" s="15" t="inlineStr">
        <is>
          <t>080580</t>
        </is>
      </c>
      <c r="D112" s="15" t="inlineStr">
        <is>
          <t>KOSDAQ</t>
        </is>
      </c>
      <c r="E112" s="15" t="inlineStr">
        <is>
          <t>후공정/패키징/테스트</t>
        </is>
      </c>
      <c r="F112" s="15" t="n">
        <v>60.62</v>
      </c>
      <c r="G112" s="15" t="n">
        <v>21.43</v>
      </c>
      <c r="H112" s="15" t="inlineStr">
        <is>
          <t>가치 매력</t>
        </is>
      </c>
      <c r="I112" s="15" t="inlineStr">
        <is>
          <t>0.8105235691914331</t>
        </is>
      </c>
      <c r="J112" t="inlineStr"/>
      <c r="K112" t="inlineStr"/>
      <c r="L112" t="inlineStr"/>
    </row>
    <row r="113" ht="22" customHeight="1">
      <c r="A113" s="15" t="inlineStr">
        <is>
          <t>알에프세미</t>
        </is>
      </c>
      <c r="B113" t="inlineStr"/>
      <c r="C113" s="15" t="inlineStr">
        <is>
          <t>096610</t>
        </is>
      </c>
      <c r="D113" s="15" t="inlineStr">
        <is>
          <t>KOSDAQ</t>
        </is>
      </c>
      <c r="E113" s="15" t="inlineStr">
        <is>
          <t>팹리스/설계</t>
        </is>
      </c>
      <c r="F113" s="15" t="n">
        <v>60.3</v>
      </c>
      <c r="G113" s="15" t="n">
        <v>7.14</v>
      </c>
      <c r="H113" s="15" t="inlineStr">
        <is>
          <t>가치 매력</t>
        </is>
      </c>
      <c r="I113" s="15" t="inlineStr">
        <is>
          <t>0.8083150256499313</t>
        </is>
      </c>
      <c r="J113" t="inlineStr"/>
      <c r="K113" t="inlineStr"/>
      <c r="L113" t="inlineStr"/>
    </row>
    <row r="114" ht="22" customHeight="1">
      <c r="A114" s="15" t="inlineStr">
        <is>
          <t>그린리소스</t>
        </is>
      </c>
      <c r="B114" t="inlineStr"/>
      <c r="C114" s="15" t="inlineStr">
        <is>
          <t>402490</t>
        </is>
      </c>
      <c r="D114" s="15" t="inlineStr">
        <is>
          <t>KOSDAQ</t>
        </is>
      </c>
      <c r="E114" s="15" t="inlineStr">
        <is>
          <t>IDM/제조/메모리</t>
        </is>
      </c>
      <c r="F114" s="15" t="n">
        <v>60.22</v>
      </c>
      <c r="G114" s="15" t="n">
        <v>42.86</v>
      </c>
      <c r="H114" s="15" t="inlineStr">
        <is>
          <t>중립</t>
        </is>
      </c>
      <c r="I114" s="15" t="inlineStr">
        <is>
          <t>0.7869051998623771</t>
        </is>
      </c>
      <c r="J114" t="inlineStr"/>
      <c r="K114" t="inlineStr"/>
      <c r="L114" t="inlineStr"/>
    </row>
    <row r="115" ht="22" customHeight="1">
      <c r="A115" s="15" t="inlineStr">
        <is>
          <t>삼양엔씨켐</t>
        </is>
      </c>
      <c r="B115" t="inlineStr"/>
      <c r="C115" s="15" t="inlineStr">
        <is>
          <t>482630</t>
        </is>
      </c>
      <c r="D115" s="15" t="inlineStr">
        <is>
          <t>KOSDAQ</t>
        </is>
      </c>
      <c r="E115" s="15" t="inlineStr">
        <is>
          <t>장비</t>
        </is>
      </c>
      <c r="F115" s="15" t="n">
        <v>59.93</v>
      </c>
      <c r="G115" s="15" t="n">
        <v>7.14</v>
      </c>
      <c r="H115" s="15" t="inlineStr">
        <is>
          <t>가치 매력</t>
        </is>
      </c>
      <c r="I115" s="15" t="inlineStr">
        <is>
          <t>0.6408467710997098</t>
        </is>
      </c>
      <c r="J115" t="inlineStr"/>
      <c r="K115" t="inlineStr"/>
      <c r="L115" t="inlineStr"/>
    </row>
    <row r="116" ht="22" customHeight="1">
      <c r="A116" s="15" t="inlineStr">
        <is>
          <t>루멘스</t>
        </is>
      </c>
      <c r="B116" t="inlineStr"/>
      <c r="C116" s="15" t="inlineStr">
        <is>
          <t>038060</t>
        </is>
      </c>
      <c r="D116" s="15" t="inlineStr">
        <is>
          <t>KOSDAQ</t>
        </is>
      </c>
      <c r="E116" s="15" t="inlineStr">
        <is>
          <t>IDM/제조/메모리</t>
        </is>
      </c>
      <c r="F116" s="15" t="n">
        <v>59.7</v>
      </c>
      <c r="G116" s="15" t="n">
        <v>35.71</v>
      </c>
      <c r="H116" s="15" t="inlineStr">
        <is>
          <t>중립</t>
        </is>
      </c>
      <c r="I116" s="15" t="inlineStr">
        <is>
          <t>0.8437683700786414</t>
        </is>
      </c>
      <c r="J116" t="inlineStr"/>
      <c r="K116" t="inlineStr"/>
      <c r="L116" t="inlineStr"/>
    </row>
    <row r="117" ht="22" customHeight="1">
      <c r="A117" s="15" t="inlineStr">
        <is>
          <t>싸이맥스</t>
        </is>
      </c>
      <c r="B117" t="inlineStr"/>
      <c r="C117" s="15" t="inlineStr">
        <is>
          <t>160980</t>
        </is>
      </c>
      <c r="D117" s="15" t="inlineStr">
        <is>
          <t>KOSDAQ</t>
        </is>
      </c>
      <c r="E117" s="15" t="inlineStr">
        <is>
          <t>장비</t>
        </is>
      </c>
      <c r="F117" s="15" t="n">
        <v>59.61</v>
      </c>
      <c r="G117" s="15" t="n">
        <v>0</v>
      </c>
      <c r="H117" s="15" t="inlineStr">
        <is>
          <t>가치 매력</t>
        </is>
      </c>
      <c r="I117" s="15" t="inlineStr">
        <is>
          <t>0.8128181122496774</t>
        </is>
      </c>
      <c r="J117" t="inlineStr"/>
      <c r="K117" t="inlineStr"/>
      <c r="L117" t="inlineStr"/>
    </row>
    <row r="118" ht="22" customHeight="1">
      <c r="A118" s="15" t="inlineStr">
        <is>
          <t>제주반도체</t>
        </is>
      </c>
      <c r="B118" t="inlineStr"/>
      <c r="C118" s="15" t="inlineStr">
        <is>
          <t>080220</t>
        </is>
      </c>
      <c r="D118" s="15" t="inlineStr">
        <is>
          <t>KOSDAQ</t>
        </is>
      </c>
      <c r="E118" s="15" t="inlineStr">
        <is>
          <t>팹리스/설계</t>
        </is>
      </c>
      <c r="F118" s="15" t="n">
        <v>59.17</v>
      </c>
      <c r="G118" s="15" t="n">
        <v>0</v>
      </c>
      <c r="H118" s="15" t="inlineStr">
        <is>
          <t>가치 매력</t>
        </is>
      </c>
      <c r="I118" s="15" t="inlineStr">
        <is>
          <t>0.6955424557105586</t>
        </is>
      </c>
      <c r="J118" t="inlineStr"/>
      <c r="K118" t="inlineStr"/>
      <c r="L118" t="inlineStr"/>
    </row>
    <row r="119" ht="22" customHeight="1">
      <c r="A119" s="15" t="inlineStr">
        <is>
          <t>티에스이</t>
        </is>
      </c>
      <c r="B119" t="inlineStr"/>
      <c r="C119" s="15" t="inlineStr">
        <is>
          <t>131290</t>
        </is>
      </c>
      <c r="D119" s="15" t="inlineStr">
        <is>
          <t>KOSDAQ</t>
        </is>
      </c>
      <c r="E119" s="15" t="inlineStr">
        <is>
          <t>팹리스/설계</t>
        </is>
      </c>
      <c r="F119" s="15" t="n">
        <v>58.81</v>
      </c>
      <c r="G119" s="15" t="n">
        <v>0</v>
      </c>
      <c r="H119" s="15" t="inlineStr">
        <is>
          <t>가치 매력</t>
        </is>
      </c>
      <c r="I119" s="15" t="inlineStr">
        <is>
          <t>0.7390287615028212</t>
        </is>
      </c>
      <c r="J119" t="inlineStr"/>
      <c r="K119" t="inlineStr"/>
      <c r="L119" t="inlineStr"/>
    </row>
    <row r="120" ht="22" customHeight="1">
      <c r="A120" s="15" t="inlineStr">
        <is>
          <t>디아이</t>
        </is>
      </c>
      <c r="B120" t="inlineStr"/>
      <c r="C120" s="15" t="inlineStr">
        <is>
          <t>003160</t>
        </is>
      </c>
      <c r="D120" s="15" t="inlineStr">
        <is>
          <t>KOSPI</t>
        </is>
      </c>
      <c r="E120" s="15" t="inlineStr">
        <is>
          <t>후공정/패키징/테스트</t>
        </is>
      </c>
      <c r="F120" s="15" t="n">
        <v>58.76</v>
      </c>
      <c r="G120" s="15" t="n">
        <v>7.14</v>
      </c>
      <c r="H120" s="15" t="inlineStr">
        <is>
          <t>가치 매력</t>
        </is>
      </c>
      <c r="I120" s="15" t="inlineStr">
        <is>
          <t>0.6560906263736197</t>
        </is>
      </c>
      <c r="J120" t="inlineStr"/>
      <c r="K120" t="inlineStr"/>
      <c r="L120" t="inlineStr"/>
    </row>
    <row r="121" ht="22" customHeight="1">
      <c r="A121" s="15" t="inlineStr">
        <is>
          <t>피델릭스</t>
        </is>
      </c>
      <c r="B121" t="inlineStr"/>
      <c r="C121" s="15" t="inlineStr">
        <is>
          <t>032580</t>
        </is>
      </c>
      <c r="D121" s="15" t="inlineStr">
        <is>
          <t>KOSDAQ</t>
        </is>
      </c>
      <c r="E121" s="15" t="inlineStr">
        <is>
          <t>IDM/제조/메모리</t>
        </is>
      </c>
      <c r="F121" s="15" t="n">
        <v>58.73</v>
      </c>
      <c r="G121" s="15" t="n">
        <v>50</v>
      </c>
      <c r="H121" s="15" t="inlineStr">
        <is>
          <t>중립</t>
        </is>
      </c>
      <c r="I121" s="15" t="inlineStr">
        <is>
          <t>0.8604826019551013</t>
        </is>
      </c>
      <c r="J121" t="inlineStr"/>
      <c r="K121" t="inlineStr"/>
      <c r="L121" t="inlineStr"/>
    </row>
    <row r="122" ht="22" customHeight="1">
      <c r="A122" s="15" t="inlineStr">
        <is>
          <t>엘티씨</t>
        </is>
      </c>
      <c r="B122" s="15" t="inlineStr">
        <is>
          <t>ltc</t>
        </is>
      </c>
      <c r="C122" s="15" t="inlineStr">
        <is>
          <t>170920</t>
        </is>
      </c>
      <c r="D122" s="15" t="inlineStr">
        <is>
          <t>KOSDAQ</t>
        </is>
      </c>
      <c r="E122" s="15" t="inlineStr">
        <is>
          <t>소재</t>
        </is>
      </c>
      <c r="F122" s="15" t="n">
        <v>58.38</v>
      </c>
      <c r="G122" s="15" t="n">
        <v>0</v>
      </c>
      <c r="H122" s="15" t="inlineStr">
        <is>
          <t>중립</t>
        </is>
      </c>
      <c r="I122" s="15" t="inlineStr">
        <is>
          <t>0.6353016273848794</t>
        </is>
      </c>
      <c r="J122" s="15" t="inlineStr">
        <is>
          <t>예</t>
        </is>
      </c>
      <c r="K122" t="inlineStr"/>
      <c r="L122" t="inlineStr"/>
    </row>
    <row r="123" ht="22" customHeight="1">
      <c r="A123" s="15" t="inlineStr">
        <is>
          <t>엔시트론</t>
        </is>
      </c>
      <c r="B123" t="inlineStr"/>
      <c r="C123" s="15" t="inlineStr">
        <is>
          <t>101400</t>
        </is>
      </c>
      <c r="D123" s="15" t="inlineStr">
        <is>
          <t>KOSDAQ</t>
        </is>
      </c>
      <c r="E123" s="15" t="inlineStr">
        <is>
          <t>IDM/제조/메모리</t>
        </is>
      </c>
      <c r="F123" s="15" t="n">
        <v>57.73</v>
      </c>
      <c r="G123" s="15" t="n">
        <v>35.71</v>
      </c>
      <c r="H123" s="15" t="inlineStr">
        <is>
          <t>중립</t>
        </is>
      </c>
      <c r="I123" s="15" t="inlineStr">
        <is>
          <t>0.8173941540342667</t>
        </is>
      </c>
      <c r="J123" t="inlineStr"/>
      <c r="K123" t="inlineStr"/>
      <c r="L123" t="inlineStr"/>
    </row>
    <row r="124" ht="22" customHeight="1">
      <c r="A124" s="15" t="inlineStr">
        <is>
          <t>아나패스</t>
        </is>
      </c>
      <c r="B124" t="inlineStr"/>
      <c r="C124" s="15" t="inlineStr">
        <is>
          <t>123860</t>
        </is>
      </c>
      <c r="D124" s="15" t="inlineStr">
        <is>
          <t>KOSDAQ</t>
        </is>
      </c>
      <c r="E124" s="15" t="inlineStr">
        <is>
          <t>팹리스/설계</t>
        </is>
      </c>
      <c r="F124" s="15" t="n">
        <v>57.62</v>
      </c>
      <c r="G124" s="15" t="n">
        <v>0</v>
      </c>
      <c r="H124" s="15" t="inlineStr">
        <is>
          <t>중립</t>
        </is>
      </c>
      <c r="I124" s="15" t="inlineStr">
        <is>
          <t>0.510332377942325</t>
        </is>
      </c>
      <c r="J124" t="inlineStr"/>
      <c r="K124" t="inlineStr"/>
      <c r="L124" t="inlineStr"/>
    </row>
    <row r="125" ht="22" customHeight="1">
      <c r="A125" s="15" t="inlineStr">
        <is>
          <t>비에이치</t>
        </is>
      </c>
      <c r="B125" t="inlineStr"/>
      <c r="C125" s="15" t="inlineStr">
        <is>
          <t>090460</t>
        </is>
      </c>
      <c r="D125" s="15" t="inlineStr">
        <is>
          <t>KOSPI</t>
        </is>
      </c>
      <c r="E125" s="15" t="inlineStr">
        <is>
          <t>부품/기판</t>
        </is>
      </c>
      <c r="F125" s="15" t="n">
        <v>57.52</v>
      </c>
      <c r="G125" s="15" t="n">
        <v>0</v>
      </c>
      <c r="H125" s="15" t="inlineStr">
        <is>
          <t>중립</t>
        </is>
      </c>
      <c r="I125" s="15" t="inlineStr">
        <is>
          <t>0.5078538652826</t>
        </is>
      </c>
      <c r="J125" t="inlineStr"/>
      <c r="K125" t="inlineStr"/>
      <c r="L125" t="inlineStr"/>
    </row>
    <row r="126" ht="22" customHeight="1">
      <c r="A126" s="15" t="inlineStr">
        <is>
          <t>뉴파워프라즈마</t>
        </is>
      </c>
      <c r="B126" t="inlineStr"/>
      <c r="C126" s="15" t="inlineStr">
        <is>
          <t>144960</t>
        </is>
      </c>
      <c r="D126" s="15" t="inlineStr">
        <is>
          <t>KOSDAQ</t>
        </is>
      </c>
      <c r="E126" s="15" t="inlineStr">
        <is>
          <t>장비</t>
        </is>
      </c>
      <c r="F126" s="15" t="n">
        <v>57.49</v>
      </c>
      <c r="G126" s="15" t="n">
        <v>21.43</v>
      </c>
      <c r="H126" s="15" t="inlineStr">
        <is>
          <t>중립</t>
        </is>
      </c>
      <c r="I126" s="15" t="inlineStr">
        <is>
          <t>0.868464354966477</t>
        </is>
      </c>
      <c r="J126" t="inlineStr"/>
      <c r="K126" t="inlineStr"/>
      <c r="L126" t="inlineStr"/>
    </row>
    <row r="127" ht="22" customHeight="1">
      <c r="A127" s="15" t="inlineStr">
        <is>
          <t>이엘씨</t>
        </is>
      </c>
      <c r="B127" t="inlineStr"/>
      <c r="C127" s="15" t="inlineStr">
        <is>
          <t>041520</t>
        </is>
      </c>
      <c r="D127" s="15" t="inlineStr">
        <is>
          <t>KOSDAQ</t>
        </is>
      </c>
      <c r="E127" s="15" t="inlineStr">
        <is>
          <t>장비</t>
        </is>
      </c>
      <c r="F127" s="15" t="n">
        <v>57.22</v>
      </c>
      <c r="G127" s="15" t="n">
        <v>35.71</v>
      </c>
      <c r="H127" s="15" t="inlineStr">
        <is>
          <t>중립</t>
        </is>
      </c>
      <c r="I127" s="15" t="inlineStr">
        <is>
          <t>0.7059172837936919</t>
        </is>
      </c>
      <c r="J127" t="inlineStr"/>
      <c r="K127" t="inlineStr"/>
      <c r="L127" t="inlineStr"/>
    </row>
    <row r="128" ht="22" customHeight="1">
      <c r="A128" s="15" t="inlineStr">
        <is>
          <t>엑시콘</t>
        </is>
      </c>
      <c r="B128" t="inlineStr"/>
      <c r="C128" s="15" t="inlineStr">
        <is>
          <t>092870</t>
        </is>
      </c>
      <c r="D128" s="15" t="inlineStr">
        <is>
          <t>KOSDAQ</t>
        </is>
      </c>
      <c r="E128" s="15" t="inlineStr">
        <is>
          <t>후공정/패키징/테스트</t>
        </is>
      </c>
      <c r="F128" s="15" t="n">
        <v>57.11</v>
      </c>
      <c r="G128" s="15" t="n">
        <v>21.43</v>
      </c>
      <c r="H128" s="15" t="inlineStr">
        <is>
          <t>중립</t>
        </is>
      </c>
      <c r="I128" s="15" t="inlineStr">
        <is>
          <t>0.7870958268046786</t>
        </is>
      </c>
      <c r="J128" t="inlineStr"/>
      <c r="K128" t="inlineStr"/>
      <c r="L128" t="inlineStr"/>
    </row>
    <row r="129" ht="22" customHeight="1">
      <c r="A129" s="15" t="inlineStr">
        <is>
          <t>티이엠씨</t>
        </is>
      </c>
      <c r="B129" t="inlineStr"/>
      <c r="C129" s="15" t="inlineStr">
        <is>
          <t>425040</t>
        </is>
      </c>
      <c r="D129" s="15" t="inlineStr">
        <is>
          <t>KOSDAQ</t>
        </is>
      </c>
      <c r="E129" s="15" t="inlineStr">
        <is>
          <t>소재</t>
        </is>
      </c>
      <c r="F129" s="15" t="n">
        <v>56.67</v>
      </c>
      <c r="G129" s="15" t="n">
        <v>7.14</v>
      </c>
      <c r="H129" s="15" t="inlineStr">
        <is>
          <t>중립</t>
        </is>
      </c>
      <c r="I129" s="15" t="inlineStr">
        <is>
          <t>0.8720430887980049</t>
        </is>
      </c>
      <c r="J129" t="inlineStr"/>
      <c r="K129" t="inlineStr"/>
      <c r="L129" t="inlineStr"/>
    </row>
    <row r="130" ht="22" customHeight="1">
      <c r="A130" s="15" t="inlineStr">
        <is>
          <t>서울바이오시스</t>
        </is>
      </c>
      <c r="B130" t="inlineStr"/>
      <c r="C130" s="15" t="inlineStr">
        <is>
          <t>092190</t>
        </is>
      </c>
      <c r="D130" s="15" t="inlineStr">
        <is>
          <t>KOSDAQ</t>
        </is>
      </c>
      <c r="E130" s="15" t="inlineStr">
        <is>
          <t>IDM/제조/메모리</t>
        </is>
      </c>
      <c r="F130" s="15" t="n">
        <v>56.55</v>
      </c>
      <c r="G130" s="15" t="n">
        <v>42.86</v>
      </c>
      <c r="H130" s="15" t="inlineStr">
        <is>
          <t>중립</t>
        </is>
      </c>
      <c r="I130" s="15" t="inlineStr">
        <is>
          <t>0.7336783523450653</t>
        </is>
      </c>
      <c r="J130" t="inlineStr"/>
      <c r="K130" t="inlineStr"/>
      <c r="L130" t="inlineStr"/>
    </row>
    <row r="131" ht="22" customHeight="1">
      <c r="A131" s="15" t="inlineStr">
        <is>
          <t>에스앤에스텍</t>
        </is>
      </c>
      <c r="B131" t="inlineStr"/>
      <c r="C131" s="15" t="inlineStr">
        <is>
          <t>101490</t>
        </is>
      </c>
      <c r="D131" s="15" t="inlineStr">
        <is>
          <t>KOSDAQ</t>
        </is>
      </c>
      <c r="E131" s="15" t="inlineStr">
        <is>
          <t>소재</t>
        </is>
      </c>
      <c r="F131" s="15" t="n">
        <v>56.54</v>
      </c>
      <c r="G131" s="15" t="n">
        <v>7.14</v>
      </c>
      <c r="H131" s="15" t="inlineStr">
        <is>
          <t>중립</t>
        </is>
      </c>
      <c r="I131" s="15" t="inlineStr">
        <is>
          <t>0.7907123507381016</t>
        </is>
      </c>
      <c r="J131" t="inlineStr"/>
      <c r="K131" t="inlineStr"/>
      <c r="L131" t="inlineStr"/>
    </row>
    <row r="132" ht="22" customHeight="1">
      <c r="A132" s="15" t="inlineStr">
        <is>
          <t>포인트엔지니어링</t>
        </is>
      </c>
      <c r="B132" t="inlineStr"/>
      <c r="C132" s="15" t="inlineStr">
        <is>
          <t>256630</t>
        </is>
      </c>
      <c r="D132" s="15" t="inlineStr">
        <is>
          <t>KOSDAQ</t>
        </is>
      </c>
      <c r="E132" s="15" t="inlineStr">
        <is>
          <t>장비</t>
        </is>
      </c>
      <c r="F132" s="15" t="n">
        <v>56.49</v>
      </c>
      <c r="G132" s="15" t="n">
        <v>14.29</v>
      </c>
      <c r="H132" s="15" t="inlineStr">
        <is>
          <t>중립</t>
        </is>
      </c>
      <c r="I132" s="15" t="inlineStr">
        <is>
          <t>0.735270480034121</t>
        </is>
      </c>
      <c r="J132" t="inlineStr"/>
      <c r="K132" t="inlineStr"/>
      <c r="L132" t="inlineStr"/>
    </row>
    <row r="133" ht="22" customHeight="1">
      <c r="A133" s="15" t="inlineStr">
        <is>
          <t>테스</t>
        </is>
      </c>
      <c r="B133" t="inlineStr"/>
      <c r="C133" s="15" t="inlineStr">
        <is>
          <t>095610</t>
        </is>
      </c>
      <c r="D133" s="15" t="inlineStr">
        <is>
          <t>KOSDAQ</t>
        </is>
      </c>
      <c r="E133" s="15" t="inlineStr">
        <is>
          <t>장비</t>
        </is>
      </c>
      <c r="F133" s="15" t="n">
        <v>56.4</v>
      </c>
      <c r="G133" s="15" t="n">
        <v>14.29</v>
      </c>
      <c r="H133" s="15" t="inlineStr">
        <is>
          <t>중립</t>
        </is>
      </c>
      <c r="I133" s="15" t="inlineStr">
        <is>
          <t>0.5083695341145091</t>
        </is>
      </c>
      <c r="J133" t="inlineStr"/>
      <c r="K133" t="inlineStr"/>
      <c r="L133" t="inlineStr"/>
    </row>
    <row r="134" ht="22" customHeight="1">
      <c r="A134" s="15" t="inlineStr">
        <is>
          <t>코아시아</t>
        </is>
      </c>
      <c r="B134" t="inlineStr"/>
      <c r="C134" s="15" t="inlineStr">
        <is>
          <t>045970</t>
        </is>
      </c>
      <c r="D134" s="15" t="inlineStr">
        <is>
          <t>KOSDAQ</t>
        </is>
      </c>
      <c r="E134" s="15" t="inlineStr">
        <is>
          <t>팹리스/설계</t>
        </is>
      </c>
      <c r="F134" s="15" t="n">
        <v>56.12</v>
      </c>
      <c r="G134" s="15" t="n">
        <v>50</v>
      </c>
      <c r="H134" s="15" t="inlineStr">
        <is>
          <t>중립</t>
        </is>
      </c>
      <c r="I134" s="15" t="inlineStr">
        <is>
          <t>0.811266524244761</t>
        </is>
      </c>
      <c r="J134" t="inlineStr"/>
      <c r="K134" t="inlineStr"/>
      <c r="L134" t="inlineStr"/>
    </row>
    <row r="135" ht="22" customHeight="1">
      <c r="A135" s="15" t="inlineStr">
        <is>
          <t>우리이앤엘하루틴</t>
        </is>
      </c>
      <c r="B135" t="inlineStr"/>
      <c r="C135" s="15" t="inlineStr">
        <is>
          <t>153490</t>
        </is>
      </c>
      <c r="D135" s="15" t="inlineStr">
        <is>
          <t>KOSDAQ</t>
        </is>
      </c>
      <c r="E135" s="15" t="inlineStr">
        <is>
          <t>후공정/패키징/테스트</t>
        </is>
      </c>
      <c r="F135" s="15" t="n">
        <v>55.99</v>
      </c>
      <c r="G135" s="15" t="n">
        <v>14.29</v>
      </c>
      <c r="H135" s="15" t="inlineStr">
        <is>
          <t>중립</t>
        </is>
      </c>
      <c r="I135" s="15" t="inlineStr">
        <is>
          <t>0.803860880134826</t>
        </is>
      </c>
      <c r="J135" t="inlineStr"/>
      <c r="K135" t="inlineStr"/>
      <c r="L135" t="inlineStr"/>
    </row>
    <row r="136" ht="22" customHeight="1">
      <c r="A136" s="15" t="inlineStr">
        <is>
          <t>와이씨</t>
        </is>
      </c>
      <c r="B136" t="inlineStr"/>
      <c r="C136" s="15" t="inlineStr">
        <is>
          <t>232140</t>
        </is>
      </c>
      <c r="D136" s="15" t="inlineStr">
        <is>
          <t>KOSDAQ</t>
        </is>
      </c>
      <c r="E136" s="15" t="inlineStr">
        <is>
          <t>후공정/패키징/테스트</t>
        </is>
      </c>
      <c r="F136" s="15" t="n">
        <v>55.73</v>
      </c>
      <c r="G136" s="15" t="n">
        <v>0</v>
      </c>
      <c r="H136" s="15" t="inlineStr">
        <is>
          <t>중립</t>
        </is>
      </c>
      <c r="I136" s="15" t="inlineStr">
        <is>
          <t>0.5813875575219858</t>
        </is>
      </c>
      <c r="J136" t="inlineStr"/>
      <c r="K136" t="inlineStr"/>
      <c r="L136" t="inlineStr"/>
    </row>
    <row r="137" ht="22" customHeight="1">
      <c r="A137" s="15" t="inlineStr">
        <is>
          <t>기가비스</t>
        </is>
      </c>
      <c r="B137" t="inlineStr"/>
      <c r="C137" s="15" t="inlineStr">
        <is>
          <t>420770</t>
        </is>
      </c>
      <c r="D137" s="15" t="inlineStr">
        <is>
          <t>KOSDAQ</t>
        </is>
      </c>
      <c r="E137" s="15" t="inlineStr">
        <is>
          <t>후공정/패키징/테스트</t>
        </is>
      </c>
      <c r="F137" s="15" t="n">
        <v>55.44</v>
      </c>
      <c r="G137" s="15" t="n">
        <v>7.14</v>
      </c>
      <c r="H137" s="15" t="inlineStr">
        <is>
          <t>중립</t>
        </is>
      </c>
      <c r="I137" s="15" t="inlineStr">
        <is>
          <t>0.604283449323821</t>
        </is>
      </c>
      <c r="J137" t="inlineStr"/>
      <c r="K137" t="inlineStr"/>
      <c r="L137" t="inlineStr"/>
    </row>
    <row r="138" ht="22" customHeight="1">
      <c r="A138" s="15" t="inlineStr">
        <is>
          <t>픽셀플러스</t>
        </is>
      </c>
      <c r="B138" t="inlineStr"/>
      <c r="C138" s="15" t="inlineStr">
        <is>
          <t>087600</t>
        </is>
      </c>
      <c r="D138" s="15" t="inlineStr">
        <is>
          <t>KOSDAQ</t>
        </is>
      </c>
      <c r="E138" s="15" t="inlineStr">
        <is>
          <t>팹리스/설계</t>
        </is>
      </c>
      <c r="F138" s="15" t="n">
        <v>54.3</v>
      </c>
      <c r="G138" s="15" t="n">
        <v>28.57</v>
      </c>
      <c r="H138" s="15" t="inlineStr">
        <is>
          <t>중립</t>
        </is>
      </c>
      <c r="I138" s="15" t="inlineStr">
        <is>
          <t>0.8353732583827468</t>
        </is>
      </c>
      <c r="J138" t="inlineStr"/>
      <c r="K138" t="inlineStr"/>
      <c r="L138" t="inlineStr"/>
    </row>
    <row r="139" ht="22" customHeight="1">
      <c r="A139" s="15" t="inlineStr">
        <is>
          <t>칩스앤미디어</t>
        </is>
      </c>
      <c r="B139" t="inlineStr"/>
      <c r="C139" s="15" t="inlineStr">
        <is>
          <t>094360</t>
        </is>
      </c>
      <c r="D139" s="15" t="inlineStr">
        <is>
          <t>KOSDAQ</t>
        </is>
      </c>
      <c r="E139" s="15" t="inlineStr">
        <is>
          <t>팹리스/설계</t>
        </is>
      </c>
      <c r="F139" s="15" t="n">
        <v>54.24</v>
      </c>
      <c r="G139" s="15" t="n">
        <v>0</v>
      </c>
      <c r="H139" s="15" t="inlineStr">
        <is>
          <t>중립</t>
        </is>
      </c>
      <c r="I139" s="15" t="inlineStr">
        <is>
          <t>0.44740744488593415</t>
        </is>
      </c>
      <c r="J139" t="inlineStr"/>
      <c r="K139" t="inlineStr"/>
      <c r="L139" t="inlineStr"/>
    </row>
    <row r="140" ht="22" customHeight="1">
      <c r="A140" s="15" t="inlineStr">
        <is>
          <t>큐에스아이</t>
        </is>
      </c>
      <c r="B140" t="inlineStr"/>
      <c r="C140" s="15" t="inlineStr">
        <is>
          <t>066310</t>
        </is>
      </c>
      <c r="D140" s="15" t="inlineStr">
        <is>
          <t>KOSDAQ</t>
        </is>
      </c>
      <c r="E140" s="15" t="inlineStr">
        <is>
          <t>IDM/제조/메모리</t>
        </is>
      </c>
      <c r="F140" s="15" t="n">
        <v>54.23</v>
      </c>
      <c r="G140" s="15" t="n">
        <v>7.14</v>
      </c>
      <c r="H140" s="15" t="inlineStr">
        <is>
          <t>중립</t>
        </is>
      </c>
      <c r="I140" s="15" t="inlineStr">
        <is>
          <t>0.5496283015517583</t>
        </is>
      </c>
      <c r="J140" t="inlineStr"/>
      <c r="K140" t="inlineStr"/>
      <c r="L140" t="inlineStr"/>
    </row>
    <row r="141" ht="22" customHeight="1">
      <c r="A141" s="15" t="inlineStr">
        <is>
          <t>유니셈</t>
        </is>
      </c>
      <c r="B141" t="inlineStr"/>
      <c r="C141" s="15" t="inlineStr">
        <is>
          <t>036200</t>
        </is>
      </c>
      <c r="D141" s="15" t="inlineStr">
        <is>
          <t>KOSDAQ</t>
        </is>
      </c>
      <c r="E141" s="15" t="inlineStr">
        <is>
          <t>장비</t>
        </is>
      </c>
      <c r="F141" s="15" t="n">
        <v>54.09</v>
      </c>
      <c r="G141" s="15" t="n">
        <v>21.43</v>
      </c>
      <c r="H141" s="15" t="inlineStr">
        <is>
          <t>중립</t>
        </is>
      </c>
      <c r="I141" s="15" t="inlineStr">
        <is>
          <t>0.751305499027411</t>
        </is>
      </c>
      <c r="J141" t="inlineStr"/>
      <c r="K141" t="inlineStr"/>
      <c r="L141" t="inlineStr"/>
    </row>
    <row r="142" ht="22" customHeight="1">
      <c r="A142" s="15" t="inlineStr">
        <is>
          <t>피에스케이홀딩스</t>
        </is>
      </c>
      <c r="B142" t="inlineStr"/>
      <c r="C142" s="15" t="inlineStr">
        <is>
          <t>031980</t>
        </is>
      </c>
      <c r="D142" s="15" t="inlineStr">
        <is>
          <t>KOSDAQ</t>
        </is>
      </c>
      <c r="E142" s="15" t="inlineStr">
        <is>
          <t>장비</t>
        </is>
      </c>
      <c r="F142" s="15" t="n">
        <v>53.85</v>
      </c>
      <c r="G142" s="15" t="n">
        <v>0</v>
      </c>
      <c r="H142" s="15" t="inlineStr">
        <is>
          <t>중립</t>
        </is>
      </c>
      <c r="I142" s="15" t="inlineStr">
        <is>
          <t>0.7521125976897308</t>
        </is>
      </c>
      <c r="J142" t="inlineStr"/>
      <c r="K142" t="inlineStr"/>
      <c r="L142" t="inlineStr"/>
    </row>
    <row r="143" ht="22" customHeight="1">
      <c r="A143" s="15" t="inlineStr">
        <is>
          <t>워트</t>
        </is>
      </c>
      <c r="B143" t="inlineStr"/>
      <c r="C143" s="15" t="inlineStr">
        <is>
          <t>396470</t>
        </is>
      </c>
      <c r="D143" s="15" t="inlineStr">
        <is>
          <t>KOSDAQ</t>
        </is>
      </c>
      <c r="E143" s="15" t="inlineStr">
        <is>
          <t>장비</t>
        </is>
      </c>
      <c r="F143" s="15" t="n">
        <v>53.84</v>
      </c>
      <c r="G143" s="15" t="n">
        <v>7.14</v>
      </c>
      <c r="H143" s="15" t="inlineStr">
        <is>
          <t>중립</t>
        </is>
      </c>
      <c r="I143" s="15" t="inlineStr">
        <is>
          <t>0.6073344328439819</t>
        </is>
      </c>
      <c r="J143" t="inlineStr"/>
      <c r="K143" t="inlineStr"/>
      <c r="L143" t="inlineStr"/>
    </row>
    <row r="144" ht="22" customHeight="1">
      <c r="A144" s="15" t="inlineStr">
        <is>
          <t>엘오티베큠</t>
        </is>
      </c>
      <c r="B144" t="inlineStr"/>
      <c r="C144" s="15" t="inlineStr">
        <is>
          <t>083310</t>
        </is>
      </c>
      <c r="D144" s="15" t="inlineStr">
        <is>
          <t>KOSDAQ</t>
        </is>
      </c>
      <c r="E144" s="15" t="inlineStr">
        <is>
          <t>IDM/제조/메모리</t>
        </is>
      </c>
      <c r="F144" s="15" t="n">
        <v>53.8</v>
      </c>
      <c r="G144" s="15" t="n">
        <v>21.43</v>
      </c>
      <c r="H144" s="15" t="inlineStr">
        <is>
          <t>중립</t>
        </is>
      </c>
      <c r="I144" s="15" t="inlineStr">
        <is>
          <t>0.860578291373445</t>
        </is>
      </c>
      <c r="J144" t="inlineStr"/>
      <c r="K144" t="inlineStr"/>
      <c r="L144" t="inlineStr"/>
    </row>
    <row r="145" ht="22" customHeight="1">
      <c r="A145" s="15" t="inlineStr">
        <is>
          <t>비씨엔씨</t>
        </is>
      </c>
      <c r="B145" t="inlineStr"/>
      <c r="C145" s="15" t="inlineStr">
        <is>
          <t>146320</t>
        </is>
      </c>
      <c r="D145" s="15" t="inlineStr">
        <is>
          <t>KOSDAQ</t>
        </is>
      </c>
      <c r="E145" s="15" t="inlineStr">
        <is>
          <t>IDM/제조/메모리</t>
        </is>
      </c>
      <c r="F145" s="15" t="n">
        <v>53.66</v>
      </c>
      <c r="G145" s="15" t="n">
        <v>28.57</v>
      </c>
      <c r="H145" s="15" t="inlineStr">
        <is>
          <t>중립</t>
        </is>
      </c>
      <c r="I145" s="15" t="inlineStr">
        <is>
          <t>0.7033805368548921</t>
        </is>
      </c>
      <c r="J145" t="inlineStr"/>
      <c r="K145" t="inlineStr"/>
      <c r="L145" t="inlineStr"/>
    </row>
    <row r="146" ht="22" customHeight="1">
      <c r="A146" s="15" t="inlineStr">
        <is>
          <t>티엘비</t>
        </is>
      </c>
      <c r="B146" t="inlineStr"/>
      <c r="C146" s="15" t="inlineStr">
        <is>
          <t>356860</t>
        </is>
      </c>
      <c r="D146" s="15" t="inlineStr">
        <is>
          <t>KOSDAQ</t>
        </is>
      </c>
      <c r="E146" s="15" t="inlineStr">
        <is>
          <t>IDM/제조/메모리</t>
        </is>
      </c>
      <c r="F146" s="15" t="n">
        <v>53.62</v>
      </c>
      <c r="G146" s="15" t="n">
        <v>7.14</v>
      </c>
      <c r="H146" s="15" t="inlineStr">
        <is>
          <t>중립</t>
        </is>
      </c>
      <c r="I146" s="15" t="inlineStr">
        <is>
          <t>0.8509295904965918</t>
        </is>
      </c>
      <c r="J146" t="inlineStr"/>
      <c r="K146" t="inlineStr"/>
      <c r="L146" t="inlineStr"/>
    </row>
    <row r="147" ht="22" customHeight="1">
      <c r="A147" s="15" t="inlineStr">
        <is>
          <t>피에스케이</t>
        </is>
      </c>
      <c r="B147" t="inlineStr"/>
      <c r="C147" s="15" t="inlineStr">
        <is>
          <t>319660</t>
        </is>
      </c>
      <c r="D147" s="15" t="inlineStr">
        <is>
          <t>KOSDAQ GLOBAL</t>
        </is>
      </c>
      <c r="E147" s="15" t="inlineStr">
        <is>
          <t>장비</t>
        </is>
      </c>
      <c r="F147" s="15" t="n">
        <v>53.57</v>
      </c>
      <c r="G147" s="15" t="n">
        <v>0</v>
      </c>
      <c r="H147" s="15" t="inlineStr">
        <is>
          <t>중립</t>
        </is>
      </c>
      <c r="I147" s="15" t="inlineStr">
        <is>
          <t>0.7072072873445469</t>
        </is>
      </c>
      <c r="J147" t="inlineStr"/>
      <c r="K147" t="inlineStr"/>
      <c r="L147" t="inlineStr"/>
    </row>
    <row r="148" ht="22" customHeight="1">
      <c r="A148" s="15" t="inlineStr">
        <is>
          <t>해성디에스</t>
        </is>
      </c>
      <c r="B148" t="inlineStr"/>
      <c r="C148" s="15" t="inlineStr">
        <is>
          <t>195870</t>
        </is>
      </c>
      <c r="D148" s="15" t="inlineStr">
        <is>
          <t>KOSPI</t>
        </is>
      </c>
      <c r="E148" s="15" t="inlineStr">
        <is>
          <t>후공정/패키징/테스트</t>
        </is>
      </c>
      <c r="F148" s="15" t="n">
        <v>53.33</v>
      </c>
      <c r="G148" s="15" t="n">
        <v>7.14</v>
      </c>
      <c r="H148" s="15" t="inlineStr">
        <is>
          <t>중립</t>
        </is>
      </c>
      <c r="I148" s="15" t="inlineStr">
        <is>
          <t>0.8942165906576592</t>
        </is>
      </c>
      <c r="J148" t="inlineStr"/>
      <c r="K148" t="inlineStr"/>
      <c r="L148" t="inlineStr"/>
    </row>
    <row r="149" ht="22" customHeight="1">
      <c r="A149" s="15" t="inlineStr">
        <is>
          <t>심텍홀딩스</t>
        </is>
      </c>
      <c r="B149" t="inlineStr"/>
      <c r="C149" s="15" t="inlineStr">
        <is>
          <t>036710</t>
        </is>
      </c>
      <c r="D149" s="15" t="inlineStr">
        <is>
          <t>KOSDAQ</t>
        </is>
      </c>
      <c r="E149" s="15" t="inlineStr">
        <is>
          <t>부품/기판</t>
        </is>
      </c>
      <c r="F149" s="15" t="n">
        <v>53.24</v>
      </c>
      <c r="G149" s="15" t="n">
        <v>78.56999999999999</v>
      </c>
      <c r="H149" s="15" t="inlineStr">
        <is>
          <t>중립</t>
        </is>
      </c>
      <c r="I149" s="15" t="inlineStr">
        <is>
          <t>0.726519318190825</t>
        </is>
      </c>
      <c r="J149" t="inlineStr"/>
      <c r="K149" t="inlineStr"/>
      <c r="L149" t="inlineStr"/>
    </row>
    <row r="150" ht="22" customHeight="1">
      <c r="A150" s="15" t="inlineStr">
        <is>
          <t>하나머티리얼즈</t>
        </is>
      </c>
      <c r="B150" t="inlineStr"/>
      <c r="C150" s="15" t="inlineStr">
        <is>
          <t>166090</t>
        </is>
      </c>
      <c r="D150" s="15" t="inlineStr">
        <is>
          <t>KOSDAQ GLOBAL</t>
        </is>
      </c>
      <c r="E150" s="15" t="inlineStr">
        <is>
          <t>IDM/제조/메모리</t>
        </is>
      </c>
      <c r="F150" s="15" t="n">
        <v>53.22</v>
      </c>
      <c r="G150" s="15" t="n">
        <v>0</v>
      </c>
      <c r="H150" s="15" t="inlineStr">
        <is>
          <t>중립</t>
        </is>
      </c>
      <c r="I150" s="15" t="inlineStr">
        <is>
          <t>0.6425667923365267</t>
        </is>
      </c>
      <c r="J150" t="inlineStr"/>
      <c r="K150" t="inlineStr"/>
      <c r="L150" t="inlineStr"/>
    </row>
    <row r="151" ht="22" customHeight="1">
      <c r="A151" s="15" t="inlineStr">
        <is>
          <t>엠디바이스</t>
        </is>
      </c>
      <c r="B151" t="inlineStr"/>
      <c r="C151" s="15" t="inlineStr">
        <is>
          <t>226590</t>
        </is>
      </c>
      <c r="D151" s="15" t="inlineStr">
        <is>
          <t>KOSDAQ</t>
        </is>
      </c>
      <c r="E151" s="15" t="inlineStr">
        <is>
          <t>부품/기판</t>
        </is>
      </c>
      <c r="F151" s="15" t="n">
        <v>53.19</v>
      </c>
      <c r="G151" s="15" t="n">
        <v>42.86</v>
      </c>
      <c r="H151" s="15" t="inlineStr">
        <is>
          <t>중립</t>
        </is>
      </c>
      <c r="I151" s="15" t="inlineStr">
        <is>
          <t>0.7655361666958056</t>
        </is>
      </c>
      <c r="J151" t="inlineStr"/>
      <c r="K151" t="inlineStr"/>
      <c r="L151" t="inlineStr"/>
    </row>
    <row r="152" ht="22" customHeight="1">
      <c r="A152" s="15" t="inlineStr">
        <is>
          <t>제이아이테크</t>
        </is>
      </c>
      <c r="B152" t="inlineStr"/>
      <c r="C152" s="15" t="inlineStr">
        <is>
          <t>417500</t>
        </is>
      </c>
      <c r="D152" s="15" t="inlineStr">
        <is>
          <t>KOSDAQ</t>
        </is>
      </c>
      <c r="E152" s="15" t="inlineStr">
        <is>
          <t>소재</t>
        </is>
      </c>
      <c r="F152" s="15" t="n">
        <v>52.64</v>
      </c>
      <c r="G152" s="15" t="n">
        <v>7.14</v>
      </c>
      <c r="H152" s="15" t="inlineStr">
        <is>
          <t>중립</t>
        </is>
      </c>
      <c r="I152" s="15" t="inlineStr">
        <is>
          <t>0.8525733569966568</t>
        </is>
      </c>
      <c r="J152" t="inlineStr"/>
      <c r="K152" t="inlineStr"/>
      <c r="L152" t="inlineStr"/>
    </row>
    <row r="153" ht="22" customHeight="1">
      <c r="A153" s="15" t="inlineStr">
        <is>
          <t>브이엠</t>
        </is>
      </c>
      <c r="B153" t="inlineStr"/>
      <c r="C153" s="15" t="inlineStr">
        <is>
          <t>089970</t>
        </is>
      </c>
      <c r="D153" s="15" t="inlineStr">
        <is>
          <t>KOSDAQ</t>
        </is>
      </c>
      <c r="E153" s="15" t="inlineStr">
        <is>
          <t>장비</t>
        </is>
      </c>
      <c r="F153" s="15" t="n">
        <v>52.04</v>
      </c>
      <c r="G153" s="15" t="n">
        <v>0</v>
      </c>
      <c r="H153" s="15" t="inlineStr">
        <is>
          <t>중립</t>
        </is>
      </c>
      <c r="I153" s="15" t="inlineStr">
        <is>
          <t>0.737579554357605</t>
        </is>
      </c>
      <c r="J153" t="inlineStr"/>
      <c r="K153" t="inlineStr"/>
      <c r="L153" t="inlineStr"/>
    </row>
    <row r="154" ht="22" customHeight="1">
      <c r="A154" s="15" t="inlineStr">
        <is>
          <t>ISC</t>
        </is>
      </c>
      <c r="B154" t="inlineStr"/>
      <c r="C154" s="15" t="inlineStr">
        <is>
          <t>095340</t>
        </is>
      </c>
      <c r="D154" s="15" t="inlineStr">
        <is>
          <t>KOSDAQ GLOBAL</t>
        </is>
      </c>
      <c r="E154" s="15" t="inlineStr">
        <is>
          <t>후공정/패키징/테스트</t>
        </is>
      </c>
      <c r="F154" s="15" t="n">
        <v>51.76</v>
      </c>
      <c r="G154" s="15" t="n">
        <v>0</v>
      </c>
      <c r="H154" s="15" t="inlineStr">
        <is>
          <t>중립</t>
        </is>
      </c>
      <c r="I154" s="15" t="inlineStr">
        <is>
          <t>0.5753148434947495</t>
        </is>
      </c>
      <c r="J154" t="inlineStr"/>
      <c r="K154" t="inlineStr"/>
      <c r="L154" t="inlineStr"/>
    </row>
    <row r="155" ht="22" customHeight="1">
      <c r="A155" s="15" t="inlineStr">
        <is>
          <t>원익QnC</t>
        </is>
      </c>
      <c r="B155" t="inlineStr"/>
      <c r="C155" s="15" t="inlineStr">
        <is>
          <t>074600</t>
        </is>
      </c>
      <c r="D155" s="15" t="inlineStr">
        <is>
          <t>KOSDAQ GLOBAL</t>
        </is>
      </c>
      <c r="E155" s="15" t="inlineStr">
        <is>
          <t>소재</t>
        </is>
      </c>
      <c r="F155" s="15" t="n">
        <v>51.56</v>
      </c>
      <c r="G155" s="15" t="n">
        <v>28.57</v>
      </c>
      <c r="H155" s="15" t="inlineStr">
        <is>
          <t>중립</t>
        </is>
      </c>
      <c r="I155" s="15" t="inlineStr">
        <is>
          <t>0.4211836082778998</t>
        </is>
      </c>
      <c r="J155" t="inlineStr"/>
      <c r="K155" t="inlineStr"/>
      <c r="L155" t="inlineStr"/>
    </row>
    <row r="156" ht="22" customHeight="1">
      <c r="A156" s="15" t="inlineStr">
        <is>
          <t>엠케이전자</t>
        </is>
      </c>
      <c r="B156" t="inlineStr"/>
      <c r="C156" s="15" t="inlineStr">
        <is>
          <t>033160</t>
        </is>
      </c>
      <c r="D156" s="15" t="inlineStr">
        <is>
          <t>KOSDAQ</t>
        </is>
      </c>
      <c r="E156" s="15" t="inlineStr">
        <is>
          <t>소재</t>
        </is>
      </c>
      <c r="F156" s="15" t="n">
        <v>51.05</v>
      </c>
      <c r="G156" s="15" t="n">
        <v>57.14</v>
      </c>
      <c r="H156" s="15" t="inlineStr">
        <is>
          <t>중립</t>
        </is>
      </c>
      <c r="I156" s="15" t="inlineStr">
        <is>
          <t>0.801168459079624</t>
        </is>
      </c>
      <c r="J156" t="inlineStr"/>
      <c r="K156" t="inlineStr"/>
      <c r="L156" t="inlineStr"/>
    </row>
    <row r="157" ht="22" customHeight="1">
      <c r="A157" s="15" t="inlineStr">
        <is>
          <t>웰킵스하이텍</t>
        </is>
      </c>
      <c r="B157" t="inlineStr"/>
      <c r="C157" s="15" t="inlineStr">
        <is>
          <t>043590</t>
        </is>
      </c>
      <c r="D157" s="15" t="inlineStr">
        <is>
          <t>KOSDAQ</t>
        </is>
      </c>
      <c r="E157" s="15" t="inlineStr">
        <is>
          <t>IDM/제조/메모리</t>
        </is>
      </c>
      <c r="F157" s="15" t="n">
        <v>50.87</v>
      </c>
      <c r="G157" s="15" t="n">
        <v>71.43000000000001</v>
      </c>
      <c r="H157" s="15" t="inlineStr">
        <is>
          <t>중립</t>
        </is>
      </c>
      <c r="I157" s="15" t="inlineStr">
        <is>
          <t>0.7753200487478359</t>
        </is>
      </c>
      <c r="J157" t="inlineStr"/>
      <c r="K157" t="inlineStr"/>
      <c r="L157" t="inlineStr"/>
    </row>
    <row r="158" ht="22" customHeight="1">
      <c r="A158" s="15" t="inlineStr">
        <is>
          <t>타이거일렉</t>
        </is>
      </c>
      <c r="B158" t="inlineStr"/>
      <c r="C158" s="15" t="inlineStr">
        <is>
          <t>219130</t>
        </is>
      </c>
      <c r="D158" s="15" t="inlineStr">
        <is>
          <t>KOSDAQ</t>
        </is>
      </c>
      <c r="E158" s="15" t="inlineStr">
        <is>
          <t>부품/기판</t>
        </is>
      </c>
      <c r="F158" s="15" t="n">
        <v>50.67</v>
      </c>
      <c r="G158" s="15" t="n">
        <v>14.29</v>
      </c>
      <c r="H158" s="15" t="inlineStr">
        <is>
          <t>중립</t>
        </is>
      </c>
      <c r="I158" s="15" t="inlineStr">
        <is>
          <t>0.6463040733623892</t>
        </is>
      </c>
      <c r="J158" t="inlineStr"/>
      <c r="K158" t="inlineStr"/>
      <c r="L158" t="inlineStr"/>
    </row>
    <row r="159" ht="22" customHeight="1">
      <c r="A159" s="15" t="inlineStr">
        <is>
          <t>이수페타시스</t>
        </is>
      </c>
      <c r="B159" t="inlineStr"/>
      <c r="C159" s="15" t="inlineStr">
        <is>
          <t>007660</t>
        </is>
      </c>
      <c r="D159" s="15" t="inlineStr">
        <is>
          <t>KOSPI</t>
        </is>
      </c>
      <c r="E159" s="15" t="inlineStr">
        <is>
          <t>부품/기판</t>
        </is>
      </c>
      <c r="F159" s="15" t="n">
        <v>50.62</v>
      </c>
      <c r="G159" s="15" t="n">
        <v>0</v>
      </c>
      <c r="H159" s="15" t="inlineStr">
        <is>
          <t>중립</t>
        </is>
      </c>
      <c r="I159" s="15" t="inlineStr">
        <is>
          <t>0.599589540069591</t>
        </is>
      </c>
      <c r="J159" t="inlineStr"/>
      <c r="K159" t="inlineStr"/>
      <c r="L159" t="inlineStr"/>
    </row>
    <row r="160" ht="22" customHeight="1">
      <c r="A160" s="15" t="inlineStr">
        <is>
          <t>에이팩트</t>
        </is>
      </c>
      <c r="B160" t="inlineStr"/>
      <c r="C160" s="15" t="inlineStr">
        <is>
          <t>200470</t>
        </is>
      </c>
      <c r="D160" s="15" t="inlineStr">
        <is>
          <t>KOSDAQ</t>
        </is>
      </c>
      <c r="E160" s="15" t="inlineStr">
        <is>
          <t>후공정/패키징/테스트</t>
        </is>
      </c>
      <c r="F160" s="15" t="n">
        <v>50.27</v>
      </c>
      <c r="G160" s="15" t="n">
        <v>42.86</v>
      </c>
      <c r="H160" s="15" t="inlineStr">
        <is>
          <t>중립</t>
        </is>
      </c>
      <c r="I160" s="15" t="inlineStr">
        <is>
          <t>0.8010795762920226</t>
        </is>
      </c>
      <c r="J160" t="inlineStr"/>
      <c r="K160" t="inlineStr"/>
      <c r="L160" t="inlineStr"/>
    </row>
    <row r="161" ht="22" customHeight="1">
      <c r="A161" s="15" t="inlineStr">
        <is>
          <t>와이엠티</t>
        </is>
      </c>
      <c r="B161" t="inlineStr"/>
      <c r="C161" s="15" t="inlineStr">
        <is>
          <t>251370</t>
        </is>
      </c>
      <c r="D161" s="15" t="inlineStr">
        <is>
          <t>KOSDAQ</t>
        </is>
      </c>
      <c r="E161" s="15" t="inlineStr">
        <is>
          <t>소재</t>
        </is>
      </c>
      <c r="F161" s="15" t="n">
        <v>49.9</v>
      </c>
      <c r="G161" s="15" t="n">
        <v>21.43</v>
      </c>
      <c r="H161" s="15" t="inlineStr">
        <is>
          <t>중립</t>
        </is>
      </c>
      <c r="I161" s="15" t="inlineStr">
        <is>
          <t>0.730943868859095</t>
        </is>
      </c>
      <c r="J161" t="inlineStr"/>
      <c r="K161" t="inlineStr"/>
      <c r="L161" t="inlineStr"/>
    </row>
    <row r="162" ht="22" customHeight="1">
      <c r="A162" s="15" t="inlineStr">
        <is>
          <t>아이케이세미콘</t>
        </is>
      </c>
      <c r="B162" t="inlineStr"/>
      <c r="C162" s="15" t="inlineStr">
        <is>
          <t>149010</t>
        </is>
      </c>
      <c r="D162" s="15" t="inlineStr">
        <is>
          <t>KONEX</t>
        </is>
      </c>
      <c r="E162" s="15" t="inlineStr">
        <is>
          <t>팹리스/설계</t>
        </is>
      </c>
      <c r="F162" s="15" t="n">
        <v>49.8</v>
      </c>
      <c r="G162" s="15" t="n">
        <v>64.29000000000001</v>
      </c>
      <c r="H162" s="15" t="inlineStr">
        <is>
          <t>중립</t>
        </is>
      </c>
      <c r="I162" s="15" t="inlineStr">
        <is>
          <t>0.9626560040296214</t>
        </is>
      </c>
      <c r="J162" t="inlineStr"/>
      <c r="K162" t="inlineStr"/>
      <c r="L162" t="inlineStr"/>
    </row>
    <row r="163" ht="22" customHeight="1">
      <c r="A163" s="15" t="inlineStr">
        <is>
          <t>코세스</t>
        </is>
      </c>
      <c r="B163" t="inlineStr"/>
      <c r="C163" s="15" t="inlineStr">
        <is>
          <t>089890</t>
        </is>
      </c>
      <c r="D163" s="15" t="inlineStr">
        <is>
          <t>KOSDAQ</t>
        </is>
      </c>
      <c r="E163" s="15" t="inlineStr">
        <is>
          <t>장비</t>
        </is>
      </c>
      <c r="F163" s="15" t="n">
        <v>49.79</v>
      </c>
      <c r="G163" s="15" t="n">
        <v>7.14</v>
      </c>
      <c r="H163" s="15" t="inlineStr">
        <is>
          <t>중립</t>
        </is>
      </c>
      <c r="I163" s="15" t="inlineStr">
        <is>
          <t>0.7228094449358575</t>
        </is>
      </c>
      <c r="J163" t="inlineStr"/>
      <c r="K163" t="inlineStr"/>
      <c r="L163" t="inlineStr"/>
    </row>
    <row r="164" ht="22" customHeight="1">
      <c r="A164" s="15" t="inlineStr">
        <is>
          <t>코스텍시스템</t>
        </is>
      </c>
      <c r="B164" t="inlineStr"/>
      <c r="C164" s="15" t="inlineStr">
        <is>
          <t>169670</t>
        </is>
      </c>
      <c r="D164" s="15" t="inlineStr">
        <is>
          <t>KONEX</t>
        </is>
      </c>
      <c r="E164" s="15" t="inlineStr">
        <is>
          <t>장비</t>
        </is>
      </c>
      <c r="F164" s="15" t="n">
        <v>49.6</v>
      </c>
      <c r="G164" s="15" t="n">
        <v>21.43</v>
      </c>
      <c r="H164" s="15" t="inlineStr">
        <is>
          <t>중립</t>
        </is>
      </c>
      <c r="I164" s="15" t="inlineStr">
        <is>
          <t>0.9640840061970892</t>
        </is>
      </c>
      <c r="J164" t="inlineStr"/>
      <c r="K164" t="inlineStr"/>
      <c r="L164" t="inlineStr"/>
    </row>
    <row r="165" ht="22" customHeight="1">
      <c r="A165" s="15" t="inlineStr">
        <is>
          <t>삼성전기</t>
        </is>
      </c>
      <c r="B165" t="inlineStr"/>
      <c r="C165" s="15" t="inlineStr">
        <is>
          <t>009150</t>
        </is>
      </c>
      <c r="D165" s="15" t="inlineStr">
        <is>
          <t>KOSPI</t>
        </is>
      </c>
      <c r="E165" s="15" t="inlineStr">
        <is>
          <t>후공정/패키징/테스트</t>
        </is>
      </c>
      <c r="F165" s="15" t="n">
        <v>49.57</v>
      </c>
      <c r="G165" s="15" t="n">
        <v>0</v>
      </c>
      <c r="H165" s="15" t="inlineStr">
        <is>
          <t>중립</t>
        </is>
      </c>
      <c r="I165" s="15" t="inlineStr">
        <is>
          <t>0.5297655139045552</t>
        </is>
      </c>
      <c r="J165" t="inlineStr"/>
      <c r="K165" t="inlineStr"/>
      <c r="L165" t="inlineStr"/>
    </row>
    <row r="166" ht="22" customHeight="1">
      <c r="A166" s="15" t="inlineStr">
        <is>
          <t>티씨케이</t>
        </is>
      </c>
      <c r="B166" t="inlineStr"/>
      <c r="C166" s="15" t="inlineStr">
        <is>
          <t>064760</t>
        </is>
      </c>
      <c r="D166" s="15" t="inlineStr">
        <is>
          <t>KOSDAQ GLOBAL</t>
        </is>
      </c>
      <c r="E166" s="15" t="inlineStr">
        <is>
          <t>소재</t>
        </is>
      </c>
      <c r="F166" s="15" t="n">
        <v>49.56</v>
      </c>
      <c r="G166" s="15" t="n">
        <v>0</v>
      </c>
      <c r="H166" s="15" t="inlineStr">
        <is>
          <t>중립</t>
        </is>
      </c>
      <c r="I166" s="15" t="inlineStr">
        <is>
          <t>0.6535546916238612</t>
        </is>
      </c>
      <c r="J166" t="inlineStr"/>
      <c r="K166" t="inlineStr"/>
      <c r="L166" t="inlineStr"/>
    </row>
    <row r="167" ht="22" customHeight="1">
      <c r="A167" s="15" t="inlineStr">
        <is>
          <t>텔레칩스</t>
        </is>
      </c>
      <c r="B167" t="inlineStr"/>
      <c r="C167" s="15" t="inlineStr">
        <is>
          <t>054450</t>
        </is>
      </c>
      <c r="D167" s="15" t="inlineStr">
        <is>
          <t>KOSDAQ</t>
        </is>
      </c>
      <c r="E167" s="15" t="inlineStr">
        <is>
          <t>팹리스/설계</t>
        </is>
      </c>
      <c r="F167" s="15" t="n">
        <v>49.43</v>
      </c>
      <c r="G167" s="15" t="n">
        <v>71.43000000000001</v>
      </c>
      <c r="H167" s="15" t="inlineStr">
        <is>
          <t>중립</t>
        </is>
      </c>
      <c r="I167" s="15" t="inlineStr">
        <is>
          <t>0.5716537225721987</t>
        </is>
      </c>
      <c r="J167" t="inlineStr"/>
      <c r="K167" t="inlineStr"/>
      <c r="L167" t="inlineStr"/>
    </row>
    <row r="168" ht="22" customHeight="1">
      <c r="A168" s="15" t="inlineStr">
        <is>
          <t>에이엘티</t>
        </is>
      </c>
      <c r="B168" t="inlineStr"/>
      <c r="C168" s="15" t="inlineStr">
        <is>
          <t>172670</t>
        </is>
      </c>
      <c r="D168" s="15" t="inlineStr">
        <is>
          <t>KOSDAQ</t>
        </is>
      </c>
      <c r="E168" s="15" t="inlineStr">
        <is>
          <t>후공정/패키징/테스트</t>
        </is>
      </c>
      <c r="F168" s="15" t="n">
        <v>48.77</v>
      </c>
      <c r="G168" s="15" t="n">
        <v>35.71</v>
      </c>
      <c r="H168" s="15" t="inlineStr">
        <is>
          <t>중립</t>
        </is>
      </c>
      <c r="I168" s="15" t="inlineStr">
        <is>
          <t>0.5308622758067901</t>
        </is>
      </c>
      <c r="J168" t="inlineStr"/>
      <c r="K168" t="inlineStr"/>
      <c r="L168" t="inlineStr"/>
    </row>
    <row r="169" ht="22" customHeight="1">
      <c r="A169" s="15" t="inlineStr">
        <is>
          <t>알파칩스</t>
        </is>
      </c>
      <c r="B169" t="inlineStr"/>
      <c r="C169" s="15" t="inlineStr">
        <is>
          <t>117670</t>
        </is>
      </c>
      <c r="D169" s="15" t="inlineStr">
        <is>
          <t>KOSDAQ</t>
        </is>
      </c>
      <c r="E169" s="15" t="inlineStr">
        <is>
          <t>팹리스/설계</t>
        </is>
      </c>
      <c r="F169" s="15" t="n">
        <v>48.26</v>
      </c>
      <c r="G169" s="15" t="n">
        <v>28.57</v>
      </c>
      <c r="H169" s="15" t="inlineStr">
        <is>
          <t>중립</t>
        </is>
      </c>
      <c r="I169" s="15" t="inlineStr">
        <is>
          <t>0.7398835550872951</t>
        </is>
      </c>
      <c r="J169" t="inlineStr"/>
      <c r="K169" t="inlineStr"/>
      <c r="L169" t="inlineStr"/>
    </row>
    <row r="170" ht="22" customHeight="1">
      <c r="A170" s="15" t="inlineStr">
        <is>
          <t>큐알티</t>
        </is>
      </c>
      <c r="B170" t="inlineStr"/>
      <c r="C170" s="15" t="inlineStr">
        <is>
          <t>405100</t>
        </is>
      </c>
      <c r="D170" s="15" t="inlineStr">
        <is>
          <t>KOSDAQ</t>
        </is>
      </c>
      <c r="E170" s="15" t="inlineStr">
        <is>
          <t>후공정/패키징/테스트</t>
        </is>
      </c>
      <c r="F170" s="15" t="n">
        <v>47.82</v>
      </c>
      <c r="G170" s="15" t="n">
        <v>0</v>
      </c>
      <c r="H170" s="15" t="inlineStr">
        <is>
          <t>중립</t>
        </is>
      </c>
      <c r="I170" s="15" t="inlineStr">
        <is>
          <t>0.4463498311096922</t>
        </is>
      </c>
      <c r="J170" t="inlineStr"/>
      <c r="K170" t="inlineStr"/>
      <c r="L170" t="inlineStr"/>
    </row>
    <row r="171" ht="22" customHeight="1">
      <c r="A171" s="15" t="inlineStr">
        <is>
          <t>테크엘</t>
        </is>
      </c>
      <c r="B171" t="inlineStr"/>
      <c r="C171" s="15" t="inlineStr">
        <is>
          <t>064520</t>
        </is>
      </c>
      <c r="D171" s="15" t="inlineStr">
        <is>
          <t>KOSDAQ</t>
        </is>
      </c>
      <c r="E171" s="15" t="inlineStr">
        <is>
          <t>IDM/제조/메모리</t>
        </is>
      </c>
      <c r="F171" s="15" t="n">
        <v>47.57</v>
      </c>
      <c r="G171" s="15" t="n">
        <v>50</v>
      </c>
      <c r="H171" s="15" t="inlineStr">
        <is>
          <t>중립</t>
        </is>
      </c>
      <c r="I171" s="15" t="inlineStr">
        <is>
          <t>0.7806095936743286</t>
        </is>
      </c>
      <c r="J171" t="inlineStr"/>
      <c r="K171" t="inlineStr"/>
      <c r="L171" t="inlineStr"/>
    </row>
    <row r="172" ht="22" customHeight="1">
      <c r="A172" s="15" t="inlineStr">
        <is>
          <t>HPSP</t>
        </is>
      </c>
      <c r="B172" t="inlineStr"/>
      <c r="C172" s="15" t="inlineStr">
        <is>
          <t>403870</t>
        </is>
      </c>
      <c r="D172" s="15" t="inlineStr">
        <is>
          <t>KOSDAQ GLOBAL</t>
        </is>
      </c>
      <c r="E172" s="15" t="inlineStr">
        <is>
          <t>장비</t>
        </is>
      </c>
      <c r="F172" s="15" t="n">
        <v>47.52</v>
      </c>
      <c r="G172" s="15" t="n">
        <v>0</v>
      </c>
      <c r="H172" s="15" t="inlineStr">
        <is>
          <t>중립</t>
        </is>
      </c>
      <c r="I172" s="15" t="inlineStr">
        <is>
          <t>0.7108284021978194</t>
        </is>
      </c>
      <c r="J172" t="inlineStr"/>
      <c r="K172" t="inlineStr"/>
      <c r="L172" t="inlineStr"/>
    </row>
    <row r="173" ht="22" customHeight="1">
      <c r="A173" s="15" t="inlineStr">
        <is>
          <t>라온로보틱스</t>
        </is>
      </c>
      <c r="B173" t="inlineStr"/>
      <c r="C173" s="15" t="inlineStr">
        <is>
          <t>232680</t>
        </is>
      </c>
      <c r="D173" s="15" t="inlineStr">
        <is>
          <t>KOSDAQ</t>
        </is>
      </c>
      <c r="E173" s="15" t="inlineStr">
        <is>
          <t>팹리스/설계</t>
        </is>
      </c>
      <c r="F173" s="15" t="n">
        <v>47.45</v>
      </c>
      <c r="G173" s="15" t="n">
        <v>14.29</v>
      </c>
      <c r="H173" s="15" t="inlineStr">
        <is>
          <t>중립</t>
        </is>
      </c>
      <c r="I173" s="15" t="inlineStr">
        <is>
          <t>0.7863374675167921</t>
        </is>
      </c>
      <c r="J173" t="inlineStr"/>
      <c r="K173" t="inlineStr"/>
      <c r="L173" t="inlineStr"/>
    </row>
    <row r="174" ht="22" customHeight="1">
      <c r="A174" s="15" t="inlineStr">
        <is>
          <t>서울반도체</t>
        </is>
      </c>
      <c r="B174" t="inlineStr"/>
      <c r="C174" s="15" t="inlineStr">
        <is>
          <t>046890</t>
        </is>
      </c>
      <c r="D174" s="15" t="inlineStr">
        <is>
          <t>KOSDAQ GLOBAL</t>
        </is>
      </c>
      <c r="E174" s="15" t="inlineStr">
        <is>
          <t>IDM/제조/메모리</t>
        </is>
      </c>
      <c r="F174" s="15" t="n">
        <v>47.13</v>
      </c>
      <c r="G174" s="15" t="n">
        <v>42.86</v>
      </c>
      <c r="H174" s="15" t="inlineStr">
        <is>
          <t>중립</t>
        </is>
      </c>
      <c r="I174" s="15" t="inlineStr">
        <is>
          <t>0.8223266790603506</t>
        </is>
      </c>
      <c r="J174" t="inlineStr"/>
      <c r="K174" t="inlineStr"/>
      <c r="L174" t="inlineStr"/>
    </row>
    <row r="175" ht="22" customHeight="1">
      <c r="A175" s="15" t="inlineStr">
        <is>
          <t>한미반도체</t>
        </is>
      </c>
      <c r="B175" s="15" t="inlineStr">
        <is>
          <t>hanmi</t>
        </is>
      </c>
      <c r="C175" s="15" t="inlineStr">
        <is>
          <t>042700</t>
        </is>
      </c>
      <c r="D175" s="15" t="inlineStr">
        <is>
          <t>KOSPI</t>
        </is>
      </c>
      <c r="E175" s="15" t="inlineStr">
        <is>
          <t>후공정/패키징/테스트</t>
        </is>
      </c>
      <c r="F175" s="15" t="n">
        <v>47.13</v>
      </c>
      <c r="G175" s="15" t="n">
        <v>0</v>
      </c>
      <c r="H175" s="15" t="inlineStr">
        <is>
          <t>중립</t>
        </is>
      </c>
      <c r="I175" s="15" t="inlineStr">
        <is>
          <t>0.618072727307107</t>
        </is>
      </c>
      <c r="J175" s="15" t="inlineStr">
        <is>
          <t>예</t>
        </is>
      </c>
      <c r="K175" t="inlineStr"/>
      <c r="L175" t="inlineStr"/>
    </row>
    <row r="176" ht="22" customHeight="1">
      <c r="A176" s="15" t="inlineStr">
        <is>
          <t>큐엠씨</t>
        </is>
      </c>
      <c r="B176" t="inlineStr"/>
      <c r="C176" s="15" t="inlineStr">
        <is>
          <t>136660</t>
        </is>
      </c>
      <c r="D176" s="15" t="inlineStr">
        <is>
          <t>KONEX</t>
        </is>
      </c>
      <c r="E176" s="15" t="inlineStr">
        <is>
          <t>후공정/패키징/테스트</t>
        </is>
      </c>
      <c r="F176" s="15" t="n">
        <v>47.11</v>
      </c>
      <c r="G176" s="15" t="n">
        <v>28.57</v>
      </c>
      <c r="H176" s="15" t="inlineStr">
        <is>
          <t>중립</t>
        </is>
      </c>
      <c r="I176" s="15" t="inlineStr">
        <is>
          <t>0.9731046168075388</t>
        </is>
      </c>
      <c r="J176" t="inlineStr"/>
      <c r="K176" t="inlineStr"/>
      <c r="L176" t="inlineStr"/>
    </row>
    <row r="177" ht="22" customHeight="1">
      <c r="A177" s="15" t="inlineStr">
        <is>
          <t>동진쎄미켐</t>
        </is>
      </c>
      <c r="B177" t="inlineStr"/>
      <c r="C177" s="15" t="inlineStr">
        <is>
          <t>005290</t>
        </is>
      </c>
      <c r="D177" s="15" t="inlineStr">
        <is>
          <t>KOSDAQ</t>
        </is>
      </c>
      <c r="E177" s="15" t="inlineStr">
        <is>
          <t>소재</t>
        </is>
      </c>
      <c r="F177" s="15" t="n">
        <v>47.03</v>
      </c>
      <c r="G177" s="15" t="n">
        <v>0</v>
      </c>
      <c r="H177" s="15" t="inlineStr">
        <is>
          <t>중립</t>
        </is>
      </c>
      <c r="I177" s="15" t="inlineStr">
        <is>
          <t>0.48929755601795294</t>
        </is>
      </c>
      <c r="J177" t="inlineStr"/>
      <c r="K177" t="inlineStr"/>
      <c r="L177" t="inlineStr"/>
    </row>
    <row r="178" ht="22" customHeight="1">
      <c r="A178" s="15" t="inlineStr">
        <is>
          <t>럭스피아</t>
        </is>
      </c>
      <c r="B178" t="inlineStr"/>
      <c r="C178" s="15" t="inlineStr">
        <is>
          <t>092590</t>
        </is>
      </c>
      <c r="D178" s="15" t="inlineStr">
        <is>
          <t>KONEX</t>
        </is>
      </c>
      <c r="E178" s="15" t="inlineStr">
        <is>
          <t>후공정/패키징/테스트</t>
        </is>
      </c>
      <c r="F178" s="15" t="n">
        <v>46.81</v>
      </c>
      <c r="G178" s="15" t="n">
        <v>28.57</v>
      </c>
      <c r="H178" s="15" t="inlineStr">
        <is>
          <t>중립</t>
        </is>
      </c>
      <c r="I178" s="15" t="inlineStr">
        <is>
          <t>0.969533908094729</t>
        </is>
      </c>
      <c r="J178" t="inlineStr"/>
      <c r="K178" t="inlineStr"/>
      <c r="L178" t="inlineStr"/>
    </row>
    <row r="179" ht="22" customHeight="1">
      <c r="A179" s="15" t="inlineStr">
        <is>
          <t>코리아써키트</t>
        </is>
      </c>
      <c r="B179" t="inlineStr"/>
      <c r="C179" s="15" t="inlineStr">
        <is>
          <t>007810</t>
        </is>
      </c>
      <c r="D179" s="15" t="inlineStr">
        <is>
          <t>KOSPI</t>
        </is>
      </c>
      <c r="E179" s="15" t="inlineStr">
        <is>
          <t>부품/기판</t>
        </is>
      </c>
      <c r="F179" s="15" t="n">
        <v>46.76</v>
      </c>
      <c r="G179" s="15" t="n">
        <v>28.57</v>
      </c>
      <c r="H179" s="15" t="inlineStr">
        <is>
          <t>중립</t>
        </is>
      </c>
      <c r="I179" s="15" t="inlineStr">
        <is>
          <t>0.8409076697911426</t>
        </is>
      </c>
      <c r="J179" t="inlineStr"/>
      <c r="K179" t="inlineStr"/>
      <c r="L179" t="inlineStr"/>
    </row>
    <row r="180" ht="22" customHeight="1">
      <c r="A180" s="15" t="inlineStr">
        <is>
          <t>싸이닉솔루션</t>
        </is>
      </c>
      <c r="B180" t="inlineStr"/>
      <c r="C180" s="15" t="inlineStr">
        <is>
          <t>234030</t>
        </is>
      </c>
      <c r="D180" s="15" t="inlineStr">
        <is>
          <t>KOSDAQ</t>
        </is>
      </c>
      <c r="E180" s="15" t="inlineStr">
        <is>
          <t>팹리스/설계</t>
        </is>
      </c>
      <c r="F180" s="15" t="n">
        <v>46.71</v>
      </c>
      <c r="G180" s="15" t="n">
        <v>35.71</v>
      </c>
      <c r="H180" s="15" t="inlineStr">
        <is>
          <t>중립</t>
        </is>
      </c>
      <c r="I180" s="15" t="inlineStr">
        <is>
          <t>0.7962034217650586</t>
        </is>
      </c>
      <c r="J180" t="inlineStr"/>
      <c r="K180" t="inlineStr"/>
      <c r="L180" t="inlineStr"/>
    </row>
    <row r="181" ht="22" customHeight="1">
      <c r="A181" s="15" t="inlineStr">
        <is>
          <t>HD현대에너지솔루션</t>
        </is>
      </c>
      <c r="B181" t="inlineStr"/>
      <c r="C181" s="15" t="inlineStr">
        <is>
          <t>322000</t>
        </is>
      </c>
      <c r="D181" s="15" t="inlineStr">
        <is>
          <t>KOSPI</t>
        </is>
      </c>
      <c r="E181" s="15" t="inlineStr">
        <is>
          <t>IDM/제조/메모리</t>
        </is>
      </c>
      <c r="F181" s="15" t="n">
        <v>46.5</v>
      </c>
      <c r="G181" s="15" t="n">
        <v>14.29</v>
      </c>
      <c r="H181" s="15" t="inlineStr">
        <is>
          <t>중립</t>
        </is>
      </c>
      <c r="I181" s="15" t="inlineStr">
        <is>
          <t>0.6226975287022534</t>
        </is>
      </c>
      <c r="J181" t="inlineStr"/>
      <c r="K181" t="inlineStr"/>
      <c r="L181" t="inlineStr"/>
    </row>
    <row r="182" ht="22" customHeight="1">
      <c r="A182" s="15" t="inlineStr">
        <is>
          <t>원익IPS</t>
        </is>
      </c>
      <c r="B182" t="inlineStr"/>
      <c r="C182" s="15" t="inlineStr">
        <is>
          <t>240810</t>
        </is>
      </c>
      <c r="D182" s="15" t="inlineStr">
        <is>
          <t>KOSDAQ GLOBAL</t>
        </is>
      </c>
      <c r="E182" s="15" t="inlineStr">
        <is>
          <t>장비</t>
        </is>
      </c>
      <c r="F182" s="15" t="n">
        <v>46.35</v>
      </c>
      <c r="G182" s="15" t="n">
        <v>7.14</v>
      </c>
      <c r="H182" s="15" t="inlineStr">
        <is>
          <t>중립</t>
        </is>
      </c>
      <c r="I182" s="15" t="inlineStr">
        <is>
          <t>0.5727476694226805</t>
        </is>
      </c>
      <c r="J182" t="inlineStr"/>
      <c r="K182" t="inlineStr"/>
      <c r="L182" t="inlineStr"/>
    </row>
    <row r="183" ht="22" customHeight="1">
      <c r="A183" s="15" t="inlineStr">
        <is>
          <t>파크시스템스</t>
        </is>
      </c>
      <c r="B183" t="inlineStr"/>
      <c r="C183" s="15" t="inlineStr">
        <is>
          <t>140860</t>
        </is>
      </c>
      <c r="D183" s="15" t="inlineStr">
        <is>
          <t>KOSDAQ GLOBAL</t>
        </is>
      </c>
      <c r="E183" s="15" t="inlineStr">
        <is>
          <t>장비</t>
        </is>
      </c>
      <c r="F183" s="15" t="n">
        <v>46.12</v>
      </c>
      <c r="G183" s="15" t="n">
        <v>7.14</v>
      </c>
      <c r="H183" s="15" t="inlineStr">
        <is>
          <t>중립</t>
        </is>
      </c>
      <c r="I183" s="15" t="inlineStr">
        <is>
          <t>0.7158734205313764</t>
        </is>
      </c>
      <c r="J183" t="inlineStr"/>
      <c r="K183" t="inlineStr"/>
      <c r="L183" t="inlineStr"/>
    </row>
    <row r="184" ht="22" customHeight="1">
      <c r="A184" s="15" t="inlineStr">
        <is>
          <t>와이투솔루션</t>
        </is>
      </c>
      <c r="B184" t="inlineStr"/>
      <c r="C184" s="15" t="inlineStr">
        <is>
          <t>011690</t>
        </is>
      </c>
      <c r="D184" s="15" t="inlineStr">
        <is>
          <t>KOSPI</t>
        </is>
      </c>
      <c r="E184" s="15" t="inlineStr">
        <is>
          <t>IDM/제조/메모리</t>
        </is>
      </c>
      <c r="F184" s="15" t="n">
        <v>46.02</v>
      </c>
      <c r="G184" s="15" t="n">
        <v>57.14</v>
      </c>
      <c r="H184" s="15" t="inlineStr">
        <is>
          <t>중립</t>
        </is>
      </c>
      <c r="I184" s="15" t="inlineStr">
        <is>
          <t>0.7379153959384467</t>
        </is>
      </c>
      <c r="J184" t="inlineStr"/>
      <c r="K184" t="inlineStr"/>
      <c r="L184" t="inlineStr"/>
    </row>
    <row r="185" ht="22" customHeight="1">
      <c r="A185" s="15" t="inlineStr">
        <is>
          <t>서플러스글로벌</t>
        </is>
      </c>
      <c r="B185" t="inlineStr"/>
      <c r="C185" s="15" t="inlineStr">
        <is>
          <t>140070</t>
        </is>
      </c>
      <c r="D185" s="15" t="inlineStr">
        <is>
          <t>KOSDAQ</t>
        </is>
      </c>
      <c r="E185" s="15" t="inlineStr">
        <is>
          <t>장비</t>
        </is>
      </c>
      <c r="F185" s="15" t="n">
        <v>45.95</v>
      </c>
      <c r="G185" s="15" t="n">
        <v>71.43000000000001</v>
      </c>
      <c r="H185" s="15" t="inlineStr">
        <is>
          <t>중립</t>
        </is>
      </c>
      <c r="I185" s="15" t="inlineStr">
        <is>
          <t>0.6515364241286621</t>
        </is>
      </c>
      <c r="J185" t="inlineStr"/>
      <c r="K185" t="inlineStr"/>
      <c r="L185" t="inlineStr"/>
    </row>
    <row r="186" ht="22" customHeight="1">
      <c r="A186" s="15" t="inlineStr">
        <is>
          <t>아이텍</t>
        </is>
      </c>
      <c r="B186" t="inlineStr"/>
      <c r="C186" s="15" t="inlineStr">
        <is>
          <t>119830</t>
        </is>
      </c>
      <c r="D186" s="15" t="inlineStr">
        <is>
          <t>KOSDAQ</t>
        </is>
      </c>
      <c r="E186" s="15" t="inlineStr">
        <is>
          <t>후공정/패키징/테스트</t>
        </is>
      </c>
      <c r="F186" s="15" t="n">
        <v>45.73</v>
      </c>
      <c r="G186" s="15" t="n">
        <v>21.43</v>
      </c>
      <c r="H186" s="15" t="inlineStr">
        <is>
          <t>중립</t>
        </is>
      </c>
      <c r="I186" s="15" t="inlineStr">
        <is>
          <t>0.6018206034002739</t>
        </is>
      </c>
      <c r="J186" t="inlineStr"/>
      <c r="K186" t="inlineStr"/>
      <c r="L186" t="inlineStr"/>
    </row>
    <row r="187" ht="22" customHeight="1">
      <c r="A187" s="15" t="inlineStr">
        <is>
          <t>신성이엔지</t>
        </is>
      </c>
      <c r="B187" t="inlineStr"/>
      <c r="C187" s="15" t="inlineStr">
        <is>
          <t>011930</t>
        </is>
      </c>
      <c r="D187" s="15" t="inlineStr">
        <is>
          <t>KOSPI</t>
        </is>
      </c>
      <c r="E187" s="15" t="inlineStr">
        <is>
          <t>IDM/제조/메모리</t>
        </is>
      </c>
      <c r="F187" s="15" t="n">
        <v>45.52</v>
      </c>
      <c r="G187" s="15" t="n">
        <v>57.14</v>
      </c>
      <c r="H187" s="15" t="inlineStr">
        <is>
          <t>중립</t>
        </is>
      </c>
      <c r="I187" s="15" t="inlineStr">
        <is>
          <t>0.7610157176994289</t>
        </is>
      </c>
      <c r="J187" t="inlineStr"/>
      <c r="K187" t="inlineStr"/>
      <c r="L187" t="inlineStr"/>
    </row>
    <row r="188" ht="22" customHeight="1">
      <c r="A188" s="15" t="inlineStr">
        <is>
          <t>KEC</t>
        </is>
      </c>
      <c r="B188" t="inlineStr"/>
      <c r="C188" s="15" t="inlineStr">
        <is>
          <t>092220</t>
        </is>
      </c>
      <c r="D188" s="15" t="inlineStr">
        <is>
          <t>KOSPI</t>
        </is>
      </c>
      <c r="E188" s="15" t="inlineStr">
        <is>
          <t>IDM/제조/메모리</t>
        </is>
      </c>
      <c r="F188" s="15" t="n">
        <v>45.5</v>
      </c>
      <c r="G188" s="15" t="n">
        <v>50</v>
      </c>
      <c r="H188" s="15" t="inlineStr">
        <is>
          <t>중립</t>
        </is>
      </c>
      <c r="I188" s="15" t="inlineStr">
        <is>
          <t>0.7937660338126779</t>
        </is>
      </c>
      <c r="J188" t="inlineStr"/>
      <c r="K188" t="inlineStr"/>
      <c r="L188" t="inlineStr"/>
    </row>
    <row r="189" ht="22" customHeight="1">
      <c r="A189" s="15" t="inlineStr">
        <is>
          <t>에스티아이</t>
        </is>
      </c>
      <c r="B189" t="inlineStr"/>
      <c r="C189" s="15" t="inlineStr">
        <is>
          <t>039440</t>
        </is>
      </c>
      <c r="D189" s="15" t="inlineStr">
        <is>
          <t>KOSDAQ</t>
        </is>
      </c>
      <c r="E189" s="15" t="inlineStr">
        <is>
          <t>장비</t>
        </is>
      </c>
      <c r="F189" s="15" t="n">
        <v>45.5</v>
      </c>
      <c r="G189" s="15" t="n">
        <v>0</v>
      </c>
      <c r="H189" s="15" t="inlineStr">
        <is>
          <t>중립</t>
        </is>
      </c>
      <c r="I189" s="15" t="inlineStr">
        <is>
          <t>0.53270990340385</t>
        </is>
      </c>
      <c r="J189" t="inlineStr"/>
      <c r="K189" t="inlineStr"/>
      <c r="L189" t="inlineStr"/>
    </row>
    <row r="190" ht="22" customHeight="1">
      <c r="A190" s="15" t="inlineStr">
        <is>
          <t>윈팩</t>
        </is>
      </c>
      <c r="B190" t="inlineStr"/>
      <c r="C190" s="15" t="inlineStr">
        <is>
          <t>097800</t>
        </is>
      </c>
      <c r="D190" s="15" t="inlineStr">
        <is>
          <t>KOSDAQ</t>
        </is>
      </c>
      <c r="E190" s="15" t="inlineStr">
        <is>
          <t>후공정/패키징/테스트</t>
        </is>
      </c>
      <c r="F190" s="15" t="n">
        <v>44.18</v>
      </c>
      <c r="G190" s="15" t="n">
        <v>71.43000000000001</v>
      </c>
      <c r="H190" s="15" t="inlineStr">
        <is>
          <t>중립</t>
        </is>
      </c>
      <c r="I190" s="15" t="inlineStr">
        <is>
          <t>0.5735742758518154</t>
        </is>
      </c>
      <c r="J190" t="inlineStr"/>
      <c r="K190" t="inlineStr"/>
      <c r="L190" t="inlineStr"/>
    </row>
    <row r="191" ht="22" customHeight="1">
      <c r="A191" s="15" t="inlineStr">
        <is>
          <t>켐트로닉스</t>
        </is>
      </c>
      <c r="B191" t="inlineStr"/>
      <c r="C191" s="15" t="inlineStr">
        <is>
          <t>089010</t>
        </is>
      </c>
      <c r="D191" s="15" t="inlineStr">
        <is>
          <t>KOSDAQ</t>
        </is>
      </c>
      <c r="E191" s="15" t="inlineStr">
        <is>
          <t>소재</t>
        </is>
      </c>
      <c r="F191" s="15" t="n">
        <v>44.13</v>
      </c>
      <c r="G191" s="15" t="n">
        <v>35.71</v>
      </c>
      <c r="H191" s="15" t="inlineStr">
        <is>
          <t>중립</t>
        </is>
      </c>
      <c r="I191" s="15" t="inlineStr">
        <is>
          <t>0.7697961799623572</t>
        </is>
      </c>
      <c r="J191" t="inlineStr"/>
      <c r="K191" t="inlineStr"/>
      <c r="L191" t="inlineStr"/>
    </row>
    <row r="192" ht="22" customHeight="1">
      <c r="A192" s="15" t="inlineStr">
        <is>
          <t>팸텍</t>
        </is>
      </c>
      <c r="B192" t="inlineStr"/>
      <c r="C192" s="15" t="inlineStr">
        <is>
          <t>271830</t>
        </is>
      </c>
      <c r="D192" s="15" t="inlineStr">
        <is>
          <t>KOSDAQ</t>
        </is>
      </c>
      <c r="E192" s="15" t="inlineStr">
        <is>
          <t>후공정/패키징/테스트</t>
        </is>
      </c>
      <c r="F192" s="15" t="n">
        <v>44.03</v>
      </c>
      <c r="G192" s="15" t="n">
        <v>57.14</v>
      </c>
      <c r="H192" s="15" t="inlineStr">
        <is>
          <t>중립</t>
        </is>
      </c>
      <c r="I192" s="15" t="inlineStr">
        <is>
          <t>0.6809009837226325</t>
        </is>
      </c>
      <c r="J192" t="inlineStr"/>
      <c r="K192" t="inlineStr"/>
      <c r="L192" t="inlineStr"/>
    </row>
    <row r="193" ht="22" customHeight="1">
      <c r="A193" s="15" t="inlineStr">
        <is>
          <t>LB세미콘</t>
        </is>
      </c>
      <c r="B193" t="inlineStr"/>
      <c r="C193" s="15" t="inlineStr">
        <is>
          <t>061970</t>
        </is>
      </c>
      <c r="D193" s="15" t="inlineStr">
        <is>
          <t>KOSDAQ</t>
        </is>
      </c>
      <c r="E193" s="15" t="inlineStr">
        <is>
          <t>후공정/패키징/테스트</t>
        </is>
      </c>
      <c r="F193" s="15" t="n">
        <v>43.94</v>
      </c>
      <c r="G193" s="15" t="n">
        <v>57.14</v>
      </c>
      <c r="H193" s="15" t="inlineStr">
        <is>
          <t>중립</t>
        </is>
      </c>
      <c r="I193" s="15" t="inlineStr">
        <is>
          <t>0.519835518569549</t>
        </is>
      </c>
      <c r="J193" t="inlineStr"/>
      <c r="K193" t="inlineStr"/>
      <c r="L193" t="inlineStr"/>
    </row>
    <row r="194" ht="22" customHeight="1">
      <c r="A194" s="15" t="inlineStr">
        <is>
          <t>유진테크</t>
        </is>
      </c>
      <c r="B194" t="inlineStr"/>
      <c r="C194" s="15" t="inlineStr">
        <is>
          <t>084370</t>
        </is>
      </c>
      <c r="D194" s="15" t="inlineStr">
        <is>
          <t>KOSDAQ</t>
        </is>
      </c>
      <c r="E194" s="15" t="inlineStr">
        <is>
          <t>장비</t>
        </is>
      </c>
      <c r="F194" s="15" t="n">
        <v>43.36</v>
      </c>
      <c r="G194" s="15" t="n">
        <v>0</v>
      </c>
      <c r="H194" s="15" t="inlineStr">
        <is>
          <t>중립</t>
        </is>
      </c>
      <c r="I194" s="15" t="inlineStr">
        <is>
          <t>0.7415227894291446</t>
        </is>
      </c>
      <c r="J194" t="inlineStr"/>
      <c r="K194" t="inlineStr"/>
      <c r="L194" t="inlineStr"/>
    </row>
    <row r="195" ht="22" customHeight="1">
      <c r="A195" s="15" t="inlineStr">
        <is>
          <t>일진디스플</t>
        </is>
      </c>
      <c r="B195" t="inlineStr"/>
      <c r="C195" s="15" t="inlineStr">
        <is>
          <t>020760</t>
        </is>
      </c>
      <c r="D195" s="15" t="inlineStr">
        <is>
          <t>KOSPI</t>
        </is>
      </c>
      <c r="E195" s="15" t="inlineStr">
        <is>
          <t>IDM/제조/메모리</t>
        </is>
      </c>
      <c r="F195" s="15" t="n">
        <v>43.35</v>
      </c>
      <c r="G195" s="15" t="n">
        <v>64.29000000000001</v>
      </c>
      <c r="H195" s="15" t="inlineStr">
        <is>
          <t>중립</t>
        </is>
      </c>
      <c r="I195" s="15" t="inlineStr">
        <is>
          <t>0.7887205359697603</t>
        </is>
      </c>
      <c r="J195" t="inlineStr"/>
      <c r="K195" t="inlineStr"/>
      <c r="L195" t="inlineStr"/>
    </row>
    <row r="196" ht="22" customHeight="1">
      <c r="A196" s="15" t="inlineStr">
        <is>
          <t>덕산하이메탈</t>
        </is>
      </c>
      <c r="B196" t="inlineStr"/>
      <c r="C196" s="15" t="inlineStr">
        <is>
          <t>077360</t>
        </is>
      </c>
      <c r="D196" s="15" t="inlineStr">
        <is>
          <t>KOSDAQ</t>
        </is>
      </c>
      <c r="E196" s="15" t="inlineStr">
        <is>
          <t>IDM/제조/메모리</t>
        </is>
      </c>
      <c r="F196" s="15" t="n">
        <v>43.33</v>
      </c>
      <c r="G196" s="15" t="n">
        <v>28.57</v>
      </c>
      <c r="H196" s="15" t="inlineStr">
        <is>
          <t>중립</t>
        </is>
      </c>
      <c r="I196" s="15" t="inlineStr">
        <is>
          <t>0.6698541971057747</t>
        </is>
      </c>
      <c r="J196" t="inlineStr"/>
      <c r="K196" t="inlineStr"/>
      <c r="L196" t="inlineStr"/>
    </row>
    <row r="197" ht="22" customHeight="1">
      <c r="A197" s="15" t="inlineStr">
        <is>
          <t>솔브레인</t>
        </is>
      </c>
      <c r="B197" t="inlineStr"/>
      <c r="C197" s="15" t="inlineStr">
        <is>
          <t>357780</t>
        </is>
      </c>
      <c r="D197" s="15" t="inlineStr">
        <is>
          <t>KOSDAQ GLOBAL</t>
        </is>
      </c>
      <c r="E197" s="15" t="inlineStr">
        <is>
          <t>소재</t>
        </is>
      </c>
      <c r="F197" s="15" t="n">
        <v>43.31</v>
      </c>
      <c r="G197" s="15" t="n">
        <v>0</v>
      </c>
      <c r="H197" s="15" t="inlineStr">
        <is>
          <t>중립</t>
        </is>
      </c>
      <c r="I197" s="15" t="inlineStr">
        <is>
          <t>0.6367158518654258</t>
        </is>
      </c>
      <c r="J197" t="inlineStr"/>
      <c r="K197" t="inlineStr"/>
      <c r="L197" t="inlineStr"/>
    </row>
    <row r="198" ht="22" customHeight="1">
      <c r="A198" s="15" t="inlineStr">
        <is>
          <t>제이티</t>
        </is>
      </c>
      <c r="B198" t="inlineStr"/>
      <c r="C198" s="15" t="inlineStr">
        <is>
          <t>089790</t>
        </is>
      </c>
      <c r="D198" s="15" t="inlineStr">
        <is>
          <t>KOSDAQ</t>
        </is>
      </c>
      <c r="E198" s="15" t="inlineStr">
        <is>
          <t>후공정/패키징/테스트</t>
        </is>
      </c>
      <c r="F198" s="15" t="n">
        <v>42.93</v>
      </c>
      <c r="G198" s="15" t="n">
        <v>28.57</v>
      </c>
      <c r="H198" s="15" t="inlineStr">
        <is>
          <t>중립</t>
        </is>
      </c>
      <c r="I198" s="15" t="inlineStr">
        <is>
          <t>0.7953438622461361</t>
        </is>
      </c>
      <c r="J198" t="inlineStr"/>
      <c r="K198" t="inlineStr"/>
      <c r="L198" t="inlineStr"/>
    </row>
    <row r="199" ht="22" customHeight="1">
      <c r="A199" s="15" t="inlineStr">
        <is>
          <t>아이언디바이스</t>
        </is>
      </c>
      <c r="B199" t="inlineStr"/>
      <c r="C199" s="15" t="inlineStr">
        <is>
          <t>464500</t>
        </is>
      </c>
      <c r="D199" s="15" t="inlineStr">
        <is>
          <t>KOSDAQ</t>
        </is>
      </c>
      <c r="E199" s="15" t="inlineStr">
        <is>
          <t>팹리스/설계</t>
        </is>
      </c>
      <c r="F199" s="15" t="n">
        <v>42.79</v>
      </c>
      <c r="G199" s="15" t="n">
        <v>57.14</v>
      </c>
      <c r="H199" s="15" t="inlineStr">
        <is>
          <t>중립</t>
        </is>
      </c>
      <c r="I199" s="15" t="inlineStr">
        <is>
          <t>0.767854918982104</t>
        </is>
      </c>
      <c r="J199" t="inlineStr"/>
      <c r="K199" t="inlineStr"/>
      <c r="L199" t="inlineStr"/>
    </row>
    <row r="200" ht="22" customHeight="1">
      <c r="A200" s="15" t="inlineStr">
        <is>
          <t>제너셈</t>
        </is>
      </c>
      <c r="B200" t="inlineStr"/>
      <c r="C200" s="15" t="inlineStr">
        <is>
          <t>217190</t>
        </is>
      </c>
      <c r="D200" s="15" t="inlineStr">
        <is>
          <t>KOSDAQ</t>
        </is>
      </c>
      <c r="E200" s="15" t="inlineStr">
        <is>
          <t>후공정/패키징/테스트</t>
        </is>
      </c>
      <c r="F200" s="15" t="n">
        <v>42.79</v>
      </c>
      <c r="G200" s="15" t="n">
        <v>28.57</v>
      </c>
      <c r="H200" s="15" t="inlineStr">
        <is>
          <t>중립</t>
        </is>
      </c>
      <c r="I200" s="15" t="inlineStr">
        <is>
          <t>0.7410125545144256</t>
        </is>
      </c>
      <c r="J200" t="inlineStr"/>
      <c r="K200" t="inlineStr"/>
      <c r="L200" t="inlineStr"/>
    </row>
    <row r="201" ht="22" customHeight="1">
      <c r="A201" s="15" t="inlineStr">
        <is>
          <t>에이디테크놀로지</t>
        </is>
      </c>
      <c r="B201" t="inlineStr"/>
      <c r="C201" s="15" t="inlineStr">
        <is>
          <t>200710</t>
        </is>
      </c>
      <c r="D201" s="15" t="inlineStr">
        <is>
          <t>KOSDAQ</t>
        </is>
      </c>
      <c r="E201" s="15" t="inlineStr">
        <is>
          <t>IDM/제조/메모리</t>
        </is>
      </c>
      <c r="F201" s="15" t="n">
        <v>42.72</v>
      </c>
      <c r="G201" s="15" t="n">
        <v>28.57</v>
      </c>
      <c r="H201" s="15" t="inlineStr">
        <is>
          <t>중립</t>
        </is>
      </c>
      <c r="I201" s="15" t="inlineStr">
        <is>
          <t>0.6637416757093363</t>
        </is>
      </c>
      <c r="J201" t="inlineStr"/>
      <c r="K201" t="inlineStr"/>
      <c r="L201" t="inlineStr"/>
    </row>
    <row r="202" ht="22" customHeight="1">
      <c r="A202" s="15" t="inlineStr">
        <is>
          <t>쓰리에이로직스</t>
        </is>
      </c>
      <c r="B202" t="inlineStr"/>
      <c r="C202" s="15" t="inlineStr">
        <is>
          <t>177900</t>
        </is>
      </c>
      <c r="D202" s="15" t="inlineStr">
        <is>
          <t>KOSDAQ</t>
        </is>
      </c>
      <c r="E202" s="15" t="inlineStr">
        <is>
          <t>팹리스/설계</t>
        </is>
      </c>
      <c r="F202" s="15" t="n">
        <v>42.67</v>
      </c>
      <c r="G202" s="15" t="n">
        <v>57.14</v>
      </c>
      <c r="H202" s="15" t="inlineStr">
        <is>
          <t>중립</t>
        </is>
      </c>
      <c r="I202" s="15" t="inlineStr">
        <is>
          <t>0.5793703556022938</t>
        </is>
      </c>
      <c r="J202" t="inlineStr"/>
      <c r="K202" t="inlineStr"/>
      <c r="L202" t="inlineStr"/>
    </row>
    <row r="203" ht="22" customHeight="1">
      <c r="A203" s="15" t="inlineStr">
        <is>
          <t>제우스</t>
        </is>
      </c>
      <c r="B203" t="inlineStr"/>
      <c r="C203" s="15" t="inlineStr">
        <is>
          <t>079370</t>
        </is>
      </c>
      <c r="D203" s="15" t="inlineStr">
        <is>
          <t>KOSDAQ</t>
        </is>
      </c>
      <c r="E203" s="15" t="inlineStr">
        <is>
          <t>장비</t>
        </is>
      </c>
      <c r="F203" s="15" t="n">
        <v>42.59</v>
      </c>
      <c r="G203" s="15" t="n">
        <v>21.43</v>
      </c>
      <c r="H203" s="15" t="inlineStr">
        <is>
          <t>중립</t>
        </is>
      </c>
      <c r="I203" s="15" t="inlineStr">
        <is>
          <t>0.7744454918412472</t>
        </is>
      </c>
      <c r="J203" t="inlineStr"/>
      <c r="K203" t="inlineStr"/>
      <c r="L203" t="inlineStr"/>
    </row>
    <row r="204" ht="22" customHeight="1">
      <c r="A204" s="15" t="inlineStr">
        <is>
          <t>네패스아크</t>
        </is>
      </c>
      <c r="B204" t="inlineStr"/>
      <c r="C204" s="15" t="inlineStr">
        <is>
          <t>330860</t>
        </is>
      </c>
      <c r="D204" s="15" t="inlineStr">
        <is>
          <t>KOSDAQ</t>
        </is>
      </c>
      <c r="E204" s="15" t="inlineStr">
        <is>
          <t>후공정/패키징/테스트</t>
        </is>
      </c>
      <c r="F204" s="15" t="n">
        <v>42.07</v>
      </c>
      <c r="G204" s="15" t="n">
        <v>0</v>
      </c>
      <c r="H204" s="15" t="inlineStr">
        <is>
          <t>고평가 부담</t>
        </is>
      </c>
      <c r="I204" s="15" t="inlineStr">
        <is>
          <t>0.5804758808286147</t>
        </is>
      </c>
      <c r="J204" t="inlineStr"/>
      <c r="K204" t="inlineStr"/>
      <c r="L204" t="inlineStr"/>
    </row>
    <row r="205" ht="22" customHeight="1">
      <c r="A205" s="15" t="inlineStr">
        <is>
          <t>마이크로투나노</t>
        </is>
      </c>
      <c r="B205" t="inlineStr"/>
      <c r="C205" s="15" t="inlineStr">
        <is>
          <t>424980</t>
        </is>
      </c>
      <c r="D205" s="15" t="inlineStr">
        <is>
          <t>KOSDAQ</t>
        </is>
      </c>
      <c r="E205" s="15" t="inlineStr">
        <is>
          <t>후공정/패키징/테스트</t>
        </is>
      </c>
      <c r="F205" s="15" t="n">
        <v>41.88</v>
      </c>
      <c r="G205" s="15" t="n">
        <v>57.14</v>
      </c>
      <c r="H205" s="15" t="inlineStr">
        <is>
          <t>고평가 부담</t>
        </is>
      </c>
      <c r="I205" s="15" t="inlineStr">
        <is>
          <t>0.8919952418828875</t>
        </is>
      </c>
      <c r="J205" t="inlineStr"/>
      <c r="K205" t="inlineStr"/>
      <c r="L205" t="inlineStr"/>
    </row>
    <row r="206" ht="22" customHeight="1">
      <c r="A206" s="15" t="inlineStr">
        <is>
          <t>광전자</t>
        </is>
      </c>
      <c r="B206" t="inlineStr"/>
      <c r="C206" s="15" t="inlineStr">
        <is>
          <t>017900</t>
        </is>
      </c>
      <c r="D206" s="15" t="inlineStr">
        <is>
          <t>KOSPI</t>
        </is>
      </c>
      <c r="E206" s="15" t="inlineStr">
        <is>
          <t>IDM/제조/메모리</t>
        </is>
      </c>
      <c r="F206" s="15" t="n">
        <v>41.84</v>
      </c>
      <c r="G206" s="15" t="n">
        <v>21.43</v>
      </c>
      <c r="H206" s="15" t="inlineStr">
        <is>
          <t>고평가 부담</t>
        </is>
      </c>
      <c r="I206" s="15" t="inlineStr">
        <is>
          <t>0.6817751829328556</t>
        </is>
      </c>
      <c r="J206" t="inlineStr"/>
      <c r="K206" t="inlineStr"/>
      <c r="L206" t="inlineStr"/>
    </row>
    <row r="207" ht="22" customHeight="1">
      <c r="A207" s="15" t="inlineStr">
        <is>
          <t>아진엑스텍</t>
        </is>
      </c>
      <c r="B207" t="inlineStr"/>
      <c r="C207" s="15" t="inlineStr">
        <is>
          <t>059120</t>
        </is>
      </c>
      <c r="D207" s="15" t="inlineStr">
        <is>
          <t>KOSDAQ</t>
        </is>
      </c>
      <c r="E207" s="15" t="inlineStr">
        <is>
          <t>IDM/제조/메모리</t>
        </is>
      </c>
      <c r="F207" s="15" t="n">
        <v>41.28</v>
      </c>
      <c r="G207" s="15" t="n">
        <v>7.14</v>
      </c>
      <c r="H207" s="15" t="inlineStr">
        <is>
          <t>고평가 부담</t>
        </is>
      </c>
      <c r="I207" s="15" t="inlineStr">
        <is>
          <t>0.6635799672057409</t>
        </is>
      </c>
      <c r="J207" t="inlineStr"/>
      <c r="K207" t="inlineStr"/>
      <c r="L207" t="inlineStr"/>
    </row>
    <row r="208" ht="22" customHeight="1">
      <c r="A208" s="15" t="inlineStr">
        <is>
          <t>아이티엠반도체</t>
        </is>
      </c>
      <c r="B208" t="inlineStr"/>
      <c r="C208" s="15" t="inlineStr">
        <is>
          <t>084850</t>
        </is>
      </c>
      <c r="D208" s="15" t="inlineStr">
        <is>
          <t>KOSDAQ GLOBAL</t>
        </is>
      </c>
      <c r="E208" s="15" t="inlineStr">
        <is>
          <t>부품/기판</t>
        </is>
      </c>
      <c r="F208" s="15" t="n">
        <v>41.24</v>
      </c>
      <c r="G208" s="15" t="n">
        <v>50</v>
      </c>
      <c r="H208" s="15" t="inlineStr">
        <is>
          <t>고평가 부담</t>
        </is>
      </c>
      <c r="I208" s="15" t="inlineStr">
        <is>
          <t>0.599341656390115</t>
        </is>
      </c>
      <c r="J208" t="inlineStr"/>
      <c r="K208" t="inlineStr"/>
      <c r="L208" t="inlineStr"/>
    </row>
    <row r="209" ht="22" customHeight="1">
      <c r="A209" s="15" t="inlineStr">
        <is>
          <t>램테크놀러지</t>
        </is>
      </c>
      <c r="B209" t="inlineStr"/>
      <c r="C209" s="15" t="inlineStr">
        <is>
          <t>171010</t>
        </is>
      </c>
      <c r="D209" s="15" t="inlineStr">
        <is>
          <t>KOSDAQ</t>
        </is>
      </c>
      <c r="E209" s="15" t="inlineStr">
        <is>
          <t>장비</t>
        </is>
      </c>
      <c r="F209" s="15" t="n">
        <v>40.97</v>
      </c>
      <c r="G209" s="15" t="n">
        <v>64.29000000000001</v>
      </c>
      <c r="H209" s="15" t="inlineStr">
        <is>
          <t>고평가 부담</t>
        </is>
      </c>
      <c r="I209" s="15" t="inlineStr">
        <is>
          <t>0.500591784236833</t>
        </is>
      </c>
      <c r="J209" t="inlineStr"/>
      <c r="K209" t="inlineStr"/>
      <c r="L209" t="inlineStr"/>
    </row>
    <row r="210" ht="22" customHeight="1">
      <c r="A210" s="15" t="inlineStr">
        <is>
          <t>코스텍시스</t>
        </is>
      </c>
      <c r="B210" t="inlineStr"/>
      <c r="C210" s="15" t="inlineStr">
        <is>
          <t>355150</t>
        </is>
      </c>
      <c r="D210" s="15" t="inlineStr">
        <is>
          <t>KOSDAQ</t>
        </is>
      </c>
      <c r="E210" s="15" t="inlineStr">
        <is>
          <t>IDM/제조/메모리</t>
        </is>
      </c>
      <c r="F210" s="15" t="n">
        <v>40.97</v>
      </c>
      <c r="G210" s="15" t="n">
        <v>50</v>
      </c>
      <c r="H210" s="15" t="inlineStr">
        <is>
          <t>고평가 부담</t>
        </is>
      </c>
      <c r="I210" s="15" t="inlineStr">
        <is>
          <t>0.7518748972741711</t>
        </is>
      </c>
      <c r="J210" t="inlineStr"/>
      <c r="K210" t="inlineStr"/>
      <c r="L210" t="inlineStr"/>
    </row>
    <row r="211" ht="22" customHeight="1">
      <c r="A211" s="15" t="inlineStr">
        <is>
          <t>시그네틱스</t>
        </is>
      </c>
      <c r="B211" t="inlineStr"/>
      <c r="C211" s="15" t="inlineStr">
        <is>
          <t>033170</t>
        </is>
      </c>
      <c r="D211" s="15" t="inlineStr">
        <is>
          <t>KOSDAQ</t>
        </is>
      </c>
      <c r="E211" s="15" t="inlineStr">
        <is>
          <t>후공정/패키징/테스트</t>
        </is>
      </c>
      <c r="F211" s="15" t="n">
        <v>40.68</v>
      </c>
      <c r="G211" s="15" t="n">
        <v>64.29000000000001</v>
      </c>
      <c r="H211" s="15" t="inlineStr">
        <is>
          <t>고평가 부담</t>
        </is>
      </c>
      <c r="I211" s="15" t="inlineStr">
        <is>
          <t>0.6660306558324866</t>
        </is>
      </c>
      <c r="J211" t="inlineStr"/>
      <c r="K211" t="inlineStr"/>
      <c r="L211" t="inlineStr"/>
    </row>
    <row r="212" ht="22" customHeight="1">
      <c r="A212" s="15" t="inlineStr">
        <is>
          <t>디엔에프</t>
        </is>
      </c>
      <c r="B212" t="inlineStr"/>
      <c r="C212" s="15" t="inlineStr">
        <is>
          <t>092070</t>
        </is>
      </c>
      <c r="D212" s="15" t="inlineStr">
        <is>
          <t>KOSDAQ</t>
        </is>
      </c>
      <c r="E212" s="15" t="inlineStr">
        <is>
          <t>소재</t>
        </is>
      </c>
      <c r="F212" s="15" t="n">
        <v>40.41</v>
      </c>
      <c r="G212" s="15" t="n">
        <v>14.29</v>
      </c>
      <c r="H212" s="15" t="inlineStr">
        <is>
          <t>고평가 부담</t>
        </is>
      </c>
      <c r="I212" s="15" t="inlineStr">
        <is>
          <t>0.6833535693717029</t>
        </is>
      </c>
      <c r="J212" t="inlineStr"/>
      <c r="K212" t="inlineStr"/>
      <c r="L212" t="inlineStr"/>
    </row>
    <row r="213" ht="22" customHeight="1">
      <c r="A213" s="15" t="inlineStr">
        <is>
          <t>저스템</t>
        </is>
      </c>
      <c r="B213" t="inlineStr"/>
      <c r="C213" s="15" t="inlineStr">
        <is>
          <t>417840</t>
        </is>
      </c>
      <c r="D213" s="15" t="inlineStr">
        <is>
          <t>KOSDAQ</t>
        </is>
      </c>
      <c r="E213" s="15" t="inlineStr">
        <is>
          <t>장비</t>
        </is>
      </c>
      <c r="F213" s="15" t="n">
        <v>40.36</v>
      </c>
      <c r="G213" s="15" t="n">
        <v>28.57</v>
      </c>
      <c r="H213" s="15" t="inlineStr">
        <is>
          <t>고평가 부담</t>
        </is>
      </c>
      <c r="I213" s="15" t="inlineStr">
        <is>
          <t>0.7213257522774291</t>
        </is>
      </c>
      <c r="J213" t="inlineStr"/>
      <c r="K213" t="inlineStr"/>
      <c r="L213" t="inlineStr"/>
    </row>
    <row r="214" ht="22" customHeight="1">
      <c r="A214" s="15" t="inlineStr">
        <is>
          <t>지아이에스</t>
        </is>
      </c>
      <c r="B214" t="inlineStr"/>
      <c r="C214" s="15" t="inlineStr">
        <is>
          <t>306620</t>
        </is>
      </c>
      <c r="D214" s="15" t="inlineStr">
        <is>
          <t>KOSDAQ</t>
        </is>
      </c>
      <c r="E214" s="15" t="inlineStr">
        <is>
          <t>장비</t>
        </is>
      </c>
      <c r="F214" s="15" t="n">
        <v>40.15</v>
      </c>
      <c r="G214" s="15" t="n">
        <v>57.14</v>
      </c>
      <c r="H214" s="15" t="inlineStr">
        <is>
          <t>고평가 부담</t>
        </is>
      </c>
      <c r="I214" s="15" t="inlineStr">
        <is>
          <t>0.745903271306321</t>
        </is>
      </c>
      <c r="J214" t="inlineStr"/>
      <c r="K214" t="inlineStr"/>
      <c r="L214" t="inlineStr"/>
    </row>
    <row r="215" ht="22" customHeight="1">
      <c r="A215" s="15" t="inlineStr">
        <is>
          <t>대덕전자</t>
        </is>
      </c>
      <c r="B215" t="inlineStr"/>
      <c r="C215" s="15" t="inlineStr">
        <is>
          <t>353200</t>
        </is>
      </c>
      <c r="D215" s="15" t="inlineStr">
        <is>
          <t>KOSPI</t>
        </is>
      </c>
      <c r="E215" s="15" t="inlineStr">
        <is>
          <t>부품/기판</t>
        </is>
      </c>
      <c r="F215" s="15" t="n">
        <v>39.67</v>
      </c>
      <c r="G215" s="15" t="n">
        <v>14.29</v>
      </c>
      <c r="H215" s="15" t="inlineStr">
        <is>
          <t>고평가 부담</t>
        </is>
      </c>
      <c r="I215" s="15" t="inlineStr">
        <is>
          <t>0.6645756407915718</t>
        </is>
      </c>
      <c r="J215" t="inlineStr"/>
      <c r="K215" t="inlineStr"/>
      <c r="L215" t="inlineStr"/>
    </row>
    <row r="216" ht="22" customHeight="1">
      <c r="A216" s="15" t="inlineStr">
        <is>
          <t>고영</t>
        </is>
      </c>
      <c r="B216" t="inlineStr"/>
      <c r="C216" s="15" t="inlineStr">
        <is>
          <t>098460</t>
        </is>
      </c>
      <c r="D216" s="15" t="inlineStr">
        <is>
          <t>KOSDAQ</t>
        </is>
      </c>
      <c r="E216" s="15" t="inlineStr">
        <is>
          <t>후공정/패키징/테스트</t>
        </is>
      </c>
      <c r="F216" s="15" t="n">
        <v>39.33</v>
      </c>
      <c r="G216" s="15" t="n">
        <v>7.14</v>
      </c>
      <c r="H216" s="15" t="inlineStr">
        <is>
          <t>고평가 부담</t>
        </is>
      </c>
      <c r="I216" s="15" t="inlineStr">
        <is>
          <t>0.4306692416005982</t>
        </is>
      </c>
      <c r="J216" t="inlineStr"/>
      <c r="K216" t="inlineStr"/>
      <c r="L216" t="inlineStr"/>
    </row>
    <row r="217" ht="22" customHeight="1">
      <c r="A217" s="15" t="inlineStr">
        <is>
          <t>와이씨켐</t>
        </is>
      </c>
      <c r="B217" t="inlineStr"/>
      <c r="C217" s="15" t="inlineStr">
        <is>
          <t>112290</t>
        </is>
      </c>
      <c r="D217" s="15" t="inlineStr">
        <is>
          <t>KOSDAQ</t>
        </is>
      </c>
      <c r="E217" s="15" t="inlineStr">
        <is>
          <t>소재</t>
        </is>
      </c>
      <c r="F217" s="15" t="n">
        <v>38.36</v>
      </c>
      <c r="G217" s="15" t="n">
        <v>50</v>
      </c>
      <c r="H217" s="15" t="inlineStr">
        <is>
          <t>고평가 부담</t>
        </is>
      </c>
      <c r="I217" s="15" t="inlineStr">
        <is>
          <t>0.7576999610053956</t>
        </is>
      </c>
      <c r="J217" t="inlineStr"/>
      <c r="K217" t="inlineStr"/>
      <c r="L217" t="inlineStr"/>
    </row>
    <row r="218" ht="22" customHeight="1">
      <c r="A218" s="15" t="inlineStr">
        <is>
          <t>에프에스티</t>
        </is>
      </c>
      <c r="B218" t="inlineStr"/>
      <c r="C218" s="15" t="inlineStr">
        <is>
          <t>036810</t>
        </is>
      </c>
      <c r="D218" s="15" t="inlineStr">
        <is>
          <t>KOSDAQ</t>
        </is>
      </c>
      <c r="E218" s="15" t="inlineStr">
        <is>
          <t>장비</t>
        </is>
      </c>
      <c r="F218" s="15" t="n">
        <v>38.27</v>
      </c>
      <c r="G218" s="15" t="n">
        <v>50</v>
      </c>
      <c r="H218" s="15" t="inlineStr">
        <is>
          <t>고평가 부담</t>
        </is>
      </c>
      <c r="I218" s="15" t="inlineStr">
        <is>
          <t>0.8925631629286743</t>
        </is>
      </c>
      <c r="J218" t="inlineStr"/>
      <c r="K218" t="inlineStr"/>
      <c r="L218" t="inlineStr"/>
    </row>
    <row r="219" ht="22" customHeight="1">
      <c r="A219" s="15" t="inlineStr">
        <is>
          <t>나노신소재</t>
        </is>
      </c>
      <c r="B219" t="inlineStr"/>
      <c r="C219" s="15" t="inlineStr">
        <is>
          <t>121600</t>
        </is>
      </c>
      <c r="D219" s="15" t="inlineStr">
        <is>
          <t>KOSDAQ</t>
        </is>
      </c>
      <c r="E219" s="15" t="inlineStr">
        <is>
          <t>장비</t>
        </is>
      </c>
      <c r="F219" s="15" t="n">
        <v>38.23</v>
      </c>
      <c r="G219" s="15" t="n">
        <v>0</v>
      </c>
      <c r="H219" s="15" t="inlineStr">
        <is>
          <t>고평가 부담</t>
        </is>
      </c>
      <c r="I219" s="15" t="inlineStr">
        <is>
          <t>0.7555342246021253</t>
        </is>
      </c>
      <c r="J219" t="inlineStr"/>
      <c r="K219" t="inlineStr"/>
      <c r="L219" t="inlineStr"/>
    </row>
    <row r="220" ht="22" customHeight="1">
      <c r="A220" s="15" t="inlineStr">
        <is>
          <t>심텍</t>
        </is>
      </c>
      <c r="B220" t="inlineStr"/>
      <c r="C220" s="15" t="inlineStr">
        <is>
          <t>222800</t>
        </is>
      </c>
      <c r="D220" s="15" t="inlineStr">
        <is>
          <t>KOSDAQ GLOBAL</t>
        </is>
      </c>
      <c r="E220" s="15" t="inlineStr">
        <is>
          <t>부품/기판</t>
        </is>
      </c>
      <c r="F220" s="15" t="n">
        <v>37.76</v>
      </c>
      <c r="G220" s="15" t="n">
        <v>57.14</v>
      </c>
      <c r="H220" s="15" t="inlineStr">
        <is>
          <t>고평가 부담</t>
        </is>
      </c>
      <c r="I220" s="15" t="inlineStr">
        <is>
          <t>0.5170784842162837</t>
        </is>
      </c>
      <c r="J220" t="inlineStr"/>
      <c r="K220" t="inlineStr"/>
      <c r="L220" t="inlineStr"/>
    </row>
    <row r="221" ht="22" customHeight="1">
      <c r="A221" s="15" t="inlineStr">
        <is>
          <t>아이에이</t>
        </is>
      </c>
      <c r="B221" t="inlineStr"/>
      <c r="C221" s="15" t="inlineStr">
        <is>
          <t>038880</t>
        </is>
      </c>
      <c r="D221" s="15" t="inlineStr">
        <is>
          <t>KOSDAQ</t>
        </is>
      </c>
      <c r="E221" s="15" t="inlineStr">
        <is>
          <t>부품/기판</t>
        </is>
      </c>
      <c r="F221" s="15" t="n">
        <v>37.76</v>
      </c>
      <c r="G221" s="15" t="n">
        <v>71.43000000000001</v>
      </c>
      <c r="H221" s="15" t="inlineStr">
        <is>
          <t>고평가 부담</t>
        </is>
      </c>
      <c r="I221" s="15" t="inlineStr">
        <is>
          <t>0.7739089828714508</t>
        </is>
      </c>
      <c r="J221" t="inlineStr"/>
      <c r="K221" t="inlineStr"/>
      <c r="L221" t="inlineStr"/>
    </row>
    <row r="222" ht="22" customHeight="1">
      <c r="A222" s="15" t="inlineStr">
        <is>
          <t>웨이비스</t>
        </is>
      </c>
      <c r="B222" t="inlineStr"/>
      <c r="C222" s="15" t="inlineStr">
        <is>
          <t>289930</t>
        </is>
      </c>
      <c r="D222" s="15" t="inlineStr">
        <is>
          <t>KOSDAQ</t>
        </is>
      </c>
      <c r="E222" s="15" t="inlineStr">
        <is>
          <t>후공정/패키징/테스트</t>
        </is>
      </c>
      <c r="F222" s="15" t="n">
        <v>37.66</v>
      </c>
      <c r="G222" s="15" t="n">
        <v>14.29</v>
      </c>
      <c r="H222" s="15" t="inlineStr">
        <is>
          <t>고평가 부담</t>
        </is>
      </c>
      <c r="I222" s="15" t="inlineStr">
        <is>
          <t>0.5209890944205295</t>
        </is>
      </c>
      <c r="J222" t="inlineStr"/>
      <c r="K222" t="inlineStr"/>
      <c r="L222" t="inlineStr"/>
    </row>
    <row r="223" ht="22" customHeight="1">
      <c r="A223" s="15" t="inlineStr">
        <is>
          <t>넥스트칩</t>
        </is>
      </c>
      <c r="B223" t="inlineStr"/>
      <c r="C223" s="15" t="inlineStr">
        <is>
          <t>396270</t>
        </is>
      </c>
      <c r="D223" s="15" t="inlineStr">
        <is>
          <t>KOSDAQ</t>
        </is>
      </c>
      <c r="E223" s="15" t="inlineStr">
        <is>
          <t>팹리스/설계</t>
        </is>
      </c>
      <c r="F223" s="15" t="n">
        <v>37.43</v>
      </c>
      <c r="G223" s="15" t="n">
        <v>71.43000000000001</v>
      </c>
      <c r="H223" s="15" t="inlineStr">
        <is>
          <t>고평가 부담</t>
        </is>
      </c>
      <c r="I223" s="15" t="inlineStr">
        <is>
          <t>0.9380466040149497</t>
        </is>
      </c>
      <c r="J223" t="inlineStr"/>
      <c r="K223" t="inlineStr"/>
      <c r="L223" t="inlineStr"/>
    </row>
    <row r="224" ht="22" customHeight="1">
      <c r="A224" s="15" t="inlineStr">
        <is>
          <t>SFA반도체</t>
        </is>
      </c>
      <c r="B224" t="inlineStr"/>
      <c r="C224" s="15" t="inlineStr">
        <is>
          <t>036540</t>
        </is>
      </c>
      <c r="D224" s="15" t="inlineStr">
        <is>
          <t>KOSDAQ</t>
        </is>
      </c>
      <c r="E224" s="15" t="inlineStr">
        <is>
          <t>후공정/패키징/테스트</t>
        </is>
      </c>
      <c r="F224" s="15" t="n">
        <v>37.26</v>
      </c>
      <c r="G224" s="15" t="n">
        <v>28.57</v>
      </c>
      <c r="H224" s="15" t="inlineStr">
        <is>
          <t>고평가 부담</t>
        </is>
      </c>
      <c r="I224" s="15" t="inlineStr">
        <is>
          <t>0.7912156659089058</t>
        </is>
      </c>
      <c r="J224" t="inlineStr"/>
      <c r="K224" t="inlineStr"/>
      <c r="L224" t="inlineStr"/>
    </row>
    <row r="225" ht="22" customHeight="1">
      <c r="A225" s="15" t="inlineStr">
        <is>
          <t>사피엔반도체</t>
        </is>
      </c>
      <c r="B225" t="inlineStr"/>
      <c r="C225" s="15" t="inlineStr">
        <is>
          <t>452430</t>
        </is>
      </c>
      <c r="D225" s="15" t="inlineStr">
        <is>
          <t>KOSDAQ</t>
        </is>
      </c>
      <c r="E225" s="15" t="inlineStr">
        <is>
          <t>팹리스/설계</t>
        </is>
      </c>
      <c r="F225" s="15" t="n">
        <v>37.21</v>
      </c>
      <c r="G225" s="15" t="n">
        <v>57.14</v>
      </c>
      <c r="H225" s="15" t="inlineStr">
        <is>
          <t>고평가 부담</t>
        </is>
      </c>
      <c r="I225" s="15" t="inlineStr">
        <is>
          <t>0.8482781866315999</t>
        </is>
      </c>
      <c r="J225" t="inlineStr"/>
      <c r="K225" t="inlineStr"/>
      <c r="L225" t="inlineStr"/>
    </row>
    <row r="226" ht="22" customHeight="1">
      <c r="A226" s="15" t="inlineStr">
        <is>
          <t>동운아나텍</t>
        </is>
      </c>
      <c r="B226" t="inlineStr"/>
      <c r="C226" s="15" t="inlineStr">
        <is>
          <t>094170</t>
        </is>
      </c>
      <c r="D226" s="15" t="inlineStr">
        <is>
          <t>KOSDAQ</t>
        </is>
      </c>
      <c r="E226" s="15" t="inlineStr">
        <is>
          <t>팹리스/설계</t>
        </is>
      </c>
      <c r="F226" s="15" t="n">
        <v>36.71</v>
      </c>
      <c r="G226" s="15" t="n">
        <v>21.43</v>
      </c>
      <c r="H226" s="15" t="inlineStr">
        <is>
          <t>고평가 부담</t>
        </is>
      </c>
      <c r="I226" s="15" t="inlineStr">
        <is>
          <t>0.4894423516429773</t>
        </is>
      </c>
      <c r="J226" t="inlineStr"/>
      <c r="K226" t="inlineStr"/>
      <c r="L226" t="inlineStr"/>
    </row>
    <row r="227" ht="22" customHeight="1">
      <c r="A227" s="15" t="inlineStr">
        <is>
          <t>씨엠티엑스</t>
        </is>
      </c>
      <c r="B227" t="inlineStr"/>
      <c r="C227" s="15" t="inlineStr">
        <is>
          <t>388210</t>
        </is>
      </c>
      <c r="D227" s="15" t="inlineStr">
        <is>
          <t>KOSDAQ</t>
        </is>
      </c>
      <c r="E227" s="15" t="inlineStr">
        <is>
          <t>장비</t>
        </is>
      </c>
      <c r="F227" s="15" t="n">
        <v>36.53</v>
      </c>
      <c r="G227" s="15" t="n">
        <v>21.43</v>
      </c>
      <c r="H227" s="15" t="inlineStr">
        <is>
          <t>고평가 부담</t>
        </is>
      </c>
      <c r="I227" s="15" t="inlineStr">
        <is>
          <t>0.7157707609420977</t>
        </is>
      </c>
      <c r="J227" t="inlineStr"/>
      <c r="K227" t="inlineStr"/>
      <c r="L227" t="inlineStr"/>
    </row>
    <row r="228" ht="22" customHeight="1">
      <c r="A228" s="15" t="inlineStr">
        <is>
          <t>세미파이브</t>
        </is>
      </c>
      <c r="B228" t="inlineStr"/>
      <c r="C228" s="15" t="inlineStr">
        <is>
          <t>490470</t>
        </is>
      </c>
      <c r="D228" s="15" t="inlineStr">
        <is>
          <t>KOSDAQ</t>
        </is>
      </c>
      <c r="E228" s="15" t="inlineStr">
        <is>
          <t>팹리스/설계</t>
        </is>
      </c>
      <c r="F228" s="15" t="n">
        <v>36.46</v>
      </c>
      <c r="G228" s="15" t="n">
        <v>50</v>
      </c>
      <c r="H228" s="15" t="inlineStr">
        <is>
          <t>고평가 부담</t>
        </is>
      </c>
      <c r="I228" s="15" t="inlineStr">
        <is>
          <t>0.9277538303818181</t>
        </is>
      </c>
      <c r="J228" t="inlineStr"/>
      <c r="K228" t="inlineStr"/>
      <c r="L228" t="inlineStr"/>
    </row>
    <row r="229" ht="22" customHeight="1">
      <c r="A229" s="15" t="inlineStr">
        <is>
          <t>이미지스</t>
        </is>
      </c>
      <c r="B229" t="inlineStr"/>
      <c r="C229" s="15" t="inlineStr">
        <is>
          <t>115610</t>
        </is>
      </c>
      <c r="D229" s="15" t="inlineStr">
        <is>
          <t>KOSDAQ</t>
        </is>
      </c>
      <c r="E229" s="15" t="inlineStr">
        <is>
          <t>IDM/제조/메모리</t>
        </is>
      </c>
      <c r="F229" s="15" t="n">
        <v>36.33</v>
      </c>
      <c r="G229" s="15" t="n">
        <v>64.29000000000001</v>
      </c>
      <c r="H229" s="15" t="inlineStr">
        <is>
          <t>고평가 부담</t>
        </is>
      </c>
      <c r="I229" s="15" t="inlineStr">
        <is>
          <t>0.7470098487547145</t>
        </is>
      </c>
      <c r="J229" t="inlineStr"/>
      <c r="K229" t="inlineStr"/>
      <c r="L229" t="inlineStr"/>
    </row>
    <row r="230" ht="22" customHeight="1">
      <c r="A230" s="15" t="inlineStr">
        <is>
          <t>시지트로닉스</t>
        </is>
      </c>
      <c r="B230" t="inlineStr"/>
      <c r="C230" s="15" t="inlineStr">
        <is>
          <t>429270</t>
        </is>
      </c>
      <c r="D230" s="15" t="inlineStr">
        <is>
          <t>KOSDAQ</t>
        </is>
      </c>
      <c r="E230" s="15" t="inlineStr">
        <is>
          <t>IDM/제조/메모리</t>
        </is>
      </c>
      <c r="F230" s="15" t="n">
        <v>35.13</v>
      </c>
      <c r="G230" s="15" t="n">
        <v>71.43000000000001</v>
      </c>
      <c r="H230" s="15" t="inlineStr">
        <is>
          <t>고평가 부담</t>
        </is>
      </c>
      <c r="I230" s="15" t="inlineStr">
        <is>
          <t>0.8423539115807104</t>
        </is>
      </c>
      <c r="J230" t="inlineStr"/>
      <c r="K230" t="inlineStr"/>
      <c r="L230" t="inlineStr"/>
    </row>
    <row r="231" ht="22" customHeight="1">
      <c r="A231" s="15" t="inlineStr">
        <is>
          <t>인텍플러스</t>
        </is>
      </c>
      <c r="B231" t="inlineStr"/>
      <c r="C231" s="15" t="inlineStr">
        <is>
          <t>064290</t>
        </is>
      </c>
      <c r="D231" s="15" t="inlineStr">
        <is>
          <t>KOSDAQ</t>
        </is>
      </c>
      <c r="E231" s="15" t="inlineStr">
        <is>
          <t>후공정/패키징/테스트</t>
        </is>
      </c>
      <c r="F231" s="15" t="n">
        <v>34.31</v>
      </c>
      <c r="G231" s="15" t="n">
        <v>42.86</v>
      </c>
      <c r="H231" s="15" t="inlineStr">
        <is>
          <t>고평가 부담</t>
        </is>
      </c>
      <c r="I231" s="15" t="inlineStr">
        <is>
          <t>0.7612288958400996</t>
        </is>
      </c>
      <c r="J231" t="inlineStr"/>
      <c r="K231" t="inlineStr"/>
      <c r="L231" t="inlineStr"/>
    </row>
    <row r="232" ht="22" customHeight="1">
      <c r="A232" s="15" t="inlineStr">
        <is>
          <t>3S</t>
        </is>
      </c>
      <c r="B232" t="inlineStr"/>
      <c r="C232" s="15" t="inlineStr">
        <is>
          <t>060310</t>
        </is>
      </c>
      <c r="D232" s="15" t="inlineStr">
        <is>
          <t>KOSDAQ</t>
        </is>
      </c>
      <c r="E232" s="15" t="inlineStr">
        <is>
          <t>부품/기판</t>
        </is>
      </c>
      <c r="F232" s="15" t="n">
        <v>34.1</v>
      </c>
      <c r="G232" s="15" t="n">
        <v>57.14</v>
      </c>
      <c r="H232" s="15" t="inlineStr">
        <is>
          <t>고평가 부담</t>
        </is>
      </c>
      <c r="I232" s="15" t="inlineStr">
        <is>
          <t>0.8755971854841007</t>
        </is>
      </c>
      <c r="J232" t="inlineStr"/>
      <c r="K232" t="inlineStr"/>
      <c r="L232" t="inlineStr"/>
    </row>
    <row r="233" ht="22" customHeight="1">
      <c r="A233" s="15" t="inlineStr">
        <is>
          <t>천보</t>
        </is>
      </c>
      <c r="B233" t="inlineStr"/>
      <c r="C233" s="15" t="inlineStr">
        <is>
          <t>278280</t>
        </is>
      </c>
      <c r="D233" s="15" t="inlineStr">
        <is>
          <t>KOSDAQ</t>
        </is>
      </c>
      <c r="E233" s="15" t="inlineStr">
        <is>
          <t>소재</t>
        </is>
      </c>
      <c r="F233" s="15" t="n">
        <v>33.87</v>
      </c>
      <c r="G233" s="15" t="n">
        <v>35.71</v>
      </c>
      <c r="H233" s="15" t="inlineStr">
        <is>
          <t>고평가 부담</t>
        </is>
      </c>
      <c r="I233" s="15" t="inlineStr">
        <is>
          <t>0.5721835844163214</t>
        </is>
      </c>
      <c r="J233" t="inlineStr"/>
      <c r="K233" t="inlineStr"/>
      <c r="L233" t="inlineStr"/>
    </row>
    <row r="234" ht="22" customHeight="1">
      <c r="A234" s="15" t="inlineStr">
        <is>
          <t>후성</t>
        </is>
      </c>
      <c r="B234" t="inlineStr"/>
      <c r="C234" s="15" t="inlineStr">
        <is>
          <t>093370</t>
        </is>
      </c>
      <c r="D234" s="15" t="inlineStr">
        <is>
          <t>KOSPI</t>
        </is>
      </c>
      <c r="E234" s="15" t="inlineStr">
        <is>
          <t>소재</t>
        </is>
      </c>
      <c r="F234" s="15" t="n">
        <v>33.87</v>
      </c>
      <c r="G234" s="15" t="n">
        <v>14.29</v>
      </c>
      <c r="H234" s="15" t="inlineStr">
        <is>
          <t>고평가 부담</t>
        </is>
      </c>
      <c r="I234" s="15" t="inlineStr">
        <is>
          <t>0.7388215177779633</t>
        </is>
      </c>
      <c r="J234" t="inlineStr"/>
      <c r="K234" t="inlineStr"/>
      <c r="L234" t="inlineStr"/>
    </row>
    <row r="235" ht="22" customHeight="1">
      <c r="A235" s="15" t="inlineStr">
        <is>
          <t>한울반도체</t>
        </is>
      </c>
      <c r="B235" t="inlineStr"/>
      <c r="C235" s="15" t="inlineStr">
        <is>
          <t>320000</t>
        </is>
      </c>
      <c r="D235" s="15" t="inlineStr">
        <is>
          <t>KOSDAQ</t>
        </is>
      </c>
      <c r="E235" s="15" t="inlineStr">
        <is>
          <t>후공정/패키징/테스트</t>
        </is>
      </c>
      <c r="F235" s="15" t="n">
        <v>33.76</v>
      </c>
      <c r="G235" s="15" t="n">
        <v>71.43000000000001</v>
      </c>
      <c r="H235" s="15" t="inlineStr">
        <is>
          <t>고평가 부담</t>
        </is>
      </c>
      <c r="I235" s="15" t="inlineStr">
        <is>
          <t>0.7769228627558715</t>
        </is>
      </c>
      <c r="J235" t="inlineStr"/>
      <c r="K235" t="inlineStr"/>
      <c r="L235" t="inlineStr"/>
    </row>
    <row r="236" ht="22" customHeight="1">
      <c r="A236" s="15" t="inlineStr">
        <is>
          <t>유니테스트</t>
        </is>
      </c>
      <c r="B236" t="inlineStr"/>
      <c r="C236" s="15" t="inlineStr">
        <is>
          <t>086390</t>
        </is>
      </c>
      <c r="D236" s="15" t="inlineStr">
        <is>
          <t>KOSDAQ</t>
        </is>
      </c>
      <c r="E236" s="15" t="inlineStr">
        <is>
          <t>후공정/패키징/테스트</t>
        </is>
      </c>
      <c r="F236" s="15" t="n">
        <v>33.72</v>
      </c>
      <c r="G236" s="15" t="n">
        <v>57.14</v>
      </c>
      <c r="H236" s="15" t="inlineStr">
        <is>
          <t>고평가 부담</t>
        </is>
      </c>
      <c r="I236" s="15" t="inlineStr">
        <is>
          <t>0.9109345080202441</t>
        </is>
      </c>
      <c r="J236" t="inlineStr"/>
      <c r="K236" t="inlineStr"/>
      <c r="L236" t="inlineStr"/>
    </row>
    <row r="237" ht="22" customHeight="1">
      <c r="A237" s="15" t="inlineStr">
        <is>
          <t>에이직랜드</t>
        </is>
      </c>
      <c r="B237" t="inlineStr"/>
      <c r="C237" s="15" t="inlineStr">
        <is>
          <t>445090</t>
        </is>
      </c>
      <c r="D237" s="15" t="inlineStr">
        <is>
          <t>KOSDAQ</t>
        </is>
      </c>
      <c r="E237" s="15" t="inlineStr">
        <is>
          <t>팹리스/설계</t>
        </is>
      </c>
      <c r="F237" s="15" t="n">
        <v>32.95</v>
      </c>
      <c r="G237" s="15" t="n">
        <v>78.56999999999999</v>
      </c>
      <c r="H237" s="15" t="inlineStr">
        <is>
          <t>고평가 부담</t>
        </is>
      </c>
      <c r="I237" s="15" t="inlineStr">
        <is>
          <t>0.9058303131641584</t>
        </is>
      </c>
      <c r="J237" t="inlineStr"/>
      <c r="K237" t="inlineStr"/>
      <c r="L237" t="inlineStr"/>
    </row>
    <row r="238" ht="22" customHeight="1">
      <c r="A238" s="15" t="inlineStr">
        <is>
          <t>지니틱스</t>
        </is>
      </c>
      <c r="B238" t="inlineStr"/>
      <c r="C238" s="15" t="inlineStr">
        <is>
          <t>303030</t>
        </is>
      </c>
      <c r="D238" s="15" t="inlineStr">
        <is>
          <t>KOSDAQ</t>
        </is>
      </c>
      <c r="E238" s="15" t="inlineStr">
        <is>
          <t>IDM/제조/메모리</t>
        </is>
      </c>
      <c r="F238" s="15" t="n">
        <v>32.93</v>
      </c>
      <c r="G238" s="15" t="n">
        <v>71.43000000000001</v>
      </c>
      <c r="H238" s="15" t="inlineStr">
        <is>
          <t>고평가 부담</t>
        </is>
      </c>
      <c r="I238" s="15" t="inlineStr">
        <is>
          <t>0.6029464801919612</t>
        </is>
      </c>
      <c r="J238" t="inlineStr"/>
      <c r="K238" t="inlineStr"/>
      <c r="L238" t="inlineStr"/>
    </row>
    <row r="239" ht="22" customHeight="1">
      <c r="A239" s="15" t="inlineStr">
        <is>
          <t>엘케이켐</t>
        </is>
      </c>
      <c r="B239" t="inlineStr"/>
      <c r="C239" s="15" t="inlineStr">
        <is>
          <t>489500</t>
        </is>
      </c>
      <c r="D239" s="15" t="inlineStr">
        <is>
          <t>KOSDAQ</t>
        </is>
      </c>
      <c r="E239" s="15" t="inlineStr">
        <is>
          <t>소재</t>
        </is>
      </c>
      <c r="F239" s="15" t="n">
        <v>32.38</v>
      </c>
      <c r="G239" s="15" t="n">
        <v>28.57</v>
      </c>
      <c r="H239" s="15" t="inlineStr">
        <is>
          <t>고평가 부담</t>
        </is>
      </c>
      <c r="I239" s="15" t="inlineStr">
        <is>
          <t>0.702794478496214</t>
        </is>
      </c>
      <c r="J239" t="inlineStr"/>
      <c r="K239" t="inlineStr"/>
      <c r="L239" t="inlineStr"/>
    </row>
    <row r="240" ht="22" customHeight="1">
      <c r="A240" s="15" t="inlineStr">
        <is>
          <t>SKC</t>
        </is>
      </c>
      <c r="B240" t="inlineStr"/>
      <c r="C240" s="15" t="inlineStr">
        <is>
          <t>011790</t>
        </is>
      </c>
      <c r="D240" s="15" t="inlineStr">
        <is>
          <t>KOSPI</t>
        </is>
      </c>
      <c r="E240" s="15" t="inlineStr">
        <is>
          <t>소재</t>
        </is>
      </c>
      <c r="F240" s="15" t="n">
        <v>32.18</v>
      </c>
      <c r="G240" s="15" t="n">
        <v>71.43000000000001</v>
      </c>
      <c r="H240" s="15" t="inlineStr">
        <is>
          <t>고평가 부담</t>
        </is>
      </c>
      <c r="I240" s="15" t="inlineStr">
        <is>
          <t>0.865330691240198</t>
        </is>
      </c>
      <c r="J240" t="inlineStr"/>
      <c r="K240" t="inlineStr"/>
      <c r="L240" t="inlineStr"/>
    </row>
    <row r="241" ht="22" customHeight="1">
      <c r="A241" s="15" t="inlineStr">
        <is>
          <t>두산테스나</t>
        </is>
      </c>
      <c r="B241" t="inlineStr"/>
      <c r="C241" s="15" t="inlineStr">
        <is>
          <t>131970</t>
        </is>
      </c>
      <c r="D241" s="15" t="inlineStr">
        <is>
          <t>KOSDAQ GLOBAL</t>
        </is>
      </c>
      <c r="E241" s="15" t="inlineStr">
        <is>
          <t>후공정/패키징/테스트</t>
        </is>
      </c>
      <c r="F241" s="15" t="n">
        <v>32.17</v>
      </c>
      <c r="G241" s="15" t="n">
        <v>14.29</v>
      </c>
      <c r="H241" s="15" t="inlineStr">
        <is>
          <t>고평가 부담</t>
        </is>
      </c>
      <c r="I241" s="15" t="inlineStr">
        <is>
          <t>0.5774876642912814</t>
        </is>
      </c>
      <c r="J241" t="inlineStr"/>
      <c r="K241" t="inlineStr"/>
      <c r="L241" t="inlineStr"/>
    </row>
    <row r="242" ht="22" customHeight="1">
      <c r="A242" s="15" t="inlineStr">
        <is>
          <t>라닉스</t>
        </is>
      </c>
      <c r="B242" t="inlineStr"/>
      <c r="C242" s="15" t="inlineStr">
        <is>
          <t>317120</t>
        </is>
      </c>
      <c r="D242" s="15" t="inlineStr">
        <is>
          <t>KOSDAQ</t>
        </is>
      </c>
      <c r="E242" s="15" t="inlineStr">
        <is>
          <t>팹리스/설계</t>
        </is>
      </c>
      <c r="F242" s="15" t="n">
        <v>32.08</v>
      </c>
      <c r="G242" s="15" t="n">
        <v>71.43000000000001</v>
      </c>
      <c r="H242" s="15" t="inlineStr">
        <is>
          <t>고평가 부담</t>
        </is>
      </c>
      <c r="I242" s="15" t="inlineStr">
        <is>
          <t>0.9281808400807596</t>
        </is>
      </c>
      <c r="J242" t="inlineStr"/>
      <c r="K242" t="inlineStr"/>
      <c r="L242" t="inlineStr"/>
    </row>
    <row r="243" ht="22" customHeight="1">
      <c r="A243" s="15" t="inlineStr">
        <is>
          <t>아이에스티이</t>
        </is>
      </c>
      <c r="B243" t="inlineStr"/>
      <c r="C243" s="15" t="inlineStr">
        <is>
          <t>212710</t>
        </is>
      </c>
      <c r="D243" s="15" t="inlineStr">
        <is>
          <t>KOSDAQ</t>
        </is>
      </c>
      <c r="E243" s="15" t="inlineStr">
        <is>
          <t>IDM/제조/메모리</t>
        </is>
      </c>
      <c r="F243" s="15" t="n">
        <v>31.27</v>
      </c>
      <c r="G243" s="15" t="n">
        <v>71.43000000000001</v>
      </c>
      <c r="H243" s="15" t="inlineStr">
        <is>
          <t>고평가 부담</t>
        </is>
      </c>
      <c r="I243" s="15" t="inlineStr">
        <is>
          <t>0.6642993493743579</t>
        </is>
      </c>
      <c r="J243" t="inlineStr"/>
      <c r="K243" t="inlineStr"/>
      <c r="L243" t="inlineStr"/>
    </row>
    <row r="244" ht="22" customHeight="1">
      <c r="A244" s="15" t="inlineStr">
        <is>
          <t>가온칩스</t>
        </is>
      </c>
      <c r="B244" t="inlineStr"/>
      <c r="C244" s="15" t="inlineStr">
        <is>
          <t>399720</t>
        </is>
      </c>
      <c r="D244" s="15" t="inlineStr">
        <is>
          <t>KOSDAQ</t>
        </is>
      </c>
      <c r="E244" s="15" t="inlineStr">
        <is>
          <t>팹리스/설계</t>
        </is>
      </c>
      <c r="F244" s="15" t="n">
        <v>31.19</v>
      </c>
      <c r="G244" s="15" t="n">
        <v>57.14</v>
      </c>
      <c r="H244" s="15" t="inlineStr">
        <is>
          <t>고평가 부담</t>
        </is>
      </c>
      <c r="I244" s="15" t="inlineStr">
        <is>
          <t>0.9202856043409283</t>
        </is>
      </c>
      <c r="J244" t="inlineStr"/>
      <c r="K244" t="inlineStr"/>
      <c r="L244" t="inlineStr"/>
    </row>
    <row r="245" ht="22" customHeight="1">
      <c r="A245" s="15" t="inlineStr">
        <is>
          <t>네오셈</t>
        </is>
      </c>
      <c r="B245" t="inlineStr"/>
      <c r="C245" s="15" t="inlineStr">
        <is>
          <t>253590</t>
        </is>
      </c>
      <c r="D245" s="15" t="inlineStr">
        <is>
          <t>KOSDAQ</t>
        </is>
      </c>
      <c r="E245" s="15" t="inlineStr">
        <is>
          <t>후공정/패키징/테스트</t>
        </is>
      </c>
      <c r="F245" s="15" t="n">
        <v>30.59</v>
      </c>
      <c r="G245" s="15" t="n">
        <v>7.14</v>
      </c>
      <c r="H245" s="15" t="inlineStr">
        <is>
          <t>고평가 부담</t>
        </is>
      </c>
      <c r="I245" s="15" t="inlineStr">
        <is>
          <t>0.7695353673338539</t>
        </is>
      </c>
      <c r="J245" t="inlineStr"/>
      <c r="K245" t="inlineStr"/>
      <c r="L245" t="inlineStr"/>
    </row>
    <row r="246" ht="22" customHeight="1">
      <c r="A246" s="15" t="inlineStr">
        <is>
          <t>아스플로</t>
        </is>
      </c>
      <c r="B246" t="inlineStr"/>
      <c r="C246" s="15" t="inlineStr">
        <is>
          <t>159010</t>
        </is>
      </c>
      <c r="D246" s="15" t="inlineStr">
        <is>
          <t>KOSDAQ</t>
        </is>
      </c>
      <c r="E246" s="15" t="inlineStr">
        <is>
          <t>장비</t>
        </is>
      </c>
      <c r="F246" s="15" t="n">
        <v>30.25</v>
      </c>
      <c r="G246" s="15" t="n">
        <v>57.14</v>
      </c>
      <c r="H246" s="15" t="inlineStr">
        <is>
          <t>고평가 부담</t>
        </is>
      </c>
      <c r="I246" s="15" t="inlineStr">
        <is>
          <t>0.8970141905473263</t>
        </is>
      </c>
      <c r="J246" t="inlineStr"/>
      <c r="K246" t="inlineStr"/>
      <c r="L246" t="inlineStr"/>
    </row>
    <row r="247" ht="22" customHeight="1">
      <c r="A247" s="15" t="inlineStr">
        <is>
          <t>케이알엠</t>
        </is>
      </c>
      <c r="B247" t="inlineStr"/>
      <c r="C247" s="15" t="inlineStr">
        <is>
          <t>093640</t>
        </is>
      </c>
      <c r="D247" s="15" t="inlineStr">
        <is>
          <t>KOSDAQ</t>
        </is>
      </c>
      <c r="E247" s="15" t="inlineStr">
        <is>
          <t>IDM/제조/메모리</t>
        </is>
      </c>
      <c r="F247" s="15" t="n">
        <v>30.1</v>
      </c>
      <c r="G247" s="15" t="n">
        <v>42.86</v>
      </c>
      <c r="H247" s="15" t="inlineStr">
        <is>
          <t>고평가 부담</t>
        </is>
      </c>
      <c r="I247" s="15" t="inlineStr">
        <is>
          <t>0.7957205872008264</t>
        </is>
      </c>
      <c r="J247" t="inlineStr"/>
      <c r="K247" t="inlineStr"/>
      <c r="L247" t="inlineStr"/>
    </row>
    <row r="248" ht="22" customHeight="1">
      <c r="A248" s="15" t="inlineStr">
        <is>
          <t>오로스테크놀로지</t>
        </is>
      </c>
      <c r="B248" t="inlineStr"/>
      <c r="C248" s="15" t="inlineStr">
        <is>
          <t>322310</t>
        </is>
      </c>
      <c r="D248" s="15" t="inlineStr">
        <is>
          <t>KOSDAQ</t>
        </is>
      </c>
      <c r="E248" s="15" t="inlineStr">
        <is>
          <t>장비</t>
        </is>
      </c>
      <c r="F248" s="15" t="n">
        <v>29.69</v>
      </c>
      <c r="G248" s="15" t="n">
        <v>28.57</v>
      </c>
      <c r="H248" s="15" t="inlineStr">
        <is>
          <t>고평가 부담</t>
        </is>
      </c>
      <c r="I248" s="15" t="inlineStr">
        <is>
          <t>0.9263479879516093</t>
        </is>
      </c>
      <c r="J248" t="inlineStr"/>
      <c r="K248" t="inlineStr"/>
      <c r="L248" t="inlineStr"/>
    </row>
    <row r="249" ht="22" customHeight="1">
      <c r="A249" s="15" t="inlineStr">
        <is>
          <t>쏘닉스</t>
        </is>
      </c>
      <c r="B249" t="inlineStr"/>
      <c r="C249" s="15" t="inlineStr">
        <is>
          <t>088280</t>
        </is>
      </c>
      <c r="D249" s="15" t="inlineStr">
        <is>
          <t>KOSDAQ</t>
        </is>
      </c>
      <c r="E249" s="15" t="inlineStr">
        <is>
          <t>IDM/제조/메모리</t>
        </is>
      </c>
      <c r="F249" s="15" t="n">
        <v>29.25</v>
      </c>
      <c r="G249" s="15" t="n">
        <v>57.14</v>
      </c>
      <c r="H249" s="15" t="inlineStr">
        <is>
          <t>고평가 부담</t>
        </is>
      </c>
      <c r="I249" s="15" t="inlineStr">
        <is>
          <t>0.9167677788852596</t>
        </is>
      </c>
      <c r="J249" t="inlineStr"/>
      <c r="K249" t="inlineStr"/>
      <c r="L249" t="inlineStr"/>
    </row>
    <row r="250" ht="22" customHeight="1">
      <c r="A250" s="15" t="inlineStr">
        <is>
          <t>러셀</t>
        </is>
      </c>
      <c r="B250" t="inlineStr"/>
      <c r="C250" s="15" t="inlineStr">
        <is>
          <t>217500</t>
        </is>
      </c>
      <c r="D250" s="15" t="inlineStr">
        <is>
          <t>KOSDAQ</t>
        </is>
      </c>
      <c r="E250" s="15" t="inlineStr">
        <is>
          <t>장비</t>
        </is>
      </c>
      <c r="F250" s="15" t="n">
        <v>28.89</v>
      </c>
      <c r="G250" s="15" t="n">
        <v>57.14</v>
      </c>
      <c r="H250" s="15" t="inlineStr">
        <is>
          <t>고평가 부담</t>
        </is>
      </c>
      <c r="I250" s="15" t="inlineStr">
        <is>
          <t>0.873177337125051</t>
        </is>
      </c>
      <c r="J250" t="inlineStr"/>
      <c r="K250" t="inlineStr"/>
      <c r="L250" t="inlineStr"/>
    </row>
    <row r="251" ht="22" customHeight="1">
      <c r="A251" s="15" t="inlineStr">
        <is>
          <t>미래컴퍼니</t>
        </is>
      </c>
      <c r="B251" t="inlineStr"/>
      <c r="C251" s="15" t="inlineStr">
        <is>
          <t>049950</t>
        </is>
      </c>
      <c r="D251" s="15" t="inlineStr">
        <is>
          <t>KOSDAQ</t>
        </is>
      </c>
      <c r="E251" s="15" t="inlineStr">
        <is>
          <t>장비</t>
        </is>
      </c>
      <c r="F251" s="15" t="n">
        <v>28.75</v>
      </c>
      <c r="G251" s="15" t="n">
        <v>42.86</v>
      </c>
      <c r="H251" s="15" t="inlineStr">
        <is>
          <t>고평가 부담</t>
        </is>
      </c>
      <c r="I251" s="15" t="inlineStr">
        <is>
          <t>0.8354805452058427</t>
        </is>
      </c>
      <c r="J251" t="inlineStr"/>
      <c r="K251" t="inlineStr"/>
      <c r="L251" t="inlineStr"/>
    </row>
    <row r="252" ht="22" customHeight="1">
      <c r="A252" s="15" t="inlineStr">
        <is>
          <t>파두</t>
        </is>
      </c>
      <c r="B252" t="inlineStr"/>
      <c r="C252" s="15" t="inlineStr">
        <is>
          <t>440110</t>
        </is>
      </c>
      <c r="D252" s="15" t="inlineStr">
        <is>
          <t>KOSDAQ</t>
        </is>
      </c>
      <c r="E252" s="15" t="inlineStr">
        <is>
          <t>팹리스/설계</t>
        </is>
      </c>
      <c r="F252" s="15" t="n">
        <v>28.17</v>
      </c>
      <c r="G252" s="15" t="n">
        <v>71.43000000000001</v>
      </c>
      <c r="H252" s="15" t="inlineStr">
        <is>
          <t>고평가 부담</t>
        </is>
      </c>
      <c r="I252" s="15" t="inlineStr">
        <is>
          <t>0.9722302520284296</t>
        </is>
      </c>
      <c r="J252" t="inlineStr"/>
      <c r="K252" t="inlineStr"/>
      <c r="L252" t="inlineStr"/>
    </row>
    <row r="253" ht="22" customHeight="1">
      <c r="A253" s="15" t="inlineStr">
        <is>
          <t>예스티</t>
        </is>
      </c>
      <c r="B253" t="inlineStr"/>
      <c r="C253" s="15" t="inlineStr">
        <is>
          <t>122640</t>
        </is>
      </c>
      <c r="D253" s="15" t="inlineStr">
        <is>
          <t>KOSDAQ</t>
        </is>
      </c>
      <c r="E253" s="15" t="inlineStr">
        <is>
          <t>장비</t>
        </is>
      </c>
      <c r="F253" s="15" t="n">
        <v>27.79</v>
      </c>
      <c r="G253" s="15" t="n">
        <v>21.43</v>
      </c>
      <c r="H253" s="15" t="inlineStr">
        <is>
          <t>고평가 부담</t>
        </is>
      </c>
      <c r="I253" s="15" t="inlineStr">
        <is>
          <t>0.8070752756860592</t>
        </is>
      </c>
      <c r="J253" t="inlineStr"/>
      <c r="K253" t="inlineStr"/>
      <c r="L253" t="inlineStr"/>
    </row>
    <row r="254" ht="22" customHeight="1">
      <c r="A254" s="15" t="inlineStr">
        <is>
          <t>레이크머티리얼즈</t>
        </is>
      </c>
      <c r="B254" t="inlineStr"/>
      <c r="C254" s="15" t="inlineStr">
        <is>
          <t>281740</t>
        </is>
      </c>
      <c r="D254" s="15" t="inlineStr">
        <is>
          <t>KOSDAQ</t>
        </is>
      </c>
      <c r="E254" s="15" t="inlineStr">
        <is>
          <t>소재</t>
        </is>
      </c>
      <c r="F254" s="15" t="n">
        <v>26.77</v>
      </c>
      <c r="G254" s="15" t="n">
        <v>28.57</v>
      </c>
      <c r="H254" s="15" t="inlineStr">
        <is>
          <t>고평가 부담</t>
        </is>
      </c>
      <c r="I254" s="15" t="inlineStr">
        <is>
          <t>0.7822727417954645</t>
        </is>
      </c>
      <c r="J254" t="inlineStr"/>
      <c r="K254" t="inlineStr"/>
      <c r="L254" t="inlineStr"/>
    </row>
    <row r="255" ht="22" customHeight="1">
      <c r="A255" s="15" t="inlineStr">
        <is>
          <t>덕산테코피아</t>
        </is>
      </c>
      <c r="B255" s="15" t="inlineStr">
        <is>
          <t>duksan</t>
        </is>
      </c>
      <c r="C255" s="15" t="inlineStr">
        <is>
          <t>317330</t>
        </is>
      </c>
      <c r="D255" s="15" t="inlineStr">
        <is>
          <t>KOSDAQ</t>
        </is>
      </c>
      <c r="E255" s="15" t="inlineStr">
        <is>
          <t>소재</t>
        </is>
      </c>
      <c r="F255" s="15" t="n">
        <v>25.1</v>
      </c>
      <c r="G255" s="15" t="n">
        <v>71.43000000000001</v>
      </c>
      <c r="H255" s="15" t="inlineStr">
        <is>
          <t>고평가 부담</t>
        </is>
      </c>
      <c r="I255" s="15" t="inlineStr">
        <is>
          <t>0.9683283970250778</t>
        </is>
      </c>
      <c r="J255" s="15" t="inlineStr">
        <is>
          <t>예</t>
        </is>
      </c>
      <c r="K255" t="inlineStr"/>
      <c r="L255" t="inlineStr"/>
    </row>
    <row r="256" ht="22" customHeight="1">
      <c r="A256" s="15" t="inlineStr">
        <is>
          <t>피엠티</t>
        </is>
      </c>
      <c r="B256" t="inlineStr"/>
      <c r="C256" s="15" t="inlineStr">
        <is>
          <t>147760</t>
        </is>
      </c>
      <c r="D256" s="15" t="inlineStr">
        <is>
          <t>KOSDAQ</t>
        </is>
      </c>
      <c r="E256" s="15" t="inlineStr">
        <is>
          <t>후공정/패키징/테스트</t>
        </is>
      </c>
      <c r="F256" s="15" t="n">
        <v>24.71</v>
      </c>
      <c r="G256" s="15" t="n">
        <v>78.56999999999999</v>
      </c>
      <c r="H256" s="15" t="inlineStr">
        <is>
          <t>고평가 부담</t>
        </is>
      </c>
      <c r="I256" s="15" t="inlineStr">
        <is>
          <t>0.952821790032095</t>
        </is>
      </c>
      <c r="J256" t="inlineStr"/>
      <c r="K256" t="inlineStr"/>
      <c r="L256" t="inlineStr"/>
    </row>
    <row r="257" ht="22" customHeight="1">
      <c r="A257" s="15" t="inlineStr">
        <is>
          <t>아이씨티케이</t>
        </is>
      </c>
      <c r="B257" t="inlineStr"/>
      <c r="C257" s="15" t="inlineStr">
        <is>
          <t>456010</t>
        </is>
      </c>
      <c r="D257" s="15" t="inlineStr">
        <is>
          <t>KOSDAQ</t>
        </is>
      </c>
      <c r="E257" s="15" t="inlineStr">
        <is>
          <t>팹리스/설계</t>
        </is>
      </c>
      <c r="F257" s="15" t="n">
        <v>24.21</v>
      </c>
      <c r="G257" s="15" t="n">
        <v>57.14</v>
      </c>
      <c r="H257" s="15" t="inlineStr">
        <is>
          <t>고평가 부담</t>
        </is>
      </c>
      <c r="I257" s="15" t="inlineStr">
        <is>
          <t>0.9318776222941163</t>
        </is>
      </c>
      <c r="J257" t="inlineStr"/>
      <c r="K257" t="inlineStr"/>
      <c r="L257" t="inlineStr"/>
    </row>
    <row r="258" ht="22" customHeight="1">
      <c r="A258" s="15" t="inlineStr">
        <is>
          <t>오픈엣지테크놀로지</t>
        </is>
      </c>
      <c r="B258" t="inlineStr"/>
      <c r="C258" s="15" t="inlineStr">
        <is>
          <t>394280</t>
        </is>
      </c>
      <c r="D258" s="15" t="inlineStr">
        <is>
          <t>KOSDAQ</t>
        </is>
      </c>
      <c r="E258" s="15" t="inlineStr">
        <is>
          <t>팹리스/설계</t>
        </is>
      </c>
      <c r="F258" s="15" t="n">
        <v>23.84</v>
      </c>
      <c r="G258" s="15" t="n">
        <v>57.14</v>
      </c>
      <c r="H258" s="15" t="inlineStr">
        <is>
          <t>고평가 부담</t>
        </is>
      </c>
      <c r="I258" s="15" t="inlineStr">
        <is>
          <t>0.9776205348568181</t>
        </is>
      </c>
      <c r="J258" t="inlineStr"/>
      <c r="K258" t="inlineStr"/>
      <c r="L258" t="inlineStr"/>
    </row>
    <row r="259" ht="22" customHeight="1">
      <c r="A259" s="15" t="inlineStr">
        <is>
          <t>기가레인</t>
        </is>
      </c>
      <c r="B259" t="inlineStr"/>
      <c r="C259" s="15" t="inlineStr">
        <is>
          <t>049080</t>
        </is>
      </c>
      <c r="D259" s="15" t="inlineStr">
        <is>
          <t>KOSDAQ</t>
        </is>
      </c>
      <c r="E259" s="15" t="inlineStr">
        <is>
          <t>장비</t>
        </is>
      </c>
      <c r="F259" s="15" t="n">
        <v>23.53</v>
      </c>
      <c r="G259" s="15" t="n">
        <v>50</v>
      </c>
      <c r="H259" s="15" t="inlineStr">
        <is>
          <t>고평가 부담</t>
        </is>
      </c>
      <c r="I259" s="15" t="inlineStr">
        <is>
          <t>0.9628494209555842</t>
        </is>
      </c>
      <c r="J259" t="inlineStr"/>
      <c r="K259" t="inlineStr"/>
      <c r="L259" t="inlineStr"/>
    </row>
    <row r="260" ht="22" customHeight="1">
      <c r="A260" s="15" t="inlineStr">
        <is>
          <t>넥스틴</t>
        </is>
      </c>
      <c r="B260" t="inlineStr"/>
      <c r="C260" s="15" t="inlineStr">
        <is>
          <t>348210</t>
        </is>
      </c>
      <c r="D260" s="15" t="inlineStr">
        <is>
          <t>KOSDAQ GLOBAL</t>
        </is>
      </c>
      <c r="E260" s="15" t="inlineStr">
        <is>
          <t>장비</t>
        </is>
      </c>
      <c r="F260" s="15" t="n">
        <v>23.53</v>
      </c>
      <c r="G260" s="15" t="n">
        <v>42.86</v>
      </c>
      <c r="H260" s="15" t="inlineStr">
        <is>
          <t>고평가 부담</t>
        </is>
      </c>
      <c r="I260" s="15" t="inlineStr">
        <is>
          <t>0.7906546201121369</t>
        </is>
      </c>
      <c r="J260" t="inlineStr"/>
      <c r="K260" t="inlineStr"/>
      <c r="L260" t="inlineStr"/>
    </row>
    <row r="261" ht="22" customHeight="1">
      <c r="A261" s="15" t="inlineStr">
        <is>
          <t>주성엔지니어링</t>
        </is>
      </c>
      <c r="B261" t="inlineStr"/>
      <c r="C261" s="15" t="inlineStr">
        <is>
          <t>036930</t>
        </is>
      </c>
      <c r="D261" s="15" t="inlineStr">
        <is>
          <t>KOSDAQ GLOBAL</t>
        </is>
      </c>
      <c r="E261" s="15" t="inlineStr">
        <is>
          <t>장비</t>
        </is>
      </c>
      <c r="F261" s="15" t="n">
        <v>23.36</v>
      </c>
      <c r="G261" s="15" t="n">
        <v>28.57</v>
      </c>
      <c r="H261" s="15" t="inlineStr">
        <is>
          <t>고평가 부담</t>
        </is>
      </c>
      <c r="I261" s="15" t="inlineStr">
        <is>
          <t>0.7918979957613304</t>
        </is>
      </c>
      <c r="J261" t="inlineStr"/>
      <c r="K261" t="inlineStr"/>
      <c r="L261" t="inlineStr"/>
    </row>
    <row r="262" ht="22" customHeight="1">
      <c r="A262" s="15" t="inlineStr">
        <is>
          <t>테크윙</t>
        </is>
      </c>
      <c r="B262" t="inlineStr"/>
      <c r="C262" s="15" t="inlineStr">
        <is>
          <t>089030</t>
        </is>
      </c>
      <c r="D262" s="15" t="inlineStr">
        <is>
          <t>KOSDAQ</t>
        </is>
      </c>
      <c r="E262" s="15" t="inlineStr">
        <is>
          <t>후공정/패키징/테스트</t>
        </is>
      </c>
      <c r="F262" s="15" t="n">
        <v>22.06</v>
      </c>
      <c r="G262" s="15" t="n">
        <v>57.14</v>
      </c>
      <c r="H262" s="15" t="inlineStr">
        <is>
          <t>고평가 부담</t>
        </is>
      </c>
      <c r="I262" s="15" t="inlineStr">
        <is>
          <t>0.7946423848576873</t>
        </is>
      </c>
      <c r="J262" t="inlineStr"/>
      <c r="K262" t="inlineStr"/>
      <c r="L262" t="inlineStr"/>
    </row>
    <row r="263" ht="22" customHeight="1">
      <c r="A263" s="15" t="inlineStr">
        <is>
          <t>퀄리타스반도체</t>
        </is>
      </c>
      <c r="B263" t="inlineStr"/>
      <c r="C263" s="15" t="inlineStr">
        <is>
          <t>432720</t>
        </is>
      </c>
      <c r="D263" s="15" t="inlineStr">
        <is>
          <t>KOSDAQ</t>
        </is>
      </c>
      <c r="E263" s="15" t="inlineStr">
        <is>
          <t>팹리스/설계</t>
        </is>
      </c>
      <c r="F263" s="15" t="n">
        <v>21.19</v>
      </c>
      <c r="G263" s="15" t="n">
        <v>57.14</v>
      </c>
      <c r="H263" s="15" t="inlineStr">
        <is>
          <t>고평가 부담</t>
        </is>
      </c>
      <c r="I263" s="15" t="inlineStr">
        <is>
          <t>0.9844433173148716</t>
        </is>
      </c>
      <c r="J263" t="inlineStr"/>
      <c r="K263" t="inlineStr"/>
      <c r="L263" t="inlineStr"/>
    </row>
    <row r="264" ht="22" customHeight="1">
      <c r="A264" s="15" t="inlineStr">
        <is>
          <t>자람테크놀로지</t>
        </is>
      </c>
      <c r="B264" t="inlineStr"/>
      <c r="C264" s="15" t="inlineStr">
        <is>
          <t>389020</t>
        </is>
      </c>
      <c r="D264" s="15" t="inlineStr">
        <is>
          <t>KOSDAQ</t>
        </is>
      </c>
      <c r="E264" s="15" t="inlineStr">
        <is>
          <t>IDM/제조/메모리</t>
        </is>
      </c>
      <c r="F264" s="15" t="n">
        <v>19.95</v>
      </c>
      <c r="G264" s="15" t="n">
        <v>21.43</v>
      </c>
      <c r="H264" s="15" t="inlineStr">
        <is>
          <t>고평가 부담</t>
        </is>
      </c>
      <c r="I264" s="15" t="inlineStr">
        <is>
          <t>0.6873284389381621</t>
        </is>
      </c>
      <c r="J264" t="inlineStr"/>
      <c r="K264" t="inlineStr"/>
      <c r="L264" t="inlineStr"/>
    </row>
    <row r="265" ht="22" customHeight="1">
      <c r="A265" s="15" t="inlineStr">
        <is>
          <t>필옵틱스</t>
        </is>
      </c>
      <c r="B265" t="inlineStr"/>
      <c r="C265" s="15" t="inlineStr">
        <is>
          <t>161580</t>
        </is>
      </c>
      <c r="D265" s="15" t="inlineStr">
        <is>
          <t>KOSDAQ</t>
        </is>
      </c>
      <c r="E265" s="15" t="inlineStr">
        <is>
          <t>장비</t>
        </is>
      </c>
      <c r="F265" s="15" t="n">
        <v>17.41</v>
      </c>
      <c r="G265" s="15" t="n">
        <v>28.57</v>
      </c>
      <c r="H265" s="15" t="inlineStr">
        <is>
          <t>고평가 부담</t>
        </is>
      </c>
      <c r="I265" s="15" t="inlineStr">
        <is>
          <t>0.9632435860929522</t>
        </is>
      </c>
      <c r="J265" t="inlineStr"/>
      <c r="K265" t="inlineStr"/>
      <c r="L265" t="inlineStr"/>
    </row>
    <row r="266" ht="22" customHeight="1">
      <c r="A266" s="15" t="inlineStr">
        <is>
          <t>하이딥</t>
        </is>
      </c>
      <c r="B266" t="inlineStr"/>
      <c r="C266" s="15" t="inlineStr">
        <is>
          <t>365590</t>
        </is>
      </c>
      <c r="D266" s="15" t="inlineStr">
        <is>
          <t>KOSDAQ</t>
        </is>
      </c>
      <c r="E266" s="15" t="inlineStr">
        <is>
          <t>IDM/제조/메모리</t>
        </is>
      </c>
      <c r="F266" s="15" t="n">
        <v>12.5</v>
      </c>
      <c r="G266" s="15" t="n">
        <v>85.70999999999999</v>
      </c>
      <c r="H266" s="15" t="inlineStr">
        <is>
          <t>고평가 부담</t>
        </is>
      </c>
      <c r="I266" s="15" t="inlineStr">
        <is>
          <t>0.93355514861914</t>
        </is>
      </c>
      <c r="J266" t="inlineStr"/>
      <c r="K266" t="inlineStr"/>
      <c r="L266" t="inlineStr"/>
    </row>
  </sheetData>
  <mergeCells count="2">
    <mergeCell ref="A2:N2"/>
    <mergeCell ref="A1:N1"/>
  </mergeCells>
  <dataValidations count="1">
    <dataValidation sqref="B4" showDropDown="0" showInputMessage="0" showErrorMessage="0" allowBlank="0" type="list">
      <formula1>$A$59:$A$266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표시 개선 단계에서 예외가 발생했지만 가치평가 계산 결과는 정상 생성되었습니다.</t>
        </is>
      </c>
    </row>
    <row r="2">
      <c r="A2" t="inlineStr">
        <is>
          <t>'Cell' object is not iterable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2026-05-20T01:56:22Z</dcterms:created>
  <dcterms:modified xmlns:dcterms="http://purl.org/dc/terms/" xmlns:xsi="http://www.w3.org/2001/XMLSchema-instance" xsi:type="dcterms:W3CDTF">2026-05-20T01:56:27Z</dcterms:modified>
</cp:coreProperties>
</file>