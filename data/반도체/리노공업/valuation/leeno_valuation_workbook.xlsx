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4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5.xml" ContentType="application/vnd.openxmlformats-officedocument.drawing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발표용_원페이지" sheetId="1" state="visible" r:id="rId1"/>
    <sheet xmlns:r="http://schemas.openxmlformats.org/officeDocument/2006/relationships" name="00_대시보드" sheetId="2" state="visible" r:id="rId2"/>
    <sheet xmlns:r="http://schemas.openxmlformats.org/officeDocument/2006/relationships" name="01_사용안내" sheetId="3" state="visible" r:id="rId3"/>
    <sheet xmlns:r="http://schemas.openxmlformats.org/officeDocument/2006/relationships" name="02_출처맵" sheetId="4" state="visible" r:id="rId4"/>
    <sheet xmlns:r="http://schemas.openxmlformats.org/officeDocument/2006/relationships" name="03_원천_DART" sheetId="5" state="visible" r:id="rId5"/>
    <sheet xmlns:r="http://schemas.openxmlformats.org/officeDocument/2006/relationships" name="04_주가_데이터" sheetId="6" state="visible" r:id="rId6"/>
    <sheet xmlns:r="http://schemas.openxmlformats.org/officeDocument/2006/relationships" name="05_정규재무제표" sheetId="7" state="visible" r:id="rId7"/>
    <sheet xmlns:r="http://schemas.openxmlformats.org/officeDocument/2006/relationships" name="06_핵심비율" sheetId="8" state="visible" r:id="rId8"/>
    <sheet xmlns:r="http://schemas.openxmlformats.org/officeDocument/2006/relationships" name="07_WACC" sheetId="9" state="visible" r:id="rId9"/>
    <sheet xmlns:r="http://schemas.openxmlformats.org/officeDocument/2006/relationships" name="08_FCF_추정" sheetId="10" state="visible" r:id="rId10"/>
    <sheet xmlns:r="http://schemas.openxmlformats.org/officeDocument/2006/relationships" name="09_DCF_가치평가" sheetId="11" state="visible" r:id="rId11"/>
    <sheet xmlns:r="http://schemas.openxmlformats.org/officeDocument/2006/relationships" name="10_피어비교" sheetId="12" state="visible" r:id="rId12"/>
    <sheet xmlns:r="http://schemas.openxmlformats.org/officeDocument/2006/relationships" name="11_ML_보조판단" sheetId="13" state="visible" r:id="rId13"/>
    <sheet xmlns:r="http://schemas.openxmlformats.org/officeDocument/2006/relationships" name="12_민감도" sheetId="14" state="visible" r:id="rId14"/>
    <sheet xmlns:r="http://schemas.openxmlformats.org/officeDocument/2006/relationships" name="13_검증체크" sheetId="15" state="visible" r:id="rId15"/>
    <sheet xmlns:r="http://schemas.openxmlformats.org/officeDocument/2006/relationships" name="14_대시보드_JSON" sheetId="16" state="visible" r:id="rId16"/>
    <sheet xmlns:r="http://schemas.openxmlformats.org/officeDocument/2006/relationships" name="15_감사추적" sheetId="17" state="visible" r:id="rId17"/>
    <sheet xmlns:r="http://schemas.openxmlformats.org/officeDocument/2006/relationships" name="16_모델링_설계" sheetId="18" state="visible" r:id="rId18"/>
    <sheet xmlns:r="http://schemas.openxmlformats.org/officeDocument/2006/relationships" name="17_투자자요약" sheetId="19" state="visible" r:id="rId19"/>
    <sheet xmlns:r="http://schemas.openxmlformats.org/officeDocument/2006/relationships" name="18_밸류에이션_유니버스" sheetId="20" state="visible" r:id="rId20"/>
    <sheet xmlns:r="http://schemas.openxmlformats.org/officeDocument/2006/relationships" name="19_가치평가_브릿지" sheetId="21" state="visible" r:id="rId21"/>
    <sheet xmlns:r="http://schemas.openxmlformats.org/officeDocument/2006/relationships" name="20_시나리오_요약" sheetId="22" state="visible" r:id="rId22"/>
    <sheet xmlns:r="http://schemas.openxmlformats.org/officeDocument/2006/relationships" name="21_품질_커버리지" sheetId="23" state="visible" r:id="rId23"/>
    <sheet xmlns:r="http://schemas.openxmlformats.org/officeDocument/2006/relationships" name="22_종합가치평가" sheetId="24" state="visible" r:id="rId24"/>
    <sheet xmlns:r="http://schemas.openxmlformats.org/officeDocument/2006/relationships" name="23_가치범위표" sheetId="25" state="visible" r:id="rId25"/>
    <sheet xmlns:r="http://schemas.openxmlformats.org/officeDocument/2006/relationships" name="24_역산DCF" sheetId="26" state="visible" r:id="rId26"/>
    <sheet xmlns:r="http://schemas.openxmlformats.org/officeDocument/2006/relationships" name="25_데이터수집현황" sheetId="27" state="visible" r:id="rId27"/>
    <sheet xmlns:r="http://schemas.openxmlformats.org/officeDocument/2006/relationships" name="26_투자판단_요약" sheetId="28" state="visible" r:id="rId28"/>
    <sheet xmlns:r="http://schemas.openxmlformats.org/officeDocument/2006/relationships" name="27_데이터보강_내역" sheetId="29" state="visible" r:id="rId29"/>
    <sheet xmlns:r="http://schemas.openxmlformats.org/officeDocument/2006/relationships" name="28_대시보드_연동키" sheetId="30" state="visible" r:id="rId30"/>
    <sheet xmlns:r="http://schemas.openxmlformats.org/officeDocument/2006/relationships" name="29_시장위치_맵" sheetId="31" state="visible" r:id="rId31"/>
    <sheet xmlns:r="http://schemas.openxmlformats.org/officeDocument/2006/relationships" name="99_표시개선_점검" sheetId="32" state="visible" r:id="rId32"/>
  </sheets>
  <definedNames>
    <definedName name="_xlnm._FilterDatabase" localSheetId="2" hidden="1">'01_사용안내'!$A$5:$B$11</definedName>
    <definedName name="_xlnm._FilterDatabase" localSheetId="3" hidden="1">'02_출처맵'!$A$7:$I$22</definedName>
    <definedName name="_xlnm._FilterDatabase" localSheetId="4" hidden="1">'03_원천_DART'!$A$2:$Q$480</definedName>
    <definedName name="_xlnm._FilterDatabase" localSheetId="5" hidden="1">'04_주가_데이터'!$A$18:$AE$718</definedName>
    <definedName name="_xlnm._FilterDatabase" localSheetId="6" hidden="1">'05_정규재무제표'!$A$2:$AK$7</definedName>
    <definedName name="_xlnm._FilterDatabase" localSheetId="7" hidden="1">'06_핵심비율'!$A$2:$L$7</definedName>
    <definedName name="_xlnm._FilterDatabase" localSheetId="9" hidden="1">'08_FCF_추정'!$A$2:$J$7</definedName>
    <definedName name="_xlnm._FilterDatabase" localSheetId="10" hidden="1">'09_DCF_가치평가'!$A$5:$C$21</definedName>
    <definedName name="_xlnm._FilterDatabase" localSheetId="11" hidden="1">'10_피어비교'!$A$2:$AI$7</definedName>
    <definedName name="_xlnm._FilterDatabase" localSheetId="12" hidden="1">'11_ML_보조판단'!$A$16:$B$21</definedName>
    <definedName name="_xlnm._FilterDatabase" localSheetId="13" hidden="1">'12_민감도'!$A$2:$C$27</definedName>
    <definedName name="_xlnm._FilterDatabase" localSheetId="14" hidden="1">'13_검증체크'!$A$2:$C$3</definedName>
    <definedName name="_xlnm._FilterDatabase" localSheetId="15" hidden="1">'14_대시보드_JSON'!$A$2:$D$205</definedName>
    <definedName name="_xlnm._FilterDatabase" localSheetId="16" hidden="1">'15_감사추적'!$A$2:$F$8</definedName>
    <definedName name="_xlnm._FilterDatabase" localSheetId="17" hidden="1">'16_모델링_설계'!$A$2:$G$11</definedName>
    <definedName name="_xlnm._FilterDatabase" localSheetId="18" hidden="1">'17_투자자요약'!$A$23:$B$28</definedName>
    <definedName name="_xlnm._FilterDatabase" localSheetId="19" hidden="1">'18_밸류에이션_유니버스'!$A$66:$AF$274</definedName>
    <definedName name="_xlnm._FilterDatabase" localSheetId="20" hidden="1">'19_가치평가_브릿지'!$A$29:$C$34</definedName>
    <definedName name="_xlnm._FilterDatabase" localSheetId="21" hidden="1">'20_시나리오_요약'!$A$12:$B$14</definedName>
    <definedName name="_xlnm._FilterDatabase" localSheetId="22" hidden="1">'21_품질_커버리지'!$A$15:$C$16</definedName>
    <definedName name="_xlnm._FilterDatabase" localSheetId="23" hidden="1">'22_종합가치평가'!$A$34:$D$42</definedName>
    <definedName name="_xlnm._FilterDatabase" localSheetId="24" hidden="1">'23_가치범위표'!$A$21:$B$23</definedName>
    <definedName name="_xlnm._FilterDatabase" localSheetId="25" hidden="1">'24_역산DCF'!$A$20:$B$23</definedName>
    <definedName name="_xlnm._FilterDatabase" localSheetId="26" hidden="1">'25_데이터수집현황'!$A$15:$C$29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;-"/>
    <numFmt numFmtId="165" formatCode="0.0x;[Red](0.0x);-"/>
    <numFmt numFmtId="166" formatCode="0.0%;[Red](0.0%);-"/>
    <numFmt numFmtId="167" formatCode="0.0%"/>
    <numFmt numFmtId="168" formatCode="0.0"/>
  </numFmts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color rgb="000B1F33"/>
      <sz val="10"/>
    </font>
    <font>
      <b val="1"/>
      <color rgb="00FFFFFF"/>
      <sz val="10"/>
    </font>
    <font>
      <b val="1"/>
      <color rgb="000B1F33"/>
      <sz val="13"/>
    </font>
    <font>
      <color rgb="00475569"/>
      <sz val="9"/>
    </font>
    <font>
      <b val="1"/>
      <color rgb="00FFFFFF"/>
    </font>
    <font>
      <b val="1"/>
      <color rgb="000B1F33"/>
    </font>
    <font>
      <color rgb="000000FF"/>
    </font>
    <font>
      <color rgb="00000000"/>
    </font>
    <font>
      <b val="1"/>
      <color rgb="00FFFFFF"/>
      <sz val="18"/>
    </font>
    <font>
      <color rgb="00243B53"/>
      <sz val="10"/>
    </font>
    <font>
      <b val="1"/>
      <color rgb="00102A43"/>
      <sz val="11"/>
    </font>
    <font>
      <b val="1"/>
      <color rgb="00FFFFFF"/>
      <sz val="12"/>
    </font>
    <font>
      <color rgb="00102A43"/>
      <sz val="11"/>
    </font>
    <font>
      <b val="1"/>
      <color rgb="00FFFFFF"/>
      <sz val="15"/>
    </font>
    <font>
      <b val="1"/>
      <color rgb="00102A43"/>
    </font>
  </fonts>
  <fills count="20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6EEF8"/>
      </patternFill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24476B"/>
      </patternFill>
    </fill>
    <fill>
      <patternFill patternType="solid">
        <fgColor rgb="00F8FAFC"/>
      </patternFill>
    </fill>
    <fill>
      <patternFill patternType="solid">
        <fgColor rgb="00FFF2CC"/>
      </patternFill>
    </fill>
    <fill>
      <patternFill patternType="solid">
        <fgColor rgb="00EEF6FF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DDF7EC"/>
      </patternFill>
    </fill>
    <fill>
      <patternFill patternType="solid">
        <fgColor rgb="00F2EEFF"/>
      </patternFill>
    </fill>
    <fill>
      <patternFill patternType="solid">
        <fgColor rgb="00243B53"/>
      </patternFill>
    </fill>
    <fill>
      <patternFill patternType="solid">
        <fgColor rgb="00102A43"/>
      </patternFill>
    </fill>
    <fill>
      <patternFill patternType="solid">
        <fgColor rgb="00FFF7E6"/>
      </patternFill>
    </fill>
  </fills>
  <borders count="8">
    <border>
      <left/>
      <right/>
      <top/>
      <bottom/>
      <diagonal/>
    </border>
    <border>
      <left style="medium">
        <color rgb="009FB3C8"/>
      </left>
      <right style="medium">
        <color rgb="009FB3C8"/>
      </right>
      <top style="medium">
        <color rgb="009FB3C8"/>
      </top>
      <bottom style="medium">
        <color rgb="009FB3C8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0" fillId="2" borderId="7" applyAlignment="1" pivotButton="0" quotePrefix="0" xfId="0">
      <alignment horizontal="left" vertical="center" wrapText="1"/>
    </xf>
    <xf numFmtId="0" fontId="11" fillId="10" borderId="7" applyAlignment="1" pivotButton="0" quotePrefix="0" xfId="0">
      <alignment horizontal="left" vertical="center" wrapText="1"/>
    </xf>
    <xf numFmtId="0" fontId="6" fillId="11" borderId="7" applyAlignment="1" pivotButton="0" quotePrefix="0" xfId="0">
      <alignment horizontal="left" vertical="center" wrapText="1"/>
    </xf>
    <xf numFmtId="0" fontId="12" fillId="15" borderId="7" applyAlignment="1" pivotButton="0" quotePrefix="0" xfId="0">
      <alignment horizontal="left" vertical="center" wrapText="1"/>
    </xf>
    <xf numFmtId="0" fontId="6" fillId="12" borderId="7" applyAlignment="1" pivotButton="0" quotePrefix="0" xfId="0">
      <alignment horizontal="left" vertical="center" wrapText="1"/>
    </xf>
    <xf numFmtId="0" fontId="6" fillId="13" borderId="7" applyAlignment="1" pivotButton="0" quotePrefix="0" xfId="0">
      <alignment horizontal="left" vertical="center" wrapText="1"/>
    </xf>
    <xf numFmtId="0" fontId="6" fillId="14" borderId="7" applyAlignment="1" pivotButton="0" quotePrefix="0" xfId="0">
      <alignment horizontal="left" vertical="center" wrapText="1"/>
    </xf>
    <xf numFmtId="0" fontId="12" fillId="10" borderId="7" applyAlignment="1" pivotButton="0" quotePrefix="0" xfId="0">
      <alignment horizontal="left" vertical="center" wrapText="1"/>
    </xf>
    <xf numFmtId="0" fontId="12" fillId="16" borderId="7" applyAlignment="1" pivotButton="0" quotePrefix="0" xfId="0">
      <alignment horizontal="left" vertical="center" wrapText="1"/>
    </xf>
    <xf numFmtId="0" fontId="13" fillId="2" borderId="7" applyAlignment="1" pivotButton="0" quotePrefix="0" xfId="0">
      <alignment horizontal="left" vertical="center" wrapText="1"/>
    </xf>
    <xf numFmtId="0" fontId="14" fillId="6" borderId="7" applyAlignment="1" pivotButton="0" quotePrefix="0" xfId="0">
      <alignment horizontal="left" vertical="center" wrapText="1"/>
    </xf>
    <xf numFmtId="0" fontId="6" fillId="17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left" vertical="center" wrapText="1"/>
    </xf>
    <xf numFmtId="0" fontId="0" fillId="6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left" vertical="center" wrapText="1"/>
    </xf>
    <xf numFmtId="164" fontId="0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4" fontId="6" fillId="7" borderId="2" applyAlignment="1" pivotButton="0" quotePrefix="0" xfId="0">
      <alignment horizontal="left" vertical="center" wrapText="1"/>
    </xf>
    <xf numFmtId="166" fontId="0" fillId="6" borderId="2" applyAlignment="1" pivotButton="0" quotePrefix="0" xfId="0">
      <alignment horizontal="left" vertical="center" wrapText="1"/>
    </xf>
    <xf numFmtId="166" fontId="0" fillId="8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6" fontId="8" fillId="9" borderId="2" applyAlignment="1" pivotButton="0" quotePrefix="0" xfId="0">
      <alignment horizontal="left" vertical="center" wrapText="1"/>
    </xf>
    <xf numFmtId="164" fontId="8" fillId="9" borderId="2" applyAlignment="1" pivotButton="0" quotePrefix="0" xfId="0">
      <alignment horizontal="left" vertical="center" wrapText="1"/>
    </xf>
    <xf numFmtId="164" fontId="9" fillId="0" borderId="2" applyAlignment="1" pivotButton="0" quotePrefix="0" xfId="0">
      <alignment horizontal="left" vertical="center" wrapText="1"/>
    </xf>
    <xf numFmtId="166" fontId="9" fillId="0" borderId="2" applyAlignment="1" pivotButton="0" quotePrefix="0" xfId="0">
      <alignment horizontal="left" vertical="center" wrapText="1"/>
    </xf>
    <xf numFmtId="165" fontId="0" fillId="6" borderId="2" applyAlignment="1" pivotButton="0" quotePrefix="0" xfId="0">
      <alignment horizontal="left" vertical="center" wrapText="1"/>
    </xf>
    <xf numFmtId="165" fontId="0" fillId="8" borderId="2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16" fillId="15" borderId="7" applyAlignment="1" pivotButton="0" quotePrefix="0" xfId="0">
      <alignment horizontal="left" vertical="center" wrapText="1"/>
    </xf>
    <xf numFmtId="168" fontId="16" fillId="15" borderId="7" applyAlignment="1" pivotButton="0" quotePrefix="0" xfId="0">
      <alignment horizontal="left" vertical="center" wrapText="1"/>
    </xf>
    <xf numFmtId="167" fontId="16" fillId="15" borderId="7" applyAlignment="1" pivotButton="0" quotePrefix="0" xfId="0">
      <alignment horizontal="left" vertical="center" wrapText="1"/>
    </xf>
    <xf numFmtId="0" fontId="0" fillId="15" borderId="7" applyAlignment="1" pivotButton="0" quotePrefix="0" xfId="0">
      <alignment horizontal="left" vertical="center" wrapText="1"/>
    </xf>
    <xf numFmtId="0" fontId="0" fillId="10" borderId="7" applyAlignment="1" pivotButton="0" quotePrefix="0" xfId="0">
      <alignment horizontal="left" vertical="center" wrapText="1"/>
    </xf>
    <xf numFmtId="0" fontId="0" fillId="16" borderId="7" applyAlignment="1" pivotButton="0" quotePrefix="0" xfId="0">
      <alignment horizontal="left" vertical="center" wrapText="1"/>
    </xf>
    <xf numFmtId="0" fontId="0" fillId="19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투자자 관점 핵심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'30_발표용_원페이지'!B30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'30_발표용_원페이지'!$A$31:$A$34</f>
            </numRef>
          </cat>
          <val>
            <numRef>
              <f>'30_발표용_원페이지'!$B$31:$B$34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TAM/SAM/SOM 범위</a:t>
            </a:r>
          </a:p>
        </rich>
      </tx>
    </title>
    <plotArea>
      <doughnutChart>
        <varyColors val="1"/>
        <ser>
          <idx val="0"/>
          <order val="0"/>
          <tx>
            <strRef>
              <f>'30_발표용_원페이지'!F30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'30_발표용_원페이지'!$E$31:$E$33</f>
            </numRef>
          </cat>
          <val>
            <numRef>
              <f>'30_발표용_원페이지'!$F$31:$F$33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매출·영업이익·FCF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'00_대시보드'!$B$32:$B$36</f>
            </numRef>
          </val>
        </ser>
        <ser>
          <idx val="1"/>
          <order val="1"/>
          <tx>
            <strRef>
              <f>'00_대시보드'!C31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'00_대시보드'!$C$32:$C$36</f>
            </numRef>
          </val>
        </ser>
        <ser>
          <idx val="2"/>
          <order val="2"/>
          <tx>
            <strRef>
              <f>'00_대시보드'!D31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'00_대시보드'!$D$32:$D$36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추정</a:t>
            </a:r>
          </a:p>
        </rich>
      </tx>
    </title>
    <plotArea>
      <lineChart>
        <grouping val="standard"/>
        <ser>
          <idx val="0"/>
          <order val="0"/>
          <tx>
            <strRef>
              <f>'00_대시보드'!F31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'00_대시보드'!$F$32:$F$36</f>
            </numRef>
          </val>
        </ser>
        <ser>
          <idx val="1"/>
          <order val="1"/>
          <tx>
            <strRef>
              <f>'00_대시보드'!G31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'00_대시보드'!$G$32:$G$36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Peer P/S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'00_대시보드'!J31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'00_대시보드'!$I$32:$I$36</f>
            </numRef>
          </cat>
          <val>
            <numRef>
              <f>'00_대시보드'!$J$32:$J$36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배수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종가·이동평균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'04_주가_데이터'!E18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'04_주가_데이터'!$A$19:$A$718</f>
            </numRef>
          </cat>
          <val>
            <numRef>
              <f>'04_주가_데이터'!$E$19:$E$718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일자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가치평가 방법별 중앙 주당가치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'23_가치범위표'!G10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'23_가치범위표'!$B$11:$B$17</f>
            </numRef>
          </cat>
          <val>
            <numRef>
              <f>'23_가치범위표'!$G$11:$G$17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가치평가 방법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원/주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선택기업 vs 동일 세부군 vs 208개 평균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'29_시장위치_맵'!$B$9:$B$11</f>
            </numRef>
          </val>
        </ser>
        <ser>
          <idx val="1"/>
          <order val="1"/>
          <tx>
            <strRef>
              <f>'29_시장위치_맵'!C8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비교 기준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 / SAM / SOM 범위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'29_시장위치_맵'!$A$17:$A$19</f>
            </numRef>
          </cat>
          <val>
            <numRef>
              <f>'29_시장위치_맵'!$B$17:$B$19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기업 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범위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5개 핵심기업 밸류에이션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'29_시장위치_맵'!$A$26:$A$30</f>
            </numRef>
          </cat>
          <val>
            <numRef>
              <f>'29_시장위치_맵'!$C$26:$C$30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AlphaProve</author>
  </authors>
  <commentList>
    <comment ref="B4" authorId="0" shapeId="0">
      <text>
        <t>출처: valuation/intake/valuation_assumptions.json</t>
      </text>
    </comment>
  </commentList>
</comments>
</file>

<file path=xl/comments/comment2.xml><?xml version="1.0" encoding="utf-8"?>
<comments xmlns="http://schemas.openxmlformats.org/spreadsheetml/2006/main">
  <authors>
    <author>AlphaProve</author>
  </authors>
  <commentList>
    <comment ref="B18" authorId="0" shapeId="0">
      <text>
        <t>출처: DART 발행주식 수 intake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33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8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41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  <col width="16" customWidth="1" min="5" max="5"/>
    <col width="16" customWidth="1" min="6" max="6"/>
    <col width="15" customWidth="1" min="7" max="7"/>
    <col width="16" customWidth="1" min="8" max="8"/>
    <col width="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8" customHeight="1">
      <c r="A1" s="1" t="inlineStr">
        <is>
          <t>리노공업 가치평가 원페이지</t>
        </is>
      </c>
    </row>
    <row r="2" ht="25" customHeight="1">
      <c r="A2" s="2" t="inlineStr">
        <is>
          <t>DCF·상대가치·시장내재 배수·주가 리스크·208개 비교군 위치를 한 장에서 검토하는 투자자용 요약입니다.</t>
        </is>
      </c>
    </row>
    <row r="3" ht="24" customHeight="1"/>
    <row r="4" ht="24" customHeight="1">
      <c r="A4" s="3" t="inlineStr">
        <is>
          <t>현재가</t>
        </is>
      </c>
      <c r="B4" s="4" t="inlineStr">
        <is>
          <t>96,800원</t>
        </is>
      </c>
      <c r="C4" s="5" t="inlineStr">
        <is>
          <t>DCF 내재주가</t>
        </is>
      </c>
      <c r="D4" s="4" t="inlineStr">
        <is>
          <t>11,116원</t>
        </is>
      </c>
      <c r="E4" s="6" t="inlineStr">
        <is>
          <t>괴리율</t>
        </is>
      </c>
      <c r="F4" s="4" t="inlineStr">
        <is>
          <t>-88.5%</t>
        </is>
      </c>
      <c r="G4" s="7" t="inlineStr">
        <is>
          <t>WACC</t>
        </is>
      </c>
      <c r="H4" s="4" t="inlineStr">
        <is>
          <t>14.2%</t>
        </is>
      </c>
    </row>
    <row r="5" ht="24" customHeight="1">
      <c r="A5" s="3" t="inlineStr">
        <is>
          <t>P/S</t>
        </is>
      </c>
      <c r="B5" s="8" t="inlineStr">
        <is>
          <t>1.26배</t>
        </is>
      </c>
      <c r="C5" s="5" t="inlineStr">
        <is>
          <t>비교기업 P/S 중앙값</t>
        </is>
      </c>
      <c r="D5" s="8" t="inlineStr">
        <is>
          <t>3.44배</t>
        </is>
      </c>
      <c r="E5" s="6" t="inlineStr">
        <is>
          <t>가치범위 중앙값</t>
        </is>
      </c>
      <c r="F5" s="8" t="inlineStr">
        <is>
          <t>25,647원</t>
        </is>
      </c>
      <c r="G5" s="7" t="inlineStr">
        <is>
          <t>검증 상태</t>
        </is>
      </c>
      <c r="H5" s="8" t="inlineStr">
        <is>
          <t>통과</t>
        </is>
      </c>
    </row>
    <row r="6" ht="24" customHeight="1">
      <c r="A6" s="3" t="inlineStr">
        <is>
          <t>종합 가치평가 점수</t>
        </is>
      </c>
      <c r="B6" s="9" t="inlineStr">
        <is>
          <t>38.0/100</t>
        </is>
      </c>
      <c r="C6" s="5" t="inlineStr">
        <is>
          <t>보조 가치평가 점수</t>
        </is>
      </c>
      <c r="D6" s="9" t="inlineStr">
        <is>
          <t>53.5/100</t>
        </is>
      </c>
      <c r="E6" s="6" t="inlineStr">
        <is>
          <t>역산 영구성장률</t>
        </is>
      </c>
      <c r="F6" s="9" t="inlineStr">
        <is>
          <t>8.0%</t>
        </is>
      </c>
      <c r="G6" s="7" t="inlineStr">
        <is>
          <t>오너이익 주당가치</t>
        </is>
      </c>
      <c r="H6" s="9" t="inlineStr">
        <is>
          <t>16,537원</t>
        </is>
      </c>
    </row>
    <row r="7" ht="24" customHeight="1"/>
    <row r="8" ht="24" customHeight="1">
      <c r="A8" s="10" t="inlineStr">
        <is>
          <t>핵심 판단</t>
        </is>
      </c>
    </row>
    <row r="9" ht="62" customHeight="1">
      <c r="A9" s="11" t="inlineStr">
        <is>
          <t>가치평가 관점 보수 — DCF 기준 현재가 부담이 큽니다. 종합 가치평가 점수가 45점 미만으로 보수적 해석이 필요합니다.</t>
        </is>
      </c>
    </row>
    <row r="10" ht="24" customHeight="1"/>
    <row r="11" ht="24" customHeight="1"/>
    <row r="12" ht="24" customHeight="1"/>
    <row r="13" ht="24" customHeight="1">
      <c r="A13" s="12" t="inlineStr">
        <is>
          <t>분석 축</t>
        </is>
      </c>
      <c r="B13" s="12" t="inlineStr">
        <is>
          <t>현재 결론</t>
        </is>
      </c>
      <c r="C13" s="12" t="inlineStr">
        <is>
          <t>대시보드에서 볼 것</t>
        </is>
      </c>
      <c r="D13" s="12" t="inlineStr">
        <is>
          <t>실무 체크포인트</t>
        </is>
      </c>
    </row>
    <row r="14" ht="24" customHeight="1">
      <c r="A14" s="13" t="inlineStr">
        <is>
          <t>절대가치</t>
        </is>
      </c>
      <c r="B14" s="14" t="inlineStr">
        <is>
          <t>11,116원</t>
        </is>
      </c>
      <c r="C14" s="13" t="inlineStr">
        <is>
          <t>DCF 내재주가·민감도</t>
        </is>
      </c>
      <c r="D14" s="14" t="inlineStr">
        <is>
          <t>WACC와 영구성장률 가정이 바뀌면 결론이 크게 달라질 수 있습니다.</t>
        </is>
      </c>
    </row>
    <row r="15" ht="24" customHeight="1">
      <c r="A15" s="14" t="inlineStr">
        <is>
          <t>상대가치</t>
        </is>
      </c>
      <c r="B15" s="13" t="inlineStr">
        <is>
          <t>1.26배</t>
        </is>
      </c>
      <c r="C15" s="14" t="inlineStr">
        <is>
          <t>P/S·P/B·PER·EV/Sales</t>
        </is>
      </c>
      <c r="D15" s="13" t="inlineStr">
        <is>
          <t>동일 세부군 기준으로 비교기업 품질을 재확인합니다.</t>
        </is>
      </c>
    </row>
    <row r="16" ht="24" customHeight="1">
      <c r="A16" s="13" t="inlineStr">
        <is>
          <t>시장내재</t>
        </is>
      </c>
      <c r="B16" s="14" t="inlineStr">
        <is>
          <t>19.80배</t>
        </is>
      </c>
      <c r="C16" s="13" t="inlineStr">
        <is>
          <t>현재가가 반영한 배수</t>
        </is>
      </c>
      <c r="D16" s="14" t="inlineStr">
        <is>
          <t>현재 시장이 이미 반영한 성장 기대를 역산합니다.</t>
        </is>
      </c>
    </row>
    <row r="17" ht="24" customHeight="1">
      <c r="A17" s="14" t="inlineStr">
        <is>
          <t>유동성/리스크</t>
        </is>
      </c>
      <c r="B17" s="13" t="inlineStr">
        <is>
          <t>1,317.0억원</t>
        </is>
      </c>
      <c r="C17" s="14" t="inlineStr">
        <is>
          <t>거래대금·MDD·변동성</t>
        </is>
      </c>
      <c r="D17" s="13" t="inlineStr">
        <is>
          <t>거래대금이 낮은 기업은 실전 매매비용을 보수적으로 봅니다.</t>
        </is>
      </c>
    </row>
    <row r="18" ht="24" customHeight="1">
      <c r="A18" s="13" t="inlineStr">
        <is>
          <t>208개 비교군</t>
        </is>
      </c>
      <c r="B18" s="14" t="inlineStr">
        <is>
          <t>208</t>
        </is>
      </c>
      <c r="C18" s="13" t="inlineStr">
        <is>
          <t>시장위치 맵·백분위</t>
        </is>
      </c>
      <c r="D18" s="14" t="inlineStr">
        <is>
          <t>동일 섹터 안에서 상대적 위치를 먼저 확인합니다.</t>
        </is>
      </c>
    </row>
    <row r="19" ht="24" customHeight="1"/>
    <row r="20" ht="24" customHeight="1"/>
    <row r="21" ht="24" customHeight="1">
      <c r="A21" s="3" t="inlineStr">
        <is>
          <t>완성도 점검</t>
        </is>
      </c>
      <c r="B21" s="3" t="inlineStr">
        <is>
          <t>결과</t>
        </is>
      </c>
      <c r="C21" s="3" t="inlineStr">
        <is>
          <t>의미</t>
        </is>
      </c>
    </row>
    <row r="22" ht="24" customHeight="1">
      <c r="A22" s="15" t="inlineStr">
        <is>
          <t>품질 점검</t>
        </is>
      </c>
      <c r="B22" t="inlineStr"/>
      <c r="C22" s="15" t="inlineStr">
        <is>
          <t>검토 완료</t>
        </is>
      </c>
    </row>
    <row r="23" ht="24" customHeight="1">
      <c r="A23" s="15" t="inlineStr">
        <is>
          <t>품질 점검</t>
        </is>
      </c>
      <c r="B23" t="inlineStr"/>
      <c r="C23" s="15" t="inlineStr">
        <is>
          <t>검토 완료</t>
        </is>
      </c>
    </row>
    <row r="24" ht="24" customHeight="1">
      <c r="A24" s="15" t="inlineStr">
        <is>
          <t>품질 점검</t>
        </is>
      </c>
      <c r="B24" t="inlineStr"/>
      <c r="C24" s="15" t="inlineStr">
        <is>
          <t>검토 완료</t>
        </is>
      </c>
    </row>
    <row r="25" ht="24" customHeight="1">
      <c r="A25" s="15" t="inlineStr">
        <is>
          <t>품질 점검</t>
        </is>
      </c>
      <c r="B25" t="inlineStr"/>
      <c r="C25" s="15" t="inlineStr">
        <is>
          <t>검토 완료</t>
        </is>
      </c>
    </row>
    <row r="26" ht="24" customHeight="1">
      <c r="A26" s="15" t="inlineStr">
        <is>
          <t>품질 점검</t>
        </is>
      </c>
      <c r="B26" t="inlineStr"/>
      <c r="C26" s="15" t="inlineStr">
        <is>
          <t>검토 완료</t>
        </is>
      </c>
    </row>
    <row r="27" ht="24" customHeight="1">
      <c r="A27" s="15" t="inlineStr">
        <is>
          <t>품질 점검</t>
        </is>
      </c>
      <c r="B27" t="inlineStr"/>
      <c r="C27" s="15" t="inlineStr">
        <is>
          <t>검토 완료</t>
        </is>
      </c>
    </row>
    <row r="28" ht="24" customHeight="1">
      <c r="A28" s="15" t="inlineStr">
        <is>
          <t>품질 점검</t>
        </is>
      </c>
      <c r="B28" t="inlineStr"/>
      <c r="C28" s="15" t="inlineStr">
        <is>
          <t>검토 완료</t>
        </is>
      </c>
    </row>
    <row r="29" ht="24" customHeight="1"/>
    <row r="30" ht="24" customHeight="1">
      <c r="A30" s="12" t="inlineStr">
        <is>
          <t>항목</t>
        </is>
      </c>
      <c r="B30" s="12" t="inlineStr">
        <is>
          <t>점수</t>
        </is>
      </c>
      <c r="E30" s="15" t="inlineStr">
        <is>
          <t>범위</t>
        </is>
      </c>
      <c r="F30" s="15" t="inlineStr">
        <is>
          <t>기업 수</t>
        </is>
      </c>
    </row>
    <row r="31" ht="24" customHeight="1">
      <c r="A31" s="15" t="inlineStr">
        <is>
          <t>DCF 안전마진</t>
        </is>
      </c>
      <c r="B31" s="15" t="n">
        <v>-0.39</v>
      </c>
      <c r="E31" s="15" t="inlineStr">
        <is>
          <t>전체 반도체 비교군</t>
        </is>
      </c>
      <c r="F31" s="15" t="n">
        <v>208</v>
      </c>
    </row>
    <row r="32" ht="24" customHeight="1">
      <c r="A32" s="15" t="inlineStr">
        <is>
          <t>종합 가치평가</t>
        </is>
      </c>
      <c r="B32" s="15" t="n">
        <v>38</v>
      </c>
      <c r="E32" s="15" t="inlineStr">
        <is>
          <t>동일 세부군</t>
        </is>
      </c>
      <c r="F32" s="15" t="n">
        <v>40</v>
      </c>
    </row>
    <row r="33" ht="24" customHeight="1">
      <c r="A33" s="15" t="inlineStr">
        <is>
          <t>보조 점수</t>
        </is>
      </c>
      <c r="B33" s="15" t="n">
        <v>53.49</v>
      </c>
      <c r="E33" s="15" t="inlineStr">
        <is>
          <t>선택기업</t>
        </is>
      </c>
      <c r="F33" s="15" t="n">
        <v>1</v>
      </c>
    </row>
    <row r="34" ht="24" customHeight="1">
      <c r="A34" s="15" t="inlineStr">
        <is>
          <t>데이터 검증</t>
        </is>
      </c>
      <c r="B34" s="15" t="n">
        <v>100</v>
      </c>
    </row>
    <row r="35" ht="24" customHeight="1"/>
    <row r="36" ht="24" customHeight="1"/>
    <row r="37" ht="24" customHeight="1"/>
    <row r="38" ht="24" customHeight="1"/>
  </sheetData>
  <mergeCells count="4">
    <mergeCell ref="A9:H11"/>
    <mergeCell ref="A8:H8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5" customWidth="1" min="1" max="1"/>
    <col width="18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리노공업 독립 가치평가 대시보드</t>
        </is>
      </c>
    </row>
    <row r="2" ht="28" customHeight="1">
      <c r="A2" s="17" t="inlineStr">
        <is>
          <t>DCF · WACC · 피어 비교 · 주가/민감도 · ML 보조판단 · 검증체크 자동 생성</t>
        </is>
      </c>
    </row>
    <row r="3" ht="24" customHeight="1"/>
    <row r="4" ht="24" customHeight="1">
      <c r="A4" s="18" t="inlineStr">
        <is>
          <t>WACC</t>
        </is>
      </c>
      <c r="B4" s="19" t="n"/>
      <c r="C4" s="18" t="inlineStr">
        <is>
          <t>DCF 기업가치</t>
        </is>
      </c>
      <c r="D4" s="19" t="n"/>
      <c r="E4" s="18" t="inlineStr">
        <is>
          <t>DCF 지분가치</t>
        </is>
      </c>
      <c r="F4" s="19" t="n"/>
      <c r="G4" s="18" t="inlineStr">
        <is>
          <t>내재주가</t>
        </is>
      </c>
      <c r="H4" s="19" t="n"/>
      <c r="I4" s="18" t="inlineStr">
        <is>
          <t>괴리율</t>
        </is>
      </c>
      <c r="J4" s="19" t="n"/>
      <c r="K4" s="18" t="inlineStr">
        <is>
          <t>검증 상태</t>
        </is>
      </c>
      <c r="L4" s="19" t="n"/>
    </row>
    <row r="5" ht="24" customHeight="1">
      <c r="A5" s="20" t="inlineStr">
        <is>
          <t>14.2%</t>
        </is>
      </c>
      <c r="B5" s="19" t="n"/>
      <c r="C5" s="20" t="inlineStr">
        <is>
          <t>8,227.0억원</t>
        </is>
      </c>
      <c r="D5" s="19" t="n"/>
      <c r="E5" s="20" t="inlineStr">
        <is>
          <t>8,471.9억원</t>
        </is>
      </c>
      <c r="F5" s="19" t="n"/>
      <c r="G5" s="20" t="inlineStr">
        <is>
          <t>11,116원</t>
        </is>
      </c>
      <c r="H5" s="19" t="n"/>
      <c r="I5" s="20" t="inlineStr">
        <is>
          <t>-88.5%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시장가중/장부가중 혼합</t>
        </is>
      </c>
      <c r="B6" s="19" t="n"/>
      <c r="C6" s="21" t="inlineStr">
        <is>
          <t>EV 기준</t>
        </is>
      </c>
      <c r="D6" s="19" t="n"/>
      <c r="E6" s="21" t="inlineStr">
        <is>
          <t>EV + 현금 - 부채 proxy</t>
        </is>
      </c>
      <c r="F6" s="19" t="n"/>
      <c r="G6" s="21" t="inlineStr">
        <is>
          <t>발행주식 수 기준</t>
        </is>
      </c>
      <c r="H6" s="19" t="n"/>
      <c r="I6" s="21" t="inlineStr">
        <is>
          <t>현재가 대비</t>
        </is>
      </c>
      <c r="J6" s="19" t="n"/>
      <c r="K6" s="21" t="inlineStr">
        <is>
          <t>가치평가 보조근거 우호</t>
        </is>
      </c>
      <c r="L6" s="19" t="n"/>
    </row>
    <row r="7" ht="24" customHeight="1">
      <c r="A7" s="18" t="inlineStr">
        <is>
          <t>현재가</t>
        </is>
      </c>
      <c r="B7" s="19" t="n"/>
      <c r="C7" s="18" t="inlineStr">
        <is>
          <t>1년 수익률</t>
        </is>
      </c>
      <c r="D7" s="19" t="n"/>
      <c r="E7" s="18" t="inlineStr">
        <is>
          <t>MDD</t>
        </is>
      </c>
      <c r="F7" s="19" t="n"/>
      <c r="G7" s="18" t="inlineStr">
        <is>
          <t>변동성</t>
        </is>
      </c>
      <c r="H7" s="19" t="n"/>
      <c r="I7" s="18" t="inlineStr">
        <is>
          <t>주가 행 수</t>
        </is>
      </c>
      <c r="J7" s="19" t="n"/>
      <c r="K7" s="18" t="inlineStr">
        <is>
          <t>52주 범위</t>
        </is>
      </c>
      <c r="L7" s="19" t="n"/>
    </row>
    <row r="8" ht="24" customHeight="1">
      <c r="A8" s="20" t="inlineStr">
        <is>
          <t>96,800원</t>
        </is>
      </c>
      <c r="B8" s="19" t="n"/>
      <c r="C8" s="20" t="inlineStr">
        <is>
          <t>148.2%</t>
        </is>
      </c>
      <c r="D8" s="19" t="n"/>
      <c r="E8" s="20" t="inlineStr">
        <is>
          <t>-49.6%</t>
        </is>
      </c>
      <c r="F8" s="19" t="n"/>
      <c r="G8" s="20" t="inlineStr">
        <is>
          <t>47.2%</t>
        </is>
      </c>
      <c r="H8" s="19" t="n"/>
      <c r="I8" s="20" t="inlineStr">
        <is>
          <t>1,212행</t>
        </is>
      </c>
      <c r="J8" s="19" t="n"/>
      <c r="K8" s="20" t="inlineStr">
        <is>
          <t>36,450원~127,000원</t>
        </is>
      </c>
      <c r="L8" s="19" t="n"/>
    </row>
    <row r="9" ht="24" customHeight="1">
      <c r="A9" s="21" t="inlineStr">
        <is>
          <t>주가 intake</t>
        </is>
      </c>
      <c r="B9" s="19" t="n"/>
      <c r="C9" s="21" t="inlineStr">
        <is>
          <t>최근 약 1년</t>
        </is>
      </c>
      <c r="D9" s="19" t="n"/>
      <c r="E9" s="21" t="inlineStr">
        <is>
          <t>최대 낙폭</t>
        </is>
      </c>
      <c r="F9" s="19" t="n"/>
      <c r="G9" s="21" t="inlineStr">
        <is>
          <t>연환산</t>
        </is>
      </c>
      <c r="H9" s="19" t="n"/>
      <c r="I9" s="21" t="inlineStr">
        <is>
          <t>차트/대시보드 원천</t>
        </is>
      </c>
      <c r="J9" s="19" t="n"/>
      <c r="K9" s="21" t="inlineStr">
        <is>
          <t>저가~고가</t>
        </is>
      </c>
      <c r="L9" s="19" t="n"/>
    </row>
    <row r="10" ht="24" customHeight="1">
      <c r="A10" s="18" t="inlineStr">
        <is>
          <t>시가총액</t>
        </is>
      </c>
      <c r="B10" s="19" t="n"/>
      <c r="C10" s="18" t="inlineStr">
        <is>
          <t>발행주식 수</t>
        </is>
      </c>
      <c r="D10" s="19" t="n"/>
      <c r="E10" s="18" t="inlineStr">
        <is>
          <t>20일 평균 거래대금</t>
        </is>
      </c>
      <c r="F10" s="19" t="n"/>
      <c r="G10" s="18" t="inlineStr">
        <is>
          <t>최근 거래회전율</t>
        </is>
      </c>
      <c r="H10" s="19" t="n"/>
      <c r="I10" s="18" t="inlineStr">
        <is>
          <t>ML 보조점수</t>
        </is>
      </c>
      <c r="J10" s="19" t="n"/>
      <c r="K10" s="18" t="inlineStr">
        <is>
          <t>Peer 수</t>
        </is>
      </c>
      <c r="L10" s="19" t="n"/>
    </row>
    <row r="11" ht="24" customHeight="1">
      <c r="A11" s="20" t="inlineStr">
        <is>
          <t>73,773.1억원</t>
        </is>
      </c>
      <c r="B11" s="19" t="n"/>
      <c r="C11" s="20" t="inlineStr">
        <is>
          <t>76,211,850주</t>
        </is>
      </c>
      <c r="D11" s="19" t="n"/>
      <c r="E11" s="20" t="inlineStr">
        <is>
          <t>1,317.0억원</t>
        </is>
      </c>
      <c r="F11" s="19" t="n"/>
      <c r="G11" s="20" t="inlineStr">
        <is>
          <t>0.6%</t>
        </is>
      </c>
      <c r="H11" s="19" t="n"/>
      <c r="I11" s="20" t="inlineStr">
        <is>
          <t>83.3/100</t>
        </is>
      </c>
      <c r="J11" s="19" t="n"/>
      <c r="K11" s="20" t="inlineStr">
        <is>
          <t>5개</t>
        </is>
      </c>
      <c r="L11" s="19" t="n"/>
    </row>
    <row r="12" ht="24" customHeight="1">
      <c r="A12" s="21" t="inlineStr">
        <is>
          <t>현재가×발행주식 수</t>
        </is>
      </c>
      <c r="B12" s="19" t="n"/>
      <c r="C12" s="21" t="inlineStr">
        <is>
          <t>DART stockTotqySttus</t>
        </is>
      </c>
      <c r="D12" s="19" t="n"/>
      <c r="E12" s="21" t="inlineStr">
        <is>
          <t>유동성 proxy</t>
        </is>
      </c>
      <c r="F12" s="19" t="n"/>
      <c r="G12" s="21" t="inlineStr">
        <is>
          <t>거래량/주식 수</t>
        </is>
      </c>
      <c r="H12" s="19" t="n"/>
      <c r="I12" s="21" t="inlineStr">
        <is>
          <t>가치평가 보조근거 우호</t>
        </is>
      </c>
      <c r="J12" s="19" t="n"/>
      <c r="K12" s="21" t="inlineStr">
        <is>
          <t>상대가치 비교</t>
        </is>
      </c>
      <c r="L12" s="19" t="n"/>
    </row>
    <row r="13" ht="24" customHeight="1">
      <c r="A13" s="18" t="inlineStr">
        <is>
          <t>P/S</t>
        </is>
      </c>
      <c r="B13" s="19" t="n"/>
      <c r="C13" s="18" t="inlineStr">
        <is>
          <t>Peer P/S 중앙값</t>
        </is>
      </c>
      <c r="D13" s="19" t="n"/>
      <c r="E13" s="18" t="inlineStr">
        <is>
          <t>P/S 매력도</t>
        </is>
      </c>
      <c r="F13" s="19" t="n"/>
      <c r="G13" s="18" t="inlineStr">
        <is>
          <t>208개 Universe</t>
        </is>
      </c>
      <c r="H13" s="19" t="n"/>
      <c r="I13" s="18" t="inlineStr">
        <is>
          <t>Reference 그룹</t>
        </is>
      </c>
      <c r="J13" s="19" t="n"/>
      <c r="K13" s="18" t="inlineStr">
        <is>
          <t>PSR/Universe</t>
        </is>
      </c>
      <c r="L13" s="19" t="n"/>
    </row>
    <row r="14" ht="24" customHeight="1">
      <c r="A14" s="20" t="inlineStr">
        <is>
          <t>1.26x</t>
        </is>
      </c>
      <c r="B14" s="19" t="n"/>
      <c r="C14" s="20" t="inlineStr">
        <is>
          <t>3.44x</t>
        </is>
      </c>
      <c r="D14" s="19" t="n"/>
      <c r="E14" s="20" t="inlineStr">
        <is>
          <t>100.0점</t>
        </is>
      </c>
      <c r="F14" s="19" t="n"/>
      <c r="G14" s="20" t="inlineStr">
        <is>
          <t>208개</t>
        </is>
      </c>
      <c r="H14" s="19" t="n"/>
      <c r="I14" s="20" t="inlineStr">
        <is>
          <t>후공정/패키징/테스트</t>
        </is>
      </c>
      <c r="J14" s="19" t="n"/>
      <c r="K14" s="20" t="inlineStr">
        <is>
          <t>반영</t>
        </is>
      </c>
      <c r="L14" s="19" t="n"/>
    </row>
    <row r="15" ht="24" customHeight="1">
      <c r="A15" s="21" t="inlineStr">
        <is>
          <t>피어 대비 저PSR 구간: 상대 저평가 가능성</t>
        </is>
      </c>
      <c r="B15" s="19" t="n"/>
      <c r="C15" s="21" t="inlineStr">
        <is>
          <t>5개 live peer 기준</t>
        </is>
      </c>
      <c r="D15" s="19" t="n"/>
      <c r="E15" s="21" t="inlineStr">
        <is>
          <t>낮은 P/S일수록 점수 우호</t>
        </is>
      </c>
      <c r="F15" s="19" t="n"/>
      <c r="G15" s="21" t="inlineStr">
        <is>
          <t>후공정/패키징/테스트</t>
        </is>
      </c>
      <c r="H15" s="19" t="n"/>
      <c r="I15" s="21" t="inlineStr">
        <is>
          <t>그룹 45개</t>
        </is>
      </c>
      <c r="J15" s="19" t="n"/>
      <c r="K15" s="21" t="inlineStr">
        <is>
          <t>대시보드/Chair 보조판단</t>
        </is>
      </c>
      <c r="L15" s="19" t="n"/>
    </row>
    <row r="16" ht="24" customHeight="1"/>
    <row r="17" ht="24" customHeight="1"/>
    <row r="18" ht="24" customHeight="1"/>
    <row r="19" ht="24" customHeight="1">
      <c r="A19" s="22" t="inlineStr">
        <is>
          <t>핵심 해석</t>
        </is>
      </c>
    </row>
    <row r="20" ht="24" customHeight="1">
      <c r="A20" s="23" t="inlineStr">
        <is>
          <t>데이터 독립성</t>
        </is>
      </c>
      <c r="B20" s="24" t="inlineStr">
        <is>
          <t>finance_agent 산출물을 읽지 않고 valuation/intake 원천 데이터만 사용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 ht="24" customHeight="1">
      <c r="A21" s="23" t="inlineStr">
        <is>
          <t>모델 구조</t>
        </is>
      </c>
      <c r="B21" s="24" t="inlineStr">
        <is>
          <t>업로드한 파이낸셜 모델링 파일의 구조를 DCF/WACC/Peer/Scenario/Dashboard 코드로 반영</t>
        </is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24" customHeight="1">
      <c r="A22" s="23" t="inlineStr">
        <is>
          <t>활용 방식</t>
        </is>
      </c>
      <c r="B22" s="24" t="inlineStr">
        <is>
          <t>Chair 최종의견 가중합에는 미반영, 보조 가치평가 및 대시보드 다운로드 산출물로 활용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 ht="24" customHeight="1">
      <c r="A23" s="23" t="inlineStr">
        <is>
          <t>주의</t>
        </is>
      </c>
      <c r="B23" s="24" t="inlineStr">
        <is>
          <t>DART·주가·발행주식 수가 부족한 항목은 검증체크 시트에서 경고로 표시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>
      <c r="A31" s="25" t="inlineStr">
        <is>
          <t>연도</t>
        </is>
      </c>
      <c r="B31" s="25" t="inlineStr">
        <is>
          <t>매출액</t>
        </is>
      </c>
      <c r="C31" s="25" t="inlineStr">
        <is>
          <t>영업이익</t>
        </is>
      </c>
      <c r="D31" s="25" t="inlineStr">
        <is>
          <t>FCF</t>
        </is>
      </c>
      <c r="E31" s="25" t="inlineStr">
        <is>
          <t>연도</t>
        </is>
      </c>
      <c r="F31" s="25" t="inlineStr">
        <is>
          <t>매출액 추정</t>
        </is>
      </c>
      <c r="G31" s="25" t="inlineStr">
        <is>
          <t>FCF 추정</t>
        </is>
      </c>
      <c r="H31" s="25" t="inlineStr">
        <is>
          <t>PV FCF</t>
        </is>
      </c>
      <c r="I31" s="25" t="inlineStr">
        <is>
          <t>기업</t>
        </is>
      </c>
      <c r="J31" s="25" t="inlineStr">
        <is>
          <t>P/S</t>
        </is>
      </c>
      <c r="K31" s="25" t="inlineStr">
        <is>
          <t>PER</t>
        </is>
      </c>
      <c r="L31" s="25" t="inlineStr">
        <is>
          <t>PBR</t>
        </is>
      </c>
    </row>
    <row r="32" ht="24" customHeight="1">
      <c r="A32" s="26" t="n">
        <v>2021</v>
      </c>
      <c r="B32" s="27" t="n">
        <v>280166833067</v>
      </c>
      <c r="C32" s="27" t="n">
        <v>117104353242</v>
      </c>
      <c r="D32" s="27" t="n">
        <v>85470493716</v>
      </c>
      <c r="E32" s="26" t="n">
        <v>2026</v>
      </c>
      <c r="F32" s="27" t="n">
        <v>395536648044.8816</v>
      </c>
      <c r="G32" s="27" t="n">
        <v>98884162011.2204</v>
      </c>
      <c r="H32" s="27" t="n">
        <v>86575391903.88493</v>
      </c>
      <c r="I32" s="26" t="inlineStr">
        <is>
          <t>네패스</t>
        </is>
      </c>
      <c r="J32" s="28" t="n">
        <v>1.258122111711799</v>
      </c>
      <c r="K32" s="28" t="n">
        <v>32.5432859556937</v>
      </c>
      <c r="L32" s="28" t="n">
        <v>2.673053742026163</v>
      </c>
    </row>
    <row r="33" ht="24" customHeight="1">
      <c r="A33" s="26" t="n">
        <v>2022</v>
      </c>
      <c r="B33" s="27" t="n">
        <v>322422803089</v>
      </c>
      <c r="C33" s="27" t="n">
        <v>136634729982</v>
      </c>
      <c r="D33" s="27" t="n">
        <v>90343501011</v>
      </c>
      <c r="E33" s="26" t="n">
        <v>2027</v>
      </c>
      <c r="F33" s="27" t="n">
        <v>415337073684.0976</v>
      </c>
      <c r="G33" s="27" t="n">
        <v>103834268421.0244</v>
      </c>
      <c r="H33" s="27" t="n">
        <v>79593236490.25879</v>
      </c>
      <c r="I33" s="26" t="inlineStr">
        <is>
          <t>한미반도체</t>
        </is>
      </c>
      <c r="J33" s="28" t="n">
        <v>47.5995243683013</v>
      </c>
      <c r="K33" s="28" t="n">
        <v>128.2660999755141</v>
      </c>
      <c r="L33" s="28" t="n">
        <v>39.76360904518271</v>
      </c>
    </row>
    <row r="34" ht="24" customHeight="1">
      <c r="A34" s="26" t="n">
        <v>2023</v>
      </c>
      <c r="B34" s="27" t="n">
        <v>255573034656</v>
      </c>
      <c r="C34" s="27" t="n">
        <v>114378400291</v>
      </c>
      <c r="D34" s="27" t="n">
        <v>109865571204</v>
      </c>
      <c r="E34" s="26" t="n">
        <v>2028</v>
      </c>
      <c r="F34" s="27" t="n">
        <v>431274844379.4052</v>
      </c>
      <c r="G34" s="27" t="n">
        <v>107818711094.8513</v>
      </c>
      <c r="H34" s="27" t="n">
        <v>72359794006.82642</v>
      </c>
      <c r="I34" s="26" t="inlineStr">
        <is>
          <t>한솔케미칼</t>
        </is>
      </c>
      <c r="J34" s="28" t="n">
        <v>3.436583457683996</v>
      </c>
      <c r="K34" s="28" t="n">
        <v>20.50721218552739</v>
      </c>
      <c r="L34" s="28" t="n">
        <v>2.580411954170761</v>
      </c>
    </row>
    <row r="35" ht="24" customHeight="1">
      <c r="A35" s="26" t="n">
        <v>2024</v>
      </c>
      <c r="B35" s="27" t="n">
        <v>278186189427</v>
      </c>
      <c r="C35" s="27" t="n">
        <v>124201343872</v>
      </c>
      <c r="D35" s="27" t="n">
        <v>109731636347</v>
      </c>
      <c r="E35" s="26" t="n">
        <v>2029</v>
      </c>
      <c r="F35" s="27" t="n">
        <v>442784081887.1995</v>
      </c>
      <c r="G35" s="27" t="n">
        <v>110696020471.7999</v>
      </c>
      <c r="H35" s="27" t="n">
        <v>65043353272.87137</v>
      </c>
      <c r="I35" s="26" t="inlineStr">
        <is>
          <t>덕산테코피아</t>
        </is>
      </c>
      <c r="J35" s="28" t="n">
        <v>3.637514190961138</v>
      </c>
      <c r="K35" s="28" t="n">
        <v>-3.86250120291728</v>
      </c>
      <c r="L35" s="28" t="n">
        <v>3.828939651714317</v>
      </c>
    </row>
    <row r="36" ht="24" customHeight="1">
      <c r="A36" s="26" t="n">
        <v>2025</v>
      </c>
      <c r="B36" s="27" t="n">
        <v>372534084608</v>
      </c>
      <c r="C36" s="27" t="n">
        <v>176997188289</v>
      </c>
      <c r="D36" s="27" t="n">
        <v>179186749024</v>
      </c>
      <c r="E36" s="26" t="n">
        <v>2030</v>
      </c>
      <c r="F36" s="27" t="n">
        <v>449425843115.5074</v>
      </c>
      <c r="G36" s="27" t="n">
        <v>112356460778.8768</v>
      </c>
      <c r="H36" s="27" t="n">
        <v>57801178582.04885</v>
      </c>
      <c r="I36" s="26" t="inlineStr">
        <is>
          <t>엘티씨</t>
        </is>
      </c>
      <c r="J36" s="28" t="n">
        <v>1.395459021332331</v>
      </c>
      <c r="K36" s="28" t="n">
        <v>23.81184919544199</v>
      </c>
      <c r="L36" s="28" t="n">
        <v>1.935867035533955</v>
      </c>
    </row>
  </sheetData>
  <mergeCells count="79">
    <mergeCell ref="C6:D6"/>
    <mergeCell ref="A15:B15"/>
    <mergeCell ref="C15:D15"/>
    <mergeCell ref="B22:L22"/>
    <mergeCell ref="E8:F8"/>
    <mergeCell ref="A7:B7"/>
    <mergeCell ref="B21:L21"/>
    <mergeCell ref="B23:L23"/>
    <mergeCell ref="I13:J13"/>
    <mergeCell ref="A9:B9"/>
    <mergeCell ref="K13:L13"/>
    <mergeCell ref="E12:F12"/>
    <mergeCell ref="G12:H12"/>
    <mergeCell ref="I6:J6"/>
    <mergeCell ref="I15:J15"/>
    <mergeCell ref="A11:B11"/>
    <mergeCell ref="K15:L15"/>
    <mergeCell ref="C5:D5"/>
    <mergeCell ref="E5:F5"/>
    <mergeCell ref="C14:D14"/>
    <mergeCell ref="E14:F14"/>
    <mergeCell ref="C4:D4"/>
    <mergeCell ref="E4:F4"/>
    <mergeCell ref="G7:H7"/>
    <mergeCell ref="I7:J7"/>
    <mergeCell ref="I8:J8"/>
    <mergeCell ref="A8:B8"/>
    <mergeCell ref="C8:D8"/>
    <mergeCell ref="I10:J10"/>
    <mergeCell ref="A10:B10"/>
    <mergeCell ref="K10:L10"/>
    <mergeCell ref="K6:L6"/>
    <mergeCell ref="G9:H9"/>
    <mergeCell ref="I9:J9"/>
    <mergeCell ref="G11:H11"/>
    <mergeCell ref="K9:L9"/>
    <mergeCell ref="I11:J11"/>
    <mergeCell ref="K5:L5"/>
    <mergeCell ref="A2:L2"/>
    <mergeCell ref="K11:L11"/>
    <mergeCell ref="E13:F13"/>
    <mergeCell ref="G13:H13"/>
    <mergeCell ref="A12:B12"/>
    <mergeCell ref="C12:D12"/>
    <mergeCell ref="E6:F6"/>
    <mergeCell ref="E15:F15"/>
    <mergeCell ref="K8:L8"/>
    <mergeCell ref="G15:H15"/>
    <mergeCell ref="A5:B5"/>
    <mergeCell ref="A14:B14"/>
    <mergeCell ref="A4:B4"/>
    <mergeCell ref="K7:L7"/>
    <mergeCell ref="C7:D7"/>
    <mergeCell ref="E7:F7"/>
    <mergeCell ref="B20:L20"/>
    <mergeCell ref="G8:H8"/>
    <mergeCell ref="A6:B6"/>
    <mergeCell ref="C10:D10"/>
    <mergeCell ref="E10:F10"/>
    <mergeCell ref="G10:H10"/>
    <mergeCell ref="G6:H6"/>
    <mergeCell ref="C9:D9"/>
    <mergeCell ref="E9:F9"/>
    <mergeCell ref="I12:J12"/>
    <mergeCell ref="K12:L12"/>
    <mergeCell ref="A19:L19"/>
    <mergeCell ref="C11:D11"/>
    <mergeCell ref="E11:F11"/>
    <mergeCell ref="G5:H5"/>
    <mergeCell ref="I5:J5"/>
    <mergeCell ref="G14:H14"/>
    <mergeCell ref="I14:J14"/>
    <mergeCell ref="K14:L14"/>
    <mergeCell ref="G4:H4"/>
    <mergeCell ref="I4:J4"/>
    <mergeCell ref="A1:L1"/>
    <mergeCell ref="A13:B13"/>
    <mergeCell ref="C13:D13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리노공업 Valuation Agent Workbook</t>
        </is>
      </c>
    </row>
    <row r="2" ht="28" customHeight="1">
      <c r="A2" s="17" t="inlineStr">
        <is>
          <t>독립 데이터 intake → 모델링 → 검증 → 대시보드 export</t>
        </is>
      </c>
    </row>
    <row r="3" ht="24" customHeight="1"/>
    <row r="4" ht="24" customHeight="1">
      <c r="A4" s="22" t="inlineStr">
        <is>
          <t>사용 안내</t>
        </is>
      </c>
    </row>
    <row r="5" ht="24" customHeight="1">
      <c r="A5" s="25" t="inlineStr">
        <is>
          <t>항목</t>
        </is>
      </c>
      <c r="B5" s="25" t="inlineStr">
        <is>
          <t>내용</t>
        </is>
      </c>
    </row>
    <row r="6" ht="24" customHeight="1">
      <c r="A6" s="24" t="inlineStr">
        <is>
          <t>목적</t>
        </is>
      </c>
      <c r="B6" s="24" t="inlineStr">
        <is>
          <t>DART/주가/발행주식 수/피어 데이터를 intake하여 WACC·DCF·Peer·ML overlay·대시보드 payload를 자동 생성</t>
        </is>
      </c>
    </row>
    <row r="7" ht="24" customHeight="1">
      <c r="A7" s="29" t="inlineStr">
        <is>
          <t>Finance Agent와 관계</t>
        </is>
      </c>
      <c r="B7" s="29" t="inlineStr">
        <is>
          <t>finance_agent 산출물을 읽지 않음. valuation/intake 폴더의 자체 데이터만 사용</t>
        </is>
      </c>
    </row>
    <row r="8" ht="24" customHeight="1">
      <c r="A8" s="24" t="inlineStr">
        <is>
          <t>모델링 구조</t>
        </is>
      </c>
      <c r="B8" s="24" t="inlineStr">
        <is>
          <t>업로드한 파이낸셜 모델링 파일의 sheet archetype을 코드화하여 workbook 구조로 반영</t>
        </is>
      </c>
    </row>
    <row r="9" ht="24" customHeight="1">
      <c r="A9" s="29" t="inlineStr">
        <is>
          <t>PSR/208개 Universe</t>
        </is>
      </c>
      <c r="B9" s="29" t="inlineStr">
        <is>
          <t>Live peer P/S와 208개 반도체 reference universe를 별도 시트와 대시보드 payload로 제공</t>
        </is>
      </c>
    </row>
    <row r="10" ht="24" customHeight="1">
      <c r="A10" s="24" t="inlineStr">
        <is>
          <t>단위</t>
        </is>
      </c>
      <c r="B10" s="24" t="inlineStr">
        <is>
          <t>원천 데이터는 KRW actuals, 요약 표시는 억원/원/배수/비율 형식</t>
        </is>
      </c>
    </row>
    <row r="11" ht="24" customHeight="1">
      <c r="A11" s="29" t="inlineStr">
        <is>
          <t>색상 규칙</t>
        </is>
      </c>
      <c r="B11" s="29" t="inlineStr">
        <is>
          <t>노란색/파란 글씨는 조정 가능한 입력값, 검은 글씨는 공식, 진한 남색은 섹션/헤더</t>
        </is>
      </c>
    </row>
  </sheetData>
  <autoFilter ref="A5:B11"/>
  <mergeCells count="3">
    <mergeCell ref="A2:H2"/>
    <mergeCell ref="A4:F4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40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데이터 출처 맵</t>
        </is>
      </c>
    </row>
    <row r="2" ht="24" customHeight="1">
      <c r="A2" s="25" t="inlineStr">
        <is>
          <t>created_at</t>
        </is>
      </c>
      <c r="B2" s="25" t="inlineStr">
        <is>
          <t>기업명</t>
        </is>
      </c>
      <c r="C2" s="25" t="inlineStr">
        <is>
          <t>기업코드</t>
        </is>
      </c>
      <c r="D2" s="25" t="inlineStr">
        <is>
          <t>종목코드</t>
        </is>
      </c>
      <c r="E2" s="25" t="inlineStr">
        <is>
          <t>principle</t>
        </is>
      </c>
      <c r="F2" s="25" t="inlineStr">
        <is>
          <t>template_design_seed</t>
        </is>
      </c>
      <c r="G2" s="25" t="inlineStr">
        <is>
          <t>canonical_workbook_tabs</t>
        </is>
      </c>
      <c r="H2" s="25" t="inlineStr">
        <is>
          <t>files</t>
        </is>
      </c>
      <c r="I2" s="25" t="inlineStr">
        <is>
          <t>diagnostics</t>
        </is>
      </c>
      <c r="J2" s="25" t="inlineStr">
        <is>
          <t>loader_diagnostics</t>
        </is>
      </c>
    </row>
    <row r="3" ht="24" customHeight="1">
      <c r="A3" s="24" t="inlineStr">
        <is>
          <t>2026-05-20T14:28:21</t>
        </is>
      </c>
      <c r="B3" s="24" t="inlineStr">
        <is>
          <t>리노공업</t>
        </is>
      </c>
      <c r="C3" s="24" t="inlineStr">
        <is>
          <t>leeno</t>
        </is>
      </c>
      <c r="D3" s="24" t="inlineStr">
        <is>
          <t>058470</t>
        </is>
      </c>
      <c r="E3" s="24" t="inlineStr">
        <is>
          <t>independent_valuation_agent_intake_only; does not read finance_agent outputs</t>
        </is>
      </c>
      <c r="F3" s="24" t="inlineStr">
        <is>
          <t>uploaded_financial_modeling_packs_distilled_to_blueprints</t>
        </is>
      </c>
      <c r="G3" s="24" t="inlineStr">
        <is>
          <t>["00_대시보드", "01_사용안내", "02_출처맵", "03_원천_DART", "04_주가_데이터", "05_정규재무제표", "06_핵심비율", "07_WACC", "08_FCF_추정", "09_DCF_가치평가", "10_피어비교", "11_ML_보조판단", "12_민감도", "13_검증체크", "14_대시보드_JSON", "15_감사추적", "16_모델링_설계", "17_투자자요약", "18_밸류에이션_유니버스", "19_가치평가_브릿지", "20_시나리오_요약", "21_품질_커버리지"]</t>
        </is>
      </c>
      <c r="H3" s="24" t="inlineStr">
        <is>
          <t>{"template_catalog_csv": "data/반도체/리노공업/valuation/intake/valuation_modeling_template_catalog.csv", "template_catalog_json": "data/반도체/리노공업/valuation/intake/valuation_modeling_template_catalog.json", "raw_dart_accounts_csv": "data/반도체/리노공업/valuation/intake/valuation_raw_dart_accounts.csv", "normalized_financials_csv": "data/반도체/리노공업/valuation/intake/valuation_normalized_financials.csv", "price_history_csv": "data/반도체/리노공업/valuation/intake/valuation_price_history.csv", "share_count_csv": "data/반도체/리노공업/valuation/intake/valuation_share_count.csv", "price_summary_json": "data/반도체/리노공업/valuation/intake/valuation_price_summary.json", "market_snapshot_json": "data/반도체/리노공업/valuation/intake/valuation_market_snapshot.json", "market_snapshot_csv": "data/반도체/리노공업/valuation/intake/valuation_market_snapshot.csv", "peer_input_csv": "data/반도체/리노공업/valuation/intake/valuation_peer_input.csv", "assumptions_json": "data/반도체/리노공업/valuation/intake/valuation_assumptions.json", "reference_universe_208_csv": "data/반도체/리노공업/valuation/intake/valuation_reference_universe_208.csv", "reference_universe_focus_csv": "data/반도체/리노공업/valuation/intake/valuation_reference_universe_focus.csv", "reference_universe_summary_json": "data/반도체/리노공업/valuation/intake/valuation_reference_universe_summary.json"}</t>
        </is>
      </c>
      <c r="I3" s="24" t="inlineStr">
        <is>
          <t>["DART API key detected for valuation intake.", "DART corp_code resolved from cache for 리노공업/058470.", "DART financial rows collected: 2021=96, 2022=93, 2023=94, 2024=102, 2025=93", "yfinance price rows for 058470.KQ: 1212", "price provider selected: yfinance, rows=1212", "DART corp_code resolved from cache for 리노공업/058470.", "Naver market snapshot collected: per_naver, pbr_naver, eps_naver, dividend_yield_pct_naver, bps_naver", "peer:nepes: price provider selected: yfinance, rows=728", "peer:nepes: DART corp_code resolved from cache for 네패스/033640.", "peer:hanmi: price provider selected: yfinance, rows=728", "peer:hanmi: DART corp_code resolved from cache for 한미반도체/042700.", "peer:hansol: price provider selected: yfinance, rows=728", "peer:hansol: DART corp_code resolved from cache for 한솔케미칼/014680.", "peer:duksan: price provider selected: yfinance, rows=728", "peer:duksan: DART corp_code resolved from cache for 덕산테코피아/317330.", "peer:ltc: price provider selected: yfinance, rows=727", "peer:ltc: DART corp_code resolved from cache for 엘티씨/170920.", "Market snapshot enriched with live/derived metrics count=19."]</t>
        </is>
      </c>
      <c r="J3" s="24" t="inlineStr">
        <is>
          <t>{"price_history_loaded_rows": 1212, "price_history_loaded_from": "C:\\Agent_6.8\\data\\반도체\\리노공업\\valuation\\intake\\valuation_price_history.csv"}</t>
        </is>
      </c>
    </row>
    <row r="4" ht="24" customHeight="1"/>
    <row r="5" ht="24" customHeight="1"/>
    <row r="6" ht="24" customHeight="1">
      <c r="A6" s="22" t="inlineStr">
        <is>
          <t>발행주식 수 intake</t>
        </is>
      </c>
    </row>
    <row r="7" ht="24" customHeight="1">
      <c r="A7" s="25" t="inlineStr">
        <is>
          <t>출처</t>
        </is>
      </c>
      <c r="B7" s="25" t="inlineStr">
        <is>
          <t>DART 고유번호</t>
        </is>
      </c>
      <c r="C7" s="25" t="inlineStr">
        <is>
          <t>기업명</t>
        </is>
      </c>
      <c r="D7" s="25" t="inlineStr">
        <is>
          <t>기업코드</t>
        </is>
      </c>
      <c r="E7" s="25" t="inlineStr">
        <is>
          <t>종목코드</t>
        </is>
      </c>
      <c r="F7" s="25" t="inlineStr">
        <is>
          <t>연도</t>
        </is>
      </c>
      <c r="G7" s="25" t="inlineStr">
        <is>
          <t>share_class</t>
        </is>
      </c>
      <c r="H7" s="25" t="inlineStr">
        <is>
          <t>발행주식 수</t>
        </is>
      </c>
      <c r="I7" s="25" t="inlineStr">
        <is>
          <t>raw</t>
        </is>
      </c>
    </row>
    <row r="8" ht="24" customHeight="1">
      <c r="A8" s="24" t="inlineStr">
        <is>
          <t>OpenDART_stockTotqySttus</t>
        </is>
      </c>
      <c r="B8" s="24" t="inlineStr">
        <is>
          <t>00369657</t>
        </is>
      </c>
      <c r="C8" s="24" t="inlineStr">
        <is>
          <t>리노공업</t>
        </is>
      </c>
      <c r="D8" s="24" t="inlineStr">
        <is>
          <t>leeno</t>
        </is>
      </c>
      <c r="E8" s="24" t="inlineStr">
        <is>
          <t>058470</t>
        </is>
      </c>
      <c r="F8" s="24" t="inlineStr">
        <is>
          <t>2021</t>
        </is>
      </c>
      <c r="G8" s="24" t="inlineStr">
        <is>
          <t>보통주</t>
        </is>
      </c>
      <c r="H8" s="24" t="inlineStr">
        <is>
          <t>15242370.0</t>
        </is>
      </c>
      <c r="I8" s="24" t="inlineStr">
        <is>
          <t>{"rcept_no": "20220321000094", "corp_cls": "K", "corp_code": "00369657", "corp_name": "리노공업", "se": "보통주", "isu_stock_totqy": "25,000,000", "now_to_isu_stock_totqy": "15,242,370", "now_to_dcrs_stock_totqy": "-", "redc": "-", "profit_incnr": "-", "rdmstk_repy": "-", "etc": "-", "istc_totqy": "15,242,370", "tesstk_co": "63,250", "distb_stock_co": "15,179,120", "stlm_dt": "2021-12-31"}</t>
        </is>
      </c>
    </row>
    <row r="9" ht="24" customHeight="1">
      <c r="A9" s="29" t="inlineStr">
        <is>
          <t>OpenDART_stockTotqySttus</t>
        </is>
      </c>
      <c r="B9" s="29" t="inlineStr">
        <is>
          <t>00369657</t>
        </is>
      </c>
      <c r="C9" s="29" t="inlineStr">
        <is>
          <t>리노공업</t>
        </is>
      </c>
      <c r="D9" s="29" t="inlineStr">
        <is>
          <t>leeno</t>
        </is>
      </c>
      <c r="E9" s="29" t="inlineStr">
        <is>
          <t>058470</t>
        </is>
      </c>
      <c r="F9" s="29" t="inlineStr">
        <is>
          <t>2021</t>
        </is>
      </c>
      <c r="G9" s="29" t="inlineStr">
        <is>
          <t>합계</t>
        </is>
      </c>
      <c r="H9" s="29" t="inlineStr">
        <is>
          <t>15242370.0</t>
        </is>
      </c>
      <c r="I9" s="29" t="inlineStr">
        <is>
          <t>{"rcept_no": "20220321000094", "corp_cls": "K", "corp_code": "00369657", "corp_name": "리노공업", "se": "합계", "isu_stock_totqy": "25,000,000", "now_to_isu_stock_totqy": "15,242,370", "now_to_dcrs_stock_totqy": "-", "redc": "-", "profit_incnr": "-", "rdmstk_repy": "-", "etc": "-", "istc_totqy": "15,242,370", "tesstk_co": "63,250", "distb_stock_co": "15,179,120", "stlm_dt": "2021-12-31"}</t>
        </is>
      </c>
    </row>
    <row r="10" ht="24" customHeight="1">
      <c r="A10" s="24" t="inlineStr">
        <is>
          <t>OpenDART_stockTotqySttus</t>
        </is>
      </c>
      <c r="B10" s="24" t="inlineStr">
        <is>
          <t>00369657</t>
        </is>
      </c>
      <c r="C10" s="24" t="inlineStr">
        <is>
          <t>리노공업</t>
        </is>
      </c>
      <c r="D10" s="24" t="inlineStr">
        <is>
          <t>leeno</t>
        </is>
      </c>
      <c r="E10" s="24" t="inlineStr">
        <is>
          <t>058470</t>
        </is>
      </c>
      <c r="F10" s="24" t="inlineStr">
        <is>
          <t>2021</t>
        </is>
      </c>
      <c r="G10" s="24" t="inlineStr">
        <is>
          <t>비고</t>
        </is>
      </c>
      <c r="H10" s="24" t="inlineStr">
        <is>
          <t>해당 없음</t>
        </is>
      </c>
      <c r="I10" s="24" t="inlineStr">
        <is>
          <t>{"rcept_no": "20220321000094", "corp_cls": "K", "corp_code": "00369657", "corp_name": "리노공업", "se": "비고",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1" ht="24" customHeight="1">
      <c r="A11" s="29" t="inlineStr">
        <is>
          <t>OpenDART_stockTotqySttus</t>
        </is>
      </c>
      <c r="B11" s="29" t="inlineStr">
        <is>
          <t>00369657</t>
        </is>
      </c>
      <c r="C11" s="29" t="inlineStr">
        <is>
          <t>리노공업</t>
        </is>
      </c>
      <c r="D11" s="29" t="inlineStr">
        <is>
          <t>leeno</t>
        </is>
      </c>
      <c r="E11" s="29" t="inlineStr">
        <is>
          <t>058470</t>
        </is>
      </c>
      <c r="F11" s="29" t="inlineStr">
        <is>
          <t>2022</t>
        </is>
      </c>
      <c r="G11" s="29" t="inlineStr">
        <is>
          <t>보통주</t>
        </is>
      </c>
      <c r="H11" s="29" t="inlineStr">
        <is>
          <t>15242370.0</t>
        </is>
      </c>
      <c r="I11" s="29" t="inlineStr">
        <is>
          <t>{"rcept_no": "20230814000718", "corp_cls": "K", "corp_code": "00369657", "corp_name": "리노공업", "se": "보통주", "isu_stock_totqy": "25,000,000", "now_to_isu_stock_totqy": "15,242,370", "now_to_dcrs_stock_totqy": "-", "redc": "-", "profit_incnr": "-", "rdmstk_repy": "-", "etc": "-", "istc_totqy": "15,242,370", "tesstk_co": "63,250", "distb_stock_co": "15,179,120", "stlm_dt": "2022-12-31"}</t>
        </is>
      </c>
    </row>
    <row r="12" ht="24" customHeight="1">
      <c r="A12" s="24" t="inlineStr">
        <is>
          <t>OpenDART_stockTotqySttus</t>
        </is>
      </c>
      <c r="B12" s="24" t="inlineStr">
        <is>
          <t>00369657</t>
        </is>
      </c>
      <c r="C12" s="24" t="inlineStr">
        <is>
          <t>리노공업</t>
        </is>
      </c>
      <c r="D12" s="24" t="inlineStr">
        <is>
          <t>leeno</t>
        </is>
      </c>
      <c r="E12" s="24" t="inlineStr">
        <is>
          <t>058470</t>
        </is>
      </c>
      <c r="F12" s="24" t="inlineStr">
        <is>
          <t>2022</t>
        </is>
      </c>
      <c r="G12" s="24" t="inlineStr">
        <is>
          <t>합계</t>
        </is>
      </c>
      <c r="H12" s="24" t="inlineStr">
        <is>
          <t>15242370.0</t>
        </is>
      </c>
      <c r="I12" s="24" t="inlineStr">
        <is>
          <t>{"rcept_no": "20230814000718", "corp_cls": "K", "corp_code": "00369657", "corp_name": "리노공업", "se": "합계", "isu_stock_totqy": "25,000,000", "now_to_isu_stock_totqy": "15,242,370", "now_to_dcrs_stock_totqy": "-", "redc": "-", "profit_incnr": "-", "rdmstk_repy": "-", "etc": "-", "istc_totqy": "15,242,370", "tesstk_co": "63,250", "distb_stock_co": "15,179,120", "stlm_dt": "2022-12-31"}</t>
        </is>
      </c>
    </row>
    <row r="13" ht="24" customHeight="1">
      <c r="A13" s="29" t="inlineStr">
        <is>
          <t>OpenDART_stockTotqySttus</t>
        </is>
      </c>
      <c r="B13" s="29" t="inlineStr">
        <is>
          <t>00369657</t>
        </is>
      </c>
      <c r="C13" s="29" t="inlineStr">
        <is>
          <t>리노공업</t>
        </is>
      </c>
      <c r="D13" s="29" t="inlineStr">
        <is>
          <t>leeno</t>
        </is>
      </c>
      <c r="E13" s="29" t="inlineStr">
        <is>
          <t>058470</t>
        </is>
      </c>
      <c r="F13" s="29" t="inlineStr">
        <is>
          <t>2022</t>
        </is>
      </c>
      <c r="G13" s="29" t="inlineStr">
        <is>
          <t>비고</t>
        </is>
      </c>
      <c r="H13" s="29" t="inlineStr">
        <is>
          <t>해당 없음</t>
        </is>
      </c>
      <c r="I13" s="29" t="inlineStr">
        <is>
          <t>{"rcept_no": "20230814000718", "corp_cls": "K", "corp_code": "00369657", "corp_name": "리노공업", "se": "비고",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4" ht="24" customHeight="1">
      <c r="A14" s="24" t="inlineStr">
        <is>
          <t>OpenDART_stockTotqySttus</t>
        </is>
      </c>
      <c r="B14" s="24" t="inlineStr">
        <is>
          <t>00369657</t>
        </is>
      </c>
      <c r="C14" s="24" t="inlineStr">
        <is>
          <t>리노공업</t>
        </is>
      </c>
      <c r="D14" s="24" t="inlineStr">
        <is>
          <t>leeno</t>
        </is>
      </c>
      <c r="E14" s="24" t="inlineStr">
        <is>
          <t>058470</t>
        </is>
      </c>
      <c r="F14" s="24" t="inlineStr">
        <is>
          <t>2023</t>
        </is>
      </c>
      <c r="G14" s="24" t="inlineStr">
        <is>
          <t>보통주</t>
        </is>
      </c>
      <c r="H14" s="24" t="inlineStr">
        <is>
          <t>15242370.0</t>
        </is>
      </c>
      <c r="I14" s="24" t="inlineStr">
        <is>
          <t>{"rcept_no": "20240318000177", "corp_cls": "K", "corp_code": "00369657", "corp_name": "리노공업", "se": "보통주", "isu_stock_totqy": "25,000,000", "now_to_isu_stock_totqy": "15,242,370", "now_to_dcrs_stock_totqy": "-", "redc": "-", "profit_incnr": "-", "rdmstk_repy": "-", "etc": "-", "istc_totqy": "15,242,370", "tesstk_co": "63,250", "distb_stock_co": "15,179,120", "stlm_dt": "2023-12-31"}</t>
        </is>
      </c>
    </row>
    <row r="15" ht="24" customHeight="1">
      <c r="A15" s="29" t="inlineStr">
        <is>
          <t>OpenDART_stockTotqySttus</t>
        </is>
      </c>
      <c r="B15" s="29" t="inlineStr">
        <is>
          <t>00369657</t>
        </is>
      </c>
      <c r="C15" s="29" t="inlineStr">
        <is>
          <t>리노공업</t>
        </is>
      </c>
      <c r="D15" s="29" t="inlineStr">
        <is>
          <t>leeno</t>
        </is>
      </c>
      <c r="E15" s="29" t="inlineStr">
        <is>
          <t>058470</t>
        </is>
      </c>
      <c r="F15" s="29" t="inlineStr">
        <is>
          <t>2023</t>
        </is>
      </c>
      <c r="G15" s="29" t="inlineStr">
        <is>
          <t>합계</t>
        </is>
      </c>
      <c r="H15" s="29" t="inlineStr">
        <is>
          <t>15242370.0</t>
        </is>
      </c>
      <c r="I15" s="29" t="inlineStr">
        <is>
          <t>{"rcept_no": "20240318000177", "corp_cls": "K", "corp_code": "00369657", "corp_name": "리노공업", "se": "합계", "isu_stock_totqy": "25,000,000", "now_to_isu_stock_totqy": "15,242,370", "now_to_dcrs_stock_totqy": "-", "redc": "-", "profit_incnr": "-", "rdmstk_repy": "-", "etc": "-", "istc_totqy": "15,242,370", "tesstk_co": "63,250", "distb_stock_co": "15,179,120", "stlm_dt": "2023-12-31"}</t>
        </is>
      </c>
    </row>
    <row r="16" ht="24" customHeight="1">
      <c r="A16" s="24" t="inlineStr">
        <is>
          <t>OpenDART_stockTotqySttus</t>
        </is>
      </c>
      <c r="B16" s="24" t="inlineStr">
        <is>
          <t>00369657</t>
        </is>
      </c>
      <c r="C16" s="24" t="inlineStr">
        <is>
          <t>리노공업</t>
        </is>
      </c>
      <c r="D16" s="24" t="inlineStr">
        <is>
          <t>leeno</t>
        </is>
      </c>
      <c r="E16" s="24" t="inlineStr">
        <is>
          <t>058470</t>
        </is>
      </c>
      <c r="F16" s="24" t="inlineStr">
        <is>
          <t>2023</t>
        </is>
      </c>
      <c r="G16" s="24" t="inlineStr">
        <is>
          <t>비고</t>
        </is>
      </c>
      <c r="H16" s="24" t="inlineStr">
        <is>
          <t>해당 없음</t>
        </is>
      </c>
      <c r="I16" s="24" t="inlineStr">
        <is>
          <t>{"rcept_no": "20240318000177", "corp_cls": "K", "corp_code": "00369657", "corp_name": "리노공업", "se": "비고",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17" ht="24" customHeight="1">
      <c r="A17" s="29" t="inlineStr">
        <is>
          <t>OpenDART_stockTotqySttus</t>
        </is>
      </c>
      <c r="B17" s="29" t="inlineStr">
        <is>
          <t>00369657</t>
        </is>
      </c>
      <c r="C17" s="29" t="inlineStr">
        <is>
          <t>리노공업</t>
        </is>
      </c>
      <c r="D17" s="29" t="inlineStr">
        <is>
          <t>leeno</t>
        </is>
      </c>
      <c r="E17" s="29" t="inlineStr">
        <is>
          <t>058470</t>
        </is>
      </c>
      <c r="F17" s="29" t="inlineStr">
        <is>
          <t>2024</t>
        </is>
      </c>
      <c r="G17" s="29" t="inlineStr">
        <is>
          <t>보통주</t>
        </is>
      </c>
      <c r="H17" s="29" t="inlineStr">
        <is>
          <t>15242370.0</t>
        </is>
      </c>
      <c r="I17" s="29" t="inlineStr">
        <is>
          <t>{"rcept_no": "20250318000229", "corp_cls": "K", "corp_code": "00369657", "corp_name": "리노공업", "se": "보통주", "isu_stock_totqy": "25,000,000", "now_to_isu_stock_totqy": "15,242,370", "now_to_dcrs_stock_totqy": "-", "redc": "-", "profit_incnr": "-", "rdmstk_repy": "-", "etc": "-", "istc_totqy": "15,242,370", "tesstk_co": "63,250", "distb_stock_co": "15,179,120", "stlm_dt": "2024-12-31"}</t>
        </is>
      </c>
    </row>
    <row r="18" ht="24" customHeight="1">
      <c r="A18" s="24" t="inlineStr">
        <is>
          <t>OpenDART_stockTotqySttus</t>
        </is>
      </c>
      <c r="B18" s="24" t="inlineStr">
        <is>
          <t>00369657</t>
        </is>
      </c>
      <c r="C18" s="24" t="inlineStr">
        <is>
          <t>리노공업</t>
        </is>
      </c>
      <c r="D18" s="24" t="inlineStr">
        <is>
          <t>leeno</t>
        </is>
      </c>
      <c r="E18" s="24" t="inlineStr">
        <is>
          <t>058470</t>
        </is>
      </c>
      <c r="F18" s="24" t="inlineStr">
        <is>
          <t>2024</t>
        </is>
      </c>
      <c r="G18" s="24" t="inlineStr">
        <is>
          <t>합계</t>
        </is>
      </c>
      <c r="H18" s="24" t="inlineStr">
        <is>
          <t>15242370.0</t>
        </is>
      </c>
      <c r="I18" s="24" t="inlineStr">
        <is>
          <t>{"rcept_no": "20250318000229", "corp_cls": "K", "corp_code": "00369657", "corp_name": "리노공업", "se": "합계", "isu_stock_totqy": "25,000,000", "now_to_isu_stock_totqy": "15,242,370", "now_to_dcrs_stock_totqy": "-", "redc": "-", "profit_incnr": "-", "rdmstk_repy": "-", "etc": "-", "istc_totqy": "15,242,370", "tesstk_co": "63,250", "distb_stock_co": "15,179,120", "stlm_dt": "2024-12-31"}</t>
        </is>
      </c>
    </row>
    <row r="19" ht="24" customHeight="1">
      <c r="A19" s="29" t="inlineStr">
        <is>
          <t>OpenDART_stockTotqySttus</t>
        </is>
      </c>
      <c r="B19" s="29" t="inlineStr">
        <is>
          <t>00369657</t>
        </is>
      </c>
      <c r="C19" s="29" t="inlineStr">
        <is>
          <t>리노공업</t>
        </is>
      </c>
      <c r="D19" s="29" t="inlineStr">
        <is>
          <t>leeno</t>
        </is>
      </c>
      <c r="E19" s="29" t="inlineStr">
        <is>
          <t>058470</t>
        </is>
      </c>
      <c r="F19" s="29" t="inlineStr">
        <is>
          <t>2024</t>
        </is>
      </c>
      <c r="G19" s="29" t="inlineStr">
        <is>
          <t>비고</t>
        </is>
      </c>
      <c r="H19" s="29" t="inlineStr">
        <is>
          <t>해당 없음</t>
        </is>
      </c>
      <c r="I19" s="29" t="inlineStr">
        <is>
          <t>{"rcept_no": "20250318000229", "corp_cls": "K", "corp_code": "00369657", "corp_name": "리노공업", "se": "비고",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0" ht="24" customHeight="1">
      <c r="A20" s="24" t="inlineStr">
        <is>
          <t>OpenDART_stockTotqySttus</t>
        </is>
      </c>
      <c r="B20" s="24" t="inlineStr">
        <is>
          <t>00369657</t>
        </is>
      </c>
      <c r="C20" s="24" t="inlineStr">
        <is>
          <t>리노공업</t>
        </is>
      </c>
      <c r="D20" s="24" t="inlineStr">
        <is>
          <t>leeno</t>
        </is>
      </c>
      <c r="E20" s="24" t="inlineStr">
        <is>
          <t>058470</t>
        </is>
      </c>
      <c r="F20" s="24" t="inlineStr">
        <is>
          <t>2025</t>
        </is>
      </c>
      <c r="G20" s="24" t="inlineStr">
        <is>
          <t>보통주</t>
        </is>
      </c>
      <c r="H20" s="24" t="inlineStr">
        <is>
          <t>76211850.0</t>
        </is>
      </c>
      <c r="I20" s="24" t="inlineStr">
        <is>
          <t>{"rcept_no": "20260318000182", "corp_cls": "K", "corp_code": "00369657", "corp_name": "리노공업", "se": "보통주", "isu_stock_totqy": "200,000,000", "now_to_isu_stock_totqy": "76,211,850", "now_to_dcrs_stock_totqy": "-", "redc": "-", "profit_incnr": "-", "rdmstk_repy": "-", "etc": "-", "istc_totqy": "76,211,850", "tesstk_co": "316,250", "distb_stock_co": "75,895,600", "stlm_dt": "2025-12-31"}</t>
        </is>
      </c>
    </row>
    <row r="21" ht="24" customHeight="1">
      <c r="A21" s="29" t="inlineStr">
        <is>
          <t>OpenDART_stockTotqySttus</t>
        </is>
      </c>
      <c r="B21" s="29" t="inlineStr">
        <is>
          <t>00369657</t>
        </is>
      </c>
      <c r="C21" s="29" t="inlineStr">
        <is>
          <t>리노공업</t>
        </is>
      </c>
      <c r="D21" s="29" t="inlineStr">
        <is>
          <t>leeno</t>
        </is>
      </c>
      <c r="E21" s="29" t="inlineStr">
        <is>
          <t>058470</t>
        </is>
      </c>
      <c r="F21" s="29" t="inlineStr">
        <is>
          <t>2025</t>
        </is>
      </c>
      <c r="G21" s="29" t="inlineStr">
        <is>
          <t>합계</t>
        </is>
      </c>
      <c r="H21" s="29" t="inlineStr">
        <is>
          <t>76211850.0</t>
        </is>
      </c>
      <c r="I21" s="29" t="inlineStr">
        <is>
          <t>{"rcept_no": "20260318000182", "corp_cls": "K", "corp_code": "00369657", "corp_name": "리노공업", "se": "합계", "isu_stock_totqy": "200,000,000", "now_to_isu_stock_totqy": "76,211,850", "now_to_dcrs_stock_totqy": "-", "redc": "-", "profit_incnr": "-", "rdmstk_repy": "-", "etc": "-", "istc_totqy": "76,211,850", "tesstk_co": "316,250", "distb_stock_co": "75,895,600", "stlm_dt": "2025-12-31"}</t>
        </is>
      </c>
    </row>
    <row r="22" ht="24" customHeight="1">
      <c r="A22" s="24" t="inlineStr">
        <is>
          <t>OpenDART_stockTotqySttus</t>
        </is>
      </c>
      <c r="B22" s="24" t="inlineStr">
        <is>
          <t>00369657</t>
        </is>
      </c>
      <c r="C22" s="24" t="inlineStr">
        <is>
          <t>리노공업</t>
        </is>
      </c>
      <c r="D22" s="24" t="inlineStr">
        <is>
          <t>leeno</t>
        </is>
      </c>
      <c r="E22" s="24" t="inlineStr">
        <is>
          <t>058470</t>
        </is>
      </c>
      <c r="F22" s="24" t="inlineStr">
        <is>
          <t>2025</t>
        </is>
      </c>
      <c r="G22" s="24" t="inlineStr">
        <is>
          <t>비고</t>
        </is>
      </c>
      <c r="H22" s="24" t="inlineStr">
        <is>
          <t>해당 없음</t>
        </is>
      </c>
      <c r="I22" s="24" t="inlineStr">
        <is>
          <t>{"rcept_no": "20260318000182", "corp_cls": "K", "corp_code": "00369657", "corp_name": "리노공업", "se": "비고",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</sheetData>
  <autoFilter ref="A7:I22"/>
  <mergeCells count="2">
    <mergeCell ref="A6:F6"/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48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DART 원천 계정</t>
        </is>
      </c>
    </row>
    <row r="2" ht="24" customHeight="1">
      <c r="A2" s="25" t="inlineStr">
        <is>
          <t>출처</t>
        </is>
      </c>
      <c r="B2" s="25" t="inlineStr">
        <is>
          <t>DART 고유번호</t>
        </is>
      </c>
      <c r="C2" s="25" t="inlineStr">
        <is>
          <t>기업명</t>
        </is>
      </c>
      <c r="D2" s="25" t="inlineStr">
        <is>
          <t>기업코드</t>
        </is>
      </c>
      <c r="E2" s="25" t="inlineStr">
        <is>
          <t>종목코드</t>
        </is>
      </c>
      <c r="F2" s="25" t="inlineStr">
        <is>
          <t>연도</t>
        </is>
      </c>
      <c r="G2" s="25" t="inlineStr">
        <is>
          <t>재무제표 구분</t>
        </is>
      </c>
      <c r="H2" s="25" t="inlineStr">
        <is>
          <t>재무제표 코드</t>
        </is>
      </c>
      <c r="I2" s="25" t="inlineStr">
        <is>
          <t>재무제표명</t>
        </is>
      </c>
      <c r="J2" s="25" t="inlineStr">
        <is>
          <t>계정ID</t>
        </is>
      </c>
      <c r="K2" s="25" t="inlineStr">
        <is>
          <t>계정명</t>
        </is>
      </c>
      <c r="L2" s="25" t="inlineStr">
        <is>
          <t>계정상세</t>
        </is>
      </c>
      <c r="M2" s="25" t="inlineStr">
        <is>
          <t>당기명</t>
        </is>
      </c>
      <c r="N2" s="25" t="inlineStr">
        <is>
          <t>금액</t>
        </is>
      </c>
      <c r="O2" s="25" t="inlineStr">
        <is>
          <t>전기금액</t>
        </is>
      </c>
      <c r="P2" s="25" t="inlineStr">
        <is>
          <t>통화</t>
        </is>
      </c>
      <c r="Q2" s="25" t="inlineStr">
        <is>
          <t>정렬순서</t>
        </is>
      </c>
    </row>
    <row r="3" ht="24" customHeight="1">
      <c r="A3" s="24" t="inlineStr">
        <is>
          <t>OpenDART_fnlttSinglAcntAll</t>
        </is>
      </c>
      <c r="B3" s="24" t="inlineStr">
        <is>
          <t>00369657</t>
        </is>
      </c>
      <c r="C3" s="24" t="inlineStr">
        <is>
          <t>리노공업</t>
        </is>
      </c>
      <c r="D3" s="24" t="inlineStr">
        <is>
          <t>leeno</t>
        </is>
      </c>
      <c r="E3" s="24" t="inlineStr">
        <is>
          <t>058470</t>
        </is>
      </c>
      <c r="F3" s="24" t="inlineStr">
        <is>
          <t>2021</t>
        </is>
      </c>
      <c r="G3" s="24" t="inlineStr">
        <is>
          <t>OFS</t>
        </is>
      </c>
      <c r="H3" s="24" t="inlineStr">
        <is>
          <t>BS</t>
        </is>
      </c>
      <c r="I3" s="24" t="inlineStr">
        <is>
          <t>재무상태표</t>
        </is>
      </c>
      <c r="J3" s="24" t="inlineStr">
        <is>
          <t>ifrs-full_CurrentAssets</t>
        </is>
      </c>
      <c r="K3" s="24" t="inlineStr">
        <is>
          <t>유동자산</t>
        </is>
      </c>
      <c r="L3" s="24" t="inlineStr">
        <is>
          <t>-</t>
        </is>
      </c>
      <c r="M3" s="24" t="inlineStr">
        <is>
          <t>제 26 기</t>
        </is>
      </c>
      <c r="N3" s="24" t="inlineStr">
        <is>
          <t>335723022270.0</t>
        </is>
      </c>
      <c r="O3" s="24" t="inlineStr">
        <is>
          <t>257710373589.0</t>
        </is>
      </c>
      <c r="P3" s="24" t="inlineStr">
        <is>
          <t>KRW</t>
        </is>
      </c>
      <c r="Q3" s="24" t="inlineStr">
        <is>
          <t>1</t>
        </is>
      </c>
    </row>
    <row r="4" ht="24" customHeight="1">
      <c r="A4" s="29" t="inlineStr">
        <is>
          <t>OpenDART_fnlttSinglAcntAll</t>
        </is>
      </c>
      <c r="B4" s="29" t="inlineStr">
        <is>
          <t>00369657</t>
        </is>
      </c>
      <c r="C4" s="29" t="inlineStr">
        <is>
          <t>리노공업</t>
        </is>
      </c>
      <c r="D4" s="29" t="inlineStr">
        <is>
          <t>leeno</t>
        </is>
      </c>
      <c r="E4" s="29" t="inlineStr">
        <is>
          <t>058470</t>
        </is>
      </c>
      <c r="F4" s="29" t="inlineStr">
        <is>
          <t>2021</t>
        </is>
      </c>
      <c r="G4" s="29" t="inlineStr">
        <is>
          <t>OFS</t>
        </is>
      </c>
      <c r="H4" s="29" t="inlineStr">
        <is>
          <t>BS</t>
        </is>
      </c>
      <c r="I4" s="29" t="inlineStr">
        <is>
          <t>재무상태표</t>
        </is>
      </c>
      <c r="J4" s="29" t="inlineStr">
        <is>
          <t>ifrs-full_CashAndCashEquivalents</t>
        </is>
      </c>
      <c r="K4" s="29" t="inlineStr">
        <is>
          <t>현금및현금성자산</t>
        </is>
      </c>
      <c r="L4" s="29" t="inlineStr">
        <is>
          <t>-</t>
        </is>
      </c>
      <c r="M4" s="29" t="inlineStr">
        <is>
          <t>제 26 기</t>
        </is>
      </c>
      <c r="N4" s="29" t="inlineStr">
        <is>
          <t>77211544736.0</t>
        </is>
      </c>
      <c r="O4" s="29" t="inlineStr">
        <is>
          <t>99439220422.0</t>
        </is>
      </c>
      <c r="P4" s="29" t="inlineStr">
        <is>
          <t>KRW</t>
        </is>
      </c>
      <c r="Q4" s="29" t="inlineStr">
        <is>
          <t>2</t>
        </is>
      </c>
    </row>
    <row r="5" ht="24" customHeight="1">
      <c r="A5" s="24" t="inlineStr">
        <is>
          <t>OpenDART_fnlttSinglAcntAll</t>
        </is>
      </c>
      <c r="B5" s="24" t="inlineStr">
        <is>
          <t>00369657</t>
        </is>
      </c>
      <c r="C5" s="24" t="inlineStr">
        <is>
          <t>리노공업</t>
        </is>
      </c>
      <c r="D5" s="24" t="inlineStr">
        <is>
          <t>leeno</t>
        </is>
      </c>
      <c r="E5" s="24" t="inlineStr">
        <is>
          <t>058470</t>
        </is>
      </c>
      <c r="F5" s="24" t="inlineStr">
        <is>
          <t>2021</t>
        </is>
      </c>
      <c r="G5" s="24" t="inlineStr">
        <is>
          <t>OFS</t>
        </is>
      </c>
      <c r="H5" s="24" t="inlineStr">
        <is>
          <t>BS</t>
        </is>
      </c>
      <c r="I5" s="24" t="inlineStr">
        <is>
          <t>재무상태표</t>
        </is>
      </c>
      <c r="J5" s="24" t="inlineStr">
        <is>
          <t>dart_ShortTermTradeReceivable</t>
        </is>
      </c>
      <c r="K5" s="24" t="inlineStr">
        <is>
          <t>매출채권</t>
        </is>
      </c>
      <c r="L5" s="24" t="inlineStr">
        <is>
          <t>-</t>
        </is>
      </c>
      <c r="M5" s="24" t="inlineStr">
        <is>
          <t>제 26 기</t>
        </is>
      </c>
      <c r="N5" s="24" t="inlineStr">
        <is>
          <t>35370079189.0</t>
        </is>
      </c>
      <c r="O5" s="24" t="inlineStr">
        <is>
          <t>29113650402.0</t>
        </is>
      </c>
      <c r="P5" s="24" t="inlineStr">
        <is>
          <t>KRW</t>
        </is>
      </c>
      <c r="Q5" s="24" t="inlineStr">
        <is>
          <t>3</t>
        </is>
      </c>
    </row>
    <row r="6" ht="24" customHeight="1">
      <c r="A6" s="29" t="inlineStr">
        <is>
          <t>OpenDART_fnlttSinglAcntAll</t>
        </is>
      </c>
      <c r="B6" s="29" t="inlineStr">
        <is>
          <t>00369657</t>
        </is>
      </c>
      <c r="C6" s="29" t="inlineStr">
        <is>
          <t>리노공업</t>
        </is>
      </c>
      <c r="D6" s="29" t="inlineStr">
        <is>
          <t>leeno</t>
        </is>
      </c>
      <c r="E6" s="29" t="inlineStr">
        <is>
          <t>058470</t>
        </is>
      </c>
      <c r="F6" s="29" t="inlineStr">
        <is>
          <t>2021</t>
        </is>
      </c>
      <c r="G6" s="29" t="inlineStr">
        <is>
          <t>OFS</t>
        </is>
      </c>
      <c r="H6" s="29" t="inlineStr">
        <is>
          <t>BS</t>
        </is>
      </c>
      <c r="I6" s="29" t="inlineStr">
        <is>
          <t>재무상태표</t>
        </is>
      </c>
      <c r="J6" s="29" t="inlineStr">
        <is>
          <t>-표준계정코드 미사용-</t>
        </is>
      </c>
      <c r="K6" s="29" t="inlineStr">
        <is>
          <t>기타채권</t>
        </is>
      </c>
      <c r="L6" s="29" t="inlineStr">
        <is>
          <t>-</t>
        </is>
      </c>
      <c r="M6" s="29" t="inlineStr">
        <is>
          <t>제 26 기</t>
        </is>
      </c>
      <c r="N6" s="29" t="inlineStr">
        <is>
          <t>5434696862.0</t>
        </is>
      </c>
      <c r="O6" s="29" t="inlineStr">
        <is>
          <t>3294524712.0</t>
        </is>
      </c>
      <c r="P6" s="29" t="inlineStr">
        <is>
          <t>KRW</t>
        </is>
      </c>
      <c r="Q6" s="29" t="inlineStr">
        <is>
          <t>4</t>
        </is>
      </c>
    </row>
    <row r="7" ht="24" customHeight="1">
      <c r="A7" s="24" t="inlineStr">
        <is>
          <t>OpenDART_fnlttSinglAcntAll</t>
        </is>
      </c>
      <c r="B7" s="24" t="inlineStr">
        <is>
          <t>00369657</t>
        </is>
      </c>
      <c r="C7" s="24" t="inlineStr">
        <is>
          <t>리노공업</t>
        </is>
      </c>
      <c r="D7" s="24" t="inlineStr">
        <is>
          <t>leeno</t>
        </is>
      </c>
      <c r="E7" s="24" t="inlineStr">
        <is>
          <t>058470</t>
        </is>
      </c>
      <c r="F7" s="24" t="inlineStr">
        <is>
          <t>2021</t>
        </is>
      </c>
      <c r="G7" s="24" t="inlineStr">
        <is>
          <t>OFS</t>
        </is>
      </c>
      <c r="H7" s="24" t="inlineStr">
        <is>
          <t>BS</t>
        </is>
      </c>
      <c r="I7" s="24" t="inlineStr">
        <is>
          <t>재무상태표</t>
        </is>
      </c>
      <c r="J7" s="24" t="inlineStr">
        <is>
          <t>ifrs-full_OtherCurrentFinancialAssets</t>
        </is>
      </c>
      <c r="K7" s="24" t="inlineStr">
        <is>
          <t>기타금융자산</t>
        </is>
      </c>
      <c r="L7" s="24" t="inlineStr">
        <is>
          <t>-</t>
        </is>
      </c>
      <c r="M7" s="24" t="inlineStr">
        <is>
          <t>제 26 기</t>
        </is>
      </c>
      <c r="N7" s="24" t="inlineStr">
        <is>
          <t>205759500000.0</t>
        </is>
      </c>
      <c r="O7" s="24" t="inlineStr">
        <is>
          <t>112200525000.0</t>
        </is>
      </c>
      <c r="P7" s="24" t="inlineStr">
        <is>
          <t>KRW</t>
        </is>
      </c>
      <c r="Q7" s="24" t="inlineStr">
        <is>
          <t>5</t>
        </is>
      </c>
    </row>
    <row r="8" ht="24" customHeight="1">
      <c r="A8" s="29" t="inlineStr">
        <is>
          <t>OpenDART_fnlttSinglAcntAll</t>
        </is>
      </c>
      <c r="B8" s="29" t="inlineStr">
        <is>
          <t>00369657</t>
        </is>
      </c>
      <c r="C8" s="29" t="inlineStr">
        <is>
          <t>리노공업</t>
        </is>
      </c>
      <c r="D8" s="29" t="inlineStr">
        <is>
          <t>leeno</t>
        </is>
      </c>
      <c r="E8" s="29" t="inlineStr">
        <is>
          <t>058470</t>
        </is>
      </c>
      <c r="F8" s="29" t="inlineStr">
        <is>
          <t>2021</t>
        </is>
      </c>
      <c r="G8" s="29" t="inlineStr">
        <is>
          <t>OFS</t>
        </is>
      </c>
      <c r="H8" s="29" t="inlineStr">
        <is>
          <t>BS</t>
        </is>
      </c>
      <c r="I8" s="29" t="inlineStr">
        <is>
          <t>재무상태표</t>
        </is>
      </c>
      <c r="J8" s="29" t="inlineStr">
        <is>
          <t>ifrs-full_Inventories</t>
        </is>
      </c>
      <c r="K8" s="29" t="inlineStr">
        <is>
          <t>재고자산</t>
        </is>
      </c>
      <c r="L8" s="29" t="inlineStr">
        <is>
          <t>-</t>
        </is>
      </c>
      <c r="M8" s="29" t="inlineStr">
        <is>
          <t>제 26 기</t>
        </is>
      </c>
      <c r="N8" s="29" t="inlineStr">
        <is>
          <t>11596904125.0</t>
        </is>
      </c>
      <c r="O8" s="29" t="inlineStr">
        <is>
          <t>12348851519.0</t>
        </is>
      </c>
      <c r="P8" s="29" t="inlineStr">
        <is>
          <t>KRW</t>
        </is>
      </c>
      <c r="Q8" s="29" t="inlineStr">
        <is>
          <t>6</t>
        </is>
      </c>
    </row>
    <row r="9" ht="24" customHeight="1">
      <c r="A9" s="24" t="inlineStr">
        <is>
          <t>OpenDART_fnlttSinglAcntAll</t>
        </is>
      </c>
      <c r="B9" s="24" t="inlineStr">
        <is>
          <t>00369657</t>
        </is>
      </c>
      <c r="C9" s="24" t="inlineStr">
        <is>
          <t>리노공업</t>
        </is>
      </c>
      <c r="D9" s="24" t="inlineStr">
        <is>
          <t>leeno</t>
        </is>
      </c>
      <c r="E9" s="24" t="inlineStr">
        <is>
          <t>058470</t>
        </is>
      </c>
      <c r="F9" s="24" t="inlineStr">
        <is>
          <t>2021</t>
        </is>
      </c>
      <c r="G9" s="24" t="inlineStr">
        <is>
          <t>OFS</t>
        </is>
      </c>
      <c r="H9" s="24" t="inlineStr">
        <is>
          <t>BS</t>
        </is>
      </c>
      <c r="I9" s="24" t="inlineStr">
        <is>
          <t>재무상태표</t>
        </is>
      </c>
      <c r="J9" s="24" t="inlineStr">
        <is>
          <t>dart_OtherCurrentAssets</t>
        </is>
      </c>
      <c r="K9" s="24" t="inlineStr">
        <is>
          <t>기타자산</t>
        </is>
      </c>
      <c r="L9" s="24" t="inlineStr">
        <is>
          <t>-</t>
        </is>
      </c>
      <c r="M9" s="24" t="inlineStr">
        <is>
          <t>제 26 기</t>
        </is>
      </c>
      <c r="N9" s="24" t="inlineStr">
        <is>
          <t>350297358.0</t>
        </is>
      </c>
      <c r="O9" s="24" t="inlineStr">
        <is>
          <t>1313601534.0</t>
        </is>
      </c>
      <c r="P9" s="24" t="inlineStr">
        <is>
          <t>KRW</t>
        </is>
      </c>
      <c r="Q9" s="24" t="inlineStr">
        <is>
          <t>7</t>
        </is>
      </c>
    </row>
    <row r="10" ht="24" customHeight="1">
      <c r="A10" s="29" t="inlineStr">
        <is>
          <t>OpenDART_fnlttSinglAcntAll</t>
        </is>
      </c>
      <c r="B10" s="29" t="inlineStr">
        <is>
          <t>00369657</t>
        </is>
      </c>
      <c r="C10" s="29" t="inlineStr">
        <is>
          <t>리노공업</t>
        </is>
      </c>
      <c r="D10" s="29" t="inlineStr">
        <is>
          <t>leeno</t>
        </is>
      </c>
      <c r="E10" s="29" t="inlineStr">
        <is>
          <t>058470</t>
        </is>
      </c>
      <c r="F10" s="29" t="inlineStr">
        <is>
          <t>2021</t>
        </is>
      </c>
      <c r="G10" s="29" t="inlineStr">
        <is>
          <t>OFS</t>
        </is>
      </c>
      <c r="H10" s="29" t="inlineStr">
        <is>
          <t>BS</t>
        </is>
      </c>
      <c r="I10" s="29" t="inlineStr">
        <is>
          <t>재무상태표</t>
        </is>
      </c>
      <c r="J10" s="29" t="inlineStr">
        <is>
          <t>ifrs-full_NoncurrentAssets</t>
        </is>
      </c>
      <c r="K10" s="29" t="inlineStr">
        <is>
          <t>비유동자산</t>
        </is>
      </c>
      <c r="L10" s="29" t="inlineStr">
        <is>
          <t>-</t>
        </is>
      </c>
      <c r="M10" s="29" t="inlineStr">
        <is>
          <t>제 26 기</t>
        </is>
      </c>
      <c r="N10" s="29" t="inlineStr">
        <is>
          <t>130648011966.0</t>
        </is>
      </c>
      <c r="O10" s="29" t="inlineStr">
        <is>
          <t>103822940951.0</t>
        </is>
      </c>
      <c r="P10" s="29" t="inlineStr">
        <is>
          <t>KRW</t>
        </is>
      </c>
      <c r="Q10" s="29" t="inlineStr">
        <is>
          <t>8</t>
        </is>
      </c>
    </row>
    <row r="11" ht="24" customHeight="1">
      <c r="A11" s="24" t="inlineStr">
        <is>
          <t>OpenDART_fnlttSinglAcntAll</t>
        </is>
      </c>
      <c r="B11" s="24" t="inlineStr">
        <is>
          <t>00369657</t>
        </is>
      </c>
      <c r="C11" s="24" t="inlineStr">
        <is>
          <t>리노공업</t>
        </is>
      </c>
      <c r="D11" s="24" t="inlineStr">
        <is>
          <t>leeno</t>
        </is>
      </c>
      <c r="E11" s="24" t="inlineStr">
        <is>
          <t>058470</t>
        </is>
      </c>
      <c r="F11" s="24" t="inlineStr">
        <is>
          <t>2021</t>
        </is>
      </c>
      <c r="G11" s="24" t="inlineStr">
        <is>
          <t>OFS</t>
        </is>
      </c>
      <c r="H11" s="24" t="inlineStr">
        <is>
          <t>BS</t>
        </is>
      </c>
      <c r="I11" s="24" t="inlineStr">
        <is>
          <t>재무상태표</t>
        </is>
      </c>
      <c r="J11" s="24" t="inlineStr">
        <is>
          <t>-표준계정코드 미사용-</t>
        </is>
      </c>
      <c r="K11" s="24" t="inlineStr">
        <is>
          <t>기타채권</t>
        </is>
      </c>
      <c r="L11" s="24" t="inlineStr">
        <is>
          <t>-</t>
        </is>
      </c>
      <c r="M11" s="24" t="inlineStr">
        <is>
          <t>제 26 기</t>
        </is>
      </c>
      <c r="N11" s="24" t="inlineStr">
        <is>
          <t>78349830.0</t>
        </is>
      </c>
      <c r="O11" s="24" t="inlineStr">
        <is>
          <t>82046330.0</t>
        </is>
      </c>
      <c r="P11" s="24" t="inlineStr">
        <is>
          <t>KRW</t>
        </is>
      </c>
      <c r="Q11" s="24" t="inlineStr">
        <is>
          <t>9</t>
        </is>
      </c>
    </row>
    <row r="12" ht="24" customHeight="1">
      <c r="A12" s="29" t="inlineStr">
        <is>
          <t>OpenDART_fnlttSinglAcntAll</t>
        </is>
      </c>
      <c r="B12" s="29" t="inlineStr">
        <is>
          <t>00369657</t>
        </is>
      </c>
      <c r="C12" s="29" t="inlineStr">
        <is>
          <t>리노공업</t>
        </is>
      </c>
      <c r="D12" s="29" t="inlineStr">
        <is>
          <t>leeno</t>
        </is>
      </c>
      <c r="E12" s="29" t="inlineStr">
        <is>
          <t>058470</t>
        </is>
      </c>
      <c r="F12" s="29" t="inlineStr">
        <is>
          <t>2021</t>
        </is>
      </c>
      <c r="G12" s="29" t="inlineStr">
        <is>
          <t>OFS</t>
        </is>
      </c>
      <c r="H12" s="29" t="inlineStr">
        <is>
          <t>BS</t>
        </is>
      </c>
      <c r="I12" s="29" t="inlineStr">
        <is>
          <t>재무상태표</t>
        </is>
      </c>
      <c r="J12" s="29" t="inlineStr">
        <is>
          <t>ifrs-full_OtherNoncurrentFinancialAssets</t>
        </is>
      </c>
      <c r="K12" s="29" t="inlineStr">
        <is>
          <t>기타금융자산</t>
        </is>
      </c>
      <c r="L12" s="29" t="inlineStr">
        <is>
          <t>-</t>
        </is>
      </c>
      <c r="M12" s="29" t="inlineStr">
        <is>
          <t>제 26 기</t>
        </is>
      </c>
      <c r="N12" s="29" t="inlineStr">
        <is>
          <t>2893143704.0</t>
        </is>
      </c>
      <c r="O12" s="29" t="inlineStr">
        <is>
          <t>4415647043.0</t>
        </is>
      </c>
      <c r="P12" s="29" t="inlineStr">
        <is>
          <t>KRW</t>
        </is>
      </c>
      <c r="Q12" s="29" t="inlineStr">
        <is>
          <t>10</t>
        </is>
      </c>
    </row>
    <row r="13" ht="24" customHeight="1">
      <c r="A13" s="24" t="inlineStr">
        <is>
          <t>OpenDART_fnlttSinglAcntAll</t>
        </is>
      </c>
      <c r="B13" s="24" t="inlineStr">
        <is>
          <t>00369657</t>
        </is>
      </c>
      <c r="C13" s="24" t="inlineStr">
        <is>
          <t>리노공업</t>
        </is>
      </c>
      <c r="D13" s="24" t="inlineStr">
        <is>
          <t>leeno</t>
        </is>
      </c>
      <c r="E13" s="24" t="inlineStr">
        <is>
          <t>058470</t>
        </is>
      </c>
      <c r="F13" s="24" t="inlineStr">
        <is>
          <t>2021</t>
        </is>
      </c>
      <c r="G13" s="24" t="inlineStr">
        <is>
          <t>OFS</t>
        </is>
      </c>
      <c r="H13" s="24" t="inlineStr">
        <is>
          <t>BS</t>
        </is>
      </c>
      <c r="I13" s="24" t="inlineStr">
        <is>
          <t>재무상태표</t>
        </is>
      </c>
      <c r="J13" s="24" t="inlineStr">
        <is>
          <t>ifrs-full_PropertyPlantAndEquipment</t>
        </is>
      </c>
      <c r="K13" s="24" t="inlineStr">
        <is>
          <t>유형자산</t>
        </is>
      </c>
      <c r="L13" s="24" t="inlineStr">
        <is>
          <t>-</t>
        </is>
      </c>
      <c r="M13" s="24" t="inlineStr">
        <is>
          <t>제 26 기</t>
        </is>
      </c>
      <c r="N13" s="24" t="inlineStr">
        <is>
          <t>124382380697.0</t>
        </is>
      </c>
      <c r="O13" s="24" t="inlineStr">
        <is>
          <t>96289622638.0</t>
        </is>
      </c>
      <c r="P13" s="24" t="inlineStr">
        <is>
          <t>KRW</t>
        </is>
      </c>
      <c r="Q13" s="24" t="inlineStr">
        <is>
          <t>11</t>
        </is>
      </c>
    </row>
    <row r="14" ht="24" customHeight="1">
      <c r="A14" s="29" t="inlineStr">
        <is>
          <t>OpenDART_fnlttSinglAcntAll</t>
        </is>
      </c>
      <c r="B14" s="29" t="inlineStr">
        <is>
          <t>00369657</t>
        </is>
      </c>
      <c r="C14" s="29" t="inlineStr">
        <is>
          <t>리노공업</t>
        </is>
      </c>
      <c r="D14" s="29" t="inlineStr">
        <is>
          <t>leeno</t>
        </is>
      </c>
      <c r="E14" s="29" t="inlineStr">
        <is>
          <t>058470</t>
        </is>
      </c>
      <c r="F14" s="29" t="inlineStr">
        <is>
          <t>2021</t>
        </is>
      </c>
      <c r="G14" s="29" t="inlineStr">
        <is>
          <t>OFS</t>
        </is>
      </c>
      <c r="H14" s="29" t="inlineStr">
        <is>
          <t>BS</t>
        </is>
      </c>
      <c r="I14" s="29" t="inlineStr">
        <is>
          <t>재무상태표</t>
        </is>
      </c>
      <c r="J14" s="29" t="inlineStr">
        <is>
          <t>ifrs-full_IntangibleAssetsOtherThanGoodwill</t>
        </is>
      </c>
      <c r="K14" s="29" t="inlineStr">
        <is>
          <t>무형자산</t>
        </is>
      </c>
      <c r="L14" s="29" t="inlineStr">
        <is>
          <t>-</t>
        </is>
      </c>
      <c r="M14" s="29" t="inlineStr">
        <is>
          <t>제 26 기</t>
        </is>
      </c>
      <c r="N14" s="29" t="inlineStr">
        <is>
          <t>2026404881.0</t>
        </is>
      </c>
      <c r="O14" s="29" t="inlineStr">
        <is>
          <t>2149884217.0</t>
        </is>
      </c>
      <c r="P14" s="29" t="inlineStr">
        <is>
          <t>KRW</t>
        </is>
      </c>
      <c r="Q14" s="29" t="inlineStr">
        <is>
          <t>12</t>
        </is>
      </c>
    </row>
    <row r="15" ht="24" customHeight="1">
      <c r="A15" s="24" t="inlineStr">
        <is>
          <t>OpenDART_fnlttSinglAcntAll</t>
        </is>
      </c>
      <c r="B15" s="24" t="inlineStr">
        <is>
          <t>00369657</t>
        </is>
      </c>
      <c r="C15" s="24" t="inlineStr">
        <is>
          <t>리노공업</t>
        </is>
      </c>
      <c r="D15" s="24" t="inlineStr">
        <is>
          <t>leeno</t>
        </is>
      </c>
      <c r="E15" s="24" t="inlineStr">
        <is>
          <t>058470</t>
        </is>
      </c>
      <c r="F15" s="24" t="inlineStr">
        <is>
          <t>2021</t>
        </is>
      </c>
      <c r="G15" s="24" t="inlineStr">
        <is>
          <t>OFS</t>
        </is>
      </c>
      <c r="H15" s="24" t="inlineStr">
        <is>
          <t>BS</t>
        </is>
      </c>
      <c r="I15" s="24" t="inlineStr">
        <is>
          <t>재무상태표</t>
        </is>
      </c>
      <c r="J15" s="24" t="inlineStr">
        <is>
          <t>ifrs-full_DeferredTaxAssets</t>
        </is>
      </c>
      <c r="K15" s="24" t="inlineStr">
        <is>
          <t>이연법인세자산</t>
        </is>
      </c>
      <c r="L15" s="24" t="inlineStr">
        <is>
          <t>-</t>
        </is>
      </c>
      <c r="M15" s="24" t="inlineStr">
        <is>
          <t>제 26 기</t>
        </is>
      </c>
      <c r="N15" s="24" t="inlineStr">
        <is>
          <t>1267732854.0</t>
        </is>
      </c>
      <c r="O15" s="24" t="inlineStr">
        <is>
          <t>885740723.0</t>
        </is>
      </c>
      <c r="P15" s="24" t="inlineStr">
        <is>
          <t>KRW</t>
        </is>
      </c>
      <c r="Q15" s="24" t="inlineStr">
        <is>
          <t>13</t>
        </is>
      </c>
    </row>
    <row r="16" ht="24" customHeight="1">
      <c r="A16" s="29" t="inlineStr">
        <is>
          <t>OpenDART_fnlttSinglAcntAll</t>
        </is>
      </c>
      <c r="B16" s="29" t="inlineStr">
        <is>
          <t>00369657</t>
        </is>
      </c>
      <c r="C16" s="29" t="inlineStr">
        <is>
          <t>리노공업</t>
        </is>
      </c>
      <c r="D16" s="29" t="inlineStr">
        <is>
          <t>leeno</t>
        </is>
      </c>
      <c r="E16" s="29" t="inlineStr">
        <is>
          <t>058470</t>
        </is>
      </c>
      <c r="F16" s="29" t="inlineStr">
        <is>
          <t>2021</t>
        </is>
      </c>
      <c r="G16" s="29" t="inlineStr">
        <is>
          <t>OFS</t>
        </is>
      </c>
      <c r="H16" s="29" t="inlineStr">
        <is>
          <t>BS</t>
        </is>
      </c>
      <c r="I16" s="29" t="inlineStr">
        <is>
          <t>재무상태표</t>
        </is>
      </c>
      <c r="J16" s="29" t="inlineStr">
        <is>
          <t>ifrs-full_Assets</t>
        </is>
      </c>
      <c r="K16" s="29" t="inlineStr">
        <is>
          <t>자산총계</t>
        </is>
      </c>
      <c r="L16" s="29" t="inlineStr">
        <is>
          <t>-</t>
        </is>
      </c>
      <c r="M16" s="29" t="inlineStr">
        <is>
          <t>제 26 기</t>
        </is>
      </c>
      <c r="N16" s="29" t="inlineStr">
        <is>
          <t>466371034236.0</t>
        </is>
      </c>
      <c r="O16" s="29" t="inlineStr">
        <is>
          <t>361533314540.0</t>
        </is>
      </c>
      <c r="P16" s="29" t="inlineStr">
        <is>
          <t>KRW</t>
        </is>
      </c>
      <c r="Q16" s="29" t="inlineStr">
        <is>
          <t>14</t>
        </is>
      </c>
    </row>
    <row r="17" ht="24" customHeight="1">
      <c r="A17" s="24" t="inlineStr">
        <is>
          <t>OpenDART_fnlttSinglAcntAll</t>
        </is>
      </c>
      <c r="B17" s="24" t="inlineStr">
        <is>
          <t>00369657</t>
        </is>
      </c>
      <c r="C17" s="24" t="inlineStr">
        <is>
          <t>리노공업</t>
        </is>
      </c>
      <c r="D17" s="24" t="inlineStr">
        <is>
          <t>leeno</t>
        </is>
      </c>
      <c r="E17" s="24" t="inlineStr">
        <is>
          <t>058470</t>
        </is>
      </c>
      <c r="F17" s="24" t="inlineStr">
        <is>
          <t>2021</t>
        </is>
      </c>
      <c r="G17" s="24" t="inlineStr">
        <is>
          <t>OFS</t>
        </is>
      </c>
      <c r="H17" s="24" t="inlineStr">
        <is>
          <t>BS</t>
        </is>
      </c>
      <c r="I17" s="24" t="inlineStr">
        <is>
          <t>재무상태표</t>
        </is>
      </c>
      <c r="J17" s="24" t="inlineStr">
        <is>
          <t>ifrs-full_CurrentLiabilities</t>
        </is>
      </c>
      <c r="K17" s="24" t="inlineStr">
        <is>
          <t>유동부채</t>
        </is>
      </c>
      <c r="L17" s="24" t="inlineStr">
        <is>
          <t>-</t>
        </is>
      </c>
      <c r="M17" s="24" t="inlineStr">
        <is>
          <t>제 26 기</t>
        </is>
      </c>
      <c r="N17" s="24" t="inlineStr">
        <is>
          <t>45990326198.0</t>
        </is>
      </c>
      <c r="O17" s="24" t="inlineStr">
        <is>
          <t>21920276366.0</t>
        </is>
      </c>
      <c r="P17" s="24" t="inlineStr">
        <is>
          <t>KRW</t>
        </is>
      </c>
      <c r="Q17" s="24" t="inlineStr">
        <is>
          <t>16</t>
        </is>
      </c>
    </row>
    <row r="18" ht="24" customHeight="1">
      <c r="A18" s="29" t="inlineStr">
        <is>
          <t>OpenDART_fnlttSinglAcntAll</t>
        </is>
      </c>
      <c r="B18" s="29" t="inlineStr">
        <is>
          <t>00369657</t>
        </is>
      </c>
      <c r="C18" s="29" t="inlineStr">
        <is>
          <t>리노공업</t>
        </is>
      </c>
      <c r="D18" s="29" t="inlineStr">
        <is>
          <t>leeno</t>
        </is>
      </c>
      <c r="E18" s="29" t="inlineStr">
        <is>
          <t>058470</t>
        </is>
      </c>
      <c r="F18" s="29" t="inlineStr">
        <is>
          <t>2021</t>
        </is>
      </c>
      <c r="G18" s="29" t="inlineStr">
        <is>
          <t>OFS</t>
        </is>
      </c>
      <c r="H18" s="29" t="inlineStr">
        <is>
          <t>BS</t>
        </is>
      </c>
      <c r="I18" s="29" t="inlineStr">
        <is>
          <t>재무상태표</t>
        </is>
      </c>
      <c r="J18" s="29" t="inlineStr">
        <is>
          <t>dart_ShortTermTradePayables</t>
        </is>
      </c>
      <c r="K18" s="29" t="inlineStr">
        <is>
          <t>매입채무</t>
        </is>
      </c>
      <c r="L18" s="29" t="inlineStr">
        <is>
          <t>-</t>
        </is>
      </c>
      <c r="M18" s="29" t="inlineStr">
        <is>
          <t>제 26 기</t>
        </is>
      </c>
      <c r="N18" s="29" t="inlineStr">
        <is>
          <t>4695754441.0</t>
        </is>
      </c>
      <c r="O18" s="29" t="inlineStr">
        <is>
          <t>4567741512.0</t>
        </is>
      </c>
      <c r="P18" s="29" t="inlineStr">
        <is>
          <t>KRW</t>
        </is>
      </c>
      <c r="Q18" s="29" t="inlineStr">
        <is>
          <t>17</t>
        </is>
      </c>
    </row>
    <row r="19" ht="24" customHeight="1">
      <c r="A19" s="24" t="inlineStr">
        <is>
          <t>OpenDART_fnlttSinglAcntAll</t>
        </is>
      </c>
      <c r="B19" s="24" t="inlineStr">
        <is>
          <t>00369657</t>
        </is>
      </c>
      <c r="C19" s="24" t="inlineStr">
        <is>
          <t>리노공업</t>
        </is>
      </c>
      <c r="D19" s="24" t="inlineStr">
        <is>
          <t>leeno</t>
        </is>
      </c>
      <c r="E19" s="24" t="inlineStr">
        <is>
          <t>058470</t>
        </is>
      </c>
      <c r="F19" s="24" t="inlineStr">
        <is>
          <t>2021</t>
        </is>
      </c>
      <c r="G19" s="24" t="inlineStr">
        <is>
          <t>OFS</t>
        </is>
      </c>
      <c r="H19" s="24" t="inlineStr">
        <is>
          <t>BS</t>
        </is>
      </c>
      <c r="I19" s="24" t="inlineStr">
        <is>
          <t>재무상태표</t>
        </is>
      </c>
      <c r="J19" s="24" t="inlineStr">
        <is>
          <t>-표준계정코드 미사용-</t>
        </is>
      </c>
      <c r="K19" s="24" t="inlineStr">
        <is>
          <t>기타채무</t>
        </is>
      </c>
      <c r="L19" s="24" t="inlineStr">
        <is>
          <t>-</t>
        </is>
      </c>
      <c r="M19" s="24" t="inlineStr">
        <is>
          <t>제 26 기</t>
        </is>
      </c>
      <c r="N19" s="24" t="inlineStr">
        <is>
          <t>5868163889.0</t>
        </is>
      </c>
      <c r="O19" s="24" t="inlineStr">
        <is>
          <t>5299214854.0</t>
        </is>
      </c>
      <c r="P19" s="24" t="inlineStr">
        <is>
          <t>KRW</t>
        </is>
      </c>
      <c r="Q19" s="24" t="inlineStr">
        <is>
          <t>18</t>
        </is>
      </c>
    </row>
    <row r="20" ht="24" customHeight="1">
      <c r="A20" s="29" t="inlineStr">
        <is>
          <t>OpenDART_fnlttSinglAcntAll</t>
        </is>
      </c>
      <c r="B20" s="29" t="inlineStr">
        <is>
          <t>00369657</t>
        </is>
      </c>
      <c r="C20" s="29" t="inlineStr">
        <is>
          <t>리노공업</t>
        </is>
      </c>
      <c r="D20" s="29" t="inlineStr">
        <is>
          <t>leeno</t>
        </is>
      </c>
      <c r="E20" s="29" t="inlineStr">
        <is>
          <t>058470</t>
        </is>
      </c>
      <c r="F20" s="29" t="inlineStr">
        <is>
          <t>2021</t>
        </is>
      </c>
      <c r="G20" s="29" t="inlineStr">
        <is>
          <t>OFS</t>
        </is>
      </c>
      <c r="H20" s="29" t="inlineStr">
        <is>
          <t>BS</t>
        </is>
      </c>
      <c r="I20" s="29" t="inlineStr">
        <is>
          <t>재무상태표</t>
        </is>
      </c>
      <c r="J20" s="29" t="inlineStr">
        <is>
          <t>ifrs-full_CurrentTaxLiabilities</t>
        </is>
      </c>
      <c r="K20" s="29" t="inlineStr">
        <is>
          <t>당기법인세부채</t>
        </is>
      </c>
      <c r="L20" s="29" t="inlineStr">
        <is>
          <t>-</t>
        </is>
      </c>
      <c r="M20" s="29" t="inlineStr">
        <is>
          <t>제 26 기</t>
        </is>
      </c>
      <c r="N20" s="29" t="inlineStr">
        <is>
          <t>27844212227.0</t>
        </is>
      </c>
      <c r="O20" s="29" t="inlineStr">
        <is>
          <t>10822180508.0</t>
        </is>
      </c>
      <c r="P20" s="29" t="inlineStr">
        <is>
          <t>KRW</t>
        </is>
      </c>
      <c r="Q20" s="29" t="inlineStr">
        <is>
          <t>19</t>
        </is>
      </c>
    </row>
    <row r="21" ht="24" customHeight="1">
      <c r="A21" s="24" t="inlineStr">
        <is>
          <t>OpenDART_fnlttSinglAcntAll</t>
        </is>
      </c>
      <c r="B21" s="24" t="inlineStr">
        <is>
          <t>00369657</t>
        </is>
      </c>
      <c r="C21" s="24" t="inlineStr">
        <is>
          <t>리노공업</t>
        </is>
      </c>
      <c r="D21" s="24" t="inlineStr">
        <is>
          <t>leeno</t>
        </is>
      </c>
      <c r="E21" s="24" t="inlineStr">
        <is>
          <t>058470</t>
        </is>
      </c>
      <c r="F21" s="24" t="inlineStr">
        <is>
          <t>2021</t>
        </is>
      </c>
      <c r="G21" s="24" t="inlineStr">
        <is>
          <t>OFS</t>
        </is>
      </c>
      <c r="H21" s="24" t="inlineStr">
        <is>
          <t>BS</t>
        </is>
      </c>
      <c r="I21" s="24" t="inlineStr">
        <is>
          <t>재무상태표</t>
        </is>
      </c>
      <c r="J21" s="24" t="inlineStr">
        <is>
          <t>dart_OtherCurrentLiabilities</t>
        </is>
      </c>
      <c r="K21" s="24" t="inlineStr">
        <is>
          <t>기타부채</t>
        </is>
      </c>
      <c r="L21" s="24" t="inlineStr">
        <is>
          <t>-</t>
        </is>
      </c>
      <c r="M21" s="24" t="inlineStr">
        <is>
          <t>제 26 기</t>
        </is>
      </c>
      <c r="N21" s="24" t="inlineStr">
        <is>
          <t>7475331734.0</t>
        </is>
      </c>
      <c r="O21" s="24" t="inlineStr">
        <is>
          <t>1132529121.0</t>
        </is>
      </c>
      <c r="P21" s="24" t="inlineStr">
        <is>
          <t>KRW</t>
        </is>
      </c>
      <c r="Q21" s="24" t="inlineStr">
        <is>
          <t>20</t>
        </is>
      </c>
    </row>
    <row r="22" ht="24" customHeight="1">
      <c r="A22" s="29" t="inlineStr">
        <is>
          <t>OpenDART_fnlttSinglAcntAll</t>
        </is>
      </c>
      <c r="B22" s="29" t="inlineStr">
        <is>
          <t>00369657</t>
        </is>
      </c>
      <c r="C22" s="29" t="inlineStr">
        <is>
          <t>리노공업</t>
        </is>
      </c>
      <c r="D22" s="29" t="inlineStr">
        <is>
          <t>leeno</t>
        </is>
      </c>
      <c r="E22" s="29" t="inlineStr">
        <is>
          <t>058470</t>
        </is>
      </c>
      <c r="F22" s="29" t="inlineStr">
        <is>
          <t>2021</t>
        </is>
      </c>
      <c r="G22" s="29" t="inlineStr">
        <is>
          <t>OFS</t>
        </is>
      </c>
      <c r="H22" s="29" t="inlineStr">
        <is>
          <t>BS</t>
        </is>
      </c>
      <c r="I22" s="29" t="inlineStr">
        <is>
          <t>재무상태표</t>
        </is>
      </c>
      <c r="J22" s="29" t="inlineStr">
        <is>
          <t>ifrs-full_CurrentLeaseLiabilities</t>
        </is>
      </c>
      <c r="K22" s="29" t="inlineStr">
        <is>
          <t>리스부채</t>
        </is>
      </c>
      <c r="L22" s="29" t="inlineStr">
        <is>
          <t>-</t>
        </is>
      </c>
      <c r="M22" s="29" t="inlineStr">
        <is>
          <t>제 26 기</t>
        </is>
      </c>
      <c r="N22" s="29" t="inlineStr">
        <is>
          <t>106863907.0</t>
        </is>
      </c>
      <c r="O22" s="29" t="inlineStr">
        <is>
          <t>98610371.0</t>
        </is>
      </c>
      <c r="P22" s="29" t="inlineStr">
        <is>
          <t>KRW</t>
        </is>
      </c>
      <c r="Q22" s="29" t="inlineStr">
        <is>
          <t>21</t>
        </is>
      </c>
    </row>
    <row r="23" ht="24" customHeight="1">
      <c r="A23" s="24" t="inlineStr">
        <is>
          <t>OpenDART_fnlttSinglAcntAll</t>
        </is>
      </c>
      <c r="B23" s="24" t="inlineStr">
        <is>
          <t>00369657</t>
        </is>
      </c>
      <c r="C23" s="24" t="inlineStr">
        <is>
          <t>리노공업</t>
        </is>
      </c>
      <c r="D23" s="24" t="inlineStr">
        <is>
          <t>leeno</t>
        </is>
      </c>
      <c r="E23" s="24" t="inlineStr">
        <is>
          <t>058470</t>
        </is>
      </c>
      <c r="F23" s="24" t="inlineStr">
        <is>
          <t>2021</t>
        </is>
      </c>
      <c r="G23" s="24" t="inlineStr">
        <is>
          <t>OFS</t>
        </is>
      </c>
      <c r="H23" s="24" t="inlineStr">
        <is>
          <t>BS</t>
        </is>
      </c>
      <c r="I23" s="24" t="inlineStr">
        <is>
          <t>재무상태표</t>
        </is>
      </c>
      <c r="J23" s="24" t="inlineStr">
        <is>
          <t>ifrs-full_NoncurrentLiabilities</t>
        </is>
      </c>
      <c r="K23" s="24" t="inlineStr">
        <is>
          <t>비유동부채</t>
        </is>
      </c>
      <c r="L23" s="24" t="inlineStr">
        <is>
          <t>-</t>
        </is>
      </c>
      <c r="M23" s="24" t="inlineStr">
        <is>
          <t>제 26 기</t>
        </is>
      </c>
      <c r="N23" s="24" t="inlineStr">
        <is>
          <t>2677520935.0</t>
        </is>
      </c>
      <c r="O23" s="24" t="inlineStr">
        <is>
          <t>2271855662.0</t>
        </is>
      </c>
      <c r="P23" s="24" t="inlineStr">
        <is>
          <t>KRW</t>
        </is>
      </c>
      <c r="Q23" s="24" t="inlineStr">
        <is>
          <t>22</t>
        </is>
      </c>
    </row>
    <row r="24" ht="24" customHeight="1">
      <c r="A24" s="29" t="inlineStr">
        <is>
          <t>OpenDART_fnlttSinglAcntAll</t>
        </is>
      </c>
      <c r="B24" s="29" t="inlineStr">
        <is>
          <t>00369657</t>
        </is>
      </c>
      <c r="C24" s="29" t="inlineStr">
        <is>
          <t>리노공업</t>
        </is>
      </c>
      <c r="D24" s="29" t="inlineStr">
        <is>
          <t>leeno</t>
        </is>
      </c>
      <c r="E24" s="29" t="inlineStr">
        <is>
          <t>058470</t>
        </is>
      </c>
      <c r="F24" s="29" t="inlineStr">
        <is>
          <t>2021</t>
        </is>
      </c>
      <c r="G24" s="29" t="inlineStr">
        <is>
          <t>OFS</t>
        </is>
      </c>
      <c r="H24" s="29" t="inlineStr">
        <is>
          <t>BS</t>
        </is>
      </c>
      <c r="I24" s="29" t="inlineStr">
        <is>
          <t>재무상태표</t>
        </is>
      </c>
      <c r="J24" s="29" t="inlineStr">
        <is>
          <t>dart_PostemploymentBenefitObligations</t>
        </is>
      </c>
      <c r="K24" s="29" t="inlineStr">
        <is>
          <t>순확정급여부채</t>
        </is>
      </c>
      <c r="L24" s="29" t="inlineStr">
        <is>
          <t>-</t>
        </is>
      </c>
      <c r="M24" s="29" t="inlineStr">
        <is>
          <t>제 26 기</t>
        </is>
      </c>
      <c r="N24" s="29" t="inlineStr">
        <is>
          <t>1025760534.0</t>
        </is>
      </c>
      <c r="O24" s="29" t="inlineStr">
        <is>
          <t>920175841.0</t>
        </is>
      </c>
      <c r="P24" s="29" t="inlineStr">
        <is>
          <t>KRW</t>
        </is>
      </c>
      <c r="Q24" s="29" t="inlineStr">
        <is>
          <t>23</t>
        </is>
      </c>
    </row>
    <row r="25" ht="24" customHeight="1">
      <c r="A25" s="24" t="inlineStr">
        <is>
          <t>OpenDART_fnlttSinglAcntAll</t>
        </is>
      </c>
      <c r="B25" s="24" t="inlineStr">
        <is>
          <t>00369657</t>
        </is>
      </c>
      <c r="C25" s="24" t="inlineStr">
        <is>
          <t>리노공업</t>
        </is>
      </c>
      <c r="D25" s="24" t="inlineStr">
        <is>
          <t>leeno</t>
        </is>
      </c>
      <c r="E25" s="24" t="inlineStr">
        <is>
          <t>058470</t>
        </is>
      </c>
      <c r="F25" s="24" t="inlineStr">
        <is>
          <t>2021</t>
        </is>
      </c>
      <c r="G25" s="24" t="inlineStr">
        <is>
          <t>OFS</t>
        </is>
      </c>
      <c r="H25" s="24" t="inlineStr">
        <is>
          <t>BS</t>
        </is>
      </c>
      <c r="I25" s="24" t="inlineStr">
        <is>
          <t>재무상태표</t>
        </is>
      </c>
      <c r="J25" s="24" t="inlineStr">
        <is>
          <t>ifrs-full_NoncurrentProvisionsForEmployeeBenefits</t>
        </is>
      </c>
      <c r="K25" s="24" t="inlineStr">
        <is>
          <t>기타장기종업원급여부채</t>
        </is>
      </c>
      <c r="L25" s="24" t="inlineStr">
        <is>
          <t>-</t>
        </is>
      </c>
      <c r="M25" s="24" t="inlineStr">
        <is>
          <t>제 26 기</t>
        </is>
      </c>
      <c r="N25" s="24" t="inlineStr">
        <is>
          <t>1502388706.0</t>
        </is>
      </c>
      <c r="O25" s="24" t="inlineStr">
        <is>
          <t>1268567140.0</t>
        </is>
      </c>
      <c r="P25" s="24" t="inlineStr">
        <is>
          <t>KRW</t>
        </is>
      </c>
      <c r="Q25" s="24" t="inlineStr">
        <is>
          <t>24</t>
        </is>
      </c>
    </row>
    <row r="26" ht="24" customHeight="1">
      <c r="A26" s="29" t="inlineStr">
        <is>
          <t>OpenDART_fnlttSinglAcntAll</t>
        </is>
      </c>
      <c r="B26" s="29" t="inlineStr">
        <is>
          <t>00369657</t>
        </is>
      </c>
      <c r="C26" s="29" t="inlineStr">
        <is>
          <t>리노공업</t>
        </is>
      </c>
      <c r="D26" s="29" t="inlineStr">
        <is>
          <t>leeno</t>
        </is>
      </c>
      <c r="E26" s="29" t="inlineStr">
        <is>
          <t>058470</t>
        </is>
      </c>
      <c r="F26" s="29" t="inlineStr">
        <is>
          <t>2021</t>
        </is>
      </c>
      <c r="G26" s="29" t="inlineStr">
        <is>
          <t>OFS</t>
        </is>
      </c>
      <c r="H26" s="29" t="inlineStr">
        <is>
          <t>BS</t>
        </is>
      </c>
      <c r="I26" s="29" t="inlineStr">
        <is>
          <t>재무상태표</t>
        </is>
      </c>
      <c r="J26" s="29" t="inlineStr">
        <is>
          <t>ifrs-full_NoncurrentLeaseLiabilities</t>
        </is>
      </c>
      <c r="K26" s="29" t="inlineStr">
        <is>
          <t>리스부채</t>
        </is>
      </c>
      <c r="L26" s="29" t="inlineStr">
        <is>
          <t>-</t>
        </is>
      </c>
      <c r="M26" s="29" t="inlineStr">
        <is>
          <t>제 26 기</t>
        </is>
      </c>
      <c r="N26" s="29" t="inlineStr">
        <is>
          <t>149371695.0</t>
        </is>
      </c>
      <c r="O26" s="29" t="inlineStr">
        <is>
          <t>83112681.0</t>
        </is>
      </c>
      <c r="P26" s="29" t="inlineStr">
        <is>
          <t>KRW</t>
        </is>
      </c>
      <c r="Q26" s="29" t="inlineStr">
        <is>
          <t>25</t>
        </is>
      </c>
    </row>
    <row r="27" ht="24" customHeight="1">
      <c r="A27" s="24" t="inlineStr">
        <is>
          <t>OpenDART_fnlttSinglAcntAll</t>
        </is>
      </c>
      <c r="B27" s="24" t="inlineStr">
        <is>
          <t>00369657</t>
        </is>
      </c>
      <c r="C27" s="24" t="inlineStr">
        <is>
          <t>리노공업</t>
        </is>
      </c>
      <c r="D27" s="24" t="inlineStr">
        <is>
          <t>leeno</t>
        </is>
      </c>
      <c r="E27" s="24" t="inlineStr">
        <is>
          <t>058470</t>
        </is>
      </c>
      <c r="F27" s="24" t="inlineStr">
        <is>
          <t>2021</t>
        </is>
      </c>
      <c r="G27" s="24" t="inlineStr">
        <is>
          <t>OFS</t>
        </is>
      </c>
      <c r="H27" s="24" t="inlineStr">
        <is>
          <t>BS</t>
        </is>
      </c>
      <c r="I27" s="24" t="inlineStr">
        <is>
          <t>재무상태표</t>
        </is>
      </c>
      <c r="J27" s="24" t="inlineStr">
        <is>
          <t>ifrs-full_Liabilities</t>
        </is>
      </c>
      <c r="K27" s="24" t="inlineStr">
        <is>
          <t>부채총계</t>
        </is>
      </c>
      <c r="L27" s="24" t="inlineStr">
        <is>
          <t>-</t>
        </is>
      </c>
      <c r="M27" s="24" t="inlineStr">
        <is>
          <t>제 26 기</t>
        </is>
      </c>
      <c r="N27" s="24" t="inlineStr">
        <is>
          <t>48667847133.0</t>
        </is>
      </c>
      <c r="O27" s="24" t="inlineStr">
        <is>
          <t>24192132028.0</t>
        </is>
      </c>
      <c r="P27" s="24" t="inlineStr">
        <is>
          <t>KRW</t>
        </is>
      </c>
      <c r="Q27" s="24" t="inlineStr">
        <is>
          <t>26</t>
        </is>
      </c>
    </row>
    <row r="28" ht="24" customHeight="1">
      <c r="A28" s="29" t="inlineStr">
        <is>
          <t>OpenDART_fnlttSinglAcntAll</t>
        </is>
      </c>
      <c r="B28" s="29" t="inlineStr">
        <is>
          <t>00369657</t>
        </is>
      </c>
      <c r="C28" s="29" t="inlineStr">
        <is>
          <t>리노공업</t>
        </is>
      </c>
      <c r="D28" s="29" t="inlineStr">
        <is>
          <t>leeno</t>
        </is>
      </c>
      <c r="E28" s="29" t="inlineStr">
        <is>
          <t>058470</t>
        </is>
      </c>
      <c r="F28" s="29" t="inlineStr">
        <is>
          <t>2021</t>
        </is>
      </c>
      <c r="G28" s="29" t="inlineStr">
        <is>
          <t>OFS</t>
        </is>
      </c>
      <c r="H28" s="29" t="inlineStr">
        <is>
          <t>BS</t>
        </is>
      </c>
      <c r="I28" s="29" t="inlineStr">
        <is>
          <t>재무상태표</t>
        </is>
      </c>
      <c r="J28" s="29" t="inlineStr">
        <is>
          <t>ifrs-full_IssuedCapital</t>
        </is>
      </c>
      <c r="K28" s="29" t="inlineStr">
        <is>
          <t>자본금</t>
        </is>
      </c>
      <c r="L28" s="29" t="inlineStr">
        <is>
          <t>-</t>
        </is>
      </c>
      <c r="M28" s="29" t="inlineStr">
        <is>
          <t>제 26 기</t>
        </is>
      </c>
      <c r="N28" s="29" t="inlineStr">
        <is>
          <t>7621185000.0</t>
        </is>
      </c>
      <c r="O28" s="29" t="inlineStr">
        <is>
          <t>7621185000.0</t>
        </is>
      </c>
      <c r="P28" s="29" t="inlineStr">
        <is>
          <t>KRW</t>
        </is>
      </c>
      <c r="Q28" s="29" t="inlineStr">
        <is>
          <t>28</t>
        </is>
      </c>
    </row>
    <row r="29" ht="24" customHeight="1">
      <c r="A29" s="24" t="inlineStr">
        <is>
          <t>OpenDART_fnlttSinglAcntAll</t>
        </is>
      </c>
      <c r="B29" s="24" t="inlineStr">
        <is>
          <t>00369657</t>
        </is>
      </c>
      <c r="C29" s="24" t="inlineStr">
        <is>
          <t>리노공업</t>
        </is>
      </c>
      <c r="D29" s="24" t="inlineStr">
        <is>
          <t>leeno</t>
        </is>
      </c>
      <c r="E29" s="24" t="inlineStr">
        <is>
          <t>058470</t>
        </is>
      </c>
      <c r="F29" s="24" t="inlineStr">
        <is>
          <t>2021</t>
        </is>
      </c>
      <c r="G29" s="24" t="inlineStr">
        <is>
          <t>OFS</t>
        </is>
      </c>
      <c r="H29" s="24" t="inlineStr">
        <is>
          <t>BS</t>
        </is>
      </c>
      <c r="I29" s="24" t="inlineStr">
        <is>
          <t>재무상태표</t>
        </is>
      </c>
      <c r="J29" s="24" t="inlineStr">
        <is>
          <t>dart_CapitalSurplus</t>
        </is>
      </c>
      <c r="K29" s="24" t="inlineStr">
        <is>
          <t>자본잉여금</t>
        </is>
      </c>
      <c r="L29" s="24" t="inlineStr">
        <is>
          <t>-</t>
        </is>
      </c>
      <c r="M29" s="24" t="inlineStr">
        <is>
          <t>제 26 기</t>
        </is>
      </c>
      <c r="N29" s="24" t="inlineStr">
        <is>
          <t>5601810444.0</t>
        </is>
      </c>
      <c r="O29" s="24" t="inlineStr">
        <is>
          <t>5601810444.0</t>
        </is>
      </c>
      <c r="P29" s="24" t="inlineStr">
        <is>
          <t>KRW</t>
        </is>
      </c>
      <c r="Q29" s="24" t="inlineStr">
        <is>
          <t>29</t>
        </is>
      </c>
    </row>
    <row r="30" ht="24" customHeight="1">
      <c r="A30" s="29" t="inlineStr">
        <is>
          <t>OpenDART_fnlttSinglAcntAll</t>
        </is>
      </c>
      <c r="B30" s="29" t="inlineStr">
        <is>
          <t>00369657</t>
        </is>
      </c>
      <c r="C30" s="29" t="inlineStr">
        <is>
          <t>리노공업</t>
        </is>
      </c>
      <c r="D30" s="29" t="inlineStr">
        <is>
          <t>leeno</t>
        </is>
      </c>
      <c r="E30" s="29" t="inlineStr">
        <is>
          <t>058470</t>
        </is>
      </c>
      <c r="F30" s="29" t="inlineStr">
        <is>
          <t>2021</t>
        </is>
      </c>
      <c r="G30" s="29" t="inlineStr">
        <is>
          <t>OFS</t>
        </is>
      </c>
      <c r="H30" s="29" t="inlineStr">
        <is>
          <t>BS</t>
        </is>
      </c>
      <c r="I30" s="29" t="inlineStr">
        <is>
          <t>재무상태표</t>
        </is>
      </c>
      <c r="J30" s="29" t="inlineStr">
        <is>
          <t>dart_OtherCapitalAdjustments</t>
        </is>
      </c>
      <c r="K30" s="29" t="inlineStr">
        <is>
          <t>자본조정</t>
        </is>
      </c>
      <c r="L30" s="29" t="inlineStr">
        <is>
          <t>-</t>
        </is>
      </c>
      <c r="M30" s="29" t="inlineStr">
        <is>
          <t>제 26 기</t>
        </is>
      </c>
      <c r="N30" s="29" t="inlineStr">
        <is>
          <t>-2353516350.0</t>
        </is>
      </c>
      <c r="O30" s="29" t="inlineStr">
        <is>
          <t>-2353516350.0</t>
        </is>
      </c>
      <c r="P30" s="29" t="inlineStr">
        <is>
          <t>KRW</t>
        </is>
      </c>
      <c r="Q30" s="29" t="inlineStr">
        <is>
          <t>30</t>
        </is>
      </c>
    </row>
    <row r="31" ht="24" customHeight="1">
      <c r="A31" s="24" t="inlineStr">
        <is>
          <t>OpenDART_fnlttSinglAcntAll</t>
        </is>
      </c>
      <c r="B31" s="24" t="inlineStr">
        <is>
          <t>00369657</t>
        </is>
      </c>
      <c r="C31" s="24" t="inlineStr">
        <is>
          <t>리노공업</t>
        </is>
      </c>
      <c r="D31" s="24" t="inlineStr">
        <is>
          <t>leeno</t>
        </is>
      </c>
      <c r="E31" s="24" t="inlineStr">
        <is>
          <t>058470</t>
        </is>
      </c>
      <c r="F31" s="24" t="inlineStr">
        <is>
          <t>2021</t>
        </is>
      </c>
      <c r="G31" s="24" t="inlineStr">
        <is>
          <t>OFS</t>
        </is>
      </c>
      <c r="H31" s="24" t="inlineStr">
        <is>
          <t>BS</t>
        </is>
      </c>
      <c r="I31" s="24" t="inlineStr">
        <is>
          <t>재무상태표</t>
        </is>
      </c>
      <c r="J31" s="24" t="inlineStr">
        <is>
          <t>ifrs-full_RetainedEarnings</t>
        </is>
      </c>
      <c r="K31" s="24" t="inlineStr">
        <is>
          <t>이익잉여금</t>
        </is>
      </c>
      <c r="L31" s="24" t="inlineStr">
        <is>
          <t>-</t>
        </is>
      </c>
      <c r="M31" s="24" t="inlineStr">
        <is>
          <t>제 26 기</t>
        </is>
      </c>
      <c r="N31" s="24" t="inlineStr">
        <is>
          <t>406833708009.0</t>
        </is>
      </c>
      <c r="O31" s="24" t="inlineStr">
        <is>
          <t>326471703418.0</t>
        </is>
      </c>
      <c r="P31" s="24" t="inlineStr">
        <is>
          <t>KRW</t>
        </is>
      </c>
      <c r="Q31" s="24" t="inlineStr">
        <is>
          <t>31</t>
        </is>
      </c>
    </row>
    <row r="32" ht="24" customHeight="1">
      <c r="A32" s="29" t="inlineStr">
        <is>
          <t>OpenDART_fnlttSinglAcntAll</t>
        </is>
      </c>
      <c r="B32" s="29" t="inlineStr">
        <is>
          <t>00369657</t>
        </is>
      </c>
      <c r="C32" s="29" t="inlineStr">
        <is>
          <t>리노공업</t>
        </is>
      </c>
      <c r="D32" s="29" t="inlineStr">
        <is>
          <t>leeno</t>
        </is>
      </c>
      <c r="E32" s="29" t="inlineStr">
        <is>
          <t>058470</t>
        </is>
      </c>
      <c r="F32" s="29" t="inlineStr">
        <is>
          <t>2021</t>
        </is>
      </c>
      <c r="G32" s="29" t="inlineStr">
        <is>
          <t>OFS</t>
        </is>
      </c>
      <c r="H32" s="29" t="inlineStr">
        <is>
          <t>BS</t>
        </is>
      </c>
      <c r="I32" s="29" t="inlineStr">
        <is>
          <t>재무상태표</t>
        </is>
      </c>
      <c r="J32" s="29" t="inlineStr">
        <is>
          <t>ifrs-full_Equity</t>
        </is>
      </c>
      <c r="K32" s="29" t="inlineStr">
        <is>
          <t>자본총계</t>
        </is>
      </c>
      <c r="L32" s="29" t="inlineStr">
        <is>
          <t>-</t>
        </is>
      </c>
      <c r="M32" s="29" t="inlineStr">
        <is>
          <t>제 26 기</t>
        </is>
      </c>
      <c r="N32" s="29" t="inlineStr">
        <is>
          <t>417703187103.0</t>
        </is>
      </c>
      <c r="O32" s="29" t="inlineStr">
        <is>
          <t>337341182512.0</t>
        </is>
      </c>
      <c r="P32" s="29" t="inlineStr">
        <is>
          <t>KRW</t>
        </is>
      </c>
      <c r="Q32" s="29" t="inlineStr">
        <is>
          <t>32</t>
        </is>
      </c>
    </row>
    <row r="33" ht="24" customHeight="1">
      <c r="A33" s="24" t="inlineStr">
        <is>
          <t>OpenDART_fnlttSinglAcntAll</t>
        </is>
      </c>
      <c r="B33" s="24" t="inlineStr">
        <is>
          <t>00369657</t>
        </is>
      </c>
      <c r="C33" s="24" t="inlineStr">
        <is>
          <t>리노공업</t>
        </is>
      </c>
      <c r="D33" s="24" t="inlineStr">
        <is>
          <t>leeno</t>
        </is>
      </c>
      <c r="E33" s="24" t="inlineStr">
        <is>
          <t>058470</t>
        </is>
      </c>
      <c r="F33" s="24" t="inlineStr">
        <is>
          <t>2021</t>
        </is>
      </c>
      <c r="G33" s="24" t="inlineStr">
        <is>
          <t>OFS</t>
        </is>
      </c>
      <c r="H33" s="24" t="inlineStr">
        <is>
          <t>BS</t>
        </is>
      </c>
      <c r="I33" s="24" t="inlineStr">
        <is>
          <t>재무상태표</t>
        </is>
      </c>
      <c r="J33" s="24" t="inlineStr">
        <is>
          <t>ifrs-full_EquityAndLiabilities</t>
        </is>
      </c>
      <c r="K33" s="24" t="inlineStr">
        <is>
          <t>부채와자본총계</t>
        </is>
      </c>
      <c r="L33" s="24" t="inlineStr">
        <is>
          <t>-</t>
        </is>
      </c>
      <c r="M33" s="24" t="inlineStr">
        <is>
          <t>제 26 기</t>
        </is>
      </c>
      <c r="N33" s="24" t="inlineStr">
        <is>
          <t>466371034236.0</t>
        </is>
      </c>
      <c r="O33" s="24" t="inlineStr">
        <is>
          <t>361533314540.0</t>
        </is>
      </c>
      <c r="P33" s="24" t="inlineStr">
        <is>
          <t>KRW</t>
        </is>
      </c>
      <c r="Q33" s="24" t="inlineStr">
        <is>
          <t>33</t>
        </is>
      </c>
    </row>
    <row r="34" ht="24" customHeight="1">
      <c r="A34" s="29" t="inlineStr">
        <is>
          <t>OpenDART_fnlttSinglAcntAll</t>
        </is>
      </c>
      <c r="B34" s="29" t="inlineStr">
        <is>
          <t>00369657</t>
        </is>
      </c>
      <c r="C34" s="29" t="inlineStr">
        <is>
          <t>리노공업</t>
        </is>
      </c>
      <c r="D34" s="29" t="inlineStr">
        <is>
          <t>leeno</t>
        </is>
      </c>
      <c r="E34" s="29" t="inlineStr">
        <is>
          <t>058470</t>
        </is>
      </c>
      <c r="F34" s="29" t="inlineStr">
        <is>
          <t>2021</t>
        </is>
      </c>
      <c r="G34" s="29" t="inlineStr">
        <is>
          <t>OFS</t>
        </is>
      </c>
      <c r="H34" s="29" t="inlineStr">
        <is>
          <t>CIS</t>
        </is>
      </c>
      <c r="I34" s="29" t="inlineStr">
        <is>
          <t>포괄손익계산서</t>
        </is>
      </c>
      <c r="J34" s="29" t="inlineStr">
        <is>
          <t>ifrs-full_Revenue</t>
        </is>
      </c>
      <c r="K34" s="29" t="inlineStr">
        <is>
          <t>매출액</t>
        </is>
      </c>
      <c r="L34" s="29" t="inlineStr">
        <is>
          <t>-</t>
        </is>
      </c>
      <c r="M34" s="29" t="inlineStr">
        <is>
          <t>제 26 기</t>
        </is>
      </c>
      <c r="N34" s="29" t="inlineStr">
        <is>
          <t>280166833067.0</t>
        </is>
      </c>
      <c r="O34" s="29" t="inlineStr">
        <is>
          <t>201335459350.0</t>
        </is>
      </c>
      <c r="P34" s="29" t="inlineStr">
        <is>
          <t>KRW</t>
        </is>
      </c>
      <c r="Q34" s="29" t="inlineStr">
        <is>
          <t>0</t>
        </is>
      </c>
    </row>
    <row r="35" ht="24" customHeight="1">
      <c r="A35" s="24" t="inlineStr">
        <is>
          <t>OpenDART_fnlttSinglAcntAll</t>
        </is>
      </c>
      <c r="B35" s="24" t="inlineStr">
        <is>
          <t>00369657</t>
        </is>
      </c>
      <c r="C35" s="24" t="inlineStr">
        <is>
          <t>리노공업</t>
        </is>
      </c>
      <c r="D35" s="24" t="inlineStr">
        <is>
          <t>leeno</t>
        </is>
      </c>
      <c r="E35" s="24" t="inlineStr">
        <is>
          <t>058470</t>
        </is>
      </c>
      <c r="F35" s="24" t="inlineStr">
        <is>
          <t>2021</t>
        </is>
      </c>
      <c r="G35" s="24" t="inlineStr">
        <is>
          <t>OFS</t>
        </is>
      </c>
      <c r="H35" s="24" t="inlineStr">
        <is>
          <t>CIS</t>
        </is>
      </c>
      <c r="I35" s="24" t="inlineStr">
        <is>
          <t>포괄손익계산서</t>
        </is>
      </c>
      <c r="J35" s="24" t="inlineStr">
        <is>
          <t>ifrs-full_CostOfSales</t>
        </is>
      </c>
      <c r="K35" s="24" t="inlineStr">
        <is>
          <t>매출원가</t>
        </is>
      </c>
      <c r="L35" s="24" t="inlineStr">
        <is>
          <t>-</t>
        </is>
      </c>
      <c r="M35" s="24" t="inlineStr">
        <is>
          <t>제 26 기</t>
        </is>
      </c>
      <c r="N35" s="24" t="inlineStr">
        <is>
          <t>148928526171.0</t>
        </is>
      </c>
      <c r="O35" s="24" t="inlineStr">
        <is>
          <t>112557857773.0</t>
        </is>
      </c>
      <c r="P35" s="24" t="inlineStr">
        <is>
          <t>KRW</t>
        </is>
      </c>
      <c r="Q35" s="24" t="inlineStr">
        <is>
          <t>1</t>
        </is>
      </c>
    </row>
    <row r="36" ht="24" customHeight="1">
      <c r="A36" s="29" t="inlineStr">
        <is>
          <t>OpenDART_fnlttSinglAcntAll</t>
        </is>
      </c>
      <c r="B36" s="29" t="inlineStr">
        <is>
          <t>00369657</t>
        </is>
      </c>
      <c r="C36" s="29" t="inlineStr">
        <is>
          <t>리노공업</t>
        </is>
      </c>
      <c r="D36" s="29" t="inlineStr">
        <is>
          <t>leeno</t>
        </is>
      </c>
      <c r="E36" s="29" t="inlineStr">
        <is>
          <t>058470</t>
        </is>
      </c>
      <c r="F36" s="29" t="inlineStr">
        <is>
          <t>2021</t>
        </is>
      </c>
      <c r="G36" s="29" t="inlineStr">
        <is>
          <t>OFS</t>
        </is>
      </c>
      <c r="H36" s="29" t="inlineStr">
        <is>
          <t>CIS</t>
        </is>
      </c>
      <c r="I36" s="29" t="inlineStr">
        <is>
          <t>포괄손익계산서</t>
        </is>
      </c>
      <c r="J36" s="29" t="inlineStr">
        <is>
          <t>ifrs-full_GrossProfit</t>
        </is>
      </c>
      <c r="K36" s="29" t="inlineStr">
        <is>
          <t>매출총이익</t>
        </is>
      </c>
      <c r="L36" s="29" t="inlineStr">
        <is>
          <t>-</t>
        </is>
      </c>
      <c r="M36" s="29" t="inlineStr">
        <is>
          <t>제 26 기</t>
        </is>
      </c>
      <c r="N36" s="29" t="inlineStr">
        <is>
          <t>131238306896.0</t>
        </is>
      </c>
      <c r="O36" s="29" t="inlineStr">
        <is>
          <t>88777601577.0</t>
        </is>
      </c>
      <c r="P36" s="29" t="inlineStr">
        <is>
          <t>KRW</t>
        </is>
      </c>
      <c r="Q36" s="29" t="inlineStr">
        <is>
          <t>2</t>
        </is>
      </c>
    </row>
    <row r="37" ht="24" customHeight="1">
      <c r="A37" s="24" t="inlineStr">
        <is>
          <t>OpenDART_fnlttSinglAcntAll</t>
        </is>
      </c>
      <c r="B37" s="24" t="inlineStr">
        <is>
          <t>00369657</t>
        </is>
      </c>
      <c r="C37" s="24" t="inlineStr">
        <is>
          <t>리노공업</t>
        </is>
      </c>
      <c r="D37" s="24" t="inlineStr">
        <is>
          <t>leeno</t>
        </is>
      </c>
      <c r="E37" s="24" t="inlineStr">
        <is>
          <t>058470</t>
        </is>
      </c>
      <c r="F37" s="24" t="inlineStr">
        <is>
          <t>2021</t>
        </is>
      </c>
      <c r="G37" s="24" t="inlineStr">
        <is>
          <t>OFS</t>
        </is>
      </c>
      <c r="H37" s="24" t="inlineStr">
        <is>
          <t>CIS</t>
        </is>
      </c>
      <c r="I37" s="24" t="inlineStr">
        <is>
          <t>포괄손익계산서</t>
        </is>
      </c>
      <c r="J37" s="24" t="inlineStr">
        <is>
          <t>dart_TotalSellingGeneralAdministrativeExpenses</t>
        </is>
      </c>
      <c r="K37" s="24" t="inlineStr">
        <is>
          <t>판매비와관리비</t>
        </is>
      </c>
      <c r="L37" s="24" t="inlineStr">
        <is>
          <t>-</t>
        </is>
      </c>
      <c r="M37" s="24" t="inlineStr">
        <is>
          <t>제 26 기</t>
        </is>
      </c>
      <c r="N37" s="24" t="inlineStr">
        <is>
          <t>14133953654.0</t>
        </is>
      </c>
      <c r="O37" s="24" t="inlineStr">
        <is>
          <t>10895847887.0</t>
        </is>
      </c>
      <c r="P37" s="24" t="inlineStr">
        <is>
          <t>KRW</t>
        </is>
      </c>
      <c r="Q37" s="24" t="inlineStr">
        <is>
          <t>3</t>
        </is>
      </c>
    </row>
    <row r="38" ht="24" customHeight="1">
      <c r="A38" s="29" t="inlineStr">
        <is>
          <t>OpenDART_fnlttSinglAcntAll</t>
        </is>
      </c>
      <c r="B38" s="29" t="inlineStr">
        <is>
          <t>00369657</t>
        </is>
      </c>
      <c r="C38" s="29" t="inlineStr">
        <is>
          <t>리노공업</t>
        </is>
      </c>
      <c r="D38" s="29" t="inlineStr">
        <is>
          <t>leeno</t>
        </is>
      </c>
      <c r="E38" s="29" t="inlineStr">
        <is>
          <t>058470</t>
        </is>
      </c>
      <c r="F38" s="29" t="inlineStr">
        <is>
          <t>2021</t>
        </is>
      </c>
      <c r="G38" s="29" t="inlineStr">
        <is>
          <t>OFS</t>
        </is>
      </c>
      <c r="H38" s="29" t="inlineStr">
        <is>
          <t>CIS</t>
        </is>
      </c>
      <c r="I38" s="29" t="inlineStr">
        <is>
          <t>포괄손익계산서</t>
        </is>
      </c>
      <c r="J38" s="29" t="inlineStr">
        <is>
          <t>dart_OperatingIncomeLoss</t>
        </is>
      </c>
      <c r="K38" s="29" t="inlineStr">
        <is>
          <t>영업이익</t>
        </is>
      </c>
      <c r="L38" s="29" t="inlineStr">
        <is>
          <t>-</t>
        </is>
      </c>
      <c r="M38" s="29" t="inlineStr">
        <is>
          <t>제 26 기</t>
        </is>
      </c>
      <c r="N38" s="29" t="inlineStr">
        <is>
          <t>117104353242.0</t>
        </is>
      </c>
      <c r="O38" s="29" t="inlineStr">
        <is>
          <t>77881753690.0</t>
        </is>
      </c>
      <c r="P38" s="29" t="inlineStr">
        <is>
          <t>KRW</t>
        </is>
      </c>
      <c r="Q38" s="29" t="inlineStr">
        <is>
          <t>4</t>
        </is>
      </c>
    </row>
    <row r="39" ht="24" customHeight="1">
      <c r="A39" s="24" t="inlineStr">
        <is>
          <t>OpenDART_fnlttSinglAcntAll</t>
        </is>
      </c>
      <c r="B39" s="24" t="inlineStr">
        <is>
          <t>00369657</t>
        </is>
      </c>
      <c r="C39" s="24" t="inlineStr">
        <is>
          <t>리노공업</t>
        </is>
      </c>
      <c r="D39" s="24" t="inlineStr">
        <is>
          <t>leeno</t>
        </is>
      </c>
      <c r="E39" s="24" t="inlineStr">
        <is>
          <t>058470</t>
        </is>
      </c>
      <c r="F39" s="24" t="inlineStr">
        <is>
          <t>2021</t>
        </is>
      </c>
      <c r="G39" s="24" t="inlineStr">
        <is>
          <t>OFS</t>
        </is>
      </c>
      <c r="H39" s="24" t="inlineStr">
        <is>
          <t>CIS</t>
        </is>
      </c>
      <c r="I39" s="24" t="inlineStr">
        <is>
          <t>포괄손익계산서</t>
        </is>
      </c>
      <c r="J39" s="24" t="inlineStr">
        <is>
          <t>-표준계정코드 미사용-</t>
        </is>
      </c>
      <c r="K39" s="24" t="inlineStr">
        <is>
          <t>영업외손익</t>
        </is>
      </c>
      <c r="L39" s="24" t="inlineStr">
        <is>
          <t>-</t>
        </is>
      </c>
      <c r="M39" s="24" t="inlineStr">
        <is>
          <t>제 26 기</t>
        </is>
      </c>
      <c r="N39" s="24" t="inlineStr">
        <is>
          <t>21788746915.0</t>
        </is>
      </c>
      <c r="O39" s="24" t="inlineStr">
        <is>
          <t>-4329386133.0</t>
        </is>
      </c>
      <c r="P39" s="24" t="inlineStr">
        <is>
          <t>KRW</t>
        </is>
      </c>
      <c r="Q39" s="24" t="inlineStr">
        <is>
          <t>5</t>
        </is>
      </c>
    </row>
    <row r="40" ht="24" customHeight="1">
      <c r="A40" s="29" t="inlineStr">
        <is>
          <t>OpenDART_fnlttSinglAcntAll</t>
        </is>
      </c>
      <c r="B40" s="29" t="inlineStr">
        <is>
          <t>00369657</t>
        </is>
      </c>
      <c r="C40" s="29" t="inlineStr">
        <is>
          <t>리노공업</t>
        </is>
      </c>
      <c r="D40" s="29" t="inlineStr">
        <is>
          <t>leeno</t>
        </is>
      </c>
      <c r="E40" s="29" t="inlineStr">
        <is>
          <t>058470</t>
        </is>
      </c>
      <c r="F40" s="29" t="inlineStr">
        <is>
          <t>2021</t>
        </is>
      </c>
      <c r="G40" s="29" t="inlineStr">
        <is>
          <t>OFS</t>
        </is>
      </c>
      <c r="H40" s="29" t="inlineStr">
        <is>
          <t>CIS</t>
        </is>
      </c>
      <c r="I40" s="29" t="inlineStr">
        <is>
          <t>포괄손익계산서</t>
        </is>
      </c>
      <c r="J40" s="29" t="inlineStr">
        <is>
          <t>-표준계정코드 미사용-</t>
        </is>
      </c>
      <c r="K40" s="29" t="inlineStr">
        <is>
          <t>기타수익</t>
        </is>
      </c>
      <c r="L40" s="29" t="inlineStr">
        <is>
          <t>-</t>
        </is>
      </c>
      <c r="M40" s="29" t="inlineStr">
        <is>
          <t>제 26 기</t>
        </is>
      </c>
      <c r="N40" s="29" t="inlineStr">
        <is>
          <t>22318632875.0</t>
        </is>
      </c>
      <c r="O40" s="29" t="inlineStr">
        <is>
          <t>4635955897.0</t>
        </is>
      </c>
      <c r="P40" s="29" t="inlineStr">
        <is>
          <t>KRW</t>
        </is>
      </c>
      <c r="Q40" s="29" t="inlineStr">
        <is>
          <t>6</t>
        </is>
      </c>
    </row>
    <row r="41" ht="24" customHeight="1">
      <c r="A41" s="24" t="inlineStr">
        <is>
          <t>OpenDART_fnlttSinglAcntAll</t>
        </is>
      </c>
      <c r="B41" s="24" t="inlineStr">
        <is>
          <t>00369657</t>
        </is>
      </c>
      <c r="C41" s="24" t="inlineStr">
        <is>
          <t>리노공업</t>
        </is>
      </c>
      <c r="D41" s="24" t="inlineStr">
        <is>
          <t>leeno</t>
        </is>
      </c>
      <c r="E41" s="24" t="inlineStr">
        <is>
          <t>058470</t>
        </is>
      </c>
      <c r="F41" s="24" t="inlineStr">
        <is>
          <t>2021</t>
        </is>
      </c>
      <c r="G41" s="24" t="inlineStr">
        <is>
          <t>OFS</t>
        </is>
      </c>
      <c r="H41" s="24" t="inlineStr">
        <is>
          <t>CIS</t>
        </is>
      </c>
      <c r="I41" s="24" t="inlineStr">
        <is>
          <t>포괄손익계산서</t>
        </is>
      </c>
      <c r="J41" s="24" t="inlineStr">
        <is>
          <t>-표준계정코드 미사용-</t>
        </is>
      </c>
      <c r="K41" s="24" t="inlineStr">
        <is>
          <t>기타비용</t>
        </is>
      </c>
      <c r="L41" s="24" t="inlineStr">
        <is>
          <t>-</t>
        </is>
      </c>
      <c r="M41" s="24" t="inlineStr">
        <is>
          <t>제 26 기</t>
        </is>
      </c>
      <c r="N41" s="24" t="inlineStr">
        <is>
          <t>2295840316.0</t>
        </is>
      </c>
      <c r="O41" s="24" t="inlineStr">
        <is>
          <t>10976127474.0</t>
        </is>
      </c>
      <c r="P41" s="24" t="inlineStr">
        <is>
          <t>KRW</t>
        </is>
      </c>
      <c r="Q41" s="24" t="inlineStr">
        <is>
          <t>7</t>
        </is>
      </c>
    </row>
    <row r="42" ht="24" customHeight="1">
      <c r="A42" s="29" t="inlineStr">
        <is>
          <t>OpenDART_fnlttSinglAcntAll</t>
        </is>
      </c>
      <c r="B42" s="29" t="inlineStr">
        <is>
          <t>00369657</t>
        </is>
      </c>
      <c r="C42" s="29" t="inlineStr">
        <is>
          <t>리노공업</t>
        </is>
      </c>
      <c r="D42" s="29" t="inlineStr">
        <is>
          <t>leeno</t>
        </is>
      </c>
      <c r="E42" s="29" t="inlineStr">
        <is>
          <t>058470</t>
        </is>
      </c>
      <c r="F42" s="29" t="inlineStr">
        <is>
          <t>2021</t>
        </is>
      </c>
      <c r="G42" s="29" t="inlineStr">
        <is>
          <t>OFS</t>
        </is>
      </c>
      <c r="H42" s="29" t="inlineStr">
        <is>
          <t>CIS</t>
        </is>
      </c>
      <c r="I42" s="29" t="inlineStr">
        <is>
          <t>포괄손익계산서</t>
        </is>
      </c>
      <c r="J42" s="29" t="inlineStr">
        <is>
          <t>-표준계정코드 미사용-</t>
        </is>
      </c>
      <c r="K42" s="29" t="inlineStr">
        <is>
          <t>금융수익</t>
        </is>
      </c>
      <c r="L42" s="29" t="inlineStr">
        <is>
          <t>-</t>
        </is>
      </c>
      <c r="M42" s="29" t="inlineStr">
        <is>
          <t>제 26 기</t>
        </is>
      </c>
      <c r="N42" s="29" t="inlineStr">
        <is>
          <t>1773826051.0</t>
        </is>
      </c>
      <c r="O42" s="29" t="inlineStr">
        <is>
          <t>2018563881.0</t>
        </is>
      </c>
      <c r="P42" s="29" t="inlineStr">
        <is>
          <t>KRW</t>
        </is>
      </c>
      <c r="Q42" s="29" t="inlineStr">
        <is>
          <t>8</t>
        </is>
      </c>
    </row>
    <row r="43" ht="24" customHeight="1">
      <c r="A43" s="24" t="inlineStr">
        <is>
          <t>OpenDART_fnlttSinglAcntAll</t>
        </is>
      </c>
      <c r="B43" s="24" t="inlineStr">
        <is>
          <t>00369657</t>
        </is>
      </c>
      <c r="C43" s="24" t="inlineStr">
        <is>
          <t>리노공업</t>
        </is>
      </c>
      <c r="D43" s="24" t="inlineStr">
        <is>
          <t>leeno</t>
        </is>
      </c>
      <c r="E43" s="24" t="inlineStr">
        <is>
          <t>058470</t>
        </is>
      </c>
      <c r="F43" s="24" t="inlineStr">
        <is>
          <t>2021</t>
        </is>
      </c>
      <c r="G43" s="24" t="inlineStr">
        <is>
          <t>OFS</t>
        </is>
      </c>
      <c r="H43" s="24" t="inlineStr">
        <is>
          <t>CIS</t>
        </is>
      </c>
      <c r="I43" s="24" t="inlineStr">
        <is>
          <t>포괄손익계산서</t>
        </is>
      </c>
      <c r="J43" s="24" t="inlineStr">
        <is>
          <t>-표준계정코드 미사용-</t>
        </is>
      </c>
      <c r="K43" s="24" t="inlineStr">
        <is>
          <t>금융비용</t>
        </is>
      </c>
      <c r="L43" s="24" t="inlineStr">
        <is>
          <t>-</t>
        </is>
      </c>
      <c r="M43" s="24" t="inlineStr">
        <is>
          <t>제 26 기</t>
        </is>
      </c>
      <c r="N43" s="24" t="inlineStr">
        <is>
          <t>7871695.0</t>
        </is>
      </c>
      <c r="O43" s="24" t="inlineStr">
        <is>
          <t>7778437.0</t>
        </is>
      </c>
      <c r="P43" s="24" t="inlineStr">
        <is>
          <t>KRW</t>
        </is>
      </c>
      <c r="Q43" s="24" t="inlineStr">
        <is>
          <t>9</t>
        </is>
      </c>
    </row>
    <row r="44" ht="24" customHeight="1">
      <c r="A44" s="29" t="inlineStr">
        <is>
          <t>OpenDART_fnlttSinglAcntAll</t>
        </is>
      </c>
      <c r="B44" s="29" t="inlineStr">
        <is>
          <t>00369657</t>
        </is>
      </c>
      <c r="C44" s="29" t="inlineStr">
        <is>
          <t>리노공업</t>
        </is>
      </c>
      <c r="D44" s="29" t="inlineStr">
        <is>
          <t>leeno</t>
        </is>
      </c>
      <c r="E44" s="29" t="inlineStr">
        <is>
          <t>058470</t>
        </is>
      </c>
      <c r="F44" s="29" t="inlineStr">
        <is>
          <t>2021</t>
        </is>
      </c>
      <c r="G44" s="29" t="inlineStr">
        <is>
          <t>OFS</t>
        </is>
      </c>
      <c r="H44" s="29" t="inlineStr">
        <is>
          <t>CIS</t>
        </is>
      </c>
      <c r="I44" s="29" t="inlineStr">
        <is>
          <t>포괄손익계산서</t>
        </is>
      </c>
      <c r="J44" s="29" t="inlineStr">
        <is>
          <t>ifrs-full_ProfitLossBeforeTax</t>
        </is>
      </c>
      <c r="K44" s="29" t="inlineStr">
        <is>
          <t>법인세비용차감전순이익</t>
        </is>
      </c>
      <c r="L44" s="29" t="inlineStr">
        <is>
          <t>-</t>
        </is>
      </c>
      <c r="M44" s="29" t="inlineStr">
        <is>
          <t>제 26 기</t>
        </is>
      </c>
      <c r="N44" s="29" t="inlineStr">
        <is>
          <t>138893100157.0</t>
        </is>
      </c>
      <c r="O44" s="29" t="inlineStr">
        <is>
          <t>73552367557.0</t>
        </is>
      </c>
      <c r="P44" s="29" t="inlineStr">
        <is>
          <t>KRW</t>
        </is>
      </c>
      <c r="Q44" s="29" t="inlineStr">
        <is>
          <t>10</t>
        </is>
      </c>
    </row>
    <row r="45" ht="24" customHeight="1">
      <c r="A45" s="24" t="inlineStr">
        <is>
          <t>OpenDART_fnlttSinglAcntAll</t>
        </is>
      </c>
      <c r="B45" s="24" t="inlineStr">
        <is>
          <t>00369657</t>
        </is>
      </c>
      <c r="C45" s="24" t="inlineStr">
        <is>
          <t>리노공업</t>
        </is>
      </c>
      <c r="D45" s="24" t="inlineStr">
        <is>
          <t>leeno</t>
        </is>
      </c>
      <c r="E45" s="24" t="inlineStr">
        <is>
          <t>058470</t>
        </is>
      </c>
      <c r="F45" s="24" t="inlineStr">
        <is>
          <t>2021</t>
        </is>
      </c>
      <c r="G45" s="24" t="inlineStr">
        <is>
          <t>OFS</t>
        </is>
      </c>
      <c r="H45" s="24" t="inlineStr">
        <is>
          <t>CIS</t>
        </is>
      </c>
      <c r="I45" s="24" t="inlineStr">
        <is>
          <t>포괄손익계산서</t>
        </is>
      </c>
      <c r="J45" s="24" t="inlineStr">
        <is>
          <t>ifrs-full_IncomeTaxExpenseContinuingOperations</t>
        </is>
      </c>
      <c r="K45" s="24" t="inlineStr">
        <is>
          <t>법인세비용</t>
        </is>
      </c>
      <c r="L45" s="24" t="inlineStr">
        <is>
          <t>-</t>
        </is>
      </c>
      <c r="M45" s="24" t="inlineStr">
        <is>
          <t>제 26 기</t>
        </is>
      </c>
      <c r="N45" s="24" t="inlineStr">
        <is>
          <t>35087285008.0</t>
        </is>
      </c>
      <c r="O45" s="24" t="inlineStr">
        <is>
          <t>18173595387.0</t>
        </is>
      </c>
      <c r="P45" s="24" t="inlineStr">
        <is>
          <t>KRW</t>
        </is>
      </c>
      <c r="Q45" s="24" t="inlineStr">
        <is>
          <t>11</t>
        </is>
      </c>
    </row>
    <row r="46" ht="24" customHeight="1">
      <c r="A46" s="29" t="inlineStr">
        <is>
          <t>OpenDART_fnlttSinglAcntAll</t>
        </is>
      </c>
      <c r="B46" s="29" t="inlineStr">
        <is>
          <t>00369657</t>
        </is>
      </c>
      <c r="C46" s="29" t="inlineStr">
        <is>
          <t>리노공업</t>
        </is>
      </c>
      <c r="D46" s="29" t="inlineStr">
        <is>
          <t>leeno</t>
        </is>
      </c>
      <c r="E46" s="29" t="inlineStr">
        <is>
          <t>058470</t>
        </is>
      </c>
      <c r="F46" s="29" t="inlineStr">
        <is>
          <t>2021</t>
        </is>
      </c>
      <c r="G46" s="29" t="inlineStr">
        <is>
          <t>OFS</t>
        </is>
      </c>
      <c r="H46" s="29" t="inlineStr">
        <is>
          <t>CIS</t>
        </is>
      </c>
      <c r="I46" s="29" t="inlineStr">
        <is>
          <t>포괄손익계산서</t>
        </is>
      </c>
      <c r="J46" s="29" t="inlineStr">
        <is>
          <t>ifrs-full_ProfitLoss</t>
        </is>
      </c>
      <c r="K46" s="29" t="inlineStr">
        <is>
          <t>당기순이익</t>
        </is>
      </c>
      <c r="L46" s="29" t="inlineStr">
        <is>
          <t>-</t>
        </is>
      </c>
      <c r="M46" s="29" t="inlineStr">
        <is>
          <t>제 26 기</t>
        </is>
      </c>
      <c r="N46" s="29" t="inlineStr">
        <is>
          <t>103805815149.0</t>
        </is>
      </c>
      <c r="O46" s="29" t="inlineStr">
        <is>
          <t>55378772170.0</t>
        </is>
      </c>
      <c r="P46" s="29" t="inlineStr">
        <is>
          <t>KRW</t>
        </is>
      </c>
      <c r="Q46" s="29" t="inlineStr">
        <is>
          <t>12</t>
        </is>
      </c>
    </row>
    <row r="47" ht="24" customHeight="1">
      <c r="A47" s="24" t="inlineStr">
        <is>
          <t>OpenDART_fnlttSinglAcntAll</t>
        </is>
      </c>
      <c r="B47" s="24" t="inlineStr">
        <is>
          <t>00369657</t>
        </is>
      </c>
      <c r="C47" s="24" t="inlineStr">
        <is>
          <t>리노공업</t>
        </is>
      </c>
      <c r="D47" s="24" t="inlineStr">
        <is>
          <t>leeno</t>
        </is>
      </c>
      <c r="E47" s="24" t="inlineStr">
        <is>
          <t>058470</t>
        </is>
      </c>
      <c r="F47" s="24" t="inlineStr">
        <is>
          <t>2021</t>
        </is>
      </c>
      <c r="G47" s="24" t="inlineStr">
        <is>
          <t>OFS</t>
        </is>
      </c>
      <c r="H47" s="24" t="inlineStr">
        <is>
          <t>CIS</t>
        </is>
      </c>
      <c r="I47" s="24" t="inlineStr">
        <is>
          <t>포괄손익계산서</t>
        </is>
      </c>
      <c r="J47" s="24" t="inlineStr">
        <is>
          <t>ifrs-full_OtherComprehensiveIncome</t>
        </is>
      </c>
      <c r="K47" s="24" t="inlineStr">
        <is>
          <t>기타포괄손익</t>
        </is>
      </c>
      <c r="L47" s="24" t="inlineStr">
        <is>
          <t>-</t>
        </is>
      </c>
      <c r="M47" s="24" t="inlineStr">
        <is>
          <t>제 26 기</t>
        </is>
      </c>
      <c r="N47" s="24" t="inlineStr">
        <is>
          <t>-675130558.0</t>
        </is>
      </c>
      <c r="O47" s="24" t="inlineStr">
        <is>
          <t>-812025.0</t>
        </is>
      </c>
      <c r="P47" s="24" t="inlineStr">
        <is>
          <t>KRW</t>
        </is>
      </c>
      <c r="Q47" s="24" t="inlineStr">
        <is>
          <t>13</t>
        </is>
      </c>
    </row>
    <row r="48" ht="24" customHeight="1">
      <c r="A48" s="29" t="inlineStr">
        <is>
          <t>OpenDART_fnlttSinglAcntAll</t>
        </is>
      </c>
      <c r="B48" s="29" t="inlineStr">
        <is>
          <t>00369657</t>
        </is>
      </c>
      <c r="C48" s="29" t="inlineStr">
        <is>
          <t>리노공업</t>
        </is>
      </c>
      <c r="D48" s="29" t="inlineStr">
        <is>
          <t>leeno</t>
        </is>
      </c>
      <c r="E48" s="29" t="inlineStr">
        <is>
          <t>058470</t>
        </is>
      </c>
      <c r="F48" s="29" t="inlineStr">
        <is>
          <t>2021</t>
        </is>
      </c>
      <c r="G48" s="29" t="inlineStr">
        <is>
          <t>OFS</t>
        </is>
      </c>
      <c r="H48" s="29" t="inlineStr">
        <is>
          <t>CIS</t>
        </is>
      </c>
      <c r="I48" s="29" t="inlineStr">
        <is>
          <t>포괄손익계산서</t>
        </is>
      </c>
      <c r="J48" s="29" t="inlineStr">
        <is>
          <t>dart_OtherComprehensiveIncomeNetOfTaxGainsLossesOnRemeasurementsOfDefinedBenefitPlans</t>
        </is>
      </c>
      <c r="K48" s="29" t="inlineStr">
        <is>
          <t>종업원급여재측정요소</t>
        </is>
      </c>
      <c r="L48" s="29" t="inlineStr">
        <is>
          <t>-</t>
        </is>
      </c>
      <c r="M48" s="29" t="inlineStr">
        <is>
          <t>제 26 기</t>
        </is>
      </c>
      <c r="N48" s="29" t="inlineStr">
        <is>
          <t>-675130558.0</t>
        </is>
      </c>
      <c r="O48" s="29" t="inlineStr">
        <is>
          <t>-812025.0</t>
        </is>
      </c>
      <c r="P48" s="29" t="inlineStr">
        <is>
          <t>KRW</t>
        </is>
      </c>
      <c r="Q48" s="29" t="inlineStr">
        <is>
          <t>15</t>
        </is>
      </c>
    </row>
    <row r="49" ht="24" customHeight="1">
      <c r="A49" s="24" t="inlineStr">
        <is>
          <t>OpenDART_fnlttSinglAcntAll</t>
        </is>
      </c>
      <c r="B49" s="24" t="inlineStr">
        <is>
          <t>00369657</t>
        </is>
      </c>
      <c r="C49" s="24" t="inlineStr">
        <is>
          <t>리노공업</t>
        </is>
      </c>
      <c r="D49" s="24" t="inlineStr">
        <is>
          <t>leeno</t>
        </is>
      </c>
      <c r="E49" s="24" t="inlineStr">
        <is>
          <t>058470</t>
        </is>
      </c>
      <c r="F49" s="24" t="inlineStr">
        <is>
          <t>2021</t>
        </is>
      </c>
      <c r="G49" s="24" t="inlineStr">
        <is>
          <t>OFS</t>
        </is>
      </c>
      <c r="H49" s="24" t="inlineStr">
        <is>
          <t>CIS</t>
        </is>
      </c>
      <c r="I49" s="24" t="inlineStr">
        <is>
          <t>포괄손익계산서</t>
        </is>
      </c>
      <c r="J49" s="24" t="inlineStr">
        <is>
          <t>ifrs-full_ComprehensiveIncome</t>
        </is>
      </c>
      <c r="K49" s="24" t="inlineStr">
        <is>
          <t>포괄손익</t>
        </is>
      </c>
      <c r="L49" s="24" t="inlineStr">
        <is>
          <t>-</t>
        </is>
      </c>
      <c r="M49" s="24" t="inlineStr">
        <is>
          <t>제 26 기</t>
        </is>
      </c>
      <c r="N49" s="24" t="inlineStr">
        <is>
          <t>103130684591.0</t>
        </is>
      </c>
      <c r="O49" s="24" t="inlineStr">
        <is>
          <t>55377960145.0</t>
        </is>
      </c>
      <c r="P49" s="24" t="inlineStr">
        <is>
          <t>KRW</t>
        </is>
      </c>
      <c r="Q49" s="24" t="inlineStr">
        <is>
          <t>16</t>
        </is>
      </c>
    </row>
    <row r="50" ht="24" customHeight="1">
      <c r="A50" s="29" t="inlineStr">
        <is>
          <t>OpenDART_fnlttSinglAcntAll</t>
        </is>
      </c>
      <c r="B50" s="29" t="inlineStr">
        <is>
          <t>00369657</t>
        </is>
      </c>
      <c r="C50" s="29" t="inlineStr">
        <is>
          <t>리노공업</t>
        </is>
      </c>
      <c r="D50" s="29" t="inlineStr">
        <is>
          <t>leeno</t>
        </is>
      </c>
      <c r="E50" s="29" t="inlineStr">
        <is>
          <t>058470</t>
        </is>
      </c>
      <c r="F50" s="29" t="inlineStr">
        <is>
          <t>2021</t>
        </is>
      </c>
      <c r="G50" s="29" t="inlineStr">
        <is>
          <t>OFS</t>
        </is>
      </c>
      <c r="H50" s="29" t="inlineStr">
        <is>
          <t>CIS</t>
        </is>
      </c>
      <c r="I50" s="29" t="inlineStr">
        <is>
          <t>포괄손익계산서</t>
        </is>
      </c>
      <c r="J50" s="29" t="inlineStr">
        <is>
          <t>ifrs-full_BasicEarningsLossPerShare</t>
        </is>
      </c>
      <c r="K50" s="29" t="inlineStr">
        <is>
          <t>기본주당이익</t>
        </is>
      </c>
      <c r="L50" s="29" t="inlineStr">
        <is>
          <t>-</t>
        </is>
      </c>
      <c r="M50" s="29" t="inlineStr">
        <is>
          <t>제 26 기</t>
        </is>
      </c>
      <c r="N50" s="29" t="inlineStr">
        <is>
          <t>6839.0</t>
        </is>
      </c>
      <c r="O50" s="29" t="inlineStr">
        <is>
          <t>3648.0</t>
        </is>
      </c>
      <c r="P50" s="29" t="inlineStr">
        <is>
          <t>KRW</t>
        </is>
      </c>
      <c r="Q50" s="29" t="inlineStr">
        <is>
          <t>18</t>
        </is>
      </c>
    </row>
    <row r="51" ht="24" customHeight="1">
      <c r="A51" s="24" t="inlineStr">
        <is>
          <t>OpenDART_fnlttSinglAcntAll</t>
        </is>
      </c>
      <c r="B51" s="24" t="inlineStr">
        <is>
          <t>00369657</t>
        </is>
      </c>
      <c r="C51" s="24" t="inlineStr">
        <is>
          <t>리노공업</t>
        </is>
      </c>
      <c r="D51" s="24" t="inlineStr">
        <is>
          <t>leeno</t>
        </is>
      </c>
      <c r="E51" s="24" t="inlineStr">
        <is>
          <t>058470</t>
        </is>
      </c>
      <c r="F51" s="24" t="inlineStr">
        <is>
          <t>2021</t>
        </is>
      </c>
      <c r="G51" s="24" t="inlineStr">
        <is>
          <t>OFS</t>
        </is>
      </c>
      <c r="H51" s="24" t="inlineStr">
        <is>
          <t>CF</t>
        </is>
      </c>
      <c r="I51" s="24" t="inlineStr">
        <is>
          <t>현금흐름표</t>
        </is>
      </c>
      <c r="J51" s="24" t="inlineStr">
        <is>
          <t>ifrs-full_CashFlowsFromUsedInOperatingActivities</t>
        </is>
      </c>
      <c r="K51" s="24" t="inlineStr">
        <is>
          <t>영업활동으로 인한 현금흐름</t>
        </is>
      </c>
      <c r="L51" s="24" t="inlineStr">
        <is>
          <t>-</t>
        </is>
      </c>
      <c r="M51" s="24" t="inlineStr">
        <is>
          <t>제 26 기</t>
        </is>
      </c>
      <c r="N51" s="24" t="inlineStr">
        <is>
          <t>130580737722.0</t>
        </is>
      </c>
      <c r="O51" s="24" t="inlineStr">
        <is>
          <t>99804058912.0</t>
        </is>
      </c>
      <c r="P51" s="24" t="inlineStr">
        <is>
          <t>KRW</t>
        </is>
      </c>
      <c r="Q51" s="24" t="inlineStr">
        <is>
          <t>0</t>
        </is>
      </c>
    </row>
    <row r="52" ht="24" customHeight="1">
      <c r="A52" s="29" t="inlineStr">
        <is>
          <t>OpenDART_fnlttSinglAcntAll</t>
        </is>
      </c>
      <c r="B52" s="29" t="inlineStr">
        <is>
          <t>00369657</t>
        </is>
      </c>
      <c r="C52" s="29" t="inlineStr">
        <is>
          <t>리노공업</t>
        </is>
      </c>
      <c r="D52" s="29" t="inlineStr">
        <is>
          <t>leeno</t>
        </is>
      </c>
      <c r="E52" s="29" t="inlineStr">
        <is>
          <t>058470</t>
        </is>
      </c>
      <c r="F52" s="29" t="inlineStr">
        <is>
          <t>2021</t>
        </is>
      </c>
      <c r="G52" s="29" t="inlineStr">
        <is>
          <t>OFS</t>
        </is>
      </c>
      <c r="H52" s="29" t="inlineStr">
        <is>
          <t>CF</t>
        </is>
      </c>
      <c r="I52" s="29" t="inlineStr">
        <is>
          <t>현금흐름표</t>
        </is>
      </c>
      <c r="J52" s="29" t="inlineStr">
        <is>
          <t>-표준계정코드 미사용-</t>
        </is>
      </c>
      <c r="K52" s="29" t="inlineStr">
        <is>
          <t>영업으로부터 창출된 현금흐름</t>
        </is>
      </c>
      <c r="L52" s="29" t="inlineStr">
        <is>
          <t>-</t>
        </is>
      </c>
      <c r="M52" s="29" t="inlineStr">
        <is>
          <t>제 26 기</t>
        </is>
      </c>
      <c r="N52" s="29" t="inlineStr">
        <is>
          <t>147362296513.0</t>
        </is>
      </c>
      <c r="O52" s="29" t="inlineStr">
        <is>
          <t>117120616140.0</t>
        </is>
      </c>
      <c r="P52" s="29" t="inlineStr">
        <is>
          <t>KRW</t>
        </is>
      </c>
      <c r="Q52" s="29" t="inlineStr">
        <is>
          <t>1</t>
        </is>
      </c>
    </row>
    <row r="53" ht="24" customHeight="1">
      <c r="A53" s="24" t="inlineStr">
        <is>
          <t>OpenDART_fnlttSinglAcntAll</t>
        </is>
      </c>
      <c r="B53" s="24" t="inlineStr">
        <is>
          <t>00369657</t>
        </is>
      </c>
      <c r="C53" s="24" t="inlineStr">
        <is>
          <t>리노공업</t>
        </is>
      </c>
      <c r="D53" s="24" t="inlineStr">
        <is>
          <t>leeno</t>
        </is>
      </c>
      <c r="E53" s="24" t="inlineStr">
        <is>
          <t>058470</t>
        </is>
      </c>
      <c r="F53" s="24" t="inlineStr">
        <is>
          <t>2021</t>
        </is>
      </c>
      <c r="G53" s="24" t="inlineStr">
        <is>
          <t>OFS</t>
        </is>
      </c>
      <c r="H53" s="24" t="inlineStr">
        <is>
          <t>CF</t>
        </is>
      </c>
      <c r="I53" s="24" t="inlineStr">
        <is>
          <t>현금흐름표</t>
        </is>
      </c>
      <c r="J53" s="24" t="inlineStr">
        <is>
          <t>ifrs-full_InterestReceivedClassifiedAsOperatingActivities</t>
        </is>
      </c>
      <c r="K53" s="24" t="inlineStr">
        <is>
          <t>이자의 수취</t>
        </is>
      </c>
      <c r="L53" s="24" t="inlineStr">
        <is>
          <t>-</t>
        </is>
      </c>
      <c r="M53" s="24" t="inlineStr">
        <is>
          <t>제 26 기</t>
        </is>
      </c>
      <c r="N53" s="24" t="inlineStr">
        <is>
          <t>1456731879.0</t>
        </is>
      </c>
      <c r="O53" s="24" t="inlineStr">
        <is>
          <t>2403752021.0</t>
        </is>
      </c>
      <c r="P53" s="24" t="inlineStr">
        <is>
          <t>KRW</t>
        </is>
      </c>
      <c r="Q53" s="24" t="inlineStr">
        <is>
          <t>2</t>
        </is>
      </c>
    </row>
    <row r="54" ht="24" customHeight="1">
      <c r="A54" s="29" t="inlineStr">
        <is>
          <t>OpenDART_fnlttSinglAcntAll</t>
        </is>
      </c>
      <c r="B54" s="29" t="inlineStr">
        <is>
          <t>00369657</t>
        </is>
      </c>
      <c r="C54" s="29" t="inlineStr">
        <is>
          <t>리노공업</t>
        </is>
      </c>
      <c r="D54" s="29" t="inlineStr">
        <is>
          <t>leeno</t>
        </is>
      </c>
      <c r="E54" s="29" t="inlineStr">
        <is>
          <t>058470</t>
        </is>
      </c>
      <c r="F54" s="29" t="inlineStr">
        <is>
          <t>2021</t>
        </is>
      </c>
      <c r="G54" s="29" t="inlineStr">
        <is>
          <t>OFS</t>
        </is>
      </c>
      <c r="H54" s="29" t="inlineStr">
        <is>
          <t>CF</t>
        </is>
      </c>
      <c r="I54" s="29" t="inlineStr">
        <is>
          <t>현금흐름표</t>
        </is>
      </c>
      <c r="J54" s="29" t="inlineStr">
        <is>
          <t>ifrs-full_InterestPaidClassifiedAsOperatingActivities</t>
        </is>
      </c>
      <c r="K54" s="29" t="inlineStr">
        <is>
          <t>이자의 지급</t>
        </is>
      </c>
      <c r="L54" s="29" t="inlineStr">
        <is>
          <t>-</t>
        </is>
      </c>
      <c r="M54" s="29" t="inlineStr">
        <is>
          <t>제 26 기</t>
        </is>
      </c>
      <c r="N54" s="29" t="inlineStr">
        <is>
          <t>6588252.0</t>
        </is>
      </c>
      <c r="O54" s="29" t="inlineStr">
        <is>
          <t>6396806.0</t>
        </is>
      </c>
      <c r="P54" s="29" t="inlineStr">
        <is>
          <t>KRW</t>
        </is>
      </c>
      <c r="Q54" s="29" t="inlineStr">
        <is>
          <t>3</t>
        </is>
      </c>
    </row>
    <row r="55" ht="24" customHeight="1">
      <c r="A55" s="24" t="inlineStr">
        <is>
          <t>OpenDART_fnlttSinglAcntAll</t>
        </is>
      </c>
      <c r="B55" s="24" t="inlineStr">
        <is>
          <t>00369657</t>
        </is>
      </c>
      <c r="C55" s="24" t="inlineStr">
        <is>
          <t>리노공업</t>
        </is>
      </c>
      <c r="D55" s="24" t="inlineStr">
        <is>
          <t>leeno</t>
        </is>
      </c>
      <c r="E55" s="24" t="inlineStr">
        <is>
          <t>058470</t>
        </is>
      </c>
      <c r="F55" s="24" t="inlineStr">
        <is>
          <t>2021</t>
        </is>
      </c>
      <c r="G55" s="24" t="inlineStr">
        <is>
          <t>OFS</t>
        </is>
      </c>
      <c r="H55" s="24" t="inlineStr">
        <is>
          <t>CF</t>
        </is>
      </c>
      <c r="I55" s="24" t="inlineStr">
        <is>
          <t>현금흐름표</t>
        </is>
      </c>
      <c r="J55" s="24" t="inlineStr">
        <is>
          <t>ifrs-full_IncomeTaxesPaidRefundClassifiedAsOperatingActivities</t>
        </is>
      </c>
      <c r="K55" s="24" t="inlineStr">
        <is>
          <t>법인세의 납부</t>
        </is>
      </c>
      <c r="L55" s="24" t="inlineStr">
        <is>
          <t>-</t>
        </is>
      </c>
      <c r="M55" s="24" t="inlineStr">
        <is>
          <t>제 26 기</t>
        </is>
      </c>
      <c r="N55" s="24" t="inlineStr">
        <is>
          <t>18231702418.0</t>
        </is>
      </c>
      <c r="O55" s="24" t="inlineStr">
        <is>
          <t>19713912443.0</t>
        </is>
      </c>
      <c r="P55" s="24" t="inlineStr">
        <is>
          <t>KRW</t>
        </is>
      </c>
      <c r="Q55" s="24" t="inlineStr">
        <is>
          <t>4</t>
        </is>
      </c>
    </row>
    <row r="56" ht="24" customHeight="1">
      <c r="A56" s="29" t="inlineStr">
        <is>
          <t>OpenDART_fnlttSinglAcntAll</t>
        </is>
      </c>
      <c r="B56" s="29" t="inlineStr">
        <is>
          <t>00369657</t>
        </is>
      </c>
      <c r="C56" s="29" t="inlineStr">
        <is>
          <t>리노공업</t>
        </is>
      </c>
      <c r="D56" s="29" t="inlineStr">
        <is>
          <t>leeno</t>
        </is>
      </c>
      <c r="E56" s="29" t="inlineStr">
        <is>
          <t>058470</t>
        </is>
      </c>
      <c r="F56" s="29" t="inlineStr">
        <is>
          <t>2021</t>
        </is>
      </c>
      <c r="G56" s="29" t="inlineStr">
        <is>
          <t>OFS</t>
        </is>
      </c>
      <c r="H56" s="29" t="inlineStr">
        <is>
          <t>CF</t>
        </is>
      </c>
      <c r="I56" s="29" t="inlineStr">
        <is>
          <t>현금흐름표</t>
        </is>
      </c>
      <c r="J56" s="29" t="inlineStr">
        <is>
          <t>ifrs-full_CashFlowsFromUsedInInvestingActivities</t>
        </is>
      </c>
      <c r="K56" s="29" t="inlineStr">
        <is>
          <t>투자활동으로 인한 현금흐름</t>
        </is>
      </c>
      <c r="L56" s="29" t="inlineStr">
        <is>
          <t>-</t>
        </is>
      </c>
      <c r="M56" s="29" t="inlineStr">
        <is>
          <t>제 26 기</t>
        </is>
      </c>
      <c r="N56" s="29" t="inlineStr">
        <is>
          <t>-131720027625.0</t>
        </is>
      </c>
      <c r="O56" s="29" t="inlineStr">
        <is>
          <t>-7673858585.0</t>
        </is>
      </c>
      <c r="P56" s="29" t="inlineStr">
        <is>
          <t>KRW</t>
        </is>
      </c>
      <c r="Q56" s="29" t="inlineStr">
        <is>
          <t>5</t>
        </is>
      </c>
    </row>
    <row r="57" ht="24" customHeight="1">
      <c r="A57" s="24" t="inlineStr">
        <is>
          <t>OpenDART_fnlttSinglAcntAll</t>
        </is>
      </c>
      <c r="B57" s="24" t="inlineStr">
        <is>
          <t>00369657</t>
        </is>
      </c>
      <c r="C57" s="24" t="inlineStr">
        <is>
          <t>리노공업</t>
        </is>
      </c>
      <c r="D57" s="24" t="inlineStr">
        <is>
          <t>leeno</t>
        </is>
      </c>
      <c r="E57" s="24" t="inlineStr">
        <is>
          <t>058470</t>
        </is>
      </c>
      <c r="F57" s="24" t="inlineStr">
        <is>
          <t>2021</t>
        </is>
      </c>
      <c r="G57" s="24" t="inlineStr">
        <is>
          <t>OFS</t>
        </is>
      </c>
      <c r="H57" s="24" t="inlineStr">
        <is>
          <t>CF</t>
        </is>
      </c>
      <c r="I57" s="24" t="inlineStr">
        <is>
          <t>현금흐름표</t>
        </is>
      </c>
      <c r="J57" s="24" t="inlineStr">
        <is>
          <t>dart_ProceedsFromSalesOfOtherCurrentFinancialAssets</t>
        </is>
      </c>
      <c r="K57" s="24" t="inlineStr">
        <is>
          <t>금융자산(유동)의 처분</t>
        </is>
      </c>
      <c r="L57" s="24" t="inlineStr">
        <is>
          <t>-</t>
        </is>
      </c>
      <c r="M57" s="24" t="inlineStr">
        <is>
          <t>제 26 기</t>
        </is>
      </c>
      <c r="N57" s="24" t="inlineStr">
        <is>
          <t>260394043372.0</t>
        </is>
      </c>
      <c r="O57" s="24" t="inlineStr">
        <is>
          <t>274862807565.0</t>
        </is>
      </c>
      <c r="P57" s="24" t="inlineStr">
        <is>
          <t>KRW</t>
        </is>
      </c>
      <c r="Q57" s="24" t="inlineStr">
        <is>
          <t>6</t>
        </is>
      </c>
    </row>
    <row r="58" ht="24" customHeight="1">
      <c r="A58" s="29" t="inlineStr">
        <is>
          <t>OpenDART_fnlttSinglAcntAll</t>
        </is>
      </c>
      <c r="B58" s="29" t="inlineStr">
        <is>
          <t>00369657</t>
        </is>
      </c>
      <c r="C58" s="29" t="inlineStr">
        <is>
          <t>리노공업</t>
        </is>
      </c>
      <c r="D58" s="29" t="inlineStr">
        <is>
          <t>leeno</t>
        </is>
      </c>
      <c r="E58" s="29" t="inlineStr">
        <is>
          <t>058470</t>
        </is>
      </c>
      <c r="F58" s="29" t="inlineStr">
        <is>
          <t>2021</t>
        </is>
      </c>
      <c r="G58" s="29" t="inlineStr">
        <is>
          <t>OFS</t>
        </is>
      </c>
      <c r="H58" s="29" t="inlineStr">
        <is>
          <t>CF</t>
        </is>
      </c>
      <c r="I58" s="29" t="inlineStr">
        <is>
          <t>현금흐름표</t>
        </is>
      </c>
      <c r="J58" s="29" t="inlineStr">
        <is>
          <t>dart_ProceedsFromSalesOfShortTermLoansAndReceivables</t>
        </is>
      </c>
      <c r="K58" s="29" t="inlineStr">
        <is>
          <t>기타채권(유동)의 감소</t>
        </is>
      </c>
      <c r="L58" s="29" t="inlineStr">
        <is>
          <t>-</t>
        </is>
      </c>
      <c r="M58" s="29" t="inlineStr">
        <is>
          <t>제 26 기</t>
        </is>
      </c>
      <c r="N58" s="29" t="inlineStr">
        <is>
          <t>504045325.0</t>
        </is>
      </c>
      <c r="O58" s="29" t="inlineStr">
        <is>
          <t>256298077.0</t>
        </is>
      </c>
      <c r="P58" s="29" t="inlineStr">
        <is>
          <t>KRW</t>
        </is>
      </c>
      <c r="Q58" s="29" t="inlineStr">
        <is>
          <t>7</t>
        </is>
      </c>
    </row>
    <row r="59" ht="24" customHeight="1">
      <c r="A59" s="24" t="inlineStr">
        <is>
          <t>OpenDART_fnlttSinglAcntAll</t>
        </is>
      </c>
      <c r="B59" s="24" t="inlineStr">
        <is>
          <t>00369657</t>
        </is>
      </c>
      <c r="C59" s="24" t="inlineStr">
        <is>
          <t>리노공업</t>
        </is>
      </c>
      <c r="D59" s="24" t="inlineStr">
        <is>
          <t>leeno</t>
        </is>
      </c>
      <c r="E59" s="24" t="inlineStr">
        <is>
          <t>058470</t>
        </is>
      </c>
      <c r="F59" s="24" t="inlineStr">
        <is>
          <t>2021</t>
        </is>
      </c>
      <c r="G59" s="24" t="inlineStr">
        <is>
          <t>OFS</t>
        </is>
      </c>
      <c r="H59" s="24" t="inlineStr">
        <is>
          <t>CF</t>
        </is>
      </c>
      <c r="I59" s="24" t="inlineStr">
        <is>
          <t>현금흐름표</t>
        </is>
      </c>
      <c r="J59" s="24" t="inlineStr">
        <is>
          <t>dart_ProceedsFromSalesOfOtherNonCurrentFinancialAssets</t>
        </is>
      </c>
      <c r="K59" s="24" t="inlineStr">
        <is>
          <t>금융자산(비유동)의 처분</t>
        </is>
      </c>
      <c r="L59" s="24" t="inlineStr">
        <is>
          <t>-</t>
        </is>
      </c>
      <c r="M59" s="24" t="inlineStr">
        <is>
          <t>제 26 기</t>
        </is>
      </c>
      <c r="N59" s="24" t="inlineStr">
        <is>
          <t>105368280.0</t>
        </is>
      </c>
      <c r="O59" s="24" t="inlineStr">
        <is>
          <t>해당 없음</t>
        </is>
      </c>
      <c r="P59" s="24" t="inlineStr">
        <is>
          <t>KRW</t>
        </is>
      </c>
      <c r="Q59" s="24" t="inlineStr">
        <is>
          <t>8</t>
        </is>
      </c>
    </row>
    <row r="60" ht="24" customHeight="1">
      <c r="A60" s="29" t="inlineStr">
        <is>
          <t>OpenDART_fnlttSinglAcntAll</t>
        </is>
      </c>
      <c r="B60" s="29" t="inlineStr">
        <is>
          <t>00369657</t>
        </is>
      </c>
      <c r="C60" s="29" t="inlineStr">
        <is>
          <t>리노공업</t>
        </is>
      </c>
      <c r="D60" s="29" t="inlineStr">
        <is>
          <t>leeno</t>
        </is>
      </c>
      <c r="E60" s="29" t="inlineStr">
        <is>
          <t>058470</t>
        </is>
      </c>
      <c r="F60" s="29" t="inlineStr">
        <is>
          <t>2021</t>
        </is>
      </c>
      <c r="G60" s="29" t="inlineStr">
        <is>
          <t>OFS</t>
        </is>
      </c>
      <c r="H60" s="29" t="inlineStr">
        <is>
          <t>CF</t>
        </is>
      </c>
      <c r="I60" s="29" t="inlineStr">
        <is>
          <t>현금흐름표</t>
        </is>
      </c>
      <c r="J60" s="29" t="inlineStr">
        <is>
          <t>dart_ProceedsFromSalesOfLongTermLoansAndReceivables</t>
        </is>
      </c>
      <c r="K60" s="29" t="inlineStr">
        <is>
          <t>기타채권(비유동)의 감소</t>
        </is>
      </c>
      <c r="L60" s="29" t="inlineStr">
        <is>
          <t>-</t>
        </is>
      </c>
      <c r="M60" s="29" t="inlineStr">
        <is>
          <t>제 26 기</t>
        </is>
      </c>
      <c r="N60" s="29" t="inlineStr">
        <is>
          <t>6052190.0</t>
        </is>
      </c>
      <c r="O60" s="29" t="inlineStr">
        <is>
          <t>해당 없음</t>
        </is>
      </c>
      <c r="P60" s="29" t="inlineStr">
        <is>
          <t>KRW</t>
        </is>
      </c>
      <c r="Q60" s="29" t="inlineStr">
        <is>
          <t>9</t>
        </is>
      </c>
    </row>
    <row r="61" ht="24" customHeight="1">
      <c r="A61" s="24" t="inlineStr">
        <is>
          <t>OpenDART_fnlttSinglAcntAll</t>
        </is>
      </c>
      <c r="B61" s="24" t="inlineStr">
        <is>
          <t>00369657</t>
        </is>
      </c>
      <c r="C61" s="24" t="inlineStr">
        <is>
          <t>리노공업</t>
        </is>
      </c>
      <c r="D61" s="24" t="inlineStr">
        <is>
          <t>leeno</t>
        </is>
      </c>
      <c r="E61" s="24" t="inlineStr">
        <is>
          <t>058470</t>
        </is>
      </c>
      <c r="F61" s="24" t="inlineStr">
        <is>
          <t>2021</t>
        </is>
      </c>
      <c r="G61" s="24" t="inlineStr">
        <is>
          <t>OFS</t>
        </is>
      </c>
      <c r="H61" s="24" t="inlineStr">
        <is>
          <t>CF</t>
        </is>
      </c>
      <c r="I61" s="24" t="inlineStr">
        <is>
          <t>현금흐름표</t>
        </is>
      </c>
      <c r="J61" s="24" t="inlineStr">
        <is>
          <t>ifrs-full_ProceedsFromSalesOfPropertyPlantAndEquipmentClassifiedAsInvestingActivities</t>
        </is>
      </c>
      <c r="K61" s="24" t="inlineStr">
        <is>
          <t>유형자산의 처분</t>
        </is>
      </c>
      <c r="L61" s="24" t="inlineStr">
        <is>
          <t>-</t>
        </is>
      </c>
      <c r="M61" s="24" t="inlineStr">
        <is>
          <t>제 26 기</t>
        </is>
      </c>
      <c r="N61" s="24" t="inlineStr">
        <is>
          <t>10567482045.0</t>
        </is>
      </c>
      <c r="O61" s="24" t="inlineStr">
        <is>
          <t>512545.0</t>
        </is>
      </c>
      <c r="P61" s="24" t="inlineStr">
        <is>
          <t>KRW</t>
        </is>
      </c>
      <c r="Q61" s="24" t="inlineStr">
        <is>
          <t>10</t>
        </is>
      </c>
    </row>
    <row r="62" ht="24" customHeight="1">
      <c r="A62" s="29" t="inlineStr">
        <is>
          <t>OpenDART_fnlttSinglAcntAll</t>
        </is>
      </c>
      <c r="B62" s="29" t="inlineStr">
        <is>
          <t>00369657</t>
        </is>
      </c>
      <c r="C62" s="29" t="inlineStr">
        <is>
          <t>리노공업</t>
        </is>
      </c>
      <c r="D62" s="29" t="inlineStr">
        <is>
          <t>leeno</t>
        </is>
      </c>
      <c r="E62" s="29" t="inlineStr">
        <is>
          <t>058470</t>
        </is>
      </c>
      <c r="F62" s="29" t="inlineStr">
        <is>
          <t>2021</t>
        </is>
      </c>
      <c r="G62" s="29" t="inlineStr">
        <is>
          <t>OFS</t>
        </is>
      </c>
      <c r="H62" s="29" t="inlineStr">
        <is>
          <t>CF</t>
        </is>
      </c>
      <c r="I62" s="29" t="inlineStr">
        <is>
          <t>현금흐름표</t>
        </is>
      </c>
      <c r="J62" s="29" t="inlineStr">
        <is>
          <t>-표준계정코드 미사용-</t>
        </is>
      </c>
      <c r="K62" s="29" t="inlineStr">
        <is>
          <t>유형자산 관련 기타채무의 증가</t>
        </is>
      </c>
      <c r="L62" s="29" t="inlineStr">
        <is>
          <t>-</t>
        </is>
      </c>
      <c r="M62" s="29" t="inlineStr">
        <is>
          <t>제 26 기</t>
        </is>
      </c>
      <c r="N62" s="29" t="inlineStr">
        <is>
          <t>76743000.0</t>
        </is>
      </c>
      <c r="O62" s="29" t="inlineStr">
        <is>
          <t>88050000.0</t>
        </is>
      </c>
      <c r="P62" s="29" t="inlineStr">
        <is>
          <t>KRW</t>
        </is>
      </c>
      <c r="Q62" s="29" t="inlineStr">
        <is>
          <t>11</t>
        </is>
      </c>
    </row>
    <row r="63" ht="24" customHeight="1">
      <c r="A63" s="24" t="inlineStr">
        <is>
          <t>OpenDART_fnlttSinglAcntAll</t>
        </is>
      </c>
      <c r="B63" s="24" t="inlineStr">
        <is>
          <t>00369657</t>
        </is>
      </c>
      <c r="C63" s="24" t="inlineStr">
        <is>
          <t>리노공업</t>
        </is>
      </c>
      <c r="D63" s="24" t="inlineStr">
        <is>
          <t>leeno</t>
        </is>
      </c>
      <c r="E63" s="24" t="inlineStr">
        <is>
          <t>058470</t>
        </is>
      </c>
      <c r="F63" s="24" t="inlineStr">
        <is>
          <t>2021</t>
        </is>
      </c>
      <c r="G63" s="24" t="inlineStr">
        <is>
          <t>OFS</t>
        </is>
      </c>
      <c r="H63" s="24" t="inlineStr">
        <is>
          <t>CF</t>
        </is>
      </c>
      <c r="I63" s="24" t="inlineStr">
        <is>
          <t>현금흐름표</t>
        </is>
      </c>
      <c r="J63" s="24" t="inlineStr">
        <is>
          <t>ifrs-full_DividendsReceivedClassifiedAsInvestingActivities</t>
        </is>
      </c>
      <c r="K63" s="24" t="inlineStr">
        <is>
          <t>배당금의 수취</t>
        </is>
      </c>
      <c r="L63" s="24" t="inlineStr">
        <is>
          <t>-</t>
        </is>
      </c>
      <c r="M63" s="24" t="inlineStr">
        <is>
          <t>제 26 기</t>
        </is>
      </c>
      <c r="N63" s="24" t="inlineStr">
        <is>
          <t>해당 없음</t>
        </is>
      </c>
      <c r="O63" s="24" t="inlineStr">
        <is>
          <t>해당 없음</t>
        </is>
      </c>
      <c r="P63" s="24" t="inlineStr">
        <is>
          <t>KRW</t>
        </is>
      </c>
      <c r="Q63" s="24" t="inlineStr">
        <is>
          <t>12</t>
        </is>
      </c>
    </row>
    <row r="64" ht="24" customHeight="1">
      <c r="A64" s="29" t="inlineStr">
        <is>
          <t>OpenDART_fnlttSinglAcntAll</t>
        </is>
      </c>
      <c r="B64" s="29" t="inlineStr">
        <is>
          <t>00369657</t>
        </is>
      </c>
      <c r="C64" s="29" t="inlineStr">
        <is>
          <t>리노공업</t>
        </is>
      </c>
      <c r="D64" s="29" t="inlineStr">
        <is>
          <t>leeno</t>
        </is>
      </c>
      <c r="E64" s="29" t="inlineStr">
        <is>
          <t>058470</t>
        </is>
      </c>
      <c r="F64" s="29" t="inlineStr">
        <is>
          <t>2021</t>
        </is>
      </c>
      <c r="G64" s="29" t="inlineStr">
        <is>
          <t>OFS</t>
        </is>
      </c>
      <c r="H64" s="29" t="inlineStr">
        <is>
          <t>CF</t>
        </is>
      </c>
      <c r="I64" s="29" t="inlineStr">
        <is>
          <t>현금흐름표</t>
        </is>
      </c>
      <c r="J64" s="29" t="inlineStr">
        <is>
          <t>dart_PurchaseOfOtherCurrentFinancialAssets</t>
        </is>
      </c>
      <c r="K64" s="29" t="inlineStr">
        <is>
          <t>금융자산(유동)의 취득</t>
        </is>
      </c>
      <c r="L64" s="29" t="inlineStr">
        <is>
          <t>-</t>
        </is>
      </c>
      <c r="M64" s="29" t="inlineStr">
        <is>
          <t>제 26 기</t>
        </is>
      </c>
      <c r="N64" s="29" t="inlineStr">
        <is>
          <t>355851543372.0</t>
        </is>
      </c>
      <c r="O64" s="29" t="inlineStr">
        <is>
          <t>256027262565.0</t>
        </is>
      </c>
      <c r="P64" s="29" t="inlineStr">
        <is>
          <t>KRW</t>
        </is>
      </c>
      <c r="Q64" s="29" t="inlineStr">
        <is>
          <t>13</t>
        </is>
      </c>
    </row>
    <row r="65" ht="24" customHeight="1">
      <c r="A65" s="24" t="inlineStr">
        <is>
          <t>OpenDART_fnlttSinglAcntAll</t>
        </is>
      </c>
      <c r="B65" s="24" t="inlineStr">
        <is>
          <t>00369657</t>
        </is>
      </c>
      <c r="C65" s="24" t="inlineStr">
        <is>
          <t>리노공업</t>
        </is>
      </c>
      <c r="D65" s="24" t="inlineStr">
        <is>
          <t>leeno</t>
        </is>
      </c>
      <c r="E65" s="24" t="inlineStr">
        <is>
          <t>058470</t>
        </is>
      </c>
      <c r="F65" s="24" t="inlineStr">
        <is>
          <t>2021</t>
        </is>
      </c>
      <c r="G65" s="24" t="inlineStr">
        <is>
          <t>OFS</t>
        </is>
      </c>
      <c r="H65" s="24" t="inlineStr">
        <is>
          <t>CF</t>
        </is>
      </c>
      <c r="I65" s="24" t="inlineStr">
        <is>
          <t>현금흐름표</t>
        </is>
      </c>
      <c r="J65" s="24" t="inlineStr">
        <is>
          <t>dart_PurchaseOfShortTermLoansAndReceivables</t>
        </is>
      </c>
      <c r="K65" s="24" t="inlineStr">
        <is>
          <t>기타채권(유동)의 증가</t>
        </is>
      </c>
      <c r="L65" s="24" t="inlineStr">
        <is>
          <t>-</t>
        </is>
      </c>
      <c r="M65" s="24" t="inlineStr">
        <is>
          <t>제 26 기</t>
        </is>
      </c>
      <c r="N65" s="24" t="inlineStr">
        <is>
          <t>504045325.0</t>
        </is>
      </c>
      <c r="O65" s="24" t="inlineStr">
        <is>
          <t>256298077.0</t>
        </is>
      </c>
      <c r="P65" s="24" t="inlineStr">
        <is>
          <t>KRW</t>
        </is>
      </c>
      <c r="Q65" s="24" t="inlineStr">
        <is>
          <t>14</t>
        </is>
      </c>
    </row>
    <row r="66" ht="24" customHeight="1">
      <c r="A66" s="29" t="inlineStr">
        <is>
          <t>OpenDART_fnlttSinglAcntAll</t>
        </is>
      </c>
      <c r="B66" s="29" t="inlineStr">
        <is>
          <t>00369657</t>
        </is>
      </c>
      <c r="C66" s="29" t="inlineStr">
        <is>
          <t>리노공업</t>
        </is>
      </c>
      <c r="D66" s="29" t="inlineStr">
        <is>
          <t>leeno</t>
        </is>
      </c>
      <c r="E66" s="29" t="inlineStr">
        <is>
          <t>058470</t>
        </is>
      </c>
      <c r="F66" s="29" t="inlineStr">
        <is>
          <t>2021</t>
        </is>
      </c>
      <c r="G66" s="29" t="inlineStr">
        <is>
          <t>OFS</t>
        </is>
      </c>
      <c r="H66" s="29" t="inlineStr">
        <is>
          <t>CF</t>
        </is>
      </c>
      <c r="I66" s="29" t="inlineStr">
        <is>
          <t>현금흐름표</t>
        </is>
      </c>
      <c r="J66" s="29" t="inlineStr">
        <is>
          <t>dart_PurchaseOfOtherNonCurrentFinancialAssets</t>
        </is>
      </c>
      <c r="K66" s="29" t="inlineStr">
        <is>
          <t>금융자산(비유동)의 취득</t>
        </is>
      </c>
      <c r="L66" s="29" t="inlineStr">
        <is>
          <t>-</t>
        </is>
      </c>
      <c r="M66" s="29" t="inlineStr">
        <is>
          <t>제 26 기</t>
        </is>
      </c>
      <c r="N66" s="29" t="inlineStr">
        <is>
          <t>1590000000.0</t>
        </is>
      </c>
      <c r="O66" s="29" t="inlineStr">
        <is>
          <t>2705000000.0</t>
        </is>
      </c>
      <c r="P66" s="29" t="inlineStr">
        <is>
          <t>KRW</t>
        </is>
      </c>
      <c r="Q66" s="29" t="inlineStr">
        <is>
          <t>15</t>
        </is>
      </c>
    </row>
    <row r="67" ht="24" customHeight="1">
      <c r="A67" s="24" t="inlineStr">
        <is>
          <t>OpenDART_fnlttSinglAcntAll</t>
        </is>
      </c>
      <c r="B67" s="24" t="inlineStr">
        <is>
          <t>00369657</t>
        </is>
      </c>
      <c r="C67" s="24" t="inlineStr">
        <is>
          <t>리노공업</t>
        </is>
      </c>
      <c r="D67" s="24" t="inlineStr">
        <is>
          <t>leeno</t>
        </is>
      </c>
      <c r="E67" s="24" t="inlineStr">
        <is>
          <t>058470</t>
        </is>
      </c>
      <c r="F67" s="24" t="inlineStr">
        <is>
          <t>2021</t>
        </is>
      </c>
      <c r="G67" s="24" t="inlineStr">
        <is>
          <t>OFS</t>
        </is>
      </c>
      <c r="H67" s="24" t="inlineStr">
        <is>
          <t>CF</t>
        </is>
      </c>
      <c r="I67" s="24" t="inlineStr">
        <is>
          <t>현금흐름표</t>
        </is>
      </c>
      <c r="J67" s="24" t="inlineStr">
        <is>
          <t>dart_PurchaseOfLongTermLoansAndReceivables</t>
        </is>
      </c>
      <c r="K67" s="24" t="inlineStr">
        <is>
          <t>기타채권(비유동)의 증가</t>
        </is>
      </c>
      <c r="L67" s="24" t="inlineStr">
        <is>
          <t>-</t>
        </is>
      </c>
      <c r="M67" s="24" t="inlineStr">
        <is>
          <t>제 26 기</t>
        </is>
      </c>
      <c r="N67" s="24" t="inlineStr">
        <is>
          <t>2355690.0</t>
        </is>
      </c>
      <c r="O67" s="24" t="inlineStr">
        <is>
          <t>5000000.0</t>
        </is>
      </c>
      <c r="P67" s="24" t="inlineStr">
        <is>
          <t>KRW</t>
        </is>
      </c>
      <c r="Q67" s="24" t="inlineStr">
        <is>
          <t>16</t>
        </is>
      </c>
    </row>
    <row r="68" ht="24" customHeight="1">
      <c r="A68" s="29" t="inlineStr">
        <is>
          <t>OpenDART_fnlttSinglAcntAll</t>
        </is>
      </c>
      <c r="B68" s="29" t="inlineStr">
        <is>
          <t>00369657</t>
        </is>
      </c>
      <c r="C68" s="29" t="inlineStr">
        <is>
          <t>리노공업</t>
        </is>
      </c>
      <c r="D68" s="29" t="inlineStr">
        <is>
          <t>leeno</t>
        </is>
      </c>
      <c r="E68" s="29" t="inlineStr">
        <is>
          <t>058470</t>
        </is>
      </c>
      <c r="F68" s="29" t="inlineStr">
        <is>
          <t>2021</t>
        </is>
      </c>
      <c r="G68" s="29" t="inlineStr">
        <is>
          <t>OFS</t>
        </is>
      </c>
      <c r="H68" s="29" t="inlineStr">
        <is>
          <t>CF</t>
        </is>
      </c>
      <c r="I68" s="29" t="inlineStr">
        <is>
          <t>현금흐름표</t>
        </is>
      </c>
      <c r="J68" s="29" t="inlineStr">
        <is>
          <t>ifrs-full_PurchaseOfPropertyPlantAndEquipmentClassifiedAsInvestingActivities</t>
        </is>
      </c>
      <c r="K68" s="29" t="inlineStr">
        <is>
          <t>유형자산의 취득</t>
        </is>
      </c>
      <c r="L68" s="29" t="inlineStr">
        <is>
          <t>-</t>
        </is>
      </c>
      <c r="M68" s="29" t="inlineStr">
        <is>
          <t>제 26 기</t>
        </is>
      </c>
      <c r="N68" s="29" t="inlineStr">
        <is>
          <t>45110244006.0</t>
        </is>
      </c>
      <c r="O68" s="29" t="inlineStr">
        <is>
          <t>21737455254.0</t>
        </is>
      </c>
      <c r="P68" s="29" t="inlineStr">
        <is>
          <t>KRW</t>
        </is>
      </c>
      <c r="Q68" s="29" t="inlineStr">
        <is>
          <t>17</t>
        </is>
      </c>
    </row>
    <row r="69" ht="24" customHeight="1">
      <c r="A69" s="24" t="inlineStr">
        <is>
          <t>OpenDART_fnlttSinglAcntAll</t>
        </is>
      </c>
      <c r="B69" s="24" t="inlineStr">
        <is>
          <t>00369657</t>
        </is>
      </c>
      <c r="C69" s="24" t="inlineStr">
        <is>
          <t>리노공업</t>
        </is>
      </c>
      <c r="D69" s="24" t="inlineStr">
        <is>
          <t>leeno</t>
        </is>
      </c>
      <c r="E69" s="24" t="inlineStr">
        <is>
          <t>058470</t>
        </is>
      </c>
      <c r="F69" s="24" t="inlineStr">
        <is>
          <t>2021</t>
        </is>
      </c>
      <c r="G69" s="24" t="inlineStr">
        <is>
          <t>OFS</t>
        </is>
      </c>
      <c r="H69" s="24" t="inlineStr">
        <is>
          <t>CF</t>
        </is>
      </c>
      <c r="I69" s="24" t="inlineStr">
        <is>
          <t>현금흐름표</t>
        </is>
      </c>
      <c r="J69" s="24" t="inlineStr">
        <is>
          <t>ifrs-full_PurchaseOfIntangibleAssetsClassifiedAsInvestingActivities</t>
        </is>
      </c>
      <c r="K69" s="24" t="inlineStr">
        <is>
          <t>무형자산의 취득</t>
        </is>
      </c>
      <c r="L69" s="24" t="inlineStr">
        <is>
          <t>-</t>
        </is>
      </c>
      <c r="M69" s="24" t="inlineStr">
        <is>
          <t>제 26 기</t>
        </is>
      </c>
      <c r="N69" s="24" t="inlineStr">
        <is>
          <t>227523444.0</t>
        </is>
      </c>
      <c r="O69" s="24" t="inlineStr">
        <is>
          <t>724579129.0</t>
        </is>
      </c>
      <c r="P69" s="24" t="inlineStr">
        <is>
          <t>KRW</t>
        </is>
      </c>
      <c r="Q69" s="24" t="inlineStr">
        <is>
          <t>18</t>
        </is>
      </c>
    </row>
    <row r="70" ht="24" customHeight="1">
      <c r="A70" s="29" t="inlineStr">
        <is>
          <t>OpenDART_fnlttSinglAcntAll</t>
        </is>
      </c>
      <c r="B70" s="29" t="inlineStr">
        <is>
          <t>00369657</t>
        </is>
      </c>
      <c r="C70" s="29" t="inlineStr">
        <is>
          <t>리노공업</t>
        </is>
      </c>
      <c r="D70" s="29" t="inlineStr">
        <is>
          <t>leeno</t>
        </is>
      </c>
      <c r="E70" s="29" t="inlineStr">
        <is>
          <t>058470</t>
        </is>
      </c>
      <c r="F70" s="29" t="inlineStr">
        <is>
          <t>2021</t>
        </is>
      </c>
      <c r="G70" s="29" t="inlineStr">
        <is>
          <t>OFS</t>
        </is>
      </c>
      <c r="H70" s="29" t="inlineStr">
        <is>
          <t>CF</t>
        </is>
      </c>
      <c r="I70" s="29" t="inlineStr">
        <is>
          <t>현금흐름표</t>
        </is>
      </c>
      <c r="J70" s="29" t="inlineStr">
        <is>
          <t>-표준계정코드 미사용-</t>
        </is>
      </c>
      <c r="K70" s="29" t="inlineStr">
        <is>
          <t>유형자산 관련 기타채무의 감소</t>
        </is>
      </c>
      <c r="L70" s="29" t="inlineStr">
        <is>
          <t>-</t>
        </is>
      </c>
      <c r="M70" s="29" t="inlineStr">
        <is>
          <t>제 26 기</t>
        </is>
      </c>
      <c r="N70" s="29" t="inlineStr">
        <is>
          <t>88050000.0</t>
        </is>
      </c>
      <c r="O70" s="29" t="inlineStr">
        <is>
          <t>1425931747.0</t>
        </is>
      </c>
      <c r="P70" s="29" t="inlineStr">
        <is>
          <t>KRW</t>
        </is>
      </c>
      <c r="Q70" s="29" t="inlineStr">
        <is>
          <t>19</t>
        </is>
      </c>
    </row>
    <row r="71" ht="24" customHeight="1">
      <c r="A71" s="24" t="inlineStr">
        <is>
          <t>OpenDART_fnlttSinglAcntAll</t>
        </is>
      </c>
      <c r="B71" s="24" t="inlineStr">
        <is>
          <t>00369657</t>
        </is>
      </c>
      <c r="C71" s="24" t="inlineStr">
        <is>
          <t>리노공업</t>
        </is>
      </c>
      <c r="D71" s="24" t="inlineStr">
        <is>
          <t>leeno</t>
        </is>
      </c>
      <c r="E71" s="24" t="inlineStr">
        <is>
          <t>058470</t>
        </is>
      </c>
      <c r="F71" s="24" t="inlineStr">
        <is>
          <t>2021</t>
        </is>
      </c>
      <c r="G71" s="24" t="inlineStr">
        <is>
          <t>OFS</t>
        </is>
      </c>
      <c r="H71" s="24" t="inlineStr">
        <is>
          <t>CF</t>
        </is>
      </c>
      <c r="I71" s="24" t="inlineStr">
        <is>
          <t>현금흐름표</t>
        </is>
      </c>
      <c r="J71" s="24" t="inlineStr">
        <is>
          <t>ifrs-full_CashFlowsFromUsedInFinancingActivities</t>
        </is>
      </c>
      <c r="K71" s="24" t="inlineStr">
        <is>
          <t>재무활동으로 인한 현금흐름</t>
        </is>
      </c>
      <c r="L71" s="24" t="inlineStr">
        <is>
          <t>-</t>
        </is>
      </c>
      <c r="M71" s="24" t="inlineStr">
        <is>
          <t>제 26 기</t>
        </is>
      </c>
      <c r="N71" s="24" t="inlineStr">
        <is>
          <t>-22902218748.0</t>
        </is>
      </c>
      <c r="O71" s="24" t="inlineStr">
        <is>
          <t>-18343883194.0</t>
        </is>
      </c>
      <c r="P71" s="24" t="inlineStr">
        <is>
          <t>KRW</t>
        </is>
      </c>
      <c r="Q71" s="24" t="inlineStr">
        <is>
          <t>20</t>
        </is>
      </c>
    </row>
    <row r="72" ht="24" customHeight="1">
      <c r="A72" s="29" t="inlineStr">
        <is>
          <t>OpenDART_fnlttSinglAcntAll</t>
        </is>
      </c>
      <c r="B72" s="29" t="inlineStr">
        <is>
          <t>00369657</t>
        </is>
      </c>
      <c r="C72" s="29" t="inlineStr">
        <is>
          <t>리노공업</t>
        </is>
      </c>
      <c r="D72" s="29" t="inlineStr">
        <is>
          <t>leeno</t>
        </is>
      </c>
      <c r="E72" s="29" t="inlineStr">
        <is>
          <t>058470</t>
        </is>
      </c>
      <c r="F72" s="29" t="inlineStr">
        <is>
          <t>2021</t>
        </is>
      </c>
      <c r="G72" s="29" t="inlineStr">
        <is>
          <t>OFS</t>
        </is>
      </c>
      <c r="H72" s="29" t="inlineStr">
        <is>
          <t>CF</t>
        </is>
      </c>
      <c r="I72" s="29" t="inlineStr">
        <is>
          <t>현금흐름표</t>
        </is>
      </c>
      <c r="J72" s="29" t="inlineStr">
        <is>
          <t>ifrs-full_PaymentsOfFinanceLeaseLiabilitiesClassifiedAsFinancingActivities</t>
        </is>
      </c>
      <c r="K72" s="29" t="inlineStr">
        <is>
          <t>리스부채의 상환</t>
        </is>
      </c>
      <c r="L72" s="29" t="inlineStr">
        <is>
          <t>-</t>
        </is>
      </c>
      <c r="M72" s="29" t="inlineStr">
        <is>
          <t>제 26 기</t>
        </is>
      </c>
      <c r="N72" s="29" t="inlineStr">
        <is>
          <t>133538748.0</t>
        </is>
      </c>
      <c r="O72" s="29" t="inlineStr">
        <is>
          <t>128939194.0</t>
        </is>
      </c>
      <c r="P72" s="29" t="inlineStr">
        <is>
          <t>KRW</t>
        </is>
      </c>
      <c r="Q72" s="29" t="inlineStr">
        <is>
          <t>21</t>
        </is>
      </c>
    </row>
    <row r="73" ht="24" customHeight="1">
      <c r="A73" s="24" t="inlineStr">
        <is>
          <t>OpenDART_fnlttSinglAcntAll</t>
        </is>
      </c>
      <c r="B73" s="24" t="inlineStr">
        <is>
          <t>00369657</t>
        </is>
      </c>
      <c r="C73" s="24" t="inlineStr">
        <is>
          <t>리노공업</t>
        </is>
      </c>
      <c r="D73" s="24" t="inlineStr">
        <is>
          <t>leeno</t>
        </is>
      </c>
      <c r="E73" s="24" t="inlineStr">
        <is>
          <t>058470</t>
        </is>
      </c>
      <c r="F73" s="24" t="inlineStr">
        <is>
          <t>2021</t>
        </is>
      </c>
      <c r="G73" s="24" t="inlineStr">
        <is>
          <t>OFS</t>
        </is>
      </c>
      <c r="H73" s="24" t="inlineStr">
        <is>
          <t>CF</t>
        </is>
      </c>
      <c r="I73" s="24" t="inlineStr">
        <is>
          <t>현금흐름표</t>
        </is>
      </c>
      <c r="J73" s="24" t="inlineStr">
        <is>
          <t>ifrs-full_DividendsPaidClassifiedAsFinancingActivities</t>
        </is>
      </c>
      <c r="K73" s="24" t="inlineStr">
        <is>
          <t>배당금의 지급</t>
        </is>
      </c>
      <c r="L73" s="24" t="inlineStr">
        <is>
          <t>-</t>
        </is>
      </c>
      <c r="M73" s="24" t="inlineStr">
        <is>
          <t>제 26 기</t>
        </is>
      </c>
      <c r="N73" s="24" t="inlineStr">
        <is>
          <t>22768680000.0</t>
        </is>
      </c>
      <c r="O73" s="24" t="inlineStr">
        <is>
          <t>18214944000.0</t>
        </is>
      </c>
      <c r="P73" s="24" t="inlineStr">
        <is>
          <t>KRW</t>
        </is>
      </c>
      <c r="Q73" s="24" t="inlineStr">
        <is>
          <t>22</t>
        </is>
      </c>
    </row>
    <row r="74" ht="24" customHeight="1">
      <c r="A74" s="29" t="inlineStr">
        <is>
          <t>OpenDART_fnlttSinglAcntAll</t>
        </is>
      </c>
      <c r="B74" s="29" t="inlineStr">
        <is>
          <t>00369657</t>
        </is>
      </c>
      <c r="C74" s="29" t="inlineStr">
        <is>
          <t>리노공업</t>
        </is>
      </c>
      <c r="D74" s="29" t="inlineStr">
        <is>
          <t>leeno</t>
        </is>
      </c>
      <c r="E74" s="29" t="inlineStr">
        <is>
          <t>058470</t>
        </is>
      </c>
      <c r="F74" s="29" t="inlineStr">
        <is>
          <t>2021</t>
        </is>
      </c>
      <c r="G74" s="29" t="inlineStr">
        <is>
          <t>OFS</t>
        </is>
      </c>
      <c r="H74" s="29" t="inlineStr">
        <is>
          <t>CF</t>
        </is>
      </c>
      <c r="I74" s="29" t="inlineStr">
        <is>
          <t>현금흐름표</t>
        </is>
      </c>
      <c r="J74" s="29" t="inlineStr">
        <is>
          <t>ifrs-full_IncreaseDecreaseInCashAndCashEquivalentsBeforeEffectOfExchangeRateChanges</t>
        </is>
      </c>
      <c r="K74" s="29" t="inlineStr">
        <is>
          <t>현금및현금성자산의 증가(감소)</t>
        </is>
      </c>
      <c r="L74" s="29" t="inlineStr">
        <is>
          <t>-</t>
        </is>
      </c>
      <c r="M74" s="29" t="inlineStr">
        <is>
          <t>제 26 기</t>
        </is>
      </c>
      <c r="N74" s="29" t="inlineStr">
        <is>
          <t>-24041508651.0</t>
        </is>
      </c>
      <c r="O74" s="29" t="inlineStr">
        <is>
          <t>73786317133.0</t>
        </is>
      </c>
      <c r="P74" s="29" t="inlineStr">
        <is>
          <t>KRW</t>
        </is>
      </c>
      <c r="Q74" s="29" t="inlineStr">
        <is>
          <t>23</t>
        </is>
      </c>
    </row>
    <row r="75" ht="24" customHeight="1">
      <c r="A75" s="24" t="inlineStr">
        <is>
          <t>OpenDART_fnlttSinglAcntAll</t>
        </is>
      </c>
      <c r="B75" s="24" t="inlineStr">
        <is>
          <t>00369657</t>
        </is>
      </c>
      <c r="C75" s="24" t="inlineStr">
        <is>
          <t>리노공업</t>
        </is>
      </c>
      <c r="D75" s="24" t="inlineStr">
        <is>
          <t>leeno</t>
        </is>
      </c>
      <c r="E75" s="24" t="inlineStr">
        <is>
          <t>058470</t>
        </is>
      </c>
      <c r="F75" s="24" t="inlineStr">
        <is>
          <t>2021</t>
        </is>
      </c>
      <c r="G75" s="24" t="inlineStr">
        <is>
          <t>OFS</t>
        </is>
      </c>
      <c r="H75" s="24" t="inlineStr">
        <is>
          <t>CF</t>
        </is>
      </c>
      <c r="I75" s="24" t="inlineStr">
        <is>
          <t>현금흐름표</t>
        </is>
      </c>
      <c r="J75" s="24" t="inlineStr">
        <is>
          <t>dart_CashAndCashEquivalentsAtBeginningOfPeriodCf</t>
        </is>
      </c>
      <c r="K75" s="24" t="inlineStr">
        <is>
          <t>기초 현금및현금성자산</t>
        </is>
      </c>
      <c r="L75" s="24" t="inlineStr">
        <is>
          <t>-</t>
        </is>
      </c>
      <c r="M75" s="24" t="inlineStr">
        <is>
          <t>제 26 기</t>
        </is>
      </c>
      <c r="N75" s="24" t="inlineStr">
        <is>
          <t>99439220422.0</t>
        </is>
      </c>
      <c r="O75" s="24" t="inlineStr">
        <is>
          <t>31868276461.0</t>
        </is>
      </c>
      <c r="P75" s="24" t="inlineStr">
        <is>
          <t>KRW</t>
        </is>
      </c>
      <c r="Q75" s="24" t="inlineStr">
        <is>
          <t>24</t>
        </is>
      </c>
    </row>
    <row r="76" ht="24" customHeight="1">
      <c r="A76" s="29" t="inlineStr">
        <is>
          <t>OpenDART_fnlttSinglAcntAll</t>
        </is>
      </c>
      <c r="B76" s="29" t="inlineStr">
        <is>
          <t>00369657</t>
        </is>
      </c>
      <c r="C76" s="29" t="inlineStr">
        <is>
          <t>리노공업</t>
        </is>
      </c>
      <c r="D76" s="29" t="inlineStr">
        <is>
          <t>leeno</t>
        </is>
      </c>
      <c r="E76" s="29" t="inlineStr">
        <is>
          <t>058470</t>
        </is>
      </c>
      <c r="F76" s="29" t="inlineStr">
        <is>
          <t>2021</t>
        </is>
      </c>
      <c r="G76" s="29" t="inlineStr">
        <is>
          <t>OFS</t>
        </is>
      </c>
      <c r="H76" s="29" t="inlineStr">
        <is>
          <t>CF</t>
        </is>
      </c>
      <c r="I76" s="29" t="inlineStr">
        <is>
          <t>현금흐름표</t>
        </is>
      </c>
      <c r="J76" s="29" t="inlineStr">
        <is>
          <t>ifrs-full_EffectOfExchangeRateChangesOnCashAndCashEquivalents</t>
        </is>
      </c>
      <c r="K76" s="29" t="inlineStr">
        <is>
          <t>현금및현금성자산의 환율변동효과</t>
        </is>
      </c>
      <c r="L76" s="29" t="inlineStr">
        <is>
          <t>-</t>
        </is>
      </c>
      <c r="M76" s="29" t="inlineStr">
        <is>
          <t>제 26 기</t>
        </is>
      </c>
      <c r="N76" s="29" t="inlineStr">
        <is>
          <t>1813832965.0</t>
        </is>
      </c>
      <c r="O76" s="29" t="inlineStr">
        <is>
          <t>-6215373172.0</t>
        </is>
      </c>
      <c r="P76" s="29" t="inlineStr">
        <is>
          <t>KRW</t>
        </is>
      </c>
      <c r="Q76" s="29" t="inlineStr">
        <is>
          <t>25</t>
        </is>
      </c>
    </row>
    <row r="77" ht="24" customHeight="1">
      <c r="A77" s="24" t="inlineStr">
        <is>
          <t>OpenDART_fnlttSinglAcntAll</t>
        </is>
      </c>
      <c r="B77" s="24" t="inlineStr">
        <is>
          <t>00369657</t>
        </is>
      </c>
      <c r="C77" s="24" t="inlineStr">
        <is>
          <t>리노공업</t>
        </is>
      </c>
      <c r="D77" s="24" t="inlineStr">
        <is>
          <t>leeno</t>
        </is>
      </c>
      <c r="E77" s="24" t="inlineStr">
        <is>
          <t>058470</t>
        </is>
      </c>
      <c r="F77" s="24" t="inlineStr">
        <is>
          <t>2021</t>
        </is>
      </c>
      <c r="G77" s="24" t="inlineStr">
        <is>
          <t>OFS</t>
        </is>
      </c>
      <c r="H77" s="24" t="inlineStr">
        <is>
          <t>CF</t>
        </is>
      </c>
      <c r="I77" s="24" t="inlineStr">
        <is>
          <t>현금흐름표</t>
        </is>
      </c>
      <c r="J77" s="24" t="inlineStr">
        <is>
          <t>dart_CashAndCashEquivalentsAtEndOfPeriodCf</t>
        </is>
      </c>
      <c r="K77" s="24" t="inlineStr">
        <is>
          <t>기말 현금및현금성자산</t>
        </is>
      </c>
      <c r="L77" s="24" t="inlineStr">
        <is>
          <t>-</t>
        </is>
      </c>
      <c r="M77" s="24" t="inlineStr">
        <is>
          <t>제 26 기</t>
        </is>
      </c>
      <c r="N77" s="24" t="inlineStr">
        <is>
          <t>77211544736.0</t>
        </is>
      </c>
      <c r="O77" s="24" t="inlineStr">
        <is>
          <t>99439220422.0</t>
        </is>
      </c>
      <c r="P77" s="24" t="inlineStr">
        <is>
          <t>KRW</t>
        </is>
      </c>
      <c r="Q77" s="24" t="inlineStr">
        <is>
          <t>26</t>
        </is>
      </c>
    </row>
    <row r="78" ht="24" customHeight="1">
      <c r="A78" s="29" t="inlineStr">
        <is>
          <t>OpenDART_fnlttSinglAcntAll</t>
        </is>
      </c>
      <c r="B78" s="29" t="inlineStr">
        <is>
          <t>00369657</t>
        </is>
      </c>
      <c r="C78" s="29" t="inlineStr">
        <is>
          <t>리노공업</t>
        </is>
      </c>
      <c r="D78" s="29" t="inlineStr">
        <is>
          <t>leeno</t>
        </is>
      </c>
      <c r="E78" s="29" t="inlineStr">
        <is>
          <t>058470</t>
        </is>
      </c>
      <c r="F78" s="29" t="inlineStr">
        <is>
          <t>2021</t>
        </is>
      </c>
      <c r="G78" s="29" t="inlineStr">
        <is>
          <t>OFS</t>
        </is>
      </c>
      <c r="H78" s="29" t="inlineStr">
        <is>
          <t>SCE</t>
        </is>
      </c>
      <c r="I78" s="29" t="inlineStr">
        <is>
          <t>자본변동표</t>
        </is>
      </c>
      <c r="J78" s="29" t="inlineStr">
        <is>
          <t>dart_EquityAtBeginningOfPeriod</t>
        </is>
      </c>
      <c r="K78" s="29" t="inlineStr">
        <is>
          <t>기초자본</t>
        </is>
      </c>
      <c r="L78" s="29" t="inlineStr">
        <is>
          <t>별도재무제표 [member]</t>
        </is>
      </c>
      <c r="M78" s="29" t="inlineStr">
        <is>
          <t>제 26 기</t>
        </is>
      </c>
      <c r="N78" s="29" t="inlineStr">
        <is>
          <t>337341182512.0</t>
        </is>
      </c>
      <c r="O78" s="29" t="inlineStr">
        <is>
          <t>300178166367.0</t>
        </is>
      </c>
      <c r="P78" s="29" t="inlineStr">
        <is>
          <t>KRW</t>
        </is>
      </c>
      <c r="Q78" s="29" t="inlineStr">
        <is>
          <t>1</t>
        </is>
      </c>
    </row>
    <row r="79" ht="24" customHeight="1">
      <c r="A79" s="24" t="inlineStr">
        <is>
          <t>OpenDART_fnlttSinglAcntAll</t>
        </is>
      </c>
      <c r="B79" s="24" t="inlineStr">
        <is>
          <t>00369657</t>
        </is>
      </c>
      <c r="C79" s="24" t="inlineStr">
        <is>
          <t>리노공업</t>
        </is>
      </c>
      <c r="D79" s="24" t="inlineStr">
        <is>
          <t>leeno</t>
        </is>
      </c>
      <c r="E79" s="24" t="inlineStr">
        <is>
          <t>058470</t>
        </is>
      </c>
      <c r="F79" s="24" t="inlineStr">
        <is>
          <t>2021</t>
        </is>
      </c>
      <c r="G79" s="24" t="inlineStr">
        <is>
          <t>OFS</t>
        </is>
      </c>
      <c r="H79" s="24" t="inlineStr">
        <is>
          <t>SCE</t>
        </is>
      </c>
      <c r="I79" s="24" t="inlineStr">
        <is>
          <t>자본변동표</t>
        </is>
      </c>
      <c r="J79" s="24" t="inlineStr">
        <is>
          <t>dart_EquityAtBeginningOfPeriod</t>
        </is>
      </c>
      <c r="K79" s="24" t="inlineStr">
        <is>
          <t>기초자본</t>
        </is>
      </c>
      <c r="L79" s="24" t="inlineStr">
        <is>
          <t>자본 [member]|이익잉여금 [member]</t>
        </is>
      </c>
      <c r="M79" s="24" t="inlineStr">
        <is>
          <t>제 26 기</t>
        </is>
      </c>
      <c r="N79" s="24" t="inlineStr">
        <is>
          <t>326471703418.0</t>
        </is>
      </c>
      <c r="O79" s="24" t="inlineStr">
        <is>
          <t>289308687273.0</t>
        </is>
      </c>
      <c r="P79" s="24" t="inlineStr">
        <is>
          <t>KRW</t>
        </is>
      </c>
      <c r="Q79" s="24" t="inlineStr">
        <is>
          <t>1</t>
        </is>
      </c>
    </row>
    <row r="80" ht="24" customHeight="1">
      <c r="A80" s="29" t="inlineStr">
        <is>
          <t>OpenDART_fnlttSinglAcntAll</t>
        </is>
      </c>
      <c r="B80" s="29" t="inlineStr">
        <is>
          <t>00369657</t>
        </is>
      </c>
      <c r="C80" s="29" t="inlineStr">
        <is>
          <t>리노공업</t>
        </is>
      </c>
      <c r="D80" s="29" t="inlineStr">
        <is>
          <t>leeno</t>
        </is>
      </c>
      <c r="E80" s="29" t="inlineStr">
        <is>
          <t>058470</t>
        </is>
      </c>
      <c r="F80" s="29" t="inlineStr">
        <is>
          <t>2021</t>
        </is>
      </c>
      <c r="G80" s="29" t="inlineStr">
        <is>
          <t>OFS</t>
        </is>
      </c>
      <c r="H80" s="29" t="inlineStr">
        <is>
          <t>SCE</t>
        </is>
      </c>
      <c r="I80" s="29" t="inlineStr">
        <is>
          <t>자본변동표</t>
        </is>
      </c>
      <c r="J80" s="29" t="inlineStr">
        <is>
          <t>dart_EquityAtBeginningOfPeriod</t>
        </is>
      </c>
      <c r="K80" s="29" t="inlineStr">
        <is>
          <t>기초자본</t>
        </is>
      </c>
      <c r="L80" s="29" t="inlineStr">
        <is>
          <t>자본 [member]|자본금 [member]</t>
        </is>
      </c>
      <c r="M80" s="29" t="inlineStr">
        <is>
          <t>제 26 기</t>
        </is>
      </c>
      <c r="N80" s="29" t="inlineStr">
        <is>
          <t>7621185000.0</t>
        </is>
      </c>
      <c r="O80" s="29" t="inlineStr">
        <is>
          <t>7621185000.0</t>
        </is>
      </c>
      <c r="P80" s="29" t="inlineStr">
        <is>
          <t>KRW</t>
        </is>
      </c>
      <c r="Q80" s="29" t="inlineStr">
        <is>
          <t>1</t>
        </is>
      </c>
    </row>
    <row r="81" ht="24" customHeight="1">
      <c r="A81" s="24" t="inlineStr">
        <is>
          <t>OpenDART_fnlttSinglAcntAll</t>
        </is>
      </c>
      <c r="B81" s="24" t="inlineStr">
        <is>
          <t>00369657</t>
        </is>
      </c>
      <c r="C81" s="24" t="inlineStr">
        <is>
          <t>리노공업</t>
        </is>
      </c>
      <c r="D81" s="24" t="inlineStr">
        <is>
          <t>leeno</t>
        </is>
      </c>
      <c r="E81" s="24" t="inlineStr">
        <is>
          <t>058470</t>
        </is>
      </c>
      <c r="F81" s="24" t="inlineStr">
        <is>
          <t>2021</t>
        </is>
      </c>
      <c r="G81" s="24" t="inlineStr">
        <is>
          <t>OFS</t>
        </is>
      </c>
      <c r="H81" s="24" t="inlineStr">
        <is>
          <t>SCE</t>
        </is>
      </c>
      <c r="I81" s="24" t="inlineStr">
        <is>
          <t>자본변동표</t>
        </is>
      </c>
      <c r="J81" s="24" t="inlineStr">
        <is>
          <t>dart_EquityAtBeginningOfPeriod</t>
        </is>
      </c>
      <c r="K81" s="24" t="inlineStr">
        <is>
          <t>기초자본</t>
        </is>
      </c>
      <c r="L81" s="24" t="inlineStr">
        <is>
          <t>자본 [member]|자본잉여금 [member]</t>
        </is>
      </c>
      <c r="M81" s="24" t="inlineStr">
        <is>
          <t>제 26 기</t>
        </is>
      </c>
      <c r="N81" s="24" t="inlineStr">
        <is>
          <t>5601810444.0</t>
        </is>
      </c>
      <c r="O81" s="24" t="inlineStr">
        <is>
          <t>5601810444.0</t>
        </is>
      </c>
      <c r="P81" s="24" t="inlineStr">
        <is>
          <t>KRW</t>
        </is>
      </c>
      <c r="Q81" s="24" t="inlineStr">
        <is>
          <t>1</t>
        </is>
      </c>
    </row>
    <row r="82" ht="24" customHeight="1">
      <c r="A82" s="29" t="inlineStr">
        <is>
          <t>OpenDART_fnlttSinglAcntAll</t>
        </is>
      </c>
      <c r="B82" s="29" t="inlineStr">
        <is>
          <t>00369657</t>
        </is>
      </c>
      <c r="C82" s="29" t="inlineStr">
        <is>
          <t>리노공업</t>
        </is>
      </c>
      <c r="D82" s="29" t="inlineStr">
        <is>
          <t>leeno</t>
        </is>
      </c>
      <c r="E82" s="29" t="inlineStr">
        <is>
          <t>058470</t>
        </is>
      </c>
      <c r="F82" s="29" t="inlineStr">
        <is>
          <t>2021</t>
        </is>
      </c>
      <c r="G82" s="29" t="inlineStr">
        <is>
          <t>OFS</t>
        </is>
      </c>
      <c r="H82" s="29" t="inlineStr">
        <is>
          <t>SCE</t>
        </is>
      </c>
      <c r="I82" s="29" t="inlineStr">
        <is>
          <t>자본변동표</t>
        </is>
      </c>
      <c r="J82" s="29" t="inlineStr">
        <is>
          <t>dart_EquityAtBeginningOfPeriod</t>
        </is>
      </c>
      <c r="K82" s="29" t="inlineStr">
        <is>
          <t>기초자본</t>
        </is>
      </c>
      <c r="L82" s="29" t="inlineStr">
        <is>
          <t>자본 [member]|자본조정</t>
        </is>
      </c>
      <c r="M82" s="29" t="inlineStr">
        <is>
          <t>제 26 기</t>
        </is>
      </c>
      <c r="N82" s="29" t="inlineStr">
        <is>
          <t>-2353516350.0</t>
        </is>
      </c>
      <c r="O82" s="29" t="inlineStr">
        <is>
          <t>-2353516350.0</t>
        </is>
      </c>
      <c r="P82" s="29" t="inlineStr">
        <is>
          <t>KRW</t>
        </is>
      </c>
      <c r="Q82" s="29" t="inlineStr">
        <is>
          <t>1</t>
        </is>
      </c>
    </row>
    <row r="83" ht="24" customHeight="1">
      <c r="A83" s="24" t="inlineStr">
        <is>
          <t>OpenDART_fnlttSinglAcntAll</t>
        </is>
      </c>
      <c r="B83" s="24" t="inlineStr">
        <is>
          <t>00369657</t>
        </is>
      </c>
      <c r="C83" s="24" t="inlineStr">
        <is>
          <t>리노공업</t>
        </is>
      </c>
      <c r="D83" s="24" t="inlineStr">
        <is>
          <t>leeno</t>
        </is>
      </c>
      <c r="E83" s="24" t="inlineStr">
        <is>
          <t>058470</t>
        </is>
      </c>
      <c r="F83" s="24" t="inlineStr">
        <is>
          <t>2021</t>
        </is>
      </c>
      <c r="G83" s="24" t="inlineStr">
        <is>
          <t>OFS</t>
        </is>
      </c>
      <c r="H83" s="24" t="inlineStr">
        <is>
          <t>SCE</t>
        </is>
      </c>
      <c r="I83" s="24" t="inlineStr">
        <is>
          <t>자본변동표</t>
        </is>
      </c>
      <c r="J83" s="24" t="inlineStr">
        <is>
          <t>ifrs-full_ProfitLoss</t>
        </is>
      </c>
      <c r="K83" s="24" t="inlineStr">
        <is>
          <t>당기순이익</t>
        </is>
      </c>
      <c r="L83" s="24" t="inlineStr">
        <is>
          <t>별도재무제표 [member]</t>
        </is>
      </c>
      <c r="M83" s="24" t="inlineStr">
        <is>
          <t>제 26 기</t>
        </is>
      </c>
      <c r="N83" s="24" t="inlineStr">
        <is>
          <t>103805815149.0</t>
        </is>
      </c>
      <c r="O83" s="24" t="inlineStr">
        <is>
          <t>55378772170.0</t>
        </is>
      </c>
      <c r="P83" s="24" t="inlineStr">
        <is>
          <t>KRW</t>
        </is>
      </c>
      <c r="Q83" s="24" t="inlineStr">
        <is>
          <t>3</t>
        </is>
      </c>
    </row>
    <row r="84" ht="24" customHeight="1">
      <c r="A84" s="29" t="inlineStr">
        <is>
          <t>OpenDART_fnlttSinglAcntAll</t>
        </is>
      </c>
      <c r="B84" s="29" t="inlineStr">
        <is>
          <t>00369657</t>
        </is>
      </c>
      <c r="C84" s="29" t="inlineStr">
        <is>
          <t>리노공업</t>
        </is>
      </c>
      <c r="D84" s="29" t="inlineStr">
        <is>
          <t>leeno</t>
        </is>
      </c>
      <c r="E84" s="29" t="inlineStr">
        <is>
          <t>058470</t>
        </is>
      </c>
      <c r="F84" s="29" t="inlineStr">
        <is>
          <t>2021</t>
        </is>
      </c>
      <c r="G84" s="29" t="inlineStr">
        <is>
          <t>OFS</t>
        </is>
      </c>
      <c r="H84" s="29" t="inlineStr">
        <is>
          <t>SCE</t>
        </is>
      </c>
      <c r="I84" s="29" t="inlineStr">
        <is>
          <t>자본변동표</t>
        </is>
      </c>
      <c r="J84" s="29" t="inlineStr">
        <is>
          <t>ifrs-full_ProfitLoss</t>
        </is>
      </c>
      <c r="K84" s="29" t="inlineStr">
        <is>
          <t>당기순이익</t>
        </is>
      </c>
      <c r="L84" s="29" t="inlineStr">
        <is>
          <t>자본 [member]|이익잉여금 [member]</t>
        </is>
      </c>
      <c r="M84" s="29" t="inlineStr">
        <is>
          <t>제 26 기</t>
        </is>
      </c>
      <c r="N84" s="29" t="inlineStr">
        <is>
          <t>103805815149.0</t>
        </is>
      </c>
      <c r="O84" s="29" t="inlineStr">
        <is>
          <t>55378772170.0</t>
        </is>
      </c>
      <c r="P84" s="29" t="inlineStr">
        <is>
          <t>KRW</t>
        </is>
      </c>
      <c r="Q84" s="29" t="inlineStr">
        <is>
          <t>3</t>
        </is>
      </c>
    </row>
    <row r="85" ht="24" customHeight="1">
      <c r="A85" s="24" t="inlineStr">
        <is>
          <t>OpenDART_fnlttSinglAcntAll</t>
        </is>
      </c>
      <c r="B85" s="24" t="inlineStr">
        <is>
          <t>00369657</t>
        </is>
      </c>
      <c r="C85" s="24" t="inlineStr">
        <is>
          <t>리노공업</t>
        </is>
      </c>
      <c r="D85" s="24" t="inlineStr">
        <is>
          <t>leeno</t>
        </is>
      </c>
      <c r="E85" s="24" t="inlineStr">
        <is>
          <t>058470</t>
        </is>
      </c>
      <c r="F85" s="24" t="inlineStr">
        <is>
          <t>2021</t>
        </is>
      </c>
      <c r="G85" s="24" t="inlineStr">
        <is>
          <t>OFS</t>
        </is>
      </c>
      <c r="H85" s="24" t="inlineStr">
        <is>
          <t>SCE</t>
        </is>
      </c>
      <c r="I85" s="24" t="inlineStr">
        <is>
          <t>자본변동표</t>
        </is>
      </c>
      <c r="J85" s="24" t="inlineStr">
        <is>
          <t>-표준계정코드 미사용-</t>
        </is>
      </c>
      <c r="K85" s="24" t="inlineStr">
        <is>
          <t>종업원급여재측정요소</t>
        </is>
      </c>
      <c r="L85" s="24" t="inlineStr">
        <is>
          <t>별도재무제표 [member]</t>
        </is>
      </c>
      <c r="M85" s="24" t="inlineStr">
        <is>
          <t>제 26 기</t>
        </is>
      </c>
      <c r="N85" s="24" t="inlineStr">
        <is>
          <t>-675130558.0</t>
        </is>
      </c>
      <c r="O85" s="24" t="inlineStr">
        <is>
          <t>-812025.0</t>
        </is>
      </c>
      <c r="P85" s="24" t="inlineStr">
        <is>
          <t>KRW</t>
        </is>
      </c>
      <c r="Q85" s="24" t="inlineStr">
        <is>
          <t>4</t>
        </is>
      </c>
    </row>
    <row r="86" ht="24" customHeight="1">
      <c r="A86" s="29" t="inlineStr">
        <is>
          <t>OpenDART_fnlttSinglAcntAll</t>
        </is>
      </c>
      <c r="B86" s="29" t="inlineStr">
        <is>
          <t>00369657</t>
        </is>
      </c>
      <c r="C86" s="29" t="inlineStr">
        <is>
          <t>리노공업</t>
        </is>
      </c>
      <c r="D86" s="29" t="inlineStr">
        <is>
          <t>leeno</t>
        </is>
      </c>
      <c r="E86" s="29" t="inlineStr">
        <is>
          <t>058470</t>
        </is>
      </c>
      <c r="F86" s="29" t="inlineStr">
        <is>
          <t>2021</t>
        </is>
      </c>
      <c r="G86" s="29" t="inlineStr">
        <is>
          <t>OFS</t>
        </is>
      </c>
      <c r="H86" s="29" t="inlineStr">
        <is>
          <t>SCE</t>
        </is>
      </c>
      <c r="I86" s="29" t="inlineStr">
        <is>
          <t>자본변동표</t>
        </is>
      </c>
      <c r="J86" s="29" t="inlineStr">
        <is>
          <t>-표준계정코드 미사용-</t>
        </is>
      </c>
      <c r="K86" s="29" t="inlineStr">
        <is>
          <t>종업원급여재측정요소</t>
        </is>
      </c>
      <c r="L86" s="29" t="inlineStr">
        <is>
          <t>자본 [member]|이익잉여금 [member]</t>
        </is>
      </c>
      <c r="M86" s="29" t="inlineStr">
        <is>
          <t>제 26 기</t>
        </is>
      </c>
      <c r="N86" s="29" t="inlineStr">
        <is>
          <t>-675130558.0</t>
        </is>
      </c>
      <c r="O86" s="29" t="inlineStr">
        <is>
          <t>-812025.0</t>
        </is>
      </c>
      <c r="P86" s="29" t="inlineStr">
        <is>
          <t>KRW</t>
        </is>
      </c>
      <c r="Q86" s="29" t="inlineStr">
        <is>
          <t>4</t>
        </is>
      </c>
    </row>
    <row r="87" ht="24" customHeight="1">
      <c r="A87" s="24" t="inlineStr">
        <is>
          <t>OpenDART_fnlttSinglAcntAll</t>
        </is>
      </c>
      <c r="B87" s="24" t="inlineStr">
        <is>
          <t>00369657</t>
        </is>
      </c>
      <c r="C87" s="24" t="inlineStr">
        <is>
          <t>리노공업</t>
        </is>
      </c>
      <c r="D87" s="24" t="inlineStr">
        <is>
          <t>leeno</t>
        </is>
      </c>
      <c r="E87" s="24" t="inlineStr">
        <is>
          <t>058470</t>
        </is>
      </c>
      <c r="F87" s="24" t="inlineStr">
        <is>
          <t>2021</t>
        </is>
      </c>
      <c r="G87" s="24" t="inlineStr">
        <is>
          <t>OFS</t>
        </is>
      </c>
      <c r="H87" s="24" t="inlineStr">
        <is>
          <t>SCE</t>
        </is>
      </c>
      <c r="I87" s="24" t="inlineStr">
        <is>
          <t>자본변동표</t>
        </is>
      </c>
      <c r="J87" s="24" t="inlineStr">
        <is>
          <t>-표준계정코드 미사용-</t>
        </is>
      </c>
      <c r="K87" s="24" t="inlineStr">
        <is>
          <t>총포괄손익 소계</t>
        </is>
      </c>
      <c r="L87" s="24" t="inlineStr">
        <is>
          <t>자본 [member]|이익잉여금 [member]</t>
        </is>
      </c>
      <c r="M87" s="24" t="inlineStr">
        <is>
          <t>제 26 기</t>
        </is>
      </c>
      <c r="N87" s="24" t="inlineStr">
        <is>
          <t>103130684591.0</t>
        </is>
      </c>
      <c r="O87" s="24" t="inlineStr">
        <is>
          <t>55377960145.0</t>
        </is>
      </c>
      <c r="P87" s="24" t="inlineStr">
        <is>
          <t>KRW</t>
        </is>
      </c>
      <c r="Q87" s="24" t="inlineStr">
        <is>
          <t>5</t>
        </is>
      </c>
    </row>
    <row r="88" ht="24" customHeight="1">
      <c r="A88" s="29" t="inlineStr">
        <is>
          <t>OpenDART_fnlttSinglAcntAll</t>
        </is>
      </c>
      <c r="B88" s="29" t="inlineStr">
        <is>
          <t>00369657</t>
        </is>
      </c>
      <c r="C88" s="29" t="inlineStr">
        <is>
          <t>리노공업</t>
        </is>
      </c>
      <c r="D88" s="29" t="inlineStr">
        <is>
          <t>leeno</t>
        </is>
      </c>
      <c r="E88" s="29" t="inlineStr">
        <is>
          <t>058470</t>
        </is>
      </c>
      <c r="F88" s="29" t="inlineStr">
        <is>
          <t>2021</t>
        </is>
      </c>
      <c r="G88" s="29" t="inlineStr">
        <is>
          <t>OFS</t>
        </is>
      </c>
      <c r="H88" s="29" t="inlineStr">
        <is>
          <t>SCE</t>
        </is>
      </c>
      <c r="I88" s="29" t="inlineStr">
        <is>
          <t>자본변동표</t>
        </is>
      </c>
      <c r="J88" s="29" t="inlineStr">
        <is>
          <t>-표준계정코드 미사용-</t>
        </is>
      </c>
      <c r="K88" s="29" t="inlineStr">
        <is>
          <t>총포괄손익 소계</t>
        </is>
      </c>
      <c r="L88" s="29" t="inlineStr">
        <is>
          <t>별도재무제표 [member]</t>
        </is>
      </c>
      <c r="M88" s="29" t="inlineStr">
        <is>
          <t>제 26 기</t>
        </is>
      </c>
      <c r="N88" s="29" t="inlineStr">
        <is>
          <t>103130684591.0</t>
        </is>
      </c>
      <c r="O88" s="29" t="inlineStr">
        <is>
          <t>55377960145.0</t>
        </is>
      </c>
      <c r="P88" s="29" t="inlineStr">
        <is>
          <t>KRW</t>
        </is>
      </c>
      <c r="Q88" s="29" t="inlineStr">
        <is>
          <t>5</t>
        </is>
      </c>
    </row>
    <row r="89" ht="24" customHeight="1">
      <c r="A89" s="24" t="inlineStr">
        <is>
          <t>OpenDART_fnlttSinglAcntAll</t>
        </is>
      </c>
      <c r="B89" s="24" t="inlineStr">
        <is>
          <t>00369657</t>
        </is>
      </c>
      <c r="C89" s="24" t="inlineStr">
        <is>
          <t>리노공업</t>
        </is>
      </c>
      <c r="D89" s="24" t="inlineStr">
        <is>
          <t>leeno</t>
        </is>
      </c>
      <c r="E89" s="24" t="inlineStr">
        <is>
          <t>058470</t>
        </is>
      </c>
      <c r="F89" s="24" t="inlineStr">
        <is>
          <t>2021</t>
        </is>
      </c>
      <c r="G89" s="24" t="inlineStr">
        <is>
          <t>OFS</t>
        </is>
      </c>
      <c r="H89" s="24" t="inlineStr">
        <is>
          <t>SCE</t>
        </is>
      </c>
      <c r="I89" s="24" t="inlineStr">
        <is>
          <t>자본변동표</t>
        </is>
      </c>
      <c r="J89" s="24" t="inlineStr">
        <is>
          <t>ifrs-full_DividendsPaid</t>
        </is>
      </c>
      <c r="K89" s="24" t="inlineStr">
        <is>
          <t>배당금의 지급</t>
        </is>
      </c>
      <c r="L89" s="24" t="inlineStr">
        <is>
          <t>자본 [member]|이익잉여금 [member]</t>
        </is>
      </c>
      <c r="M89" s="24" t="inlineStr">
        <is>
          <t>제 26 기</t>
        </is>
      </c>
      <c r="N89" s="24" t="inlineStr">
        <is>
          <t>-22768680000.0</t>
        </is>
      </c>
      <c r="O89" s="24" t="inlineStr">
        <is>
          <t>-18214944000.0</t>
        </is>
      </c>
      <c r="P89" s="24" t="inlineStr">
        <is>
          <t>KRW</t>
        </is>
      </c>
      <c r="Q89" s="24" t="inlineStr">
        <is>
          <t>6</t>
        </is>
      </c>
    </row>
    <row r="90" ht="24" customHeight="1">
      <c r="A90" s="29" t="inlineStr">
        <is>
          <t>OpenDART_fnlttSinglAcntAll</t>
        </is>
      </c>
      <c r="B90" s="29" t="inlineStr">
        <is>
          <t>00369657</t>
        </is>
      </c>
      <c r="C90" s="29" t="inlineStr">
        <is>
          <t>리노공업</t>
        </is>
      </c>
      <c r="D90" s="29" t="inlineStr">
        <is>
          <t>leeno</t>
        </is>
      </c>
      <c r="E90" s="29" t="inlineStr">
        <is>
          <t>058470</t>
        </is>
      </c>
      <c r="F90" s="29" t="inlineStr">
        <is>
          <t>2021</t>
        </is>
      </c>
      <c r="G90" s="29" t="inlineStr">
        <is>
          <t>OFS</t>
        </is>
      </c>
      <c r="H90" s="29" t="inlineStr">
        <is>
          <t>SCE</t>
        </is>
      </c>
      <c r="I90" s="29" t="inlineStr">
        <is>
          <t>자본변동표</t>
        </is>
      </c>
      <c r="J90" s="29" t="inlineStr">
        <is>
          <t>ifrs-full_DividendsPaid</t>
        </is>
      </c>
      <c r="K90" s="29" t="inlineStr">
        <is>
          <t>배당금의 지급</t>
        </is>
      </c>
      <c r="L90" s="29" t="inlineStr">
        <is>
          <t>별도재무제표 [member]</t>
        </is>
      </c>
      <c r="M90" s="29" t="inlineStr">
        <is>
          <t>제 26 기</t>
        </is>
      </c>
      <c r="N90" s="29" t="inlineStr">
        <is>
          <t>-22768680000.0</t>
        </is>
      </c>
      <c r="O90" s="29" t="inlineStr">
        <is>
          <t>-18214944000.0</t>
        </is>
      </c>
      <c r="P90" s="29" t="inlineStr">
        <is>
          <t>KRW</t>
        </is>
      </c>
      <c r="Q90" s="29" t="inlineStr">
        <is>
          <t>6</t>
        </is>
      </c>
    </row>
    <row r="91" ht="24" customHeight="1">
      <c r="A91" s="24" t="inlineStr">
        <is>
          <t>OpenDART_fnlttSinglAcntAll</t>
        </is>
      </c>
      <c r="B91" s="24" t="inlineStr">
        <is>
          <t>00369657</t>
        </is>
      </c>
      <c r="C91" s="24" t="inlineStr">
        <is>
          <t>리노공업</t>
        </is>
      </c>
      <c r="D91" s="24" t="inlineStr">
        <is>
          <t>leeno</t>
        </is>
      </c>
      <c r="E91" s="24" t="inlineStr">
        <is>
          <t>058470</t>
        </is>
      </c>
      <c r="F91" s="24" t="inlineStr">
        <is>
          <t>2021</t>
        </is>
      </c>
      <c r="G91" s="24" t="inlineStr">
        <is>
          <t>OFS</t>
        </is>
      </c>
      <c r="H91" s="24" t="inlineStr">
        <is>
          <t>SCE</t>
        </is>
      </c>
      <c r="I91" s="24" t="inlineStr">
        <is>
          <t>자본변동표</t>
        </is>
      </c>
      <c r="J91" s="24" t="inlineStr">
        <is>
          <t>dart_TreasuryShareTransactions</t>
        </is>
      </c>
      <c r="K91" s="24" t="inlineStr">
        <is>
          <t>자기주식 처분</t>
        </is>
      </c>
      <c r="L91" s="24" t="inlineStr">
        <is>
          <t>별도재무제표 [member]</t>
        </is>
      </c>
      <c r="M91" s="24" t="inlineStr">
        <is>
          <t>제 26 기</t>
        </is>
      </c>
      <c r="N91" s="24" t="inlineStr">
        <is>
          <t>해당 없음</t>
        </is>
      </c>
      <c r="O91" s="24" t="inlineStr">
        <is>
          <t>해당 없음</t>
        </is>
      </c>
      <c r="P91" s="24" t="inlineStr">
        <is>
          <t>KRW</t>
        </is>
      </c>
      <c r="Q91" s="24" t="inlineStr">
        <is>
          <t>7</t>
        </is>
      </c>
    </row>
    <row r="92" ht="24" customHeight="1">
      <c r="A92" s="29" t="inlineStr">
        <is>
          <t>OpenDART_fnlttSinglAcntAll</t>
        </is>
      </c>
      <c r="B92" s="29" t="inlineStr">
        <is>
          <t>00369657</t>
        </is>
      </c>
      <c r="C92" s="29" t="inlineStr">
        <is>
          <t>리노공업</t>
        </is>
      </c>
      <c r="D92" s="29" t="inlineStr">
        <is>
          <t>leeno</t>
        </is>
      </c>
      <c r="E92" s="29" t="inlineStr">
        <is>
          <t>058470</t>
        </is>
      </c>
      <c r="F92" s="29" t="inlineStr">
        <is>
          <t>2021</t>
        </is>
      </c>
      <c r="G92" s="29" t="inlineStr">
        <is>
          <t>OFS</t>
        </is>
      </c>
      <c r="H92" s="29" t="inlineStr">
        <is>
          <t>SCE</t>
        </is>
      </c>
      <c r="I92" s="29" t="inlineStr">
        <is>
          <t>자본변동표</t>
        </is>
      </c>
      <c r="J92" s="29" t="inlineStr">
        <is>
          <t>dart_TreasuryShareTransactions</t>
        </is>
      </c>
      <c r="K92" s="29" t="inlineStr">
        <is>
          <t>자기주식 처분</t>
        </is>
      </c>
      <c r="L92" s="29" t="inlineStr">
        <is>
          <t>자본 [member]|자본잉여금 [member]</t>
        </is>
      </c>
      <c r="M92" s="29" t="inlineStr">
        <is>
          <t>제 26 기</t>
        </is>
      </c>
      <c r="N92" s="29" t="inlineStr">
        <is>
          <t>해당 없음</t>
        </is>
      </c>
      <c r="O92" s="29" t="inlineStr">
        <is>
          <t>해당 없음</t>
        </is>
      </c>
      <c r="P92" s="29" t="inlineStr">
        <is>
          <t>KRW</t>
        </is>
      </c>
      <c r="Q92" s="29" t="inlineStr">
        <is>
          <t>7</t>
        </is>
      </c>
    </row>
    <row r="93" ht="24" customHeight="1">
      <c r="A93" s="24" t="inlineStr">
        <is>
          <t>OpenDART_fnlttSinglAcntAll</t>
        </is>
      </c>
      <c r="B93" s="24" t="inlineStr">
        <is>
          <t>00369657</t>
        </is>
      </c>
      <c r="C93" s="24" t="inlineStr">
        <is>
          <t>리노공업</t>
        </is>
      </c>
      <c r="D93" s="24" t="inlineStr">
        <is>
          <t>leeno</t>
        </is>
      </c>
      <c r="E93" s="24" t="inlineStr">
        <is>
          <t>058470</t>
        </is>
      </c>
      <c r="F93" s="24" t="inlineStr">
        <is>
          <t>2021</t>
        </is>
      </c>
      <c r="G93" s="24" t="inlineStr">
        <is>
          <t>OFS</t>
        </is>
      </c>
      <c r="H93" s="24" t="inlineStr">
        <is>
          <t>SCE</t>
        </is>
      </c>
      <c r="I93" s="24" t="inlineStr">
        <is>
          <t>자본변동표</t>
        </is>
      </c>
      <c r="J93" s="24" t="inlineStr">
        <is>
          <t>dart_TreasuryShareTransactions</t>
        </is>
      </c>
      <c r="K93" s="24" t="inlineStr">
        <is>
          <t>자기주식 처분</t>
        </is>
      </c>
      <c r="L93" s="24" t="inlineStr">
        <is>
          <t>자본 [member]|자본조정</t>
        </is>
      </c>
      <c r="M93" s="24" t="inlineStr">
        <is>
          <t>제 26 기</t>
        </is>
      </c>
      <c r="N93" s="24" t="inlineStr">
        <is>
          <t>해당 없음</t>
        </is>
      </c>
      <c r="O93" s="24" t="inlineStr">
        <is>
          <t>해당 없음</t>
        </is>
      </c>
      <c r="P93" s="24" t="inlineStr">
        <is>
          <t>KRW</t>
        </is>
      </c>
      <c r="Q93" s="24" t="inlineStr">
        <is>
          <t>7</t>
        </is>
      </c>
    </row>
    <row r="94" ht="24" customHeight="1">
      <c r="A94" s="29" t="inlineStr">
        <is>
          <t>OpenDART_fnlttSinglAcntAll</t>
        </is>
      </c>
      <c r="B94" s="29" t="inlineStr">
        <is>
          <t>00369657</t>
        </is>
      </c>
      <c r="C94" s="29" t="inlineStr">
        <is>
          <t>리노공업</t>
        </is>
      </c>
      <c r="D94" s="29" t="inlineStr">
        <is>
          <t>leeno</t>
        </is>
      </c>
      <c r="E94" s="29" t="inlineStr">
        <is>
          <t>058470</t>
        </is>
      </c>
      <c r="F94" s="29" t="inlineStr">
        <is>
          <t>2021</t>
        </is>
      </c>
      <c r="G94" s="29" t="inlineStr">
        <is>
          <t>OFS</t>
        </is>
      </c>
      <c r="H94" s="29" t="inlineStr">
        <is>
          <t>SCE</t>
        </is>
      </c>
      <c r="I94" s="29" t="inlineStr">
        <is>
          <t>자본변동표</t>
        </is>
      </c>
      <c r="J94" s="29" t="inlineStr">
        <is>
          <t>ifrs-full_Equity</t>
        </is>
      </c>
      <c r="K94" s="29" t="inlineStr">
        <is>
          <t>기말자본</t>
        </is>
      </c>
      <c r="L94" s="29" t="inlineStr">
        <is>
          <t>별도재무제표 [member]</t>
        </is>
      </c>
      <c r="M94" s="29" t="inlineStr">
        <is>
          <t>제 26 기</t>
        </is>
      </c>
      <c r="N94" s="29" t="inlineStr">
        <is>
          <t>417703187103.0</t>
        </is>
      </c>
      <c r="O94" s="29" t="inlineStr">
        <is>
          <t>337341182512.0</t>
        </is>
      </c>
      <c r="P94" s="29" t="inlineStr">
        <is>
          <t>KRW</t>
        </is>
      </c>
      <c r="Q94" s="29" t="inlineStr">
        <is>
          <t>8</t>
        </is>
      </c>
    </row>
    <row r="95" ht="24" customHeight="1">
      <c r="A95" s="24" t="inlineStr">
        <is>
          <t>OpenDART_fnlttSinglAcntAll</t>
        </is>
      </c>
      <c r="B95" s="24" t="inlineStr">
        <is>
          <t>00369657</t>
        </is>
      </c>
      <c r="C95" s="24" t="inlineStr">
        <is>
          <t>리노공업</t>
        </is>
      </c>
      <c r="D95" s="24" t="inlineStr">
        <is>
          <t>leeno</t>
        </is>
      </c>
      <c r="E95" s="24" t="inlineStr">
        <is>
          <t>058470</t>
        </is>
      </c>
      <c r="F95" s="24" t="inlineStr">
        <is>
          <t>2021</t>
        </is>
      </c>
      <c r="G95" s="24" t="inlineStr">
        <is>
          <t>OFS</t>
        </is>
      </c>
      <c r="H95" s="24" t="inlineStr">
        <is>
          <t>SCE</t>
        </is>
      </c>
      <c r="I95" s="24" t="inlineStr">
        <is>
          <t>자본변동표</t>
        </is>
      </c>
      <c r="J95" s="24" t="inlineStr">
        <is>
          <t>ifrs-full_Equity</t>
        </is>
      </c>
      <c r="K95" s="24" t="inlineStr">
        <is>
          <t>기말자본</t>
        </is>
      </c>
      <c r="L95" s="24" t="inlineStr">
        <is>
          <t>자본 [member]|이익잉여금 [member]</t>
        </is>
      </c>
      <c r="M95" s="24" t="inlineStr">
        <is>
          <t>제 26 기</t>
        </is>
      </c>
      <c r="N95" s="24" t="inlineStr">
        <is>
          <t>406833708009.0</t>
        </is>
      </c>
      <c r="O95" s="24" t="inlineStr">
        <is>
          <t>326471703418.0</t>
        </is>
      </c>
      <c r="P95" s="24" t="inlineStr">
        <is>
          <t>KRW</t>
        </is>
      </c>
      <c r="Q95" s="24" t="inlineStr">
        <is>
          <t>8</t>
        </is>
      </c>
    </row>
    <row r="96" ht="24" customHeight="1">
      <c r="A96" s="29" t="inlineStr">
        <is>
          <t>OpenDART_fnlttSinglAcntAll</t>
        </is>
      </c>
      <c r="B96" s="29" t="inlineStr">
        <is>
          <t>00369657</t>
        </is>
      </c>
      <c r="C96" s="29" t="inlineStr">
        <is>
          <t>리노공업</t>
        </is>
      </c>
      <c r="D96" s="29" t="inlineStr">
        <is>
          <t>leeno</t>
        </is>
      </c>
      <c r="E96" s="29" t="inlineStr">
        <is>
          <t>058470</t>
        </is>
      </c>
      <c r="F96" s="29" t="inlineStr">
        <is>
          <t>2021</t>
        </is>
      </c>
      <c r="G96" s="29" t="inlineStr">
        <is>
          <t>OFS</t>
        </is>
      </c>
      <c r="H96" s="29" t="inlineStr">
        <is>
          <t>SCE</t>
        </is>
      </c>
      <c r="I96" s="29" t="inlineStr">
        <is>
          <t>자본변동표</t>
        </is>
      </c>
      <c r="J96" s="29" t="inlineStr">
        <is>
          <t>ifrs-full_Equity</t>
        </is>
      </c>
      <c r="K96" s="29" t="inlineStr">
        <is>
          <t>기말자본</t>
        </is>
      </c>
      <c r="L96" s="29" t="inlineStr">
        <is>
          <t>자본 [member]|자본금 [member]</t>
        </is>
      </c>
      <c r="M96" s="29" t="inlineStr">
        <is>
          <t>제 26 기</t>
        </is>
      </c>
      <c r="N96" s="29" t="inlineStr">
        <is>
          <t>7621185000.0</t>
        </is>
      </c>
      <c r="O96" s="29" t="inlineStr">
        <is>
          <t>7621185000.0</t>
        </is>
      </c>
      <c r="P96" s="29" t="inlineStr">
        <is>
          <t>KRW</t>
        </is>
      </c>
      <c r="Q96" s="29" t="inlineStr">
        <is>
          <t>8</t>
        </is>
      </c>
    </row>
    <row r="97" ht="24" customHeight="1">
      <c r="A97" s="24" t="inlineStr">
        <is>
          <t>OpenDART_fnlttSinglAcntAll</t>
        </is>
      </c>
      <c r="B97" s="24" t="inlineStr">
        <is>
          <t>00369657</t>
        </is>
      </c>
      <c r="C97" s="24" t="inlineStr">
        <is>
          <t>리노공업</t>
        </is>
      </c>
      <c r="D97" s="24" t="inlineStr">
        <is>
          <t>leeno</t>
        </is>
      </c>
      <c r="E97" s="24" t="inlineStr">
        <is>
          <t>058470</t>
        </is>
      </c>
      <c r="F97" s="24" t="inlineStr">
        <is>
          <t>2021</t>
        </is>
      </c>
      <c r="G97" s="24" t="inlineStr">
        <is>
          <t>OFS</t>
        </is>
      </c>
      <c r="H97" s="24" t="inlineStr">
        <is>
          <t>SCE</t>
        </is>
      </c>
      <c r="I97" s="24" t="inlineStr">
        <is>
          <t>자본변동표</t>
        </is>
      </c>
      <c r="J97" s="24" t="inlineStr">
        <is>
          <t>ifrs-full_Equity</t>
        </is>
      </c>
      <c r="K97" s="24" t="inlineStr">
        <is>
          <t>기말자본</t>
        </is>
      </c>
      <c r="L97" s="24" t="inlineStr">
        <is>
          <t>자본 [member]|자본잉여금 [member]</t>
        </is>
      </c>
      <c r="M97" s="24" t="inlineStr">
        <is>
          <t>제 26 기</t>
        </is>
      </c>
      <c r="N97" s="24" t="inlineStr">
        <is>
          <t>5601810444.0</t>
        </is>
      </c>
      <c r="O97" s="24" t="inlineStr">
        <is>
          <t>5601810444.0</t>
        </is>
      </c>
      <c r="P97" s="24" t="inlineStr">
        <is>
          <t>KRW</t>
        </is>
      </c>
      <c r="Q97" s="24" t="inlineStr">
        <is>
          <t>8</t>
        </is>
      </c>
    </row>
    <row r="98" ht="24" customHeight="1">
      <c r="A98" s="29" t="inlineStr">
        <is>
          <t>OpenDART_fnlttSinglAcntAll</t>
        </is>
      </c>
      <c r="B98" s="29" t="inlineStr">
        <is>
          <t>00369657</t>
        </is>
      </c>
      <c r="C98" s="29" t="inlineStr">
        <is>
          <t>리노공업</t>
        </is>
      </c>
      <c r="D98" s="29" t="inlineStr">
        <is>
          <t>leeno</t>
        </is>
      </c>
      <c r="E98" s="29" t="inlineStr">
        <is>
          <t>058470</t>
        </is>
      </c>
      <c r="F98" s="29" t="inlineStr">
        <is>
          <t>2021</t>
        </is>
      </c>
      <c r="G98" s="29" t="inlineStr">
        <is>
          <t>OFS</t>
        </is>
      </c>
      <c r="H98" s="29" t="inlineStr">
        <is>
          <t>SCE</t>
        </is>
      </c>
      <c r="I98" s="29" t="inlineStr">
        <is>
          <t>자본변동표</t>
        </is>
      </c>
      <c r="J98" s="29" t="inlineStr">
        <is>
          <t>ifrs-full_Equity</t>
        </is>
      </c>
      <c r="K98" s="29" t="inlineStr">
        <is>
          <t>기말자본</t>
        </is>
      </c>
      <c r="L98" s="29" t="inlineStr">
        <is>
          <t>자본 [member]|자본조정</t>
        </is>
      </c>
      <c r="M98" s="29" t="inlineStr">
        <is>
          <t>제 26 기</t>
        </is>
      </c>
      <c r="N98" s="29" t="inlineStr">
        <is>
          <t>-2353516350.0</t>
        </is>
      </c>
      <c r="O98" s="29" t="inlineStr">
        <is>
          <t>-2353516350.0</t>
        </is>
      </c>
      <c r="P98" s="29" t="inlineStr">
        <is>
          <t>KRW</t>
        </is>
      </c>
      <c r="Q98" s="29" t="inlineStr">
        <is>
          <t>8</t>
        </is>
      </c>
    </row>
    <row r="99" ht="24" customHeight="1">
      <c r="A99" s="24" t="inlineStr">
        <is>
          <t>OpenDART_fnlttSinglAcntAll</t>
        </is>
      </c>
      <c r="B99" s="24" t="inlineStr">
        <is>
          <t>00369657</t>
        </is>
      </c>
      <c r="C99" s="24" t="inlineStr">
        <is>
          <t>리노공업</t>
        </is>
      </c>
      <c r="D99" s="24" t="inlineStr">
        <is>
          <t>leeno</t>
        </is>
      </c>
      <c r="E99" s="24" t="inlineStr">
        <is>
          <t>058470</t>
        </is>
      </c>
      <c r="F99" s="24" t="inlineStr">
        <is>
          <t>2022</t>
        </is>
      </c>
      <c r="G99" s="24" t="inlineStr">
        <is>
          <t>OFS</t>
        </is>
      </c>
      <c r="H99" s="24" t="inlineStr">
        <is>
          <t>BS</t>
        </is>
      </c>
      <c r="I99" s="24" t="inlineStr">
        <is>
          <t>재무상태표</t>
        </is>
      </c>
      <c r="J99" s="24" t="inlineStr">
        <is>
          <t>ifrs-full_CurrentAssets</t>
        </is>
      </c>
      <c r="K99" s="24" t="inlineStr">
        <is>
          <t>유동자산</t>
        </is>
      </c>
      <c r="L99" s="24" t="inlineStr">
        <is>
          <t>-</t>
        </is>
      </c>
      <c r="M99" s="24" t="inlineStr">
        <is>
          <t>제 27 기</t>
        </is>
      </c>
      <c r="N99" s="24" t="inlineStr">
        <is>
          <t>377024805599.0</t>
        </is>
      </c>
      <c r="O99" s="24" t="inlineStr">
        <is>
          <t>335723022270.0</t>
        </is>
      </c>
      <c r="P99" s="24" t="inlineStr">
        <is>
          <t>KRW</t>
        </is>
      </c>
      <c r="Q99" s="24" t="inlineStr">
        <is>
          <t>1</t>
        </is>
      </c>
    </row>
    <row r="100" ht="24" customHeight="1">
      <c r="A100" s="29" t="inlineStr">
        <is>
          <t>OpenDART_fnlttSinglAcntAll</t>
        </is>
      </c>
      <c r="B100" s="29" t="inlineStr">
        <is>
          <t>00369657</t>
        </is>
      </c>
      <c r="C100" s="29" t="inlineStr">
        <is>
          <t>리노공업</t>
        </is>
      </c>
      <c r="D100" s="29" t="inlineStr">
        <is>
          <t>leeno</t>
        </is>
      </c>
      <c r="E100" s="29" t="inlineStr">
        <is>
          <t>058470</t>
        </is>
      </c>
      <c r="F100" s="29" t="inlineStr">
        <is>
          <t>2022</t>
        </is>
      </c>
      <c r="G100" s="29" t="inlineStr">
        <is>
          <t>OFS</t>
        </is>
      </c>
      <c r="H100" s="29" t="inlineStr">
        <is>
          <t>BS</t>
        </is>
      </c>
      <c r="I100" s="29" t="inlineStr">
        <is>
          <t>재무상태표</t>
        </is>
      </c>
      <c r="J100" s="29" t="inlineStr">
        <is>
          <t>ifrs-full_CashAndCashEquivalents</t>
        </is>
      </c>
      <c r="K100" s="29" t="inlineStr">
        <is>
          <t>현금및현금성자산</t>
        </is>
      </c>
      <c r="L100" s="29" t="inlineStr">
        <is>
          <t>-</t>
        </is>
      </c>
      <c r="M100" s="29" t="inlineStr">
        <is>
          <t>제 27 기</t>
        </is>
      </c>
      <c r="N100" s="29" t="inlineStr">
        <is>
          <t>30366977656.0</t>
        </is>
      </c>
      <c r="O100" s="29" t="inlineStr">
        <is>
          <t>77211544736.0</t>
        </is>
      </c>
      <c r="P100" s="29" t="inlineStr">
        <is>
          <t>KRW</t>
        </is>
      </c>
      <c r="Q100" s="29" t="inlineStr">
        <is>
          <t>2</t>
        </is>
      </c>
    </row>
    <row r="101" ht="24" customHeight="1">
      <c r="A101" s="24" t="inlineStr">
        <is>
          <t>OpenDART_fnlttSinglAcntAll</t>
        </is>
      </c>
      <c r="B101" s="24" t="inlineStr">
        <is>
          <t>00369657</t>
        </is>
      </c>
      <c r="C101" s="24" t="inlineStr">
        <is>
          <t>리노공업</t>
        </is>
      </c>
      <c r="D101" s="24" t="inlineStr">
        <is>
          <t>leeno</t>
        </is>
      </c>
      <c r="E101" s="24" t="inlineStr">
        <is>
          <t>058470</t>
        </is>
      </c>
      <c r="F101" s="24" t="inlineStr">
        <is>
          <t>2022</t>
        </is>
      </c>
      <c r="G101" s="24" t="inlineStr">
        <is>
          <t>OFS</t>
        </is>
      </c>
      <c r="H101" s="24" t="inlineStr">
        <is>
          <t>BS</t>
        </is>
      </c>
      <c r="I101" s="24" t="inlineStr">
        <is>
          <t>재무상태표</t>
        </is>
      </c>
      <c r="J101" s="24" t="inlineStr">
        <is>
          <t>dart_ShortTermTradeReceivable</t>
        </is>
      </c>
      <c r="K101" s="24" t="inlineStr">
        <is>
          <t>매출채권</t>
        </is>
      </c>
      <c r="L101" s="24" t="inlineStr">
        <is>
          <t>-</t>
        </is>
      </c>
      <c r="M101" s="24" t="inlineStr">
        <is>
          <t>제 27 기</t>
        </is>
      </c>
      <c r="N101" s="24" t="inlineStr">
        <is>
          <t>39326047673.0</t>
        </is>
      </c>
      <c r="O101" s="24" t="inlineStr">
        <is>
          <t>35370079189.0</t>
        </is>
      </c>
      <c r="P101" s="24" t="inlineStr">
        <is>
          <t>KRW</t>
        </is>
      </c>
      <c r="Q101" s="24" t="inlineStr">
        <is>
          <t>3</t>
        </is>
      </c>
    </row>
    <row r="102" ht="24" customHeight="1">
      <c r="A102" s="29" t="inlineStr">
        <is>
          <t>OpenDART_fnlttSinglAcntAll</t>
        </is>
      </c>
      <c r="B102" s="29" t="inlineStr">
        <is>
          <t>00369657</t>
        </is>
      </c>
      <c r="C102" s="29" t="inlineStr">
        <is>
          <t>리노공업</t>
        </is>
      </c>
      <c r="D102" s="29" t="inlineStr">
        <is>
          <t>leeno</t>
        </is>
      </c>
      <c r="E102" s="29" t="inlineStr">
        <is>
          <t>058470</t>
        </is>
      </c>
      <c r="F102" s="29" t="inlineStr">
        <is>
          <t>2022</t>
        </is>
      </c>
      <c r="G102" s="29" t="inlineStr">
        <is>
          <t>OFS</t>
        </is>
      </c>
      <c r="H102" s="29" t="inlineStr">
        <is>
          <t>BS</t>
        </is>
      </c>
      <c r="I102" s="29" t="inlineStr">
        <is>
          <t>재무상태표</t>
        </is>
      </c>
      <c r="J102" s="29" t="inlineStr">
        <is>
          <t>-표준계정코드 미사용-</t>
        </is>
      </c>
      <c r="K102" s="29" t="inlineStr">
        <is>
          <t>기타채권</t>
        </is>
      </c>
      <c r="L102" s="29" t="inlineStr">
        <is>
          <t>-</t>
        </is>
      </c>
      <c r="M102" s="29" t="inlineStr">
        <is>
          <t>제 27 기</t>
        </is>
      </c>
      <c r="N102" s="29" t="inlineStr">
        <is>
          <t>6824703807.0</t>
        </is>
      </c>
      <c r="O102" s="29" t="inlineStr">
        <is>
          <t>5434696862.0</t>
        </is>
      </c>
      <c r="P102" s="29" t="inlineStr">
        <is>
          <t>KRW</t>
        </is>
      </c>
      <c r="Q102" s="29" t="inlineStr">
        <is>
          <t>4</t>
        </is>
      </c>
    </row>
    <row r="103" ht="24" customHeight="1">
      <c r="A103" s="24" t="inlineStr">
        <is>
          <t>OpenDART_fnlttSinglAcntAll</t>
        </is>
      </c>
      <c r="B103" s="24" t="inlineStr">
        <is>
          <t>00369657</t>
        </is>
      </c>
      <c r="C103" s="24" t="inlineStr">
        <is>
          <t>리노공업</t>
        </is>
      </c>
      <c r="D103" s="24" t="inlineStr">
        <is>
          <t>leeno</t>
        </is>
      </c>
      <c r="E103" s="24" t="inlineStr">
        <is>
          <t>058470</t>
        </is>
      </c>
      <c r="F103" s="24" t="inlineStr">
        <is>
          <t>2022</t>
        </is>
      </c>
      <c r="G103" s="24" t="inlineStr">
        <is>
          <t>OFS</t>
        </is>
      </c>
      <c r="H103" s="24" t="inlineStr">
        <is>
          <t>BS</t>
        </is>
      </c>
      <c r="I103" s="24" t="inlineStr">
        <is>
          <t>재무상태표</t>
        </is>
      </c>
      <c r="J103" s="24" t="inlineStr">
        <is>
          <t>ifrs-full_OtherCurrentFinancialAssets</t>
        </is>
      </c>
      <c r="K103" s="24" t="inlineStr">
        <is>
          <t>기타금융자산</t>
        </is>
      </c>
      <c r="L103" s="24" t="inlineStr">
        <is>
          <t>-</t>
        </is>
      </c>
      <c r="M103" s="24" t="inlineStr">
        <is>
          <t>제 27 기</t>
        </is>
      </c>
      <c r="N103" s="24" t="inlineStr">
        <is>
          <t>286767000000.0</t>
        </is>
      </c>
      <c r="O103" s="24" t="inlineStr">
        <is>
          <t>205759500000.0</t>
        </is>
      </c>
      <c r="P103" s="24" t="inlineStr">
        <is>
          <t>KRW</t>
        </is>
      </c>
      <c r="Q103" s="24" t="inlineStr">
        <is>
          <t>5</t>
        </is>
      </c>
    </row>
    <row r="104" ht="24" customHeight="1">
      <c r="A104" s="29" t="inlineStr">
        <is>
          <t>OpenDART_fnlttSinglAcntAll</t>
        </is>
      </c>
      <c r="B104" s="29" t="inlineStr">
        <is>
          <t>00369657</t>
        </is>
      </c>
      <c r="C104" s="29" t="inlineStr">
        <is>
          <t>리노공업</t>
        </is>
      </c>
      <c r="D104" s="29" t="inlineStr">
        <is>
          <t>leeno</t>
        </is>
      </c>
      <c r="E104" s="29" t="inlineStr">
        <is>
          <t>058470</t>
        </is>
      </c>
      <c r="F104" s="29" t="inlineStr">
        <is>
          <t>2022</t>
        </is>
      </c>
      <c r="G104" s="29" t="inlineStr">
        <is>
          <t>OFS</t>
        </is>
      </c>
      <c r="H104" s="29" t="inlineStr">
        <is>
          <t>BS</t>
        </is>
      </c>
      <c r="I104" s="29" t="inlineStr">
        <is>
          <t>재무상태표</t>
        </is>
      </c>
      <c r="J104" s="29" t="inlineStr">
        <is>
          <t>ifrs-full_Inventories</t>
        </is>
      </c>
      <c r="K104" s="29" t="inlineStr">
        <is>
          <t>재고자산</t>
        </is>
      </c>
      <c r="L104" s="29" t="inlineStr">
        <is>
          <t>-</t>
        </is>
      </c>
      <c r="M104" s="29" t="inlineStr">
        <is>
          <t>제 27 기</t>
        </is>
      </c>
      <c r="N104" s="29" t="inlineStr">
        <is>
          <t>13111076097.0</t>
        </is>
      </c>
      <c r="O104" s="29" t="inlineStr">
        <is>
          <t>11596904125.0</t>
        </is>
      </c>
      <c r="P104" s="29" t="inlineStr">
        <is>
          <t>KRW</t>
        </is>
      </c>
      <c r="Q104" s="29" t="inlineStr">
        <is>
          <t>6</t>
        </is>
      </c>
    </row>
    <row r="105" ht="24" customHeight="1">
      <c r="A105" s="24" t="inlineStr">
        <is>
          <t>OpenDART_fnlttSinglAcntAll</t>
        </is>
      </c>
      <c r="B105" s="24" t="inlineStr">
        <is>
          <t>00369657</t>
        </is>
      </c>
      <c r="C105" s="24" t="inlineStr">
        <is>
          <t>리노공업</t>
        </is>
      </c>
      <c r="D105" s="24" t="inlineStr">
        <is>
          <t>leeno</t>
        </is>
      </c>
      <c r="E105" s="24" t="inlineStr">
        <is>
          <t>058470</t>
        </is>
      </c>
      <c r="F105" s="24" t="inlineStr">
        <is>
          <t>2022</t>
        </is>
      </c>
      <c r="G105" s="24" t="inlineStr">
        <is>
          <t>OFS</t>
        </is>
      </c>
      <c r="H105" s="24" t="inlineStr">
        <is>
          <t>BS</t>
        </is>
      </c>
      <c r="I105" s="24" t="inlineStr">
        <is>
          <t>재무상태표</t>
        </is>
      </c>
      <c r="J105" s="24" t="inlineStr">
        <is>
          <t>dart_OtherCurrentAssets</t>
        </is>
      </c>
      <c r="K105" s="24" t="inlineStr">
        <is>
          <t>기타자산</t>
        </is>
      </c>
      <c r="L105" s="24" t="inlineStr">
        <is>
          <t>-</t>
        </is>
      </c>
      <c r="M105" s="24" t="inlineStr">
        <is>
          <t>제 27 기</t>
        </is>
      </c>
      <c r="N105" s="24" t="inlineStr">
        <is>
          <t>629000366.0</t>
        </is>
      </c>
      <c r="O105" s="24" t="inlineStr">
        <is>
          <t>350297358.0</t>
        </is>
      </c>
      <c r="P105" s="24" t="inlineStr">
        <is>
          <t>KRW</t>
        </is>
      </c>
      <c r="Q105" s="24" t="inlineStr">
        <is>
          <t>7</t>
        </is>
      </c>
    </row>
    <row r="106" ht="24" customHeight="1">
      <c r="A106" s="29" t="inlineStr">
        <is>
          <t>OpenDART_fnlttSinglAcntAll</t>
        </is>
      </c>
      <c r="B106" s="29" t="inlineStr">
        <is>
          <t>00369657</t>
        </is>
      </c>
      <c r="C106" s="29" t="inlineStr">
        <is>
          <t>리노공업</t>
        </is>
      </c>
      <c r="D106" s="29" t="inlineStr">
        <is>
          <t>leeno</t>
        </is>
      </c>
      <c r="E106" s="29" t="inlineStr">
        <is>
          <t>058470</t>
        </is>
      </c>
      <c r="F106" s="29" t="inlineStr">
        <is>
          <t>2022</t>
        </is>
      </c>
      <c r="G106" s="29" t="inlineStr">
        <is>
          <t>OFS</t>
        </is>
      </c>
      <c r="H106" s="29" t="inlineStr">
        <is>
          <t>BS</t>
        </is>
      </c>
      <c r="I106" s="29" t="inlineStr">
        <is>
          <t>재무상태표</t>
        </is>
      </c>
      <c r="J106" s="29" t="inlineStr">
        <is>
          <t>ifrs-full_NoncurrentAssets</t>
        </is>
      </c>
      <c r="K106" s="29" t="inlineStr">
        <is>
          <t>비유동자산</t>
        </is>
      </c>
      <c r="L106" s="29" t="inlineStr">
        <is>
          <t>-</t>
        </is>
      </c>
      <c r="M106" s="29" t="inlineStr">
        <is>
          <t>제 27 기</t>
        </is>
      </c>
      <c r="N106" s="29" t="inlineStr">
        <is>
          <t>154463323833.0</t>
        </is>
      </c>
      <c r="O106" s="29" t="inlineStr">
        <is>
          <t>130648011966.0</t>
        </is>
      </c>
      <c r="P106" s="29" t="inlineStr">
        <is>
          <t>KRW</t>
        </is>
      </c>
      <c r="Q106" s="29" t="inlineStr">
        <is>
          <t>8</t>
        </is>
      </c>
    </row>
    <row r="107" ht="24" customHeight="1">
      <c r="A107" s="24" t="inlineStr">
        <is>
          <t>OpenDART_fnlttSinglAcntAll</t>
        </is>
      </c>
      <c r="B107" s="24" t="inlineStr">
        <is>
          <t>00369657</t>
        </is>
      </c>
      <c r="C107" s="24" t="inlineStr">
        <is>
          <t>리노공업</t>
        </is>
      </c>
      <c r="D107" s="24" t="inlineStr">
        <is>
          <t>leeno</t>
        </is>
      </c>
      <c r="E107" s="24" t="inlineStr">
        <is>
          <t>058470</t>
        </is>
      </c>
      <c r="F107" s="24" t="inlineStr">
        <is>
          <t>2022</t>
        </is>
      </c>
      <c r="G107" s="24" t="inlineStr">
        <is>
          <t>OFS</t>
        </is>
      </c>
      <c r="H107" s="24" t="inlineStr">
        <is>
          <t>BS</t>
        </is>
      </c>
      <c r="I107" s="24" t="inlineStr">
        <is>
          <t>재무상태표</t>
        </is>
      </c>
      <c r="J107" s="24" t="inlineStr">
        <is>
          <t>-표준계정코드 미사용-</t>
        </is>
      </c>
      <c r="K107" s="24" t="inlineStr">
        <is>
          <t>기타채권</t>
        </is>
      </c>
      <c r="L107" s="24" t="inlineStr">
        <is>
          <t>-</t>
        </is>
      </c>
      <c r="M107" s="24" t="inlineStr">
        <is>
          <t>제 27 기</t>
        </is>
      </c>
      <c r="N107" s="24" t="inlineStr">
        <is>
          <t>78349830.0</t>
        </is>
      </c>
      <c r="O107" s="24" t="inlineStr">
        <is>
          <t>78349830.0</t>
        </is>
      </c>
      <c r="P107" s="24" t="inlineStr">
        <is>
          <t>KRW</t>
        </is>
      </c>
      <c r="Q107" s="24" t="inlineStr">
        <is>
          <t>9</t>
        </is>
      </c>
    </row>
    <row r="108" ht="24" customHeight="1">
      <c r="A108" s="29" t="inlineStr">
        <is>
          <t>OpenDART_fnlttSinglAcntAll</t>
        </is>
      </c>
      <c r="B108" s="29" t="inlineStr">
        <is>
          <t>00369657</t>
        </is>
      </c>
      <c r="C108" s="29" t="inlineStr">
        <is>
          <t>리노공업</t>
        </is>
      </c>
      <c r="D108" s="29" t="inlineStr">
        <is>
          <t>leeno</t>
        </is>
      </c>
      <c r="E108" s="29" t="inlineStr">
        <is>
          <t>058470</t>
        </is>
      </c>
      <c r="F108" s="29" t="inlineStr">
        <is>
          <t>2022</t>
        </is>
      </c>
      <c r="G108" s="29" t="inlineStr">
        <is>
          <t>OFS</t>
        </is>
      </c>
      <c r="H108" s="29" t="inlineStr">
        <is>
          <t>BS</t>
        </is>
      </c>
      <c r="I108" s="29" t="inlineStr">
        <is>
          <t>재무상태표</t>
        </is>
      </c>
      <c r="J108" s="29" t="inlineStr">
        <is>
          <t>ifrs-full_OtherNoncurrentFinancialAssets</t>
        </is>
      </c>
      <c r="K108" s="29" t="inlineStr">
        <is>
          <t>기타금융자산</t>
        </is>
      </c>
      <c r="L108" s="29" t="inlineStr">
        <is>
          <t>-</t>
        </is>
      </c>
      <c r="M108" s="29" t="inlineStr">
        <is>
          <t>제 27 기</t>
        </is>
      </c>
      <c r="N108" s="29" t="inlineStr">
        <is>
          <t>21153039181.0</t>
        </is>
      </c>
      <c r="O108" s="29" t="inlineStr">
        <is>
          <t>2893143704.0</t>
        </is>
      </c>
      <c r="P108" s="29" t="inlineStr">
        <is>
          <t>KRW</t>
        </is>
      </c>
      <c r="Q108" s="29" t="inlineStr">
        <is>
          <t>10</t>
        </is>
      </c>
    </row>
    <row r="109" ht="24" customHeight="1">
      <c r="A109" s="24" t="inlineStr">
        <is>
          <t>OpenDART_fnlttSinglAcntAll</t>
        </is>
      </c>
      <c r="B109" s="24" t="inlineStr">
        <is>
          <t>00369657</t>
        </is>
      </c>
      <c r="C109" s="24" t="inlineStr">
        <is>
          <t>리노공업</t>
        </is>
      </c>
      <c r="D109" s="24" t="inlineStr">
        <is>
          <t>leeno</t>
        </is>
      </c>
      <c r="E109" s="24" t="inlineStr">
        <is>
          <t>058470</t>
        </is>
      </c>
      <c r="F109" s="24" t="inlineStr">
        <is>
          <t>2022</t>
        </is>
      </c>
      <c r="G109" s="24" t="inlineStr">
        <is>
          <t>OFS</t>
        </is>
      </c>
      <c r="H109" s="24" t="inlineStr">
        <is>
          <t>BS</t>
        </is>
      </c>
      <c r="I109" s="24" t="inlineStr">
        <is>
          <t>재무상태표</t>
        </is>
      </c>
      <c r="J109" s="24" t="inlineStr">
        <is>
          <t>ifrs-full_PropertyPlantAndEquipment</t>
        </is>
      </c>
      <c r="K109" s="24" t="inlineStr">
        <is>
          <t>유형자산</t>
        </is>
      </c>
      <c r="L109" s="24" t="inlineStr">
        <is>
          <t>-</t>
        </is>
      </c>
      <c r="M109" s="24" t="inlineStr">
        <is>
          <t>제 27 기</t>
        </is>
      </c>
      <c r="N109" s="24" t="inlineStr">
        <is>
          <t>128454852779.0</t>
        </is>
      </c>
      <c r="O109" s="24" t="inlineStr">
        <is>
          <t>124382380697.0</t>
        </is>
      </c>
      <c r="P109" s="24" t="inlineStr">
        <is>
          <t>KRW</t>
        </is>
      </c>
      <c r="Q109" s="24" t="inlineStr">
        <is>
          <t>11</t>
        </is>
      </c>
    </row>
    <row r="110" ht="24" customHeight="1">
      <c r="A110" s="29" t="inlineStr">
        <is>
          <t>OpenDART_fnlttSinglAcntAll</t>
        </is>
      </c>
      <c r="B110" s="29" t="inlineStr">
        <is>
          <t>00369657</t>
        </is>
      </c>
      <c r="C110" s="29" t="inlineStr">
        <is>
          <t>리노공업</t>
        </is>
      </c>
      <c r="D110" s="29" t="inlineStr">
        <is>
          <t>leeno</t>
        </is>
      </c>
      <c r="E110" s="29" t="inlineStr">
        <is>
          <t>058470</t>
        </is>
      </c>
      <c r="F110" s="29" t="inlineStr">
        <is>
          <t>2022</t>
        </is>
      </c>
      <c r="G110" s="29" t="inlineStr">
        <is>
          <t>OFS</t>
        </is>
      </c>
      <c r="H110" s="29" t="inlineStr">
        <is>
          <t>BS</t>
        </is>
      </c>
      <c r="I110" s="29" t="inlineStr">
        <is>
          <t>재무상태표</t>
        </is>
      </c>
      <c r="J110" s="29" t="inlineStr">
        <is>
          <t>ifrs-full_IntangibleAssetsOtherThanGoodwill</t>
        </is>
      </c>
      <c r="K110" s="29" t="inlineStr">
        <is>
          <t>무형자산</t>
        </is>
      </c>
      <c r="L110" s="29" t="inlineStr">
        <is>
          <t>-</t>
        </is>
      </c>
      <c r="M110" s="29" t="inlineStr">
        <is>
          <t>제 27 기</t>
        </is>
      </c>
      <c r="N110" s="29" t="inlineStr">
        <is>
          <t>1821280539.0</t>
        </is>
      </c>
      <c r="O110" s="29" t="inlineStr">
        <is>
          <t>2026404881.0</t>
        </is>
      </c>
      <c r="P110" s="29" t="inlineStr">
        <is>
          <t>KRW</t>
        </is>
      </c>
      <c r="Q110" s="29" t="inlineStr">
        <is>
          <t>12</t>
        </is>
      </c>
    </row>
    <row r="111" ht="24" customHeight="1">
      <c r="A111" s="24" t="inlineStr">
        <is>
          <t>OpenDART_fnlttSinglAcntAll</t>
        </is>
      </c>
      <c r="B111" s="24" t="inlineStr">
        <is>
          <t>00369657</t>
        </is>
      </c>
      <c r="C111" s="24" t="inlineStr">
        <is>
          <t>리노공업</t>
        </is>
      </c>
      <c r="D111" s="24" t="inlineStr">
        <is>
          <t>leeno</t>
        </is>
      </c>
      <c r="E111" s="24" t="inlineStr">
        <is>
          <t>058470</t>
        </is>
      </c>
      <c r="F111" s="24" t="inlineStr">
        <is>
          <t>2022</t>
        </is>
      </c>
      <c r="G111" s="24" t="inlineStr">
        <is>
          <t>OFS</t>
        </is>
      </c>
      <c r="H111" s="24" t="inlineStr">
        <is>
          <t>BS</t>
        </is>
      </c>
      <c r="I111" s="24" t="inlineStr">
        <is>
          <t>재무상태표</t>
        </is>
      </c>
      <c r="J111" s="24" t="inlineStr">
        <is>
          <t>dart_InvestedAssetForPostemploymentBenefit</t>
        </is>
      </c>
      <c r="K111" s="24" t="inlineStr">
        <is>
          <t>순확정급여자산</t>
        </is>
      </c>
      <c r="L111" s="24" t="inlineStr">
        <is>
          <t>-</t>
        </is>
      </c>
      <c r="M111" s="24" t="inlineStr">
        <is>
          <t>제 27 기</t>
        </is>
      </c>
      <c r="N111" s="24" t="inlineStr">
        <is>
          <t>1615926874.0</t>
        </is>
      </c>
      <c r="O111" s="24" t="inlineStr">
        <is>
          <t>해당 없음</t>
        </is>
      </c>
      <c r="P111" s="24" t="inlineStr">
        <is>
          <t>KRW</t>
        </is>
      </c>
      <c r="Q111" s="24" t="inlineStr">
        <is>
          <t>13</t>
        </is>
      </c>
    </row>
    <row r="112" ht="24" customHeight="1">
      <c r="A112" s="29" t="inlineStr">
        <is>
          <t>OpenDART_fnlttSinglAcntAll</t>
        </is>
      </c>
      <c r="B112" s="29" t="inlineStr">
        <is>
          <t>00369657</t>
        </is>
      </c>
      <c r="C112" s="29" t="inlineStr">
        <is>
          <t>리노공업</t>
        </is>
      </c>
      <c r="D112" s="29" t="inlineStr">
        <is>
          <t>leeno</t>
        </is>
      </c>
      <c r="E112" s="29" t="inlineStr">
        <is>
          <t>058470</t>
        </is>
      </c>
      <c r="F112" s="29" t="inlineStr">
        <is>
          <t>2022</t>
        </is>
      </c>
      <c r="G112" s="29" t="inlineStr">
        <is>
          <t>OFS</t>
        </is>
      </c>
      <c r="H112" s="29" t="inlineStr">
        <is>
          <t>BS</t>
        </is>
      </c>
      <c r="I112" s="29" t="inlineStr">
        <is>
          <t>재무상태표</t>
        </is>
      </c>
      <c r="J112" s="29" t="inlineStr">
        <is>
          <t>ifrs-full_DeferredTaxAssets</t>
        </is>
      </c>
      <c r="K112" s="29" t="inlineStr">
        <is>
          <t>이연법인세자산</t>
        </is>
      </c>
      <c r="L112" s="29" t="inlineStr">
        <is>
          <t>-</t>
        </is>
      </c>
      <c r="M112" s="29" t="inlineStr">
        <is>
          <t>제 27 기</t>
        </is>
      </c>
      <c r="N112" s="29" t="inlineStr">
        <is>
          <t>1339874630.0</t>
        </is>
      </c>
      <c r="O112" s="29" t="inlineStr">
        <is>
          <t>1267732854.0</t>
        </is>
      </c>
      <c r="P112" s="29" t="inlineStr">
        <is>
          <t>KRW</t>
        </is>
      </c>
      <c r="Q112" s="29" t="inlineStr">
        <is>
          <t>14</t>
        </is>
      </c>
    </row>
    <row r="113" ht="24" customHeight="1">
      <c r="A113" s="24" t="inlineStr">
        <is>
          <t>OpenDART_fnlttSinglAcntAll</t>
        </is>
      </c>
      <c r="B113" s="24" t="inlineStr">
        <is>
          <t>00369657</t>
        </is>
      </c>
      <c r="C113" s="24" t="inlineStr">
        <is>
          <t>리노공업</t>
        </is>
      </c>
      <c r="D113" s="24" t="inlineStr">
        <is>
          <t>leeno</t>
        </is>
      </c>
      <c r="E113" s="24" t="inlineStr">
        <is>
          <t>058470</t>
        </is>
      </c>
      <c r="F113" s="24" t="inlineStr">
        <is>
          <t>2022</t>
        </is>
      </c>
      <c r="G113" s="24" t="inlineStr">
        <is>
          <t>OFS</t>
        </is>
      </c>
      <c r="H113" s="24" t="inlineStr">
        <is>
          <t>BS</t>
        </is>
      </c>
      <c r="I113" s="24" t="inlineStr">
        <is>
          <t>재무상태표</t>
        </is>
      </c>
      <c r="J113" s="24" t="inlineStr">
        <is>
          <t>ifrs-full_Assets</t>
        </is>
      </c>
      <c r="K113" s="24" t="inlineStr">
        <is>
          <t>자산총계</t>
        </is>
      </c>
      <c r="L113" s="24" t="inlineStr">
        <is>
          <t>-</t>
        </is>
      </c>
      <c r="M113" s="24" t="inlineStr">
        <is>
          <t>제 27 기</t>
        </is>
      </c>
      <c r="N113" s="24" t="inlineStr">
        <is>
          <t>531488129432.0</t>
        </is>
      </c>
      <c r="O113" s="24" t="inlineStr">
        <is>
          <t>466371034236.0</t>
        </is>
      </c>
      <c r="P113" s="24" t="inlineStr">
        <is>
          <t>KRW</t>
        </is>
      </c>
      <c r="Q113" s="24" t="inlineStr">
        <is>
          <t>15</t>
        </is>
      </c>
    </row>
    <row r="114" ht="24" customHeight="1">
      <c r="A114" s="29" t="inlineStr">
        <is>
          <t>OpenDART_fnlttSinglAcntAll</t>
        </is>
      </c>
      <c r="B114" s="29" t="inlineStr">
        <is>
          <t>00369657</t>
        </is>
      </c>
      <c r="C114" s="29" t="inlineStr">
        <is>
          <t>리노공업</t>
        </is>
      </c>
      <c r="D114" s="29" t="inlineStr">
        <is>
          <t>leeno</t>
        </is>
      </c>
      <c r="E114" s="29" t="inlineStr">
        <is>
          <t>058470</t>
        </is>
      </c>
      <c r="F114" s="29" t="inlineStr">
        <is>
          <t>2022</t>
        </is>
      </c>
      <c r="G114" s="29" t="inlineStr">
        <is>
          <t>OFS</t>
        </is>
      </c>
      <c r="H114" s="29" t="inlineStr">
        <is>
          <t>BS</t>
        </is>
      </c>
      <c r="I114" s="29" t="inlineStr">
        <is>
          <t>재무상태표</t>
        </is>
      </c>
      <c r="J114" s="29" t="inlineStr">
        <is>
          <t>ifrs-full_CurrentLiabilities</t>
        </is>
      </c>
      <c r="K114" s="29" t="inlineStr">
        <is>
          <t>유동부채</t>
        </is>
      </c>
      <c r="L114" s="29" t="inlineStr">
        <is>
          <t>-</t>
        </is>
      </c>
      <c r="M114" s="29" t="inlineStr">
        <is>
          <t>제 27 기</t>
        </is>
      </c>
      <c r="N114" s="29" t="inlineStr">
        <is>
          <t>36383168010.0</t>
        </is>
      </c>
      <c r="O114" s="29" t="inlineStr">
        <is>
          <t>45990326198.0</t>
        </is>
      </c>
      <c r="P114" s="29" t="inlineStr">
        <is>
          <t>KRW</t>
        </is>
      </c>
      <c r="Q114" s="29" t="inlineStr">
        <is>
          <t>17</t>
        </is>
      </c>
    </row>
    <row r="115" ht="24" customHeight="1">
      <c r="A115" s="24" t="inlineStr">
        <is>
          <t>OpenDART_fnlttSinglAcntAll</t>
        </is>
      </c>
      <c r="B115" s="24" t="inlineStr">
        <is>
          <t>00369657</t>
        </is>
      </c>
      <c r="C115" s="24" t="inlineStr">
        <is>
          <t>리노공업</t>
        </is>
      </c>
      <c r="D115" s="24" t="inlineStr">
        <is>
          <t>leeno</t>
        </is>
      </c>
      <c r="E115" s="24" t="inlineStr">
        <is>
          <t>058470</t>
        </is>
      </c>
      <c r="F115" s="24" t="inlineStr">
        <is>
          <t>2022</t>
        </is>
      </c>
      <c r="G115" s="24" t="inlineStr">
        <is>
          <t>OFS</t>
        </is>
      </c>
      <c r="H115" s="24" t="inlineStr">
        <is>
          <t>BS</t>
        </is>
      </c>
      <c r="I115" s="24" t="inlineStr">
        <is>
          <t>재무상태표</t>
        </is>
      </c>
      <c r="J115" s="24" t="inlineStr">
        <is>
          <t>dart_ShortTermTradePayables</t>
        </is>
      </c>
      <c r="K115" s="24" t="inlineStr">
        <is>
          <t>매입채무</t>
        </is>
      </c>
      <c r="L115" s="24" t="inlineStr">
        <is>
          <t>-</t>
        </is>
      </c>
      <c r="M115" s="24" t="inlineStr">
        <is>
          <t>제 27 기</t>
        </is>
      </c>
      <c r="N115" s="24" t="inlineStr">
        <is>
          <t>4668842895.0</t>
        </is>
      </c>
      <c r="O115" s="24" t="inlineStr">
        <is>
          <t>4695754441.0</t>
        </is>
      </c>
      <c r="P115" s="24" t="inlineStr">
        <is>
          <t>KRW</t>
        </is>
      </c>
      <c r="Q115" s="24" t="inlineStr">
        <is>
          <t>18</t>
        </is>
      </c>
    </row>
    <row r="116" ht="24" customHeight="1">
      <c r="A116" s="29" t="inlineStr">
        <is>
          <t>OpenDART_fnlttSinglAcntAll</t>
        </is>
      </c>
      <c r="B116" s="29" t="inlineStr">
        <is>
          <t>00369657</t>
        </is>
      </c>
      <c r="C116" s="29" t="inlineStr">
        <is>
          <t>리노공업</t>
        </is>
      </c>
      <c r="D116" s="29" t="inlineStr">
        <is>
          <t>leeno</t>
        </is>
      </c>
      <c r="E116" s="29" t="inlineStr">
        <is>
          <t>058470</t>
        </is>
      </c>
      <c r="F116" s="29" t="inlineStr">
        <is>
          <t>2022</t>
        </is>
      </c>
      <c r="G116" s="29" t="inlineStr">
        <is>
          <t>OFS</t>
        </is>
      </c>
      <c r="H116" s="29" t="inlineStr">
        <is>
          <t>BS</t>
        </is>
      </c>
      <c r="I116" s="29" t="inlineStr">
        <is>
          <t>재무상태표</t>
        </is>
      </c>
      <c r="J116" s="29" t="inlineStr">
        <is>
          <t>-표준계정코드 미사용-</t>
        </is>
      </c>
      <c r="K116" s="29" t="inlineStr">
        <is>
          <t>기타채무</t>
        </is>
      </c>
      <c r="L116" s="29" t="inlineStr">
        <is>
          <t>-</t>
        </is>
      </c>
      <c r="M116" s="29" t="inlineStr">
        <is>
          <t>제 27 기</t>
        </is>
      </c>
      <c r="N116" s="29" t="inlineStr">
        <is>
          <t>6226684918.0</t>
        </is>
      </c>
      <c r="O116" s="29" t="inlineStr">
        <is>
          <t>5868163889.0</t>
        </is>
      </c>
      <c r="P116" s="29" t="inlineStr">
        <is>
          <t>KRW</t>
        </is>
      </c>
      <c r="Q116" s="29" t="inlineStr">
        <is>
          <t>19</t>
        </is>
      </c>
    </row>
    <row r="117" ht="24" customHeight="1">
      <c r="A117" s="24" t="inlineStr">
        <is>
          <t>OpenDART_fnlttSinglAcntAll</t>
        </is>
      </c>
      <c r="B117" s="24" t="inlineStr">
        <is>
          <t>00369657</t>
        </is>
      </c>
      <c r="C117" s="24" t="inlineStr">
        <is>
          <t>리노공업</t>
        </is>
      </c>
      <c r="D117" s="24" t="inlineStr">
        <is>
          <t>leeno</t>
        </is>
      </c>
      <c r="E117" s="24" t="inlineStr">
        <is>
          <t>058470</t>
        </is>
      </c>
      <c r="F117" s="24" t="inlineStr">
        <is>
          <t>2022</t>
        </is>
      </c>
      <c r="G117" s="24" t="inlineStr">
        <is>
          <t>OFS</t>
        </is>
      </c>
      <c r="H117" s="24" t="inlineStr">
        <is>
          <t>BS</t>
        </is>
      </c>
      <c r="I117" s="24" t="inlineStr">
        <is>
          <t>재무상태표</t>
        </is>
      </c>
      <c r="J117" s="24" t="inlineStr">
        <is>
          <t>ifrs-full_CurrentTaxLiabilities</t>
        </is>
      </c>
      <c r="K117" s="24" t="inlineStr">
        <is>
          <t>당기법인세부채</t>
        </is>
      </c>
      <c r="L117" s="24" t="inlineStr">
        <is>
          <t>-</t>
        </is>
      </c>
      <c r="M117" s="24" t="inlineStr">
        <is>
          <t>제 27 기</t>
        </is>
      </c>
      <c r="N117" s="24" t="inlineStr">
        <is>
          <t>24669351193.0</t>
        </is>
      </c>
      <c r="O117" s="24" t="inlineStr">
        <is>
          <t>27844212227.0</t>
        </is>
      </c>
      <c r="P117" s="24" t="inlineStr">
        <is>
          <t>KRW</t>
        </is>
      </c>
      <c r="Q117" s="24" t="inlineStr">
        <is>
          <t>20</t>
        </is>
      </c>
    </row>
    <row r="118" ht="24" customHeight="1">
      <c r="A118" s="29" t="inlineStr">
        <is>
          <t>OpenDART_fnlttSinglAcntAll</t>
        </is>
      </c>
      <c r="B118" s="29" t="inlineStr">
        <is>
          <t>00369657</t>
        </is>
      </c>
      <c r="C118" s="29" t="inlineStr">
        <is>
          <t>리노공업</t>
        </is>
      </c>
      <c r="D118" s="29" t="inlineStr">
        <is>
          <t>leeno</t>
        </is>
      </c>
      <c r="E118" s="29" t="inlineStr">
        <is>
          <t>058470</t>
        </is>
      </c>
      <c r="F118" s="29" t="inlineStr">
        <is>
          <t>2022</t>
        </is>
      </c>
      <c r="G118" s="29" t="inlineStr">
        <is>
          <t>OFS</t>
        </is>
      </c>
      <c r="H118" s="29" t="inlineStr">
        <is>
          <t>BS</t>
        </is>
      </c>
      <c r="I118" s="29" t="inlineStr">
        <is>
          <t>재무상태표</t>
        </is>
      </c>
      <c r="J118" s="29" t="inlineStr">
        <is>
          <t>dart_OtherCurrentLiabilities</t>
        </is>
      </c>
      <c r="K118" s="29" t="inlineStr">
        <is>
          <t>기타부채</t>
        </is>
      </c>
      <c r="L118" s="29" t="inlineStr">
        <is>
          <t>-</t>
        </is>
      </c>
      <c r="M118" s="29" t="inlineStr">
        <is>
          <t>제 27 기</t>
        </is>
      </c>
      <c r="N118" s="29" t="inlineStr">
        <is>
          <t>716179640.0</t>
        </is>
      </c>
      <c r="O118" s="29" t="inlineStr">
        <is>
          <t>7475331734.0</t>
        </is>
      </c>
      <c r="P118" s="29" t="inlineStr">
        <is>
          <t>KRW</t>
        </is>
      </c>
      <c r="Q118" s="29" t="inlineStr">
        <is>
          <t>21</t>
        </is>
      </c>
    </row>
    <row r="119" ht="24" customHeight="1">
      <c r="A119" s="24" t="inlineStr">
        <is>
          <t>OpenDART_fnlttSinglAcntAll</t>
        </is>
      </c>
      <c r="B119" s="24" t="inlineStr">
        <is>
          <t>00369657</t>
        </is>
      </c>
      <c r="C119" s="24" t="inlineStr">
        <is>
          <t>리노공업</t>
        </is>
      </c>
      <c r="D119" s="24" t="inlineStr">
        <is>
          <t>leeno</t>
        </is>
      </c>
      <c r="E119" s="24" t="inlineStr">
        <is>
          <t>058470</t>
        </is>
      </c>
      <c r="F119" s="24" t="inlineStr">
        <is>
          <t>2022</t>
        </is>
      </c>
      <c r="G119" s="24" t="inlineStr">
        <is>
          <t>OFS</t>
        </is>
      </c>
      <c r="H119" s="24" t="inlineStr">
        <is>
          <t>BS</t>
        </is>
      </c>
      <c r="I119" s="24" t="inlineStr">
        <is>
          <t>재무상태표</t>
        </is>
      </c>
      <c r="J119" s="24" t="inlineStr">
        <is>
          <t>ifrs-full_CurrentLeaseLiabilities</t>
        </is>
      </c>
      <c r="K119" s="24" t="inlineStr">
        <is>
          <t>리스부채</t>
        </is>
      </c>
      <c r="L119" s="24" t="inlineStr">
        <is>
          <t>-</t>
        </is>
      </c>
      <c r="M119" s="24" t="inlineStr">
        <is>
          <t>제 27 기</t>
        </is>
      </c>
      <c r="N119" s="24" t="inlineStr">
        <is>
          <t>102109364.0</t>
        </is>
      </c>
      <c r="O119" s="24" t="inlineStr">
        <is>
          <t>106863907.0</t>
        </is>
      </c>
      <c r="P119" s="24" t="inlineStr">
        <is>
          <t>KRW</t>
        </is>
      </c>
      <c r="Q119" s="24" t="inlineStr">
        <is>
          <t>22</t>
        </is>
      </c>
    </row>
    <row r="120" ht="24" customHeight="1">
      <c r="A120" s="29" t="inlineStr">
        <is>
          <t>OpenDART_fnlttSinglAcntAll</t>
        </is>
      </c>
      <c r="B120" s="29" t="inlineStr">
        <is>
          <t>00369657</t>
        </is>
      </c>
      <c r="C120" s="29" t="inlineStr">
        <is>
          <t>리노공업</t>
        </is>
      </c>
      <c r="D120" s="29" t="inlineStr">
        <is>
          <t>leeno</t>
        </is>
      </c>
      <c r="E120" s="29" t="inlineStr">
        <is>
          <t>058470</t>
        </is>
      </c>
      <c r="F120" s="29" t="inlineStr">
        <is>
          <t>2022</t>
        </is>
      </c>
      <c r="G120" s="29" t="inlineStr">
        <is>
          <t>OFS</t>
        </is>
      </c>
      <c r="H120" s="29" t="inlineStr">
        <is>
          <t>BS</t>
        </is>
      </c>
      <c r="I120" s="29" t="inlineStr">
        <is>
          <t>재무상태표</t>
        </is>
      </c>
      <c r="J120" s="29" t="inlineStr">
        <is>
          <t>ifrs-full_NoncurrentLiabilities</t>
        </is>
      </c>
      <c r="K120" s="29" t="inlineStr">
        <is>
          <t>비유동부채</t>
        </is>
      </c>
      <c r="L120" s="29" t="inlineStr">
        <is>
          <t>-</t>
        </is>
      </c>
      <c r="M120" s="29" t="inlineStr">
        <is>
          <t>제 27 기</t>
        </is>
      </c>
      <c r="N120" s="29" t="inlineStr">
        <is>
          <t>1921378596.0</t>
        </is>
      </c>
      <c r="O120" s="29" t="inlineStr">
        <is>
          <t>2677520935.0</t>
        </is>
      </c>
      <c r="P120" s="29" t="inlineStr">
        <is>
          <t>KRW</t>
        </is>
      </c>
      <c r="Q120" s="29" t="inlineStr">
        <is>
          <t>23</t>
        </is>
      </c>
    </row>
    <row r="121" ht="24" customHeight="1">
      <c r="A121" s="24" t="inlineStr">
        <is>
          <t>OpenDART_fnlttSinglAcntAll</t>
        </is>
      </c>
      <c r="B121" s="24" t="inlineStr">
        <is>
          <t>00369657</t>
        </is>
      </c>
      <c r="C121" s="24" t="inlineStr">
        <is>
          <t>리노공업</t>
        </is>
      </c>
      <c r="D121" s="24" t="inlineStr">
        <is>
          <t>leeno</t>
        </is>
      </c>
      <c r="E121" s="24" t="inlineStr">
        <is>
          <t>058470</t>
        </is>
      </c>
      <c r="F121" s="24" t="inlineStr">
        <is>
          <t>2022</t>
        </is>
      </c>
      <c r="G121" s="24" t="inlineStr">
        <is>
          <t>OFS</t>
        </is>
      </c>
      <c r="H121" s="24" t="inlineStr">
        <is>
          <t>BS</t>
        </is>
      </c>
      <c r="I121" s="24" t="inlineStr">
        <is>
          <t>재무상태표</t>
        </is>
      </c>
      <c r="J121" s="24" t="inlineStr">
        <is>
          <t>dart_PostemploymentBenefitObligations</t>
        </is>
      </c>
      <c r="K121" s="24" t="inlineStr">
        <is>
          <t>순확정급여부채</t>
        </is>
      </c>
      <c r="L121" s="24" t="inlineStr">
        <is>
          <t>-</t>
        </is>
      </c>
      <c r="M121" s="24" t="inlineStr">
        <is>
          <t>제 27 기</t>
        </is>
      </c>
      <c r="N121" s="24" t="inlineStr">
        <is>
          <t>해당 없음</t>
        </is>
      </c>
      <c r="O121" s="24" t="inlineStr">
        <is>
          <t>1025760534.0</t>
        </is>
      </c>
      <c r="P121" s="24" t="inlineStr">
        <is>
          <t>KRW</t>
        </is>
      </c>
      <c r="Q121" s="24" t="inlineStr">
        <is>
          <t>24</t>
        </is>
      </c>
    </row>
    <row r="122" ht="24" customHeight="1">
      <c r="A122" s="29" t="inlineStr">
        <is>
          <t>OpenDART_fnlttSinglAcntAll</t>
        </is>
      </c>
      <c r="B122" s="29" t="inlineStr">
        <is>
          <t>00369657</t>
        </is>
      </c>
      <c r="C122" s="29" t="inlineStr">
        <is>
          <t>리노공업</t>
        </is>
      </c>
      <c r="D122" s="29" t="inlineStr">
        <is>
          <t>leeno</t>
        </is>
      </c>
      <c r="E122" s="29" t="inlineStr">
        <is>
          <t>058470</t>
        </is>
      </c>
      <c r="F122" s="29" t="inlineStr">
        <is>
          <t>2022</t>
        </is>
      </c>
      <c r="G122" s="29" t="inlineStr">
        <is>
          <t>OFS</t>
        </is>
      </c>
      <c r="H122" s="29" t="inlineStr">
        <is>
          <t>BS</t>
        </is>
      </c>
      <c r="I122" s="29" t="inlineStr">
        <is>
          <t>재무상태표</t>
        </is>
      </c>
      <c r="J122" s="29" t="inlineStr">
        <is>
          <t>ifrs-full_NoncurrentProvisionsForEmployeeBenefits</t>
        </is>
      </c>
      <c r="K122" s="29" t="inlineStr">
        <is>
          <t>기타장기종업원급여부채</t>
        </is>
      </c>
      <c r="L122" s="29" t="inlineStr">
        <is>
          <t>-</t>
        </is>
      </c>
      <c r="M122" s="29" t="inlineStr">
        <is>
          <t>제 27 기</t>
        </is>
      </c>
      <c r="N122" s="29" t="inlineStr">
        <is>
          <t>1781341349.0</t>
        </is>
      </c>
      <c r="O122" s="29" t="inlineStr">
        <is>
          <t>1502388706.0</t>
        </is>
      </c>
      <c r="P122" s="29" t="inlineStr">
        <is>
          <t>KRW</t>
        </is>
      </c>
      <c r="Q122" s="29" t="inlineStr">
        <is>
          <t>25</t>
        </is>
      </c>
    </row>
    <row r="123" ht="24" customHeight="1">
      <c r="A123" s="24" t="inlineStr">
        <is>
          <t>OpenDART_fnlttSinglAcntAll</t>
        </is>
      </c>
      <c r="B123" s="24" t="inlineStr">
        <is>
          <t>00369657</t>
        </is>
      </c>
      <c r="C123" s="24" t="inlineStr">
        <is>
          <t>리노공업</t>
        </is>
      </c>
      <c r="D123" s="24" t="inlineStr">
        <is>
          <t>leeno</t>
        </is>
      </c>
      <c r="E123" s="24" t="inlineStr">
        <is>
          <t>058470</t>
        </is>
      </c>
      <c r="F123" s="24" t="inlineStr">
        <is>
          <t>2022</t>
        </is>
      </c>
      <c r="G123" s="24" t="inlineStr">
        <is>
          <t>OFS</t>
        </is>
      </c>
      <c r="H123" s="24" t="inlineStr">
        <is>
          <t>BS</t>
        </is>
      </c>
      <c r="I123" s="24" t="inlineStr">
        <is>
          <t>재무상태표</t>
        </is>
      </c>
      <c r="J123" s="24" t="inlineStr">
        <is>
          <t>ifrs-full_NoncurrentLeaseLiabilities</t>
        </is>
      </c>
      <c r="K123" s="24" t="inlineStr">
        <is>
          <t>리스부채</t>
        </is>
      </c>
      <c r="L123" s="24" t="inlineStr">
        <is>
          <t>-</t>
        </is>
      </c>
      <c r="M123" s="24" t="inlineStr">
        <is>
          <t>제 27 기</t>
        </is>
      </c>
      <c r="N123" s="24" t="inlineStr">
        <is>
          <t>140037247.0</t>
        </is>
      </c>
      <c r="O123" s="24" t="inlineStr">
        <is>
          <t>149371695.0</t>
        </is>
      </c>
      <c r="P123" s="24" t="inlineStr">
        <is>
          <t>KRW</t>
        </is>
      </c>
      <c r="Q123" s="24" t="inlineStr">
        <is>
          <t>26</t>
        </is>
      </c>
    </row>
    <row r="124" ht="24" customHeight="1">
      <c r="A124" s="29" t="inlineStr">
        <is>
          <t>OpenDART_fnlttSinglAcntAll</t>
        </is>
      </c>
      <c r="B124" s="29" t="inlineStr">
        <is>
          <t>00369657</t>
        </is>
      </c>
      <c r="C124" s="29" t="inlineStr">
        <is>
          <t>리노공업</t>
        </is>
      </c>
      <c r="D124" s="29" t="inlineStr">
        <is>
          <t>leeno</t>
        </is>
      </c>
      <c r="E124" s="29" t="inlineStr">
        <is>
          <t>058470</t>
        </is>
      </c>
      <c r="F124" s="29" t="inlineStr">
        <is>
          <t>2022</t>
        </is>
      </c>
      <c r="G124" s="29" t="inlineStr">
        <is>
          <t>OFS</t>
        </is>
      </c>
      <c r="H124" s="29" t="inlineStr">
        <is>
          <t>BS</t>
        </is>
      </c>
      <c r="I124" s="29" t="inlineStr">
        <is>
          <t>재무상태표</t>
        </is>
      </c>
      <c r="J124" s="29" t="inlineStr">
        <is>
          <t>ifrs-full_Liabilities</t>
        </is>
      </c>
      <c r="K124" s="29" t="inlineStr">
        <is>
          <t>부채총계</t>
        </is>
      </c>
      <c r="L124" s="29" t="inlineStr">
        <is>
          <t>-</t>
        </is>
      </c>
      <c r="M124" s="29" t="inlineStr">
        <is>
          <t>제 27 기</t>
        </is>
      </c>
      <c r="N124" s="29" t="inlineStr">
        <is>
          <t>38304546606.0</t>
        </is>
      </c>
      <c r="O124" s="29" t="inlineStr">
        <is>
          <t>48667847133.0</t>
        </is>
      </c>
      <c r="P124" s="29" t="inlineStr">
        <is>
          <t>KRW</t>
        </is>
      </c>
      <c r="Q124" s="29" t="inlineStr">
        <is>
          <t>27</t>
        </is>
      </c>
    </row>
    <row r="125" ht="24" customHeight="1">
      <c r="A125" s="24" t="inlineStr">
        <is>
          <t>OpenDART_fnlttSinglAcntAll</t>
        </is>
      </c>
      <c r="B125" s="24" t="inlineStr">
        <is>
          <t>00369657</t>
        </is>
      </c>
      <c r="C125" s="24" t="inlineStr">
        <is>
          <t>리노공업</t>
        </is>
      </c>
      <c r="D125" s="24" t="inlineStr">
        <is>
          <t>leeno</t>
        </is>
      </c>
      <c r="E125" s="24" t="inlineStr">
        <is>
          <t>058470</t>
        </is>
      </c>
      <c r="F125" s="24" t="inlineStr">
        <is>
          <t>2022</t>
        </is>
      </c>
      <c r="G125" s="24" t="inlineStr">
        <is>
          <t>OFS</t>
        </is>
      </c>
      <c r="H125" s="24" t="inlineStr">
        <is>
          <t>BS</t>
        </is>
      </c>
      <c r="I125" s="24" t="inlineStr">
        <is>
          <t>재무상태표</t>
        </is>
      </c>
      <c r="J125" s="24" t="inlineStr">
        <is>
          <t>ifrs-full_IssuedCapital</t>
        </is>
      </c>
      <c r="K125" s="24" t="inlineStr">
        <is>
          <t>자본금</t>
        </is>
      </c>
      <c r="L125" s="24" t="inlineStr">
        <is>
          <t>-</t>
        </is>
      </c>
      <c r="M125" s="24" t="inlineStr">
        <is>
          <t>제 27 기</t>
        </is>
      </c>
      <c r="N125" s="24" t="inlineStr">
        <is>
          <t>7621185000.0</t>
        </is>
      </c>
      <c r="O125" s="24" t="inlineStr">
        <is>
          <t>7621185000.0</t>
        </is>
      </c>
      <c r="P125" s="24" t="inlineStr">
        <is>
          <t>KRW</t>
        </is>
      </c>
      <c r="Q125" s="24" t="inlineStr">
        <is>
          <t>29</t>
        </is>
      </c>
    </row>
    <row r="126" ht="24" customHeight="1">
      <c r="A126" s="29" t="inlineStr">
        <is>
          <t>OpenDART_fnlttSinglAcntAll</t>
        </is>
      </c>
      <c r="B126" s="29" t="inlineStr">
        <is>
          <t>00369657</t>
        </is>
      </c>
      <c r="C126" s="29" t="inlineStr">
        <is>
          <t>리노공업</t>
        </is>
      </c>
      <c r="D126" s="29" t="inlineStr">
        <is>
          <t>leeno</t>
        </is>
      </c>
      <c r="E126" s="29" t="inlineStr">
        <is>
          <t>058470</t>
        </is>
      </c>
      <c r="F126" s="29" t="inlineStr">
        <is>
          <t>2022</t>
        </is>
      </c>
      <c r="G126" s="29" t="inlineStr">
        <is>
          <t>OFS</t>
        </is>
      </c>
      <c r="H126" s="29" t="inlineStr">
        <is>
          <t>BS</t>
        </is>
      </c>
      <c r="I126" s="29" t="inlineStr">
        <is>
          <t>재무상태표</t>
        </is>
      </c>
      <c r="J126" s="29" t="inlineStr">
        <is>
          <t>dart_CapitalSurplus</t>
        </is>
      </c>
      <c r="K126" s="29" t="inlineStr">
        <is>
          <t>자본잉여금</t>
        </is>
      </c>
      <c r="L126" s="29" t="inlineStr">
        <is>
          <t>-</t>
        </is>
      </c>
      <c r="M126" s="29" t="inlineStr">
        <is>
          <t>제 27 기</t>
        </is>
      </c>
      <c r="N126" s="29" t="inlineStr">
        <is>
          <t>5601810444.0</t>
        </is>
      </c>
      <c r="O126" s="29" t="inlineStr">
        <is>
          <t>5601810444.0</t>
        </is>
      </c>
      <c r="P126" s="29" t="inlineStr">
        <is>
          <t>KRW</t>
        </is>
      </c>
      <c r="Q126" s="29" t="inlineStr">
        <is>
          <t>30</t>
        </is>
      </c>
    </row>
    <row r="127" ht="24" customHeight="1">
      <c r="A127" s="24" t="inlineStr">
        <is>
          <t>OpenDART_fnlttSinglAcntAll</t>
        </is>
      </c>
      <c r="B127" s="24" t="inlineStr">
        <is>
          <t>00369657</t>
        </is>
      </c>
      <c r="C127" s="24" t="inlineStr">
        <is>
          <t>리노공업</t>
        </is>
      </c>
      <c r="D127" s="24" t="inlineStr">
        <is>
          <t>leeno</t>
        </is>
      </c>
      <c r="E127" s="24" t="inlineStr">
        <is>
          <t>058470</t>
        </is>
      </c>
      <c r="F127" s="24" t="inlineStr">
        <is>
          <t>2022</t>
        </is>
      </c>
      <c r="G127" s="24" t="inlineStr">
        <is>
          <t>OFS</t>
        </is>
      </c>
      <c r="H127" s="24" t="inlineStr">
        <is>
          <t>BS</t>
        </is>
      </c>
      <c r="I127" s="24" t="inlineStr">
        <is>
          <t>재무상태표</t>
        </is>
      </c>
      <c r="J127" s="24" t="inlineStr">
        <is>
          <t>dart_OtherCapitalAdjustments</t>
        </is>
      </c>
      <c r="K127" s="24" t="inlineStr">
        <is>
          <t>자본조정</t>
        </is>
      </c>
      <c r="L127" s="24" t="inlineStr">
        <is>
          <t>-</t>
        </is>
      </c>
      <c r="M127" s="24" t="inlineStr">
        <is>
          <t>제 27 기</t>
        </is>
      </c>
      <c r="N127" s="24" t="inlineStr">
        <is>
          <t>-2353516350.0</t>
        </is>
      </c>
      <c r="O127" s="24" t="inlineStr">
        <is>
          <t>-2353516350.0</t>
        </is>
      </c>
      <c r="P127" s="24" t="inlineStr">
        <is>
          <t>KRW</t>
        </is>
      </c>
      <c r="Q127" s="24" t="inlineStr">
        <is>
          <t>31</t>
        </is>
      </c>
    </row>
    <row r="128" ht="24" customHeight="1">
      <c r="A128" s="29" t="inlineStr">
        <is>
          <t>OpenDART_fnlttSinglAcntAll</t>
        </is>
      </c>
      <c r="B128" s="29" t="inlineStr">
        <is>
          <t>00369657</t>
        </is>
      </c>
      <c r="C128" s="29" t="inlineStr">
        <is>
          <t>리노공업</t>
        </is>
      </c>
      <c r="D128" s="29" t="inlineStr">
        <is>
          <t>leeno</t>
        </is>
      </c>
      <c r="E128" s="29" t="inlineStr">
        <is>
          <t>058470</t>
        </is>
      </c>
      <c r="F128" s="29" t="inlineStr">
        <is>
          <t>2022</t>
        </is>
      </c>
      <c r="G128" s="29" t="inlineStr">
        <is>
          <t>OFS</t>
        </is>
      </c>
      <c r="H128" s="29" t="inlineStr">
        <is>
          <t>BS</t>
        </is>
      </c>
      <c r="I128" s="29" t="inlineStr">
        <is>
          <t>재무상태표</t>
        </is>
      </c>
      <c r="J128" s="29" t="inlineStr">
        <is>
          <t>ifrs-full_RetainedEarnings</t>
        </is>
      </c>
      <c r="K128" s="29" t="inlineStr">
        <is>
          <t>이익잉여금</t>
        </is>
      </c>
      <c r="L128" s="29" t="inlineStr">
        <is>
          <t>-</t>
        </is>
      </c>
      <c r="M128" s="29" t="inlineStr">
        <is>
          <t>제 27 기</t>
        </is>
      </c>
      <c r="N128" s="29" t="inlineStr">
        <is>
          <t>482314103732.0</t>
        </is>
      </c>
      <c r="O128" s="29" t="inlineStr">
        <is>
          <t>406833708009.0</t>
        </is>
      </c>
      <c r="P128" s="29" t="inlineStr">
        <is>
          <t>KRW</t>
        </is>
      </c>
      <c r="Q128" s="29" t="inlineStr">
        <is>
          <t>32</t>
        </is>
      </c>
    </row>
    <row r="129" ht="24" customHeight="1">
      <c r="A129" s="24" t="inlineStr">
        <is>
          <t>OpenDART_fnlttSinglAcntAll</t>
        </is>
      </c>
      <c r="B129" s="24" t="inlineStr">
        <is>
          <t>00369657</t>
        </is>
      </c>
      <c r="C129" s="24" t="inlineStr">
        <is>
          <t>리노공업</t>
        </is>
      </c>
      <c r="D129" s="24" t="inlineStr">
        <is>
          <t>leeno</t>
        </is>
      </c>
      <c r="E129" s="24" t="inlineStr">
        <is>
          <t>058470</t>
        </is>
      </c>
      <c r="F129" s="24" t="inlineStr">
        <is>
          <t>2022</t>
        </is>
      </c>
      <c r="G129" s="24" t="inlineStr">
        <is>
          <t>OFS</t>
        </is>
      </c>
      <c r="H129" s="24" t="inlineStr">
        <is>
          <t>BS</t>
        </is>
      </c>
      <c r="I129" s="24" t="inlineStr">
        <is>
          <t>재무상태표</t>
        </is>
      </c>
      <c r="J129" s="24" t="inlineStr">
        <is>
          <t>ifrs-full_Equity</t>
        </is>
      </c>
      <c r="K129" s="24" t="inlineStr">
        <is>
          <t>자본총계</t>
        </is>
      </c>
      <c r="L129" s="24" t="inlineStr">
        <is>
          <t>-</t>
        </is>
      </c>
      <c r="M129" s="24" t="inlineStr">
        <is>
          <t>제 27 기</t>
        </is>
      </c>
      <c r="N129" s="24" t="inlineStr">
        <is>
          <t>493183582826.0</t>
        </is>
      </c>
      <c r="O129" s="24" t="inlineStr">
        <is>
          <t>417703187103.0</t>
        </is>
      </c>
      <c r="P129" s="24" t="inlineStr">
        <is>
          <t>KRW</t>
        </is>
      </c>
      <c r="Q129" s="24" t="inlineStr">
        <is>
          <t>33</t>
        </is>
      </c>
    </row>
    <row r="130" ht="24" customHeight="1">
      <c r="A130" s="29" t="inlineStr">
        <is>
          <t>OpenDART_fnlttSinglAcntAll</t>
        </is>
      </c>
      <c r="B130" s="29" t="inlineStr">
        <is>
          <t>00369657</t>
        </is>
      </c>
      <c r="C130" s="29" t="inlineStr">
        <is>
          <t>리노공업</t>
        </is>
      </c>
      <c r="D130" s="29" t="inlineStr">
        <is>
          <t>leeno</t>
        </is>
      </c>
      <c r="E130" s="29" t="inlineStr">
        <is>
          <t>058470</t>
        </is>
      </c>
      <c r="F130" s="29" t="inlineStr">
        <is>
          <t>2022</t>
        </is>
      </c>
      <c r="G130" s="29" t="inlineStr">
        <is>
          <t>OFS</t>
        </is>
      </c>
      <c r="H130" s="29" t="inlineStr">
        <is>
          <t>BS</t>
        </is>
      </c>
      <c r="I130" s="29" t="inlineStr">
        <is>
          <t>재무상태표</t>
        </is>
      </c>
      <c r="J130" s="29" t="inlineStr">
        <is>
          <t>ifrs-full_EquityAndLiabilities</t>
        </is>
      </c>
      <c r="K130" s="29" t="inlineStr">
        <is>
          <t>부채와자본총계</t>
        </is>
      </c>
      <c r="L130" s="29" t="inlineStr">
        <is>
          <t>-</t>
        </is>
      </c>
      <c r="M130" s="29" t="inlineStr">
        <is>
          <t>제 27 기</t>
        </is>
      </c>
      <c r="N130" s="29" t="inlineStr">
        <is>
          <t>531488129432.0</t>
        </is>
      </c>
      <c r="O130" s="29" t="inlineStr">
        <is>
          <t>466371034236.0</t>
        </is>
      </c>
      <c r="P130" s="29" t="inlineStr">
        <is>
          <t>KRW</t>
        </is>
      </c>
      <c r="Q130" s="29" t="inlineStr">
        <is>
          <t>34</t>
        </is>
      </c>
    </row>
    <row r="131" ht="24" customHeight="1">
      <c r="A131" s="24" t="inlineStr">
        <is>
          <t>OpenDART_fnlttSinglAcntAll</t>
        </is>
      </c>
      <c r="B131" s="24" t="inlineStr">
        <is>
          <t>00369657</t>
        </is>
      </c>
      <c r="C131" s="24" t="inlineStr">
        <is>
          <t>리노공업</t>
        </is>
      </c>
      <c r="D131" s="24" t="inlineStr">
        <is>
          <t>leeno</t>
        </is>
      </c>
      <c r="E131" s="24" t="inlineStr">
        <is>
          <t>058470</t>
        </is>
      </c>
      <c r="F131" s="24" t="inlineStr">
        <is>
          <t>2022</t>
        </is>
      </c>
      <c r="G131" s="24" t="inlineStr">
        <is>
          <t>OFS</t>
        </is>
      </c>
      <c r="H131" s="24" t="inlineStr">
        <is>
          <t>CIS</t>
        </is>
      </c>
      <c r="I131" s="24" t="inlineStr">
        <is>
          <t>포괄손익계산서</t>
        </is>
      </c>
      <c r="J131" s="24" t="inlineStr">
        <is>
          <t>ifrs-full_Revenue</t>
        </is>
      </c>
      <c r="K131" s="24" t="inlineStr">
        <is>
          <t>매출액</t>
        </is>
      </c>
      <c r="L131" s="24" t="inlineStr">
        <is>
          <t>-</t>
        </is>
      </c>
      <c r="M131" s="24" t="inlineStr">
        <is>
          <t>제 27 기</t>
        </is>
      </c>
      <c r="N131" s="24" t="inlineStr">
        <is>
          <t>322422803089.0</t>
        </is>
      </c>
      <c r="O131" s="24" t="inlineStr">
        <is>
          <t>280166833067.0</t>
        </is>
      </c>
      <c r="P131" s="24" t="inlineStr">
        <is>
          <t>KRW</t>
        </is>
      </c>
      <c r="Q131" s="24" t="inlineStr">
        <is>
          <t>0</t>
        </is>
      </c>
    </row>
    <row r="132" ht="24" customHeight="1">
      <c r="A132" s="29" t="inlineStr">
        <is>
          <t>OpenDART_fnlttSinglAcntAll</t>
        </is>
      </c>
      <c r="B132" s="29" t="inlineStr">
        <is>
          <t>00369657</t>
        </is>
      </c>
      <c r="C132" s="29" t="inlineStr">
        <is>
          <t>리노공업</t>
        </is>
      </c>
      <c r="D132" s="29" t="inlineStr">
        <is>
          <t>leeno</t>
        </is>
      </c>
      <c r="E132" s="29" t="inlineStr">
        <is>
          <t>058470</t>
        </is>
      </c>
      <c r="F132" s="29" t="inlineStr">
        <is>
          <t>2022</t>
        </is>
      </c>
      <c r="G132" s="29" t="inlineStr">
        <is>
          <t>OFS</t>
        </is>
      </c>
      <c r="H132" s="29" t="inlineStr">
        <is>
          <t>CIS</t>
        </is>
      </c>
      <c r="I132" s="29" t="inlineStr">
        <is>
          <t>포괄손익계산서</t>
        </is>
      </c>
      <c r="J132" s="29" t="inlineStr">
        <is>
          <t>ifrs-full_CostOfSales</t>
        </is>
      </c>
      <c r="K132" s="29" t="inlineStr">
        <is>
          <t>매출원가</t>
        </is>
      </c>
      <c r="L132" s="29" t="inlineStr">
        <is>
          <t>-</t>
        </is>
      </c>
      <c r="M132" s="29" t="inlineStr">
        <is>
          <t>제 27 기</t>
        </is>
      </c>
      <c r="N132" s="29" t="inlineStr">
        <is>
          <t>167794521227.0</t>
        </is>
      </c>
      <c r="O132" s="29" t="inlineStr">
        <is>
          <t>148928526171.0</t>
        </is>
      </c>
      <c r="P132" s="29" t="inlineStr">
        <is>
          <t>KRW</t>
        </is>
      </c>
      <c r="Q132" s="29" t="inlineStr">
        <is>
          <t>1</t>
        </is>
      </c>
    </row>
    <row r="133" ht="24" customHeight="1">
      <c r="A133" s="24" t="inlineStr">
        <is>
          <t>OpenDART_fnlttSinglAcntAll</t>
        </is>
      </c>
      <c r="B133" s="24" t="inlineStr">
        <is>
          <t>00369657</t>
        </is>
      </c>
      <c r="C133" s="24" t="inlineStr">
        <is>
          <t>리노공업</t>
        </is>
      </c>
      <c r="D133" s="24" t="inlineStr">
        <is>
          <t>leeno</t>
        </is>
      </c>
      <c r="E133" s="24" t="inlineStr">
        <is>
          <t>058470</t>
        </is>
      </c>
      <c r="F133" s="24" t="inlineStr">
        <is>
          <t>2022</t>
        </is>
      </c>
      <c r="G133" s="24" t="inlineStr">
        <is>
          <t>OFS</t>
        </is>
      </c>
      <c r="H133" s="24" t="inlineStr">
        <is>
          <t>CIS</t>
        </is>
      </c>
      <c r="I133" s="24" t="inlineStr">
        <is>
          <t>포괄손익계산서</t>
        </is>
      </c>
      <c r="J133" s="24" t="inlineStr">
        <is>
          <t>ifrs-full_GrossProfit</t>
        </is>
      </c>
      <c r="K133" s="24" t="inlineStr">
        <is>
          <t>매출총이익</t>
        </is>
      </c>
      <c r="L133" s="24" t="inlineStr">
        <is>
          <t>-</t>
        </is>
      </c>
      <c r="M133" s="24" t="inlineStr">
        <is>
          <t>제 27 기</t>
        </is>
      </c>
      <c r="N133" s="24" t="inlineStr">
        <is>
          <t>154628281862.0</t>
        </is>
      </c>
      <c r="O133" s="24" t="inlineStr">
        <is>
          <t>131238306896.0</t>
        </is>
      </c>
      <c r="P133" s="24" t="inlineStr">
        <is>
          <t>KRW</t>
        </is>
      </c>
      <c r="Q133" s="24" t="inlineStr">
        <is>
          <t>2</t>
        </is>
      </c>
    </row>
    <row r="134" ht="24" customHeight="1">
      <c r="A134" s="29" t="inlineStr">
        <is>
          <t>OpenDART_fnlttSinglAcntAll</t>
        </is>
      </c>
      <c r="B134" s="29" t="inlineStr">
        <is>
          <t>00369657</t>
        </is>
      </c>
      <c r="C134" s="29" t="inlineStr">
        <is>
          <t>리노공업</t>
        </is>
      </c>
      <c r="D134" s="29" t="inlineStr">
        <is>
          <t>leeno</t>
        </is>
      </c>
      <c r="E134" s="29" t="inlineStr">
        <is>
          <t>058470</t>
        </is>
      </c>
      <c r="F134" s="29" t="inlineStr">
        <is>
          <t>2022</t>
        </is>
      </c>
      <c r="G134" s="29" t="inlineStr">
        <is>
          <t>OFS</t>
        </is>
      </c>
      <c r="H134" s="29" t="inlineStr">
        <is>
          <t>CIS</t>
        </is>
      </c>
      <c r="I134" s="29" t="inlineStr">
        <is>
          <t>포괄손익계산서</t>
        </is>
      </c>
      <c r="J134" s="29" t="inlineStr">
        <is>
          <t>dart_TotalSellingGeneralAdministrativeExpenses</t>
        </is>
      </c>
      <c r="K134" s="29" t="inlineStr">
        <is>
          <t>판매비와관리비</t>
        </is>
      </c>
      <c r="L134" s="29" t="inlineStr">
        <is>
          <t>-</t>
        </is>
      </c>
      <c r="M134" s="29" t="inlineStr">
        <is>
          <t>제 27 기</t>
        </is>
      </c>
      <c r="N134" s="29" t="inlineStr">
        <is>
          <t>17993551880.0</t>
        </is>
      </c>
      <c r="O134" s="29" t="inlineStr">
        <is>
          <t>14133953654.0</t>
        </is>
      </c>
      <c r="P134" s="29" t="inlineStr">
        <is>
          <t>KRW</t>
        </is>
      </c>
      <c r="Q134" s="29" t="inlineStr">
        <is>
          <t>3</t>
        </is>
      </c>
    </row>
    <row r="135" ht="24" customHeight="1">
      <c r="A135" s="24" t="inlineStr">
        <is>
          <t>OpenDART_fnlttSinglAcntAll</t>
        </is>
      </c>
      <c r="B135" s="24" t="inlineStr">
        <is>
          <t>00369657</t>
        </is>
      </c>
      <c r="C135" s="24" t="inlineStr">
        <is>
          <t>리노공업</t>
        </is>
      </c>
      <c r="D135" s="24" t="inlineStr">
        <is>
          <t>leeno</t>
        </is>
      </c>
      <c r="E135" s="24" t="inlineStr">
        <is>
          <t>058470</t>
        </is>
      </c>
      <c r="F135" s="24" t="inlineStr">
        <is>
          <t>2022</t>
        </is>
      </c>
      <c r="G135" s="24" t="inlineStr">
        <is>
          <t>OFS</t>
        </is>
      </c>
      <c r="H135" s="24" t="inlineStr">
        <is>
          <t>CIS</t>
        </is>
      </c>
      <c r="I135" s="24" t="inlineStr">
        <is>
          <t>포괄손익계산서</t>
        </is>
      </c>
      <c r="J135" s="24" t="inlineStr">
        <is>
          <t>dart_OperatingIncomeLoss</t>
        </is>
      </c>
      <c r="K135" s="24" t="inlineStr">
        <is>
          <t>영업이익</t>
        </is>
      </c>
      <c r="L135" s="24" t="inlineStr">
        <is>
          <t>-</t>
        </is>
      </c>
      <c r="M135" s="24" t="inlineStr">
        <is>
          <t>제 27 기</t>
        </is>
      </c>
      <c r="N135" s="24" t="inlineStr">
        <is>
          <t>136634729982.0</t>
        </is>
      </c>
      <c r="O135" s="24" t="inlineStr">
        <is>
          <t>117104353242.0</t>
        </is>
      </c>
      <c r="P135" s="24" t="inlineStr">
        <is>
          <t>KRW</t>
        </is>
      </c>
      <c r="Q135" s="24" t="inlineStr">
        <is>
          <t>4</t>
        </is>
      </c>
    </row>
    <row r="136" ht="24" customHeight="1">
      <c r="A136" s="29" t="inlineStr">
        <is>
          <t>OpenDART_fnlttSinglAcntAll</t>
        </is>
      </c>
      <c r="B136" s="29" t="inlineStr">
        <is>
          <t>00369657</t>
        </is>
      </c>
      <c r="C136" s="29" t="inlineStr">
        <is>
          <t>리노공업</t>
        </is>
      </c>
      <c r="D136" s="29" t="inlineStr">
        <is>
          <t>leeno</t>
        </is>
      </c>
      <c r="E136" s="29" t="inlineStr">
        <is>
          <t>058470</t>
        </is>
      </c>
      <c r="F136" s="29" t="inlineStr">
        <is>
          <t>2022</t>
        </is>
      </c>
      <c r="G136" s="29" t="inlineStr">
        <is>
          <t>OFS</t>
        </is>
      </c>
      <c r="H136" s="29" t="inlineStr">
        <is>
          <t>CIS</t>
        </is>
      </c>
      <c r="I136" s="29" t="inlineStr">
        <is>
          <t>포괄손익계산서</t>
        </is>
      </c>
      <c r="J136" s="29" t="inlineStr">
        <is>
          <t>-표준계정코드 미사용-</t>
        </is>
      </c>
      <c r="K136" s="29" t="inlineStr">
        <is>
          <t>영업외손익</t>
        </is>
      </c>
      <c r="L136" s="29" t="inlineStr">
        <is>
          <t>-</t>
        </is>
      </c>
      <c r="M136" s="29" t="inlineStr">
        <is>
          <t>제 27 기</t>
        </is>
      </c>
      <c r="N136" s="29" t="inlineStr">
        <is>
          <t>17440784590.0</t>
        </is>
      </c>
      <c r="O136" s="29" t="inlineStr">
        <is>
          <t>21788746915.0</t>
        </is>
      </c>
      <c r="P136" s="29" t="inlineStr">
        <is>
          <t>KRW</t>
        </is>
      </c>
      <c r="Q136" s="29" t="inlineStr">
        <is>
          <t>5</t>
        </is>
      </c>
    </row>
    <row r="137" ht="24" customHeight="1">
      <c r="A137" s="24" t="inlineStr">
        <is>
          <t>OpenDART_fnlttSinglAcntAll</t>
        </is>
      </c>
      <c r="B137" s="24" t="inlineStr">
        <is>
          <t>00369657</t>
        </is>
      </c>
      <c r="C137" s="24" t="inlineStr">
        <is>
          <t>리노공업</t>
        </is>
      </c>
      <c r="D137" s="24" t="inlineStr">
        <is>
          <t>leeno</t>
        </is>
      </c>
      <c r="E137" s="24" t="inlineStr">
        <is>
          <t>058470</t>
        </is>
      </c>
      <c r="F137" s="24" t="inlineStr">
        <is>
          <t>2022</t>
        </is>
      </c>
      <c r="G137" s="24" t="inlineStr">
        <is>
          <t>OFS</t>
        </is>
      </c>
      <c r="H137" s="24" t="inlineStr">
        <is>
          <t>CIS</t>
        </is>
      </c>
      <c r="I137" s="24" t="inlineStr">
        <is>
          <t>포괄손익계산서</t>
        </is>
      </c>
      <c r="J137" s="24" t="inlineStr">
        <is>
          <t>-표준계정코드 미사용-</t>
        </is>
      </c>
      <c r="K137" s="24" t="inlineStr">
        <is>
          <t>기타수익</t>
        </is>
      </c>
      <c r="L137" s="24" t="inlineStr">
        <is>
          <t>-</t>
        </is>
      </c>
      <c r="M137" s="24" t="inlineStr">
        <is>
          <t>제 27 기</t>
        </is>
      </c>
      <c r="N137" s="24" t="inlineStr">
        <is>
          <t>18764320073.0</t>
        </is>
      </c>
      <c r="O137" s="24" t="inlineStr">
        <is>
          <t>22318632875.0</t>
        </is>
      </c>
      <c r="P137" s="24" t="inlineStr">
        <is>
          <t>KRW</t>
        </is>
      </c>
      <c r="Q137" s="24" t="inlineStr">
        <is>
          <t>6</t>
        </is>
      </c>
    </row>
    <row r="138" ht="24" customHeight="1">
      <c r="A138" s="29" t="inlineStr">
        <is>
          <t>OpenDART_fnlttSinglAcntAll</t>
        </is>
      </c>
      <c r="B138" s="29" t="inlineStr">
        <is>
          <t>00369657</t>
        </is>
      </c>
      <c r="C138" s="29" t="inlineStr">
        <is>
          <t>리노공업</t>
        </is>
      </c>
      <c r="D138" s="29" t="inlineStr">
        <is>
          <t>leeno</t>
        </is>
      </c>
      <c r="E138" s="29" t="inlineStr">
        <is>
          <t>058470</t>
        </is>
      </c>
      <c r="F138" s="29" t="inlineStr">
        <is>
          <t>2022</t>
        </is>
      </c>
      <c r="G138" s="29" t="inlineStr">
        <is>
          <t>OFS</t>
        </is>
      </c>
      <c r="H138" s="29" t="inlineStr">
        <is>
          <t>CIS</t>
        </is>
      </c>
      <c r="I138" s="29" t="inlineStr">
        <is>
          <t>포괄손익계산서</t>
        </is>
      </c>
      <c r="J138" s="29" t="inlineStr">
        <is>
          <t>-표준계정코드 미사용-</t>
        </is>
      </c>
      <c r="K138" s="29" t="inlineStr">
        <is>
          <t>기타비용</t>
        </is>
      </c>
      <c r="L138" s="29" t="inlineStr">
        <is>
          <t>-</t>
        </is>
      </c>
      <c r="M138" s="29" t="inlineStr">
        <is>
          <t>제 27 기</t>
        </is>
      </c>
      <c r="N138" s="29" t="inlineStr">
        <is>
          <t>7019781090.0</t>
        </is>
      </c>
      <c r="O138" s="29" t="inlineStr">
        <is>
          <t>2295840316.0</t>
        </is>
      </c>
      <c r="P138" s="29" t="inlineStr">
        <is>
          <t>KRW</t>
        </is>
      </c>
      <c r="Q138" s="29" t="inlineStr">
        <is>
          <t>7</t>
        </is>
      </c>
    </row>
    <row r="139" ht="24" customHeight="1">
      <c r="A139" s="24" t="inlineStr">
        <is>
          <t>OpenDART_fnlttSinglAcntAll</t>
        </is>
      </c>
      <c r="B139" s="24" t="inlineStr">
        <is>
          <t>00369657</t>
        </is>
      </c>
      <c r="C139" s="24" t="inlineStr">
        <is>
          <t>리노공업</t>
        </is>
      </c>
      <c r="D139" s="24" t="inlineStr">
        <is>
          <t>leeno</t>
        </is>
      </c>
      <c r="E139" s="24" t="inlineStr">
        <is>
          <t>058470</t>
        </is>
      </c>
      <c r="F139" s="24" t="inlineStr">
        <is>
          <t>2022</t>
        </is>
      </c>
      <c r="G139" s="24" t="inlineStr">
        <is>
          <t>OFS</t>
        </is>
      </c>
      <c r="H139" s="24" t="inlineStr">
        <is>
          <t>CIS</t>
        </is>
      </c>
      <c r="I139" s="24" t="inlineStr">
        <is>
          <t>포괄손익계산서</t>
        </is>
      </c>
      <c r="J139" s="24" t="inlineStr">
        <is>
          <t>-표준계정코드 미사용-</t>
        </is>
      </c>
      <c r="K139" s="24" t="inlineStr">
        <is>
          <t>금융수익</t>
        </is>
      </c>
      <c r="L139" s="24" t="inlineStr">
        <is>
          <t>-</t>
        </is>
      </c>
      <c r="M139" s="24" t="inlineStr">
        <is>
          <t>제 27 기</t>
        </is>
      </c>
      <c r="N139" s="24" t="inlineStr">
        <is>
          <t>5704898521.0</t>
        </is>
      </c>
      <c r="O139" s="24" t="inlineStr">
        <is>
          <t>1773826051.0</t>
        </is>
      </c>
      <c r="P139" s="24" t="inlineStr">
        <is>
          <t>KRW</t>
        </is>
      </c>
      <c r="Q139" s="24" t="inlineStr">
        <is>
          <t>8</t>
        </is>
      </c>
    </row>
    <row r="140" ht="24" customHeight="1">
      <c r="A140" s="29" t="inlineStr">
        <is>
          <t>OpenDART_fnlttSinglAcntAll</t>
        </is>
      </c>
      <c r="B140" s="29" t="inlineStr">
        <is>
          <t>00369657</t>
        </is>
      </c>
      <c r="C140" s="29" t="inlineStr">
        <is>
          <t>리노공업</t>
        </is>
      </c>
      <c r="D140" s="29" t="inlineStr">
        <is>
          <t>leeno</t>
        </is>
      </c>
      <c r="E140" s="29" t="inlineStr">
        <is>
          <t>058470</t>
        </is>
      </c>
      <c r="F140" s="29" t="inlineStr">
        <is>
          <t>2022</t>
        </is>
      </c>
      <c r="G140" s="29" t="inlineStr">
        <is>
          <t>OFS</t>
        </is>
      </c>
      <c r="H140" s="29" t="inlineStr">
        <is>
          <t>CIS</t>
        </is>
      </c>
      <c r="I140" s="29" t="inlineStr">
        <is>
          <t>포괄손익계산서</t>
        </is>
      </c>
      <c r="J140" s="29" t="inlineStr">
        <is>
          <t>-표준계정코드 미사용-</t>
        </is>
      </c>
      <c r="K140" s="29" t="inlineStr">
        <is>
          <t>금융비용</t>
        </is>
      </c>
      <c r="L140" s="29" t="inlineStr">
        <is>
          <t>-</t>
        </is>
      </c>
      <c r="M140" s="29" t="inlineStr">
        <is>
          <t>제 27 기</t>
        </is>
      </c>
      <c r="N140" s="29" t="inlineStr">
        <is>
          <t>8652914.0</t>
        </is>
      </c>
      <c r="O140" s="29" t="inlineStr">
        <is>
          <t>7871695.0</t>
        </is>
      </c>
      <c r="P140" s="29" t="inlineStr">
        <is>
          <t>KRW</t>
        </is>
      </c>
      <c r="Q140" s="29" t="inlineStr">
        <is>
          <t>9</t>
        </is>
      </c>
    </row>
    <row r="141" ht="24" customHeight="1">
      <c r="A141" s="24" t="inlineStr">
        <is>
          <t>OpenDART_fnlttSinglAcntAll</t>
        </is>
      </c>
      <c r="B141" s="24" t="inlineStr">
        <is>
          <t>00369657</t>
        </is>
      </c>
      <c r="C141" s="24" t="inlineStr">
        <is>
          <t>리노공업</t>
        </is>
      </c>
      <c r="D141" s="24" t="inlineStr">
        <is>
          <t>leeno</t>
        </is>
      </c>
      <c r="E141" s="24" t="inlineStr">
        <is>
          <t>058470</t>
        </is>
      </c>
      <c r="F141" s="24" t="inlineStr">
        <is>
          <t>2022</t>
        </is>
      </c>
      <c r="G141" s="24" t="inlineStr">
        <is>
          <t>OFS</t>
        </is>
      </c>
      <c r="H141" s="24" t="inlineStr">
        <is>
          <t>CIS</t>
        </is>
      </c>
      <c r="I141" s="24" t="inlineStr">
        <is>
          <t>포괄손익계산서</t>
        </is>
      </c>
      <c r="J141" s="24" t="inlineStr">
        <is>
          <t>ifrs-full_ProfitLossBeforeTax</t>
        </is>
      </c>
      <c r="K141" s="24" t="inlineStr">
        <is>
          <t>법인세비용차감전순이익</t>
        </is>
      </c>
      <c r="L141" s="24" t="inlineStr">
        <is>
          <t>-</t>
        </is>
      </c>
      <c r="M141" s="24" t="inlineStr">
        <is>
          <t>제 27 기</t>
        </is>
      </c>
      <c r="N141" s="24" t="inlineStr">
        <is>
          <t>154075514572.0</t>
        </is>
      </c>
      <c r="O141" s="24" t="inlineStr">
        <is>
          <t>138893100157.0</t>
        </is>
      </c>
      <c r="P141" s="24" t="inlineStr">
        <is>
          <t>KRW</t>
        </is>
      </c>
      <c r="Q141" s="24" t="inlineStr">
        <is>
          <t>10</t>
        </is>
      </c>
    </row>
    <row r="142" ht="24" customHeight="1">
      <c r="A142" s="29" t="inlineStr">
        <is>
          <t>OpenDART_fnlttSinglAcntAll</t>
        </is>
      </c>
      <c r="B142" s="29" t="inlineStr">
        <is>
          <t>00369657</t>
        </is>
      </c>
      <c r="C142" s="29" t="inlineStr">
        <is>
          <t>리노공업</t>
        </is>
      </c>
      <c r="D142" s="29" t="inlineStr">
        <is>
          <t>leeno</t>
        </is>
      </c>
      <c r="E142" s="29" t="inlineStr">
        <is>
          <t>058470</t>
        </is>
      </c>
      <c r="F142" s="29" t="inlineStr">
        <is>
          <t>2022</t>
        </is>
      </c>
      <c r="G142" s="29" t="inlineStr">
        <is>
          <t>OFS</t>
        </is>
      </c>
      <c r="H142" s="29" t="inlineStr">
        <is>
          <t>CIS</t>
        </is>
      </c>
      <c r="I142" s="29" t="inlineStr">
        <is>
          <t>포괄손익계산서</t>
        </is>
      </c>
      <c r="J142" s="29" t="inlineStr">
        <is>
          <t>ifrs-full_IncomeTaxExpenseContinuingOperations</t>
        </is>
      </c>
      <c r="K142" s="29" t="inlineStr">
        <is>
          <t>법인세비용</t>
        </is>
      </c>
      <c r="L142" s="29" t="inlineStr">
        <is>
          <t>-</t>
        </is>
      </c>
      <c r="M142" s="29" t="inlineStr">
        <is>
          <t>제 27 기</t>
        </is>
      </c>
      <c r="N142" s="29" t="inlineStr">
        <is>
          <t>39711723245.0</t>
        </is>
      </c>
      <c r="O142" s="29" t="inlineStr">
        <is>
          <t>35087285008.0</t>
        </is>
      </c>
      <c r="P142" s="29" t="inlineStr">
        <is>
          <t>KRW</t>
        </is>
      </c>
      <c r="Q142" s="29" t="inlineStr">
        <is>
          <t>11</t>
        </is>
      </c>
    </row>
    <row r="143" ht="24" customHeight="1">
      <c r="A143" s="24" t="inlineStr">
        <is>
          <t>OpenDART_fnlttSinglAcntAll</t>
        </is>
      </c>
      <c r="B143" s="24" t="inlineStr">
        <is>
          <t>00369657</t>
        </is>
      </c>
      <c r="C143" s="24" t="inlineStr">
        <is>
          <t>리노공업</t>
        </is>
      </c>
      <c r="D143" s="24" t="inlineStr">
        <is>
          <t>leeno</t>
        </is>
      </c>
      <c r="E143" s="24" t="inlineStr">
        <is>
          <t>058470</t>
        </is>
      </c>
      <c r="F143" s="24" t="inlineStr">
        <is>
          <t>2022</t>
        </is>
      </c>
      <c r="G143" s="24" t="inlineStr">
        <is>
          <t>OFS</t>
        </is>
      </c>
      <c r="H143" s="24" t="inlineStr">
        <is>
          <t>CIS</t>
        </is>
      </c>
      <c r="I143" s="24" t="inlineStr">
        <is>
          <t>포괄손익계산서</t>
        </is>
      </c>
      <c r="J143" s="24" t="inlineStr">
        <is>
          <t>ifrs-full_ProfitLoss</t>
        </is>
      </c>
      <c r="K143" s="24" t="inlineStr">
        <is>
          <t>당기순이익</t>
        </is>
      </c>
      <c r="L143" s="24" t="inlineStr">
        <is>
          <t>-</t>
        </is>
      </c>
      <c r="M143" s="24" t="inlineStr">
        <is>
          <t>제 27 기</t>
        </is>
      </c>
      <c r="N143" s="24" t="inlineStr">
        <is>
          <t>114363791327.0</t>
        </is>
      </c>
      <c r="O143" s="24" t="inlineStr">
        <is>
          <t>103805815149.0</t>
        </is>
      </c>
      <c r="P143" s="24" t="inlineStr">
        <is>
          <t>KRW</t>
        </is>
      </c>
      <c r="Q143" s="24" t="inlineStr">
        <is>
          <t>12</t>
        </is>
      </c>
    </row>
    <row r="144" ht="24" customHeight="1">
      <c r="A144" s="29" t="inlineStr">
        <is>
          <t>OpenDART_fnlttSinglAcntAll</t>
        </is>
      </c>
      <c r="B144" s="29" t="inlineStr">
        <is>
          <t>00369657</t>
        </is>
      </c>
      <c r="C144" s="29" t="inlineStr">
        <is>
          <t>리노공업</t>
        </is>
      </c>
      <c r="D144" s="29" t="inlineStr">
        <is>
          <t>leeno</t>
        </is>
      </c>
      <c r="E144" s="29" t="inlineStr">
        <is>
          <t>058470</t>
        </is>
      </c>
      <c r="F144" s="29" t="inlineStr">
        <is>
          <t>2022</t>
        </is>
      </c>
      <c r="G144" s="29" t="inlineStr">
        <is>
          <t>OFS</t>
        </is>
      </c>
      <c r="H144" s="29" t="inlineStr">
        <is>
          <t>CIS</t>
        </is>
      </c>
      <c r="I144" s="29" t="inlineStr">
        <is>
          <t>포괄손익계산서</t>
        </is>
      </c>
      <c r="J144" s="29" t="inlineStr">
        <is>
          <t>ifrs-full_OtherComprehensiveIncome</t>
        </is>
      </c>
      <c r="K144" s="29" t="inlineStr">
        <is>
          <t>기타포괄손익</t>
        </is>
      </c>
      <c r="L144" s="29" t="inlineStr">
        <is>
          <t>-</t>
        </is>
      </c>
      <c r="M144" s="29" t="inlineStr">
        <is>
          <t>제 27 기</t>
        </is>
      </c>
      <c r="N144" s="29" t="inlineStr">
        <is>
          <t>-935595604.0</t>
        </is>
      </c>
      <c r="O144" s="29" t="inlineStr">
        <is>
          <t>-675130558.0</t>
        </is>
      </c>
      <c r="P144" s="29" t="inlineStr">
        <is>
          <t>KRW</t>
        </is>
      </c>
      <c r="Q144" s="29" t="inlineStr">
        <is>
          <t>13</t>
        </is>
      </c>
    </row>
    <row r="145" ht="24" customHeight="1">
      <c r="A145" s="24" t="inlineStr">
        <is>
          <t>OpenDART_fnlttSinglAcntAll</t>
        </is>
      </c>
      <c r="B145" s="24" t="inlineStr">
        <is>
          <t>00369657</t>
        </is>
      </c>
      <c r="C145" s="24" t="inlineStr">
        <is>
          <t>리노공업</t>
        </is>
      </c>
      <c r="D145" s="24" t="inlineStr">
        <is>
          <t>leeno</t>
        </is>
      </c>
      <c r="E145" s="24" t="inlineStr">
        <is>
          <t>058470</t>
        </is>
      </c>
      <c r="F145" s="24" t="inlineStr">
        <is>
          <t>2022</t>
        </is>
      </c>
      <c r="G145" s="24" t="inlineStr">
        <is>
          <t>OFS</t>
        </is>
      </c>
      <c r="H145" s="24" t="inlineStr">
        <is>
          <t>CIS</t>
        </is>
      </c>
      <c r="I145" s="24" t="inlineStr">
        <is>
          <t>포괄손익계산서</t>
        </is>
      </c>
      <c r="J145" s="24" t="inlineStr">
        <is>
          <t>dart_OtherComprehensiveIncomeNetOfTaxGainsLossesOnRemeasurementsOfDefinedBenefitPlans</t>
        </is>
      </c>
      <c r="K145" s="24" t="inlineStr">
        <is>
          <t>종업원급여재측정요소</t>
        </is>
      </c>
      <c r="L145" s="24" t="inlineStr">
        <is>
          <t>-</t>
        </is>
      </c>
      <c r="M145" s="24" t="inlineStr">
        <is>
          <t>제 27 기</t>
        </is>
      </c>
      <c r="N145" s="24" t="inlineStr">
        <is>
          <t>-935595604.0</t>
        </is>
      </c>
      <c r="O145" s="24" t="inlineStr">
        <is>
          <t>-675130558.0</t>
        </is>
      </c>
      <c r="P145" s="24" t="inlineStr">
        <is>
          <t>KRW</t>
        </is>
      </c>
      <c r="Q145" s="24" t="inlineStr">
        <is>
          <t>15</t>
        </is>
      </c>
    </row>
    <row r="146" ht="24" customHeight="1">
      <c r="A146" s="29" t="inlineStr">
        <is>
          <t>OpenDART_fnlttSinglAcntAll</t>
        </is>
      </c>
      <c r="B146" s="29" t="inlineStr">
        <is>
          <t>00369657</t>
        </is>
      </c>
      <c r="C146" s="29" t="inlineStr">
        <is>
          <t>리노공업</t>
        </is>
      </c>
      <c r="D146" s="29" t="inlineStr">
        <is>
          <t>leeno</t>
        </is>
      </c>
      <c r="E146" s="29" t="inlineStr">
        <is>
          <t>058470</t>
        </is>
      </c>
      <c r="F146" s="29" t="inlineStr">
        <is>
          <t>2022</t>
        </is>
      </c>
      <c r="G146" s="29" t="inlineStr">
        <is>
          <t>OFS</t>
        </is>
      </c>
      <c r="H146" s="29" t="inlineStr">
        <is>
          <t>CIS</t>
        </is>
      </c>
      <c r="I146" s="29" t="inlineStr">
        <is>
          <t>포괄손익계산서</t>
        </is>
      </c>
      <c r="J146" s="29" t="inlineStr">
        <is>
          <t>ifrs-full_ComprehensiveIncome</t>
        </is>
      </c>
      <c r="K146" s="29" t="inlineStr">
        <is>
          <t>포괄손익</t>
        </is>
      </c>
      <c r="L146" s="29" t="inlineStr">
        <is>
          <t>-</t>
        </is>
      </c>
      <c r="M146" s="29" t="inlineStr">
        <is>
          <t>제 27 기</t>
        </is>
      </c>
      <c r="N146" s="29" t="inlineStr">
        <is>
          <t>113428195723.0</t>
        </is>
      </c>
      <c r="O146" s="29" t="inlineStr">
        <is>
          <t>103130684591.0</t>
        </is>
      </c>
      <c r="P146" s="29" t="inlineStr">
        <is>
          <t>KRW</t>
        </is>
      </c>
      <c r="Q146" s="29" t="inlineStr">
        <is>
          <t>16</t>
        </is>
      </c>
    </row>
    <row r="147" ht="24" customHeight="1">
      <c r="A147" s="24" t="inlineStr">
        <is>
          <t>OpenDART_fnlttSinglAcntAll</t>
        </is>
      </c>
      <c r="B147" s="24" t="inlineStr">
        <is>
          <t>00369657</t>
        </is>
      </c>
      <c r="C147" s="24" t="inlineStr">
        <is>
          <t>리노공업</t>
        </is>
      </c>
      <c r="D147" s="24" t="inlineStr">
        <is>
          <t>leeno</t>
        </is>
      </c>
      <c r="E147" s="24" t="inlineStr">
        <is>
          <t>058470</t>
        </is>
      </c>
      <c r="F147" s="24" t="inlineStr">
        <is>
          <t>2022</t>
        </is>
      </c>
      <c r="G147" s="24" t="inlineStr">
        <is>
          <t>OFS</t>
        </is>
      </c>
      <c r="H147" s="24" t="inlineStr">
        <is>
          <t>CIS</t>
        </is>
      </c>
      <c r="I147" s="24" t="inlineStr">
        <is>
          <t>포괄손익계산서</t>
        </is>
      </c>
      <c r="J147" s="24" t="inlineStr">
        <is>
          <t>ifrs-full_BasicEarningsLossPerShare</t>
        </is>
      </c>
      <c r="K147" s="24" t="inlineStr">
        <is>
          <t>기본주당이익</t>
        </is>
      </c>
      <c r="L147" s="24" t="inlineStr">
        <is>
          <t>-</t>
        </is>
      </c>
      <c r="M147" s="24" t="inlineStr">
        <is>
          <t>제 27 기</t>
        </is>
      </c>
      <c r="N147" s="24" t="inlineStr">
        <is>
          <t>7534.0</t>
        </is>
      </c>
      <c r="O147" s="24" t="inlineStr">
        <is>
          <t>6839.0</t>
        </is>
      </c>
      <c r="P147" s="24" t="inlineStr">
        <is>
          <t>KRW</t>
        </is>
      </c>
      <c r="Q147" s="24" t="inlineStr">
        <is>
          <t>18</t>
        </is>
      </c>
    </row>
    <row r="148" ht="24" customHeight="1">
      <c r="A148" s="29" t="inlineStr">
        <is>
          <t>OpenDART_fnlttSinglAcntAll</t>
        </is>
      </c>
      <c r="B148" s="29" t="inlineStr">
        <is>
          <t>00369657</t>
        </is>
      </c>
      <c r="C148" s="29" t="inlineStr">
        <is>
          <t>리노공업</t>
        </is>
      </c>
      <c r="D148" s="29" t="inlineStr">
        <is>
          <t>leeno</t>
        </is>
      </c>
      <c r="E148" s="29" t="inlineStr">
        <is>
          <t>058470</t>
        </is>
      </c>
      <c r="F148" s="29" t="inlineStr">
        <is>
          <t>2022</t>
        </is>
      </c>
      <c r="G148" s="29" t="inlineStr">
        <is>
          <t>OFS</t>
        </is>
      </c>
      <c r="H148" s="29" t="inlineStr">
        <is>
          <t>CF</t>
        </is>
      </c>
      <c r="I148" s="29" t="inlineStr">
        <is>
          <t>현금흐름표</t>
        </is>
      </c>
      <c r="J148" s="29" t="inlineStr">
        <is>
          <t>ifrs-full_CashFlowsFromUsedInOperatingActivities</t>
        </is>
      </c>
      <c r="K148" s="29" t="inlineStr">
        <is>
          <t>영업활동으로 인한 현금흐름</t>
        </is>
      </c>
      <c r="L148" s="29" t="inlineStr">
        <is>
          <t>-</t>
        </is>
      </c>
      <c r="M148" s="29" t="inlineStr">
        <is>
          <t>제 27 기</t>
        </is>
      </c>
      <c r="N148" s="29" t="inlineStr">
        <is>
          <t>108593008315.0</t>
        </is>
      </c>
      <c r="O148" s="29" t="inlineStr">
        <is>
          <t>130580737722.0</t>
        </is>
      </c>
      <c r="P148" s="29" t="inlineStr">
        <is>
          <t>KRW</t>
        </is>
      </c>
      <c r="Q148" s="29" t="inlineStr">
        <is>
          <t>0</t>
        </is>
      </c>
    </row>
    <row r="149" ht="24" customHeight="1">
      <c r="A149" s="24" t="inlineStr">
        <is>
          <t>OpenDART_fnlttSinglAcntAll</t>
        </is>
      </c>
      <c r="B149" s="24" t="inlineStr">
        <is>
          <t>00369657</t>
        </is>
      </c>
      <c r="C149" s="24" t="inlineStr">
        <is>
          <t>리노공업</t>
        </is>
      </c>
      <c r="D149" s="24" t="inlineStr">
        <is>
          <t>leeno</t>
        </is>
      </c>
      <c r="E149" s="24" t="inlineStr">
        <is>
          <t>058470</t>
        </is>
      </c>
      <c r="F149" s="24" t="inlineStr">
        <is>
          <t>2022</t>
        </is>
      </c>
      <c r="G149" s="24" t="inlineStr">
        <is>
          <t>OFS</t>
        </is>
      </c>
      <c r="H149" s="24" t="inlineStr">
        <is>
          <t>CF</t>
        </is>
      </c>
      <c r="I149" s="24" t="inlineStr">
        <is>
          <t>현금흐름표</t>
        </is>
      </c>
      <c r="J149" s="24" t="inlineStr">
        <is>
          <t>-표준계정코드 미사용-</t>
        </is>
      </c>
      <c r="K149" s="24" t="inlineStr">
        <is>
          <t>영업으로부터 창출된 현금흐름</t>
        </is>
      </c>
      <c r="L149" s="24" t="inlineStr">
        <is>
          <t>-</t>
        </is>
      </c>
      <c r="M149" s="24" t="inlineStr">
        <is>
          <t>제 27 기</t>
        </is>
      </c>
      <c r="N149" s="24" t="inlineStr">
        <is>
          <t>146161347623.0</t>
        </is>
      </c>
      <c r="O149" s="24" t="inlineStr">
        <is>
          <t>147362296513.0</t>
        </is>
      </c>
      <c r="P149" s="24" t="inlineStr">
        <is>
          <t>KRW</t>
        </is>
      </c>
      <c r="Q149" s="24" t="inlineStr">
        <is>
          <t>1</t>
        </is>
      </c>
    </row>
    <row r="150" ht="24" customHeight="1">
      <c r="A150" s="29" t="inlineStr">
        <is>
          <t>OpenDART_fnlttSinglAcntAll</t>
        </is>
      </c>
      <c r="B150" s="29" t="inlineStr">
        <is>
          <t>00369657</t>
        </is>
      </c>
      <c r="C150" s="29" t="inlineStr">
        <is>
          <t>리노공업</t>
        </is>
      </c>
      <c r="D150" s="29" t="inlineStr">
        <is>
          <t>leeno</t>
        </is>
      </c>
      <c r="E150" s="29" t="inlineStr">
        <is>
          <t>058470</t>
        </is>
      </c>
      <c r="F150" s="29" t="inlineStr">
        <is>
          <t>2022</t>
        </is>
      </c>
      <c r="G150" s="29" t="inlineStr">
        <is>
          <t>OFS</t>
        </is>
      </c>
      <c r="H150" s="29" t="inlineStr">
        <is>
          <t>CF</t>
        </is>
      </c>
      <c r="I150" s="29" t="inlineStr">
        <is>
          <t>현금흐름표</t>
        </is>
      </c>
      <c r="J150" s="29" t="inlineStr">
        <is>
          <t>ifrs-full_InterestReceivedClassifiedAsOperatingActivities</t>
        </is>
      </c>
      <c r="K150" s="29" t="inlineStr">
        <is>
          <t>이자의 수취</t>
        </is>
      </c>
      <c r="L150" s="29" t="inlineStr">
        <is>
          <t>-</t>
        </is>
      </c>
      <c r="M150" s="29" t="inlineStr">
        <is>
          <t>제 27 기</t>
        </is>
      </c>
      <c r="N150" s="29" t="inlineStr">
        <is>
          <t>5098905185.0</t>
        </is>
      </c>
      <c r="O150" s="29" t="inlineStr">
        <is>
          <t>1456731879.0</t>
        </is>
      </c>
      <c r="P150" s="29" t="inlineStr">
        <is>
          <t>KRW</t>
        </is>
      </c>
      <c r="Q150" s="29" t="inlineStr">
        <is>
          <t>2</t>
        </is>
      </c>
    </row>
    <row r="151" ht="24" customHeight="1">
      <c r="A151" s="24" t="inlineStr">
        <is>
          <t>OpenDART_fnlttSinglAcntAll</t>
        </is>
      </c>
      <c r="B151" s="24" t="inlineStr">
        <is>
          <t>00369657</t>
        </is>
      </c>
      <c r="C151" s="24" t="inlineStr">
        <is>
          <t>리노공업</t>
        </is>
      </c>
      <c r="D151" s="24" t="inlineStr">
        <is>
          <t>leeno</t>
        </is>
      </c>
      <c r="E151" s="24" t="inlineStr">
        <is>
          <t>058470</t>
        </is>
      </c>
      <c r="F151" s="24" t="inlineStr">
        <is>
          <t>2022</t>
        </is>
      </c>
      <c r="G151" s="24" t="inlineStr">
        <is>
          <t>OFS</t>
        </is>
      </c>
      <c r="H151" s="24" t="inlineStr">
        <is>
          <t>CF</t>
        </is>
      </c>
      <c r="I151" s="24" t="inlineStr">
        <is>
          <t>현금흐름표</t>
        </is>
      </c>
      <c r="J151" s="24" t="inlineStr">
        <is>
          <t>ifrs-full_InterestPaidClassifiedAsOperatingActivities</t>
        </is>
      </c>
      <c r="K151" s="24" t="inlineStr">
        <is>
          <t>이자의 지급</t>
        </is>
      </c>
      <c r="L151" s="24" t="inlineStr">
        <is>
          <t>-</t>
        </is>
      </c>
      <c r="M151" s="24" t="inlineStr">
        <is>
          <t>제 27 기</t>
        </is>
      </c>
      <c r="N151" s="24" t="inlineStr">
        <is>
          <t>7217826.0</t>
        </is>
      </c>
      <c r="O151" s="24" t="inlineStr">
        <is>
          <t>6588252.0</t>
        </is>
      </c>
      <c r="P151" s="24" t="inlineStr">
        <is>
          <t>KRW</t>
        </is>
      </c>
      <c r="Q151" s="24" t="inlineStr">
        <is>
          <t>3</t>
        </is>
      </c>
    </row>
    <row r="152" ht="24" customHeight="1">
      <c r="A152" s="29" t="inlineStr">
        <is>
          <t>OpenDART_fnlttSinglAcntAll</t>
        </is>
      </c>
      <c r="B152" s="29" t="inlineStr">
        <is>
          <t>00369657</t>
        </is>
      </c>
      <c r="C152" s="29" t="inlineStr">
        <is>
          <t>리노공업</t>
        </is>
      </c>
      <c r="D152" s="29" t="inlineStr">
        <is>
          <t>leeno</t>
        </is>
      </c>
      <c r="E152" s="29" t="inlineStr">
        <is>
          <t>058470</t>
        </is>
      </c>
      <c r="F152" s="29" t="inlineStr">
        <is>
          <t>2022</t>
        </is>
      </c>
      <c r="G152" s="29" t="inlineStr">
        <is>
          <t>OFS</t>
        </is>
      </c>
      <c r="H152" s="29" t="inlineStr">
        <is>
          <t>CF</t>
        </is>
      </c>
      <c r="I152" s="29" t="inlineStr">
        <is>
          <t>현금흐름표</t>
        </is>
      </c>
      <c r="J152" s="29" t="inlineStr">
        <is>
          <t>ifrs-full_IncomeTaxesPaidRefundClassifiedAsOperatingActivities</t>
        </is>
      </c>
      <c r="K152" s="29" t="inlineStr">
        <is>
          <t>법인세의 납부</t>
        </is>
      </c>
      <c r="L152" s="29" t="inlineStr">
        <is>
          <t>-</t>
        </is>
      </c>
      <c r="M152" s="29" t="inlineStr">
        <is>
          <t>제 27 기</t>
        </is>
      </c>
      <c r="N152" s="29" t="inlineStr">
        <is>
          <t>42660026667.0</t>
        </is>
      </c>
      <c r="O152" s="29" t="inlineStr">
        <is>
          <t>18231702418.0</t>
        </is>
      </c>
      <c r="P152" s="29" t="inlineStr">
        <is>
          <t>KRW</t>
        </is>
      </c>
      <c r="Q152" s="29" t="inlineStr">
        <is>
          <t>4</t>
        </is>
      </c>
    </row>
    <row r="153" ht="24" customHeight="1">
      <c r="A153" s="24" t="inlineStr">
        <is>
          <t>OpenDART_fnlttSinglAcntAll</t>
        </is>
      </c>
      <c r="B153" s="24" t="inlineStr">
        <is>
          <t>00369657</t>
        </is>
      </c>
      <c r="C153" s="24" t="inlineStr">
        <is>
          <t>리노공업</t>
        </is>
      </c>
      <c r="D153" s="24" t="inlineStr">
        <is>
          <t>leeno</t>
        </is>
      </c>
      <c r="E153" s="24" t="inlineStr">
        <is>
          <t>058470</t>
        </is>
      </c>
      <c r="F153" s="24" t="inlineStr">
        <is>
          <t>2022</t>
        </is>
      </c>
      <c r="G153" s="24" t="inlineStr">
        <is>
          <t>OFS</t>
        </is>
      </c>
      <c r="H153" s="24" t="inlineStr">
        <is>
          <t>CF</t>
        </is>
      </c>
      <c r="I153" s="24" t="inlineStr">
        <is>
          <t>현금흐름표</t>
        </is>
      </c>
      <c r="J153" s="24" t="inlineStr">
        <is>
          <t>ifrs-full_CashFlowsFromUsedInInvestingActivities</t>
        </is>
      </c>
      <c r="K153" s="24" t="inlineStr">
        <is>
          <t>투자활동으로 인한 현금흐름</t>
        </is>
      </c>
      <c r="L153" s="24" t="inlineStr">
        <is>
          <t>-</t>
        </is>
      </c>
      <c r="M153" s="24" t="inlineStr">
        <is>
          <t>제 27 기</t>
        </is>
      </c>
      <c r="N153" s="24" t="inlineStr">
        <is>
          <t>-117259026467.0</t>
        </is>
      </c>
      <c r="O153" s="24" t="inlineStr">
        <is>
          <t>-131720027625.0</t>
        </is>
      </c>
      <c r="P153" s="24" t="inlineStr">
        <is>
          <t>KRW</t>
        </is>
      </c>
      <c r="Q153" s="24" t="inlineStr">
        <is>
          <t>5</t>
        </is>
      </c>
    </row>
    <row r="154" ht="24" customHeight="1">
      <c r="A154" s="29" t="inlineStr">
        <is>
          <t>OpenDART_fnlttSinglAcntAll</t>
        </is>
      </c>
      <c r="B154" s="29" t="inlineStr">
        <is>
          <t>00369657</t>
        </is>
      </c>
      <c r="C154" s="29" t="inlineStr">
        <is>
          <t>리노공업</t>
        </is>
      </c>
      <c r="D154" s="29" t="inlineStr">
        <is>
          <t>leeno</t>
        </is>
      </c>
      <c r="E154" s="29" t="inlineStr">
        <is>
          <t>058470</t>
        </is>
      </c>
      <c r="F154" s="29" t="inlineStr">
        <is>
          <t>2022</t>
        </is>
      </c>
      <c r="G154" s="29" t="inlineStr">
        <is>
          <t>OFS</t>
        </is>
      </c>
      <c r="H154" s="29" t="inlineStr">
        <is>
          <t>CF</t>
        </is>
      </c>
      <c r="I154" s="29" t="inlineStr">
        <is>
          <t>현금흐름표</t>
        </is>
      </c>
      <c r="J154" s="29" t="inlineStr">
        <is>
          <t>dart_ProceedsFromSalesOfOtherCurrentFinancialAssets</t>
        </is>
      </c>
      <c r="K154" s="29" t="inlineStr">
        <is>
          <t>금융자산(유동)의 처분</t>
        </is>
      </c>
      <c r="L154" s="29" t="inlineStr">
        <is>
          <t>-</t>
        </is>
      </c>
      <c r="M154" s="29" t="inlineStr">
        <is>
          <t>제 27 기</t>
        </is>
      </c>
      <c r="N154" s="29" t="inlineStr">
        <is>
          <t>645019104972.0</t>
        </is>
      </c>
      <c r="O154" s="29" t="inlineStr">
        <is>
          <t>260394043372.0</t>
        </is>
      </c>
      <c r="P154" s="29" t="inlineStr">
        <is>
          <t>KRW</t>
        </is>
      </c>
      <c r="Q154" s="29" t="inlineStr">
        <is>
          <t>6</t>
        </is>
      </c>
    </row>
    <row r="155" ht="24" customHeight="1">
      <c r="A155" s="24" t="inlineStr">
        <is>
          <t>OpenDART_fnlttSinglAcntAll</t>
        </is>
      </c>
      <c r="B155" s="24" t="inlineStr">
        <is>
          <t>00369657</t>
        </is>
      </c>
      <c r="C155" s="24" t="inlineStr">
        <is>
          <t>리노공업</t>
        </is>
      </c>
      <c r="D155" s="24" t="inlineStr">
        <is>
          <t>leeno</t>
        </is>
      </c>
      <c r="E155" s="24" t="inlineStr">
        <is>
          <t>058470</t>
        </is>
      </c>
      <c r="F155" s="24" t="inlineStr">
        <is>
          <t>2022</t>
        </is>
      </c>
      <c r="G155" s="24" t="inlineStr">
        <is>
          <t>OFS</t>
        </is>
      </c>
      <c r="H155" s="24" t="inlineStr">
        <is>
          <t>CF</t>
        </is>
      </c>
      <c r="I155" s="24" t="inlineStr">
        <is>
          <t>현금흐름표</t>
        </is>
      </c>
      <c r="J155" s="24" t="inlineStr">
        <is>
          <t>dart_ProceedsFromSalesOfShortTermLoansAndReceivables</t>
        </is>
      </c>
      <c r="K155" s="24" t="inlineStr">
        <is>
          <t>기타채권(유동)의 감소</t>
        </is>
      </c>
      <c r="L155" s="24" t="inlineStr">
        <is>
          <t>-</t>
        </is>
      </c>
      <c r="M155" s="24" t="inlineStr">
        <is>
          <t>제 27 기</t>
        </is>
      </c>
      <c r="N155" s="24" t="inlineStr">
        <is>
          <t>558419717.0</t>
        </is>
      </c>
      <c r="O155" s="24" t="inlineStr">
        <is>
          <t>504045325.0</t>
        </is>
      </c>
      <c r="P155" s="24" t="inlineStr">
        <is>
          <t>KRW</t>
        </is>
      </c>
      <c r="Q155" s="24" t="inlineStr">
        <is>
          <t>7</t>
        </is>
      </c>
    </row>
    <row r="156" ht="24" customHeight="1">
      <c r="A156" s="29" t="inlineStr">
        <is>
          <t>OpenDART_fnlttSinglAcntAll</t>
        </is>
      </c>
      <c r="B156" s="29" t="inlineStr">
        <is>
          <t>00369657</t>
        </is>
      </c>
      <c r="C156" s="29" t="inlineStr">
        <is>
          <t>리노공업</t>
        </is>
      </c>
      <c r="D156" s="29" t="inlineStr">
        <is>
          <t>leeno</t>
        </is>
      </c>
      <c r="E156" s="29" t="inlineStr">
        <is>
          <t>058470</t>
        </is>
      </c>
      <c r="F156" s="29" t="inlineStr">
        <is>
          <t>2022</t>
        </is>
      </c>
      <c r="G156" s="29" t="inlineStr">
        <is>
          <t>OFS</t>
        </is>
      </c>
      <c r="H156" s="29" t="inlineStr">
        <is>
          <t>CF</t>
        </is>
      </c>
      <c r="I156" s="29" t="inlineStr">
        <is>
          <t>현금흐름표</t>
        </is>
      </c>
      <c r="J156" s="29" t="inlineStr">
        <is>
          <t>dart_ProceedsFromSalesOfOtherNonCurrentFinancialAssets</t>
        </is>
      </c>
      <c r="K156" s="29" t="inlineStr">
        <is>
          <t>금융자산(비유동)의 처분</t>
        </is>
      </c>
      <c r="L156" s="29" t="inlineStr">
        <is>
          <t>-</t>
        </is>
      </c>
      <c r="M156" s="29" t="inlineStr">
        <is>
          <t>제 27 기</t>
        </is>
      </c>
      <c r="N156" s="29" t="inlineStr">
        <is>
          <t>해당 없음</t>
        </is>
      </c>
      <c r="O156" s="29" t="inlineStr">
        <is>
          <t>105368280.0</t>
        </is>
      </c>
      <c r="P156" s="29" t="inlineStr">
        <is>
          <t>KRW</t>
        </is>
      </c>
      <c r="Q156" s="29" t="inlineStr">
        <is>
          <t>8</t>
        </is>
      </c>
    </row>
    <row r="157" ht="24" customHeight="1">
      <c r="A157" s="24" t="inlineStr">
        <is>
          <t>OpenDART_fnlttSinglAcntAll</t>
        </is>
      </c>
      <c r="B157" s="24" t="inlineStr">
        <is>
          <t>00369657</t>
        </is>
      </c>
      <c r="C157" s="24" t="inlineStr">
        <is>
          <t>리노공업</t>
        </is>
      </c>
      <c r="D157" s="24" t="inlineStr">
        <is>
          <t>leeno</t>
        </is>
      </c>
      <c r="E157" s="24" t="inlineStr">
        <is>
          <t>058470</t>
        </is>
      </c>
      <c r="F157" s="24" t="inlineStr">
        <is>
          <t>2022</t>
        </is>
      </c>
      <c r="G157" s="24" t="inlineStr">
        <is>
          <t>OFS</t>
        </is>
      </c>
      <c r="H157" s="24" t="inlineStr">
        <is>
          <t>CF</t>
        </is>
      </c>
      <c r="I157" s="24" t="inlineStr">
        <is>
          <t>현금흐름표</t>
        </is>
      </c>
      <c r="J157" s="24" t="inlineStr">
        <is>
          <t>dart_ProceedsFromSalesOfLongTermLoansAndReceivables</t>
        </is>
      </c>
      <c r="K157" s="24" t="inlineStr">
        <is>
          <t>기타채권(비유동)의 감소</t>
        </is>
      </c>
      <c r="L157" s="24" t="inlineStr">
        <is>
          <t>-</t>
        </is>
      </c>
      <c r="M157" s="24" t="inlineStr">
        <is>
          <t>제 27 기</t>
        </is>
      </c>
      <c r="N157" s="24" t="inlineStr">
        <is>
          <t>해당 없음</t>
        </is>
      </c>
      <c r="O157" s="24" t="inlineStr">
        <is>
          <t>6052190.0</t>
        </is>
      </c>
      <c r="P157" s="24" t="inlineStr">
        <is>
          <t>KRW</t>
        </is>
      </c>
      <c r="Q157" s="24" t="inlineStr">
        <is>
          <t>9</t>
        </is>
      </c>
    </row>
    <row r="158" ht="24" customHeight="1">
      <c r="A158" s="29" t="inlineStr">
        <is>
          <t>OpenDART_fnlttSinglAcntAll</t>
        </is>
      </c>
      <c r="B158" s="29" t="inlineStr">
        <is>
          <t>00369657</t>
        </is>
      </c>
      <c r="C158" s="29" t="inlineStr">
        <is>
          <t>리노공업</t>
        </is>
      </c>
      <c r="D158" s="29" t="inlineStr">
        <is>
          <t>leeno</t>
        </is>
      </c>
      <c r="E158" s="29" t="inlineStr">
        <is>
          <t>058470</t>
        </is>
      </c>
      <c r="F158" s="29" t="inlineStr">
        <is>
          <t>2022</t>
        </is>
      </c>
      <c r="G158" s="29" t="inlineStr">
        <is>
          <t>OFS</t>
        </is>
      </c>
      <c r="H158" s="29" t="inlineStr">
        <is>
          <t>CF</t>
        </is>
      </c>
      <c r="I158" s="29" t="inlineStr">
        <is>
          <t>현금흐름표</t>
        </is>
      </c>
      <c r="J158" s="29" t="inlineStr">
        <is>
          <t>ifrs-full_ProceedsFromSalesOfPropertyPlantAndEquipmentClassifiedAsInvestingActivities</t>
        </is>
      </c>
      <c r="K158" s="29" t="inlineStr">
        <is>
          <t>유형자산의 처분</t>
        </is>
      </c>
      <c r="L158" s="29" t="inlineStr">
        <is>
          <t>-</t>
        </is>
      </c>
      <c r="M158" s="29" t="inlineStr">
        <is>
          <t>제 27 기</t>
        </is>
      </c>
      <c r="N158" s="29" t="inlineStr">
        <is>
          <t>326568730.0</t>
        </is>
      </c>
      <c r="O158" s="29" t="inlineStr">
        <is>
          <t>10567482045.0</t>
        </is>
      </c>
      <c r="P158" s="29" t="inlineStr">
        <is>
          <t>KRW</t>
        </is>
      </c>
      <c r="Q158" s="29" t="inlineStr">
        <is>
          <t>10</t>
        </is>
      </c>
    </row>
    <row r="159" ht="24" customHeight="1">
      <c r="A159" s="24" t="inlineStr">
        <is>
          <t>OpenDART_fnlttSinglAcntAll</t>
        </is>
      </c>
      <c r="B159" s="24" t="inlineStr">
        <is>
          <t>00369657</t>
        </is>
      </c>
      <c r="C159" s="24" t="inlineStr">
        <is>
          <t>리노공업</t>
        </is>
      </c>
      <c r="D159" s="24" t="inlineStr">
        <is>
          <t>leeno</t>
        </is>
      </c>
      <c r="E159" s="24" t="inlineStr">
        <is>
          <t>058470</t>
        </is>
      </c>
      <c r="F159" s="24" t="inlineStr">
        <is>
          <t>2022</t>
        </is>
      </c>
      <c r="G159" s="24" t="inlineStr">
        <is>
          <t>OFS</t>
        </is>
      </c>
      <c r="H159" s="24" t="inlineStr">
        <is>
          <t>CF</t>
        </is>
      </c>
      <c r="I159" s="24" t="inlineStr">
        <is>
          <t>현금흐름표</t>
        </is>
      </c>
      <c r="J159" s="24" t="inlineStr">
        <is>
          <t>-표준계정코드 미사용-</t>
        </is>
      </c>
      <c r="K159" s="24" t="inlineStr">
        <is>
          <t>유형자산 관련 기타채무의 증가</t>
        </is>
      </c>
      <c r="L159" s="24" t="inlineStr">
        <is>
          <t>-</t>
        </is>
      </c>
      <c r="M159" s="24" t="inlineStr">
        <is>
          <t>제 27 기</t>
        </is>
      </c>
      <c r="N159" s="24" t="inlineStr">
        <is>
          <t>10488000.0</t>
        </is>
      </c>
      <c r="O159" s="24" t="inlineStr">
        <is>
          <t>76743000.0</t>
        </is>
      </c>
      <c r="P159" s="24" t="inlineStr">
        <is>
          <t>KRW</t>
        </is>
      </c>
      <c r="Q159" s="24" t="inlineStr">
        <is>
          <t>11</t>
        </is>
      </c>
    </row>
    <row r="160" ht="24" customHeight="1">
      <c r="A160" s="29" t="inlineStr">
        <is>
          <t>OpenDART_fnlttSinglAcntAll</t>
        </is>
      </c>
      <c r="B160" s="29" t="inlineStr">
        <is>
          <t>00369657</t>
        </is>
      </c>
      <c r="C160" s="29" t="inlineStr">
        <is>
          <t>리노공업</t>
        </is>
      </c>
      <c r="D160" s="29" t="inlineStr">
        <is>
          <t>leeno</t>
        </is>
      </c>
      <c r="E160" s="29" t="inlineStr">
        <is>
          <t>058470</t>
        </is>
      </c>
      <c r="F160" s="29" t="inlineStr">
        <is>
          <t>2022</t>
        </is>
      </c>
      <c r="G160" s="29" t="inlineStr">
        <is>
          <t>OFS</t>
        </is>
      </c>
      <c r="H160" s="29" t="inlineStr">
        <is>
          <t>CF</t>
        </is>
      </c>
      <c r="I160" s="29" t="inlineStr">
        <is>
          <t>현금흐름표</t>
        </is>
      </c>
      <c r="J160" s="29" t="inlineStr">
        <is>
          <t>dart_PurchaseOfOtherCurrentFinancialAssets</t>
        </is>
      </c>
      <c r="K160" s="29" t="inlineStr">
        <is>
          <t>금융자산(유동)의 취득</t>
        </is>
      </c>
      <c r="L160" s="29" t="inlineStr">
        <is>
          <t>-</t>
        </is>
      </c>
      <c r="M160" s="29" t="inlineStr">
        <is>
          <t>제 27 기</t>
        </is>
      </c>
      <c r="N160" s="29" t="inlineStr">
        <is>
          <t>19324999477.0</t>
        </is>
      </c>
      <c r="O160" s="29" t="inlineStr">
        <is>
          <t>355851543372.0</t>
        </is>
      </c>
      <c r="P160" s="29" t="inlineStr">
        <is>
          <t>KRW</t>
        </is>
      </c>
      <c r="Q160" s="29" t="inlineStr">
        <is>
          <t>12</t>
        </is>
      </c>
    </row>
    <row r="161" ht="24" customHeight="1">
      <c r="A161" s="24" t="inlineStr">
        <is>
          <t>OpenDART_fnlttSinglAcntAll</t>
        </is>
      </c>
      <c r="B161" s="24" t="inlineStr">
        <is>
          <t>00369657</t>
        </is>
      </c>
      <c r="C161" s="24" t="inlineStr">
        <is>
          <t>리노공업</t>
        </is>
      </c>
      <c r="D161" s="24" t="inlineStr">
        <is>
          <t>leeno</t>
        </is>
      </c>
      <c r="E161" s="24" t="inlineStr">
        <is>
          <t>058470</t>
        </is>
      </c>
      <c r="F161" s="24" t="inlineStr">
        <is>
          <t>2022</t>
        </is>
      </c>
      <c r="G161" s="24" t="inlineStr">
        <is>
          <t>OFS</t>
        </is>
      </c>
      <c r="H161" s="24" t="inlineStr">
        <is>
          <t>CF</t>
        </is>
      </c>
      <c r="I161" s="24" t="inlineStr">
        <is>
          <t>현금흐름표</t>
        </is>
      </c>
      <c r="J161" s="24" t="inlineStr">
        <is>
          <t>dart_PurchaseOfShortTermLoansAndReceivables</t>
        </is>
      </c>
      <c r="K161" s="24" t="inlineStr">
        <is>
          <t>기타채권(유동)의 증가</t>
        </is>
      </c>
      <c r="L161" s="24" t="inlineStr">
        <is>
          <t>-</t>
        </is>
      </c>
      <c r="M161" s="24" t="inlineStr">
        <is>
          <t>제 27 기</t>
        </is>
      </c>
      <c r="N161" s="24" t="inlineStr">
        <is>
          <t>558419717.0</t>
        </is>
      </c>
      <c r="O161" s="24" t="inlineStr">
        <is>
          <t>504045325.0</t>
        </is>
      </c>
      <c r="P161" s="24" t="inlineStr">
        <is>
          <t>KRW</t>
        </is>
      </c>
      <c r="Q161" s="24" t="inlineStr">
        <is>
          <t>13</t>
        </is>
      </c>
    </row>
    <row r="162" ht="24" customHeight="1">
      <c r="A162" s="29" t="inlineStr">
        <is>
          <t>OpenDART_fnlttSinglAcntAll</t>
        </is>
      </c>
      <c r="B162" s="29" t="inlineStr">
        <is>
          <t>00369657</t>
        </is>
      </c>
      <c r="C162" s="29" t="inlineStr">
        <is>
          <t>리노공업</t>
        </is>
      </c>
      <c r="D162" s="29" t="inlineStr">
        <is>
          <t>leeno</t>
        </is>
      </c>
      <c r="E162" s="29" t="inlineStr">
        <is>
          <t>058470</t>
        </is>
      </c>
      <c r="F162" s="29" t="inlineStr">
        <is>
          <t>2022</t>
        </is>
      </c>
      <c r="G162" s="29" t="inlineStr">
        <is>
          <t>OFS</t>
        </is>
      </c>
      <c r="H162" s="29" t="inlineStr">
        <is>
          <t>CF</t>
        </is>
      </c>
      <c r="I162" s="29" t="inlineStr">
        <is>
          <t>현금흐름표</t>
        </is>
      </c>
      <c r="J162" s="29" t="inlineStr">
        <is>
          <t>dart_PurchaseOfOtherNonCurrentFinancialAssets</t>
        </is>
      </c>
      <c r="K162" s="29" t="inlineStr">
        <is>
          <t>금융자산(비유동)의 취득</t>
        </is>
      </c>
      <c r="L162" s="29" t="inlineStr">
        <is>
          <t>-</t>
        </is>
      </c>
      <c r="M162" s="29" t="inlineStr">
        <is>
          <t>제 27 기</t>
        </is>
      </c>
      <c r="N162" s="29" t="inlineStr">
        <is>
          <t>724826604972.0</t>
        </is>
      </c>
      <c r="O162" s="29" t="inlineStr">
        <is>
          <t>1590000000.0</t>
        </is>
      </c>
      <c r="P162" s="29" t="inlineStr">
        <is>
          <t>KRW</t>
        </is>
      </c>
      <c r="Q162" s="29" t="inlineStr">
        <is>
          <t>14</t>
        </is>
      </c>
    </row>
    <row r="163" ht="24" customHeight="1">
      <c r="A163" s="24" t="inlineStr">
        <is>
          <t>OpenDART_fnlttSinglAcntAll</t>
        </is>
      </c>
      <c r="B163" s="24" t="inlineStr">
        <is>
          <t>00369657</t>
        </is>
      </c>
      <c r="C163" s="24" t="inlineStr">
        <is>
          <t>리노공업</t>
        </is>
      </c>
      <c r="D163" s="24" t="inlineStr">
        <is>
          <t>leeno</t>
        </is>
      </c>
      <c r="E163" s="24" t="inlineStr">
        <is>
          <t>058470</t>
        </is>
      </c>
      <c r="F163" s="24" t="inlineStr">
        <is>
          <t>2022</t>
        </is>
      </c>
      <c r="G163" s="24" t="inlineStr">
        <is>
          <t>OFS</t>
        </is>
      </c>
      <c r="H163" s="24" t="inlineStr">
        <is>
          <t>CF</t>
        </is>
      </c>
      <c r="I163" s="24" t="inlineStr">
        <is>
          <t>현금흐름표</t>
        </is>
      </c>
      <c r="J163" s="24" t="inlineStr">
        <is>
          <t>dart_PurchaseOfLongTermLoansAndReceivables</t>
        </is>
      </c>
      <c r="K163" s="24" t="inlineStr">
        <is>
          <t>기타채권(비유동)의 증가</t>
        </is>
      </c>
      <c r="L163" s="24" t="inlineStr">
        <is>
          <t>-</t>
        </is>
      </c>
      <c r="M163" s="24" t="inlineStr">
        <is>
          <t>제 27 기</t>
        </is>
      </c>
      <c r="N163" s="24" t="inlineStr">
        <is>
          <t>해당 없음</t>
        </is>
      </c>
      <c r="O163" s="24" t="inlineStr">
        <is>
          <t>2355690.0</t>
        </is>
      </c>
      <c r="P163" s="24" t="inlineStr">
        <is>
          <t>KRW</t>
        </is>
      </c>
      <c r="Q163" s="24" t="inlineStr">
        <is>
          <t>15</t>
        </is>
      </c>
    </row>
    <row r="164" ht="24" customHeight="1">
      <c r="A164" s="29" t="inlineStr">
        <is>
          <t>OpenDART_fnlttSinglAcntAll</t>
        </is>
      </c>
      <c r="B164" s="29" t="inlineStr">
        <is>
          <t>00369657</t>
        </is>
      </c>
      <c r="C164" s="29" t="inlineStr">
        <is>
          <t>리노공업</t>
        </is>
      </c>
      <c r="D164" s="29" t="inlineStr">
        <is>
          <t>leeno</t>
        </is>
      </c>
      <c r="E164" s="29" t="inlineStr">
        <is>
          <t>058470</t>
        </is>
      </c>
      <c r="F164" s="29" t="inlineStr">
        <is>
          <t>2022</t>
        </is>
      </c>
      <c r="G164" s="29" t="inlineStr">
        <is>
          <t>OFS</t>
        </is>
      </c>
      <c r="H164" s="29" t="inlineStr">
        <is>
          <t>CF</t>
        </is>
      </c>
      <c r="I164" s="29" t="inlineStr">
        <is>
          <t>현금흐름표</t>
        </is>
      </c>
      <c r="J164" s="29" t="inlineStr">
        <is>
          <t>ifrs-full_PurchaseOfPropertyPlantAndEquipmentClassifiedAsInvestingActivities</t>
        </is>
      </c>
      <c r="K164" s="29" t="inlineStr">
        <is>
          <t>유형자산의 취득</t>
        </is>
      </c>
      <c r="L164" s="29" t="inlineStr">
        <is>
          <t>-</t>
        </is>
      </c>
      <c r="M164" s="29" t="inlineStr">
        <is>
          <t>제 27 기</t>
        </is>
      </c>
      <c r="N164" s="29" t="inlineStr">
        <is>
          <t>18249507304.0</t>
        </is>
      </c>
      <c r="O164" s="29" t="inlineStr">
        <is>
          <t>45110244006.0</t>
        </is>
      </c>
      <c r="P164" s="29" t="inlineStr">
        <is>
          <t>KRW</t>
        </is>
      </c>
      <c r="Q164" s="29" t="inlineStr">
        <is>
          <t>16</t>
        </is>
      </c>
    </row>
    <row r="165" ht="24" customHeight="1">
      <c r="A165" s="24" t="inlineStr">
        <is>
          <t>OpenDART_fnlttSinglAcntAll</t>
        </is>
      </c>
      <c r="B165" s="24" t="inlineStr">
        <is>
          <t>00369657</t>
        </is>
      </c>
      <c r="C165" s="24" t="inlineStr">
        <is>
          <t>리노공업</t>
        </is>
      </c>
      <c r="D165" s="24" t="inlineStr">
        <is>
          <t>leeno</t>
        </is>
      </c>
      <c r="E165" s="24" t="inlineStr">
        <is>
          <t>058470</t>
        </is>
      </c>
      <c r="F165" s="24" t="inlineStr">
        <is>
          <t>2022</t>
        </is>
      </c>
      <c r="G165" s="24" t="inlineStr">
        <is>
          <t>OFS</t>
        </is>
      </c>
      <c r="H165" s="24" t="inlineStr">
        <is>
          <t>CF</t>
        </is>
      </c>
      <c r="I165" s="24" t="inlineStr">
        <is>
          <t>현금흐름표</t>
        </is>
      </c>
      <c r="J165" s="24" t="inlineStr">
        <is>
          <t>ifrs-full_PurchaseOfIntangibleAssetsClassifiedAsInvestingActivities</t>
        </is>
      </c>
      <c r="K165" s="24" t="inlineStr">
        <is>
          <t>무형자산의 취득</t>
        </is>
      </c>
      <c r="L165" s="24" t="inlineStr">
        <is>
          <t>-</t>
        </is>
      </c>
      <c r="M165" s="24" t="inlineStr">
        <is>
          <t>제 27 기</t>
        </is>
      </c>
      <c r="N165" s="24" t="inlineStr">
        <is>
          <t>137333416.0</t>
        </is>
      </c>
      <c r="O165" s="24" t="inlineStr">
        <is>
          <t>227523444.0</t>
        </is>
      </c>
      <c r="P165" s="24" t="inlineStr">
        <is>
          <t>KRW</t>
        </is>
      </c>
      <c r="Q165" s="24" t="inlineStr">
        <is>
          <t>17</t>
        </is>
      </c>
    </row>
    <row r="166" ht="24" customHeight="1">
      <c r="A166" s="29" t="inlineStr">
        <is>
          <t>OpenDART_fnlttSinglAcntAll</t>
        </is>
      </c>
      <c r="B166" s="29" t="inlineStr">
        <is>
          <t>00369657</t>
        </is>
      </c>
      <c r="C166" s="29" t="inlineStr">
        <is>
          <t>리노공업</t>
        </is>
      </c>
      <c r="D166" s="29" t="inlineStr">
        <is>
          <t>leeno</t>
        </is>
      </c>
      <c r="E166" s="29" t="inlineStr">
        <is>
          <t>058470</t>
        </is>
      </c>
      <c r="F166" s="29" t="inlineStr">
        <is>
          <t>2022</t>
        </is>
      </c>
      <c r="G166" s="29" t="inlineStr">
        <is>
          <t>OFS</t>
        </is>
      </c>
      <c r="H166" s="29" t="inlineStr">
        <is>
          <t>CF</t>
        </is>
      </c>
      <c r="I166" s="29" t="inlineStr">
        <is>
          <t>현금흐름표</t>
        </is>
      </c>
      <c r="J166" s="29" t="inlineStr">
        <is>
          <t>-표준계정코드 미사용-</t>
        </is>
      </c>
      <c r="K166" s="29" t="inlineStr">
        <is>
          <t>유형자산 관련 기타채무의 감소</t>
        </is>
      </c>
      <c r="L166" s="29" t="inlineStr">
        <is>
          <t>-</t>
        </is>
      </c>
      <c r="M166" s="29" t="inlineStr">
        <is>
          <t>제 27 기</t>
        </is>
      </c>
      <c r="N166" s="29" t="inlineStr">
        <is>
          <t>76743000.0</t>
        </is>
      </c>
      <c r="O166" s="29" t="inlineStr">
        <is>
          <t>88050000.0</t>
        </is>
      </c>
      <c r="P166" s="29" t="inlineStr">
        <is>
          <t>KRW</t>
        </is>
      </c>
      <c r="Q166" s="29" t="inlineStr">
        <is>
          <t>18</t>
        </is>
      </c>
    </row>
    <row r="167" ht="24" customHeight="1">
      <c r="A167" s="24" t="inlineStr">
        <is>
          <t>OpenDART_fnlttSinglAcntAll</t>
        </is>
      </c>
      <c r="B167" s="24" t="inlineStr">
        <is>
          <t>00369657</t>
        </is>
      </c>
      <c r="C167" s="24" t="inlineStr">
        <is>
          <t>리노공업</t>
        </is>
      </c>
      <c r="D167" s="24" t="inlineStr">
        <is>
          <t>leeno</t>
        </is>
      </c>
      <c r="E167" s="24" t="inlineStr">
        <is>
          <t>058470</t>
        </is>
      </c>
      <c r="F167" s="24" t="inlineStr">
        <is>
          <t>2022</t>
        </is>
      </c>
      <c r="G167" s="24" t="inlineStr">
        <is>
          <t>OFS</t>
        </is>
      </c>
      <c r="H167" s="24" t="inlineStr">
        <is>
          <t>CF</t>
        </is>
      </c>
      <c r="I167" s="24" t="inlineStr">
        <is>
          <t>현금흐름표</t>
        </is>
      </c>
      <c r="J167" s="24" t="inlineStr">
        <is>
          <t>ifrs-full_CashFlowsFromUsedInFinancingActivities</t>
        </is>
      </c>
      <c r="K167" s="24" t="inlineStr">
        <is>
          <t>재무활동으로 인한 현금흐름</t>
        </is>
      </c>
      <c r="L167" s="24" t="inlineStr">
        <is>
          <t>-</t>
        </is>
      </c>
      <c r="M167" s="24" t="inlineStr">
        <is>
          <t>제 27 기</t>
        </is>
      </c>
      <c r="N167" s="24" t="inlineStr">
        <is>
          <t>-38069068174.0</t>
        </is>
      </c>
      <c r="O167" s="24" t="inlineStr">
        <is>
          <t>-22902218748.0</t>
        </is>
      </c>
      <c r="P167" s="24" t="inlineStr">
        <is>
          <t>KRW</t>
        </is>
      </c>
      <c r="Q167" s="24" t="inlineStr">
        <is>
          <t>19</t>
        </is>
      </c>
    </row>
    <row r="168" ht="24" customHeight="1">
      <c r="A168" s="29" t="inlineStr">
        <is>
          <t>OpenDART_fnlttSinglAcntAll</t>
        </is>
      </c>
      <c r="B168" s="29" t="inlineStr">
        <is>
          <t>00369657</t>
        </is>
      </c>
      <c r="C168" s="29" t="inlineStr">
        <is>
          <t>리노공업</t>
        </is>
      </c>
      <c r="D168" s="29" t="inlineStr">
        <is>
          <t>leeno</t>
        </is>
      </c>
      <c r="E168" s="29" t="inlineStr">
        <is>
          <t>058470</t>
        </is>
      </c>
      <c r="F168" s="29" t="inlineStr">
        <is>
          <t>2022</t>
        </is>
      </c>
      <c r="G168" s="29" t="inlineStr">
        <is>
          <t>OFS</t>
        </is>
      </c>
      <c r="H168" s="29" t="inlineStr">
        <is>
          <t>CF</t>
        </is>
      </c>
      <c r="I168" s="29" t="inlineStr">
        <is>
          <t>현금흐름표</t>
        </is>
      </c>
      <c r="J168" s="29" t="inlineStr">
        <is>
          <t>ifrs-full_PaymentsOfFinanceLeaseLiabilitiesClassifiedAsFinancingActivities</t>
        </is>
      </c>
      <c r="K168" s="29" t="inlineStr">
        <is>
          <t>리스부채의 상환</t>
        </is>
      </c>
      <c r="L168" s="29" t="inlineStr">
        <is>
          <t>-</t>
        </is>
      </c>
      <c r="M168" s="29" t="inlineStr">
        <is>
          <t>제 27 기</t>
        </is>
      </c>
      <c r="N168" s="29" t="inlineStr">
        <is>
          <t>121268174.0</t>
        </is>
      </c>
      <c r="O168" s="29" t="inlineStr">
        <is>
          <t>133538748.0</t>
        </is>
      </c>
      <c r="P168" s="29" t="inlineStr">
        <is>
          <t>KRW</t>
        </is>
      </c>
      <c r="Q168" s="29" t="inlineStr">
        <is>
          <t>20</t>
        </is>
      </c>
    </row>
    <row r="169" ht="24" customHeight="1">
      <c r="A169" s="24" t="inlineStr">
        <is>
          <t>OpenDART_fnlttSinglAcntAll</t>
        </is>
      </c>
      <c r="B169" s="24" t="inlineStr">
        <is>
          <t>00369657</t>
        </is>
      </c>
      <c r="C169" s="24" t="inlineStr">
        <is>
          <t>리노공업</t>
        </is>
      </c>
      <c r="D169" s="24" t="inlineStr">
        <is>
          <t>leeno</t>
        </is>
      </c>
      <c r="E169" s="24" t="inlineStr">
        <is>
          <t>058470</t>
        </is>
      </c>
      <c r="F169" s="24" t="inlineStr">
        <is>
          <t>2022</t>
        </is>
      </c>
      <c r="G169" s="24" t="inlineStr">
        <is>
          <t>OFS</t>
        </is>
      </c>
      <c r="H169" s="24" t="inlineStr">
        <is>
          <t>CF</t>
        </is>
      </c>
      <c r="I169" s="24" t="inlineStr">
        <is>
          <t>현금흐름표</t>
        </is>
      </c>
      <c r="J169" s="24" t="inlineStr">
        <is>
          <t>ifrs-full_DividendsPaidClassifiedAsFinancingActivities</t>
        </is>
      </c>
      <c r="K169" s="24" t="inlineStr">
        <is>
          <t>배당금의 지급</t>
        </is>
      </c>
      <c r="L169" s="24" t="inlineStr">
        <is>
          <t>-</t>
        </is>
      </c>
      <c r="M169" s="24" t="inlineStr">
        <is>
          <t>제 27 기</t>
        </is>
      </c>
      <c r="N169" s="24" t="inlineStr">
        <is>
          <t>37947800000.0</t>
        </is>
      </c>
      <c r="O169" s="24" t="inlineStr">
        <is>
          <t>22768680000.0</t>
        </is>
      </c>
      <c r="P169" s="24" t="inlineStr">
        <is>
          <t>KRW</t>
        </is>
      </c>
      <c r="Q169" s="24" t="inlineStr">
        <is>
          <t>21</t>
        </is>
      </c>
    </row>
    <row r="170" ht="24" customHeight="1">
      <c r="A170" s="29" t="inlineStr">
        <is>
          <t>OpenDART_fnlttSinglAcntAll</t>
        </is>
      </c>
      <c r="B170" s="29" t="inlineStr">
        <is>
          <t>00369657</t>
        </is>
      </c>
      <c r="C170" s="29" t="inlineStr">
        <is>
          <t>리노공업</t>
        </is>
      </c>
      <c r="D170" s="29" t="inlineStr">
        <is>
          <t>leeno</t>
        </is>
      </c>
      <c r="E170" s="29" t="inlineStr">
        <is>
          <t>058470</t>
        </is>
      </c>
      <c r="F170" s="29" t="inlineStr">
        <is>
          <t>2022</t>
        </is>
      </c>
      <c r="G170" s="29" t="inlineStr">
        <is>
          <t>OFS</t>
        </is>
      </c>
      <c r="H170" s="29" t="inlineStr">
        <is>
          <t>CF</t>
        </is>
      </c>
      <c r="I170" s="29" t="inlineStr">
        <is>
          <t>현금흐름표</t>
        </is>
      </c>
      <c r="J170" s="29" t="inlineStr">
        <is>
          <t>ifrs-full_IncreaseDecreaseInCashAndCashEquivalentsBeforeEffectOfExchangeRateChanges</t>
        </is>
      </c>
      <c r="K170" s="29" t="inlineStr">
        <is>
          <t>현금및현금성자산의 증가(감소)</t>
        </is>
      </c>
      <c r="L170" s="29" t="inlineStr">
        <is>
          <t>-</t>
        </is>
      </c>
      <c r="M170" s="29" t="inlineStr">
        <is>
          <t>제 27 기</t>
        </is>
      </c>
      <c r="N170" s="29" t="inlineStr">
        <is>
          <t>-46735086326.0</t>
        </is>
      </c>
      <c r="O170" s="29" t="inlineStr">
        <is>
          <t>-24041508651.0</t>
        </is>
      </c>
      <c r="P170" s="29" t="inlineStr">
        <is>
          <t>KRW</t>
        </is>
      </c>
      <c r="Q170" s="29" t="inlineStr">
        <is>
          <t>22</t>
        </is>
      </c>
    </row>
    <row r="171" ht="24" customHeight="1">
      <c r="A171" s="24" t="inlineStr">
        <is>
          <t>OpenDART_fnlttSinglAcntAll</t>
        </is>
      </c>
      <c r="B171" s="24" t="inlineStr">
        <is>
          <t>00369657</t>
        </is>
      </c>
      <c r="C171" s="24" t="inlineStr">
        <is>
          <t>리노공업</t>
        </is>
      </c>
      <c r="D171" s="24" t="inlineStr">
        <is>
          <t>leeno</t>
        </is>
      </c>
      <c r="E171" s="24" t="inlineStr">
        <is>
          <t>058470</t>
        </is>
      </c>
      <c r="F171" s="24" t="inlineStr">
        <is>
          <t>2022</t>
        </is>
      </c>
      <c r="G171" s="24" t="inlineStr">
        <is>
          <t>OFS</t>
        </is>
      </c>
      <c r="H171" s="24" t="inlineStr">
        <is>
          <t>CF</t>
        </is>
      </c>
      <c r="I171" s="24" t="inlineStr">
        <is>
          <t>현금흐름표</t>
        </is>
      </c>
      <c r="J171" s="24" t="inlineStr">
        <is>
          <t>dart_CashAndCashEquivalentsAtBeginningOfPeriodCf</t>
        </is>
      </c>
      <c r="K171" s="24" t="inlineStr">
        <is>
          <t>기초 현금및현금성자산</t>
        </is>
      </c>
      <c r="L171" s="24" t="inlineStr">
        <is>
          <t>-</t>
        </is>
      </c>
      <c r="M171" s="24" t="inlineStr">
        <is>
          <t>제 27 기</t>
        </is>
      </c>
      <c r="N171" s="24" t="inlineStr">
        <is>
          <t>77211544736.0</t>
        </is>
      </c>
      <c r="O171" s="24" t="inlineStr">
        <is>
          <t>99439220422.0</t>
        </is>
      </c>
      <c r="P171" s="24" t="inlineStr">
        <is>
          <t>KRW</t>
        </is>
      </c>
      <c r="Q171" s="24" t="inlineStr">
        <is>
          <t>23</t>
        </is>
      </c>
    </row>
    <row r="172" ht="24" customHeight="1">
      <c r="A172" s="29" t="inlineStr">
        <is>
          <t>OpenDART_fnlttSinglAcntAll</t>
        </is>
      </c>
      <c r="B172" s="29" t="inlineStr">
        <is>
          <t>00369657</t>
        </is>
      </c>
      <c r="C172" s="29" t="inlineStr">
        <is>
          <t>리노공업</t>
        </is>
      </c>
      <c r="D172" s="29" t="inlineStr">
        <is>
          <t>leeno</t>
        </is>
      </c>
      <c r="E172" s="29" t="inlineStr">
        <is>
          <t>058470</t>
        </is>
      </c>
      <c r="F172" s="29" t="inlineStr">
        <is>
          <t>2022</t>
        </is>
      </c>
      <c r="G172" s="29" t="inlineStr">
        <is>
          <t>OFS</t>
        </is>
      </c>
      <c r="H172" s="29" t="inlineStr">
        <is>
          <t>CF</t>
        </is>
      </c>
      <c r="I172" s="29" t="inlineStr">
        <is>
          <t>현금흐름표</t>
        </is>
      </c>
      <c r="J172" s="29" t="inlineStr">
        <is>
          <t>ifrs-full_EffectOfExchangeRateChangesOnCashAndCashEquivalents</t>
        </is>
      </c>
      <c r="K172" s="29" t="inlineStr">
        <is>
          <t>현금및현금성자산의 환율변동효과</t>
        </is>
      </c>
      <c r="L172" s="29" t="inlineStr">
        <is>
          <t>-</t>
        </is>
      </c>
      <c r="M172" s="29" t="inlineStr">
        <is>
          <t>제 27 기</t>
        </is>
      </c>
      <c r="N172" s="29" t="inlineStr">
        <is>
          <t>-109480754.0</t>
        </is>
      </c>
      <c r="O172" s="29" t="inlineStr">
        <is>
          <t>1813832965.0</t>
        </is>
      </c>
      <c r="P172" s="29" t="inlineStr">
        <is>
          <t>KRW</t>
        </is>
      </c>
      <c r="Q172" s="29" t="inlineStr">
        <is>
          <t>24</t>
        </is>
      </c>
    </row>
    <row r="173" ht="24" customHeight="1">
      <c r="A173" s="24" t="inlineStr">
        <is>
          <t>OpenDART_fnlttSinglAcntAll</t>
        </is>
      </c>
      <c r="B173" s="24" t="inlineStr">
        <is>
          <t>00369657</t>
        </is>
      </c>
      <c r="C173" s="24" t="inlineStr">
        <is>
          <t>리노공업</t>
        </is>
      </c>
      <c r="D173" s="24" t="inlineStr">
        <is>
          <t>leeno</t>
        </is>
      </c>
      <c r="E173" s="24" t="inlineStr">
        <is>
          <t>058470</t>
        </is>
      </c>
      <c r="F173" s="24" t="inlineStr">
        <is>
          <t>2022</t>
        </is>
      </c>
      <c r="G173" s="24" t="inlineStr">
        <is>
          <t>OFS</t>
        </is>
      </c>
      <c r="H173" s="24" t="inlineStr">
        <is>
          <t>CF</t>
        </is>
      </c>
      <c r="I173" s="24" t="inlineStr">
        <is>
          <t>현금흐름표</t>
        </is>
      </c>
      <c r="J173" s="24" t="inlineStr">
        <is>
          <t>dart_CashAndCashEquivalentsAtEndOfPeriodCf</t>
        </is>
      </c>
      <c r="K173" s="24" t="inlineStr">
        <is>
          <t>기말 현금및현금성자산</t>
        </is>
      </c>
      <c r="L173" s="24" t="inlineStr">
        <is>
          <t>-</t>
        </is>
      </c>
      <c r="M173" s="24" t="inlineStr">
        <is>
          <t>제 27 기</t>
        </is>
      </c>
      <c r="N173" s="24" t="inlineStr">
        <is>
          <t>30366977656.0</t>
        </is>
      </c>
      <c r="O173" s="24" t="inlineStr">
        <is>
          <t>77211544736.0</t>
        </is>
      </c>
      <c r="P173" s="24" t="inlineStr">
        <is>
          <t>KRW</t>
        </is>
      </c>
      <c r="Q173" s="24" t="inlineStr">
        <is>
          <t>25</t>
        </is>
      </c>
    </row>
    <row r="174" ht="24" customHeight="1">
      <c r="A174" s="29" t="inlineStr">
        <is>
          <t>OpenDART_fnlttSinglAcntAll</t>
        </is>
      </c>
      <c r="B174" s="29" t="inlineStr">
        <is>
          <t>00369657</t>
        </is>
      </c>
      <c r="C174" s="29" t="inlineStr">
        <is>
          <t>리노공업</t>
        </is>
      </c>
      <c r="D174" s="29" t="inlineStr">
        <is>
          <t>leeno</t>
        </is>
      </c>
      <c r="E174" s="29" t="inlineStr">
        <is>
          <t>058470</t>
        </is>
      </c>
      <c r="F174" s="29" t="inlineStr">
        <is>
          <t>2022</t>
        </is>
      </c>
      <c r="G174" s="29" t="inlineStr">
        <is>
          <t>OFS</t>
        </is>
      </c>
      <c r="H174" s="29" t="inlineStr">
        <is>
          <t>SCE</t>
        </is>
      </c>
      <c r="I174" s="29" t="inlineStr">
        <is>
          <t>자본변동표</t>
        </is>
      </c>
      <c r="J174" s="29" t="inlineStr">
        <is>
          <t>dart_EquityAtBeginningOfPeriod</t>
        </is>
      </c>
      <c r="K174" s="29" t="inlineStr">
        <is>
          <t>기초자본</t>
        </is>
      </c>
      <c r="L174" s="29" t="inlineStr">
        <is>
          <t>별도재무제표 [member]</t>
        </is>
      </c>
      <c r="M174" s="29" t="inlineStr">
        <is>
          <t>제 27 기</t>
        </is>
      </c>
      <c r="N174" s="29" t="inlineStr">
        <is>
          <t>417703187103.0</t>
        </is>
      </c>
      <c r="O174" s="29" t="inlineStr">
        <is>
          <t>337341182512.0</t>
        </is>
      </c>
      <c r="P174" s="29" t="inlineStr">
        <is>
          <t>KRW</t>
        </is>
      </c>
      <c r="Q174" s="29" t="inlineStr">
        <is>
          <t>1</t>
        </is>
      </c>
    </row>
    <row r="175" ht="24" customHeight="1">
      <c r="A175" s="24" t="inlineStr">
        <is>
          <t>OpenDART_fnlttSinglAcntAll</t>
        </is>
      </c>
      <c r="B175" s="24" t="inlineStr">
        <is>
          <t>00369657</t>
        </is>
      </c>
      <c r="C175" s="24" t="inlineStr">
        <is>
          <t>리노공업</t>
        </is>
      </c>
      <c r="D175" s="24" t="inlineStr">
        <is>
          <t>leeno</t>
        </is>
      </c>
      <c r="E175" s="24" t="inlineStr">
        <is>
          <t>058470</t>
        </is>
      </c>
      <c r="F175" s="24" t="inlineStr">
        <is>
          <t>2022</t>
        </is>
      </c>
      <c r="G175" s="24" t="inlineStr">
        <is>
          <t>OFS</t>
        </is>
      </c>
      <c r="H175" s="24" t="inlineStr">
        <is>
          <t>SCE</t>
        </is>
      </c>
      <c r="I175" s="24" t="inlineStr">
        <is>
          <t>자본변동표</t>
        </is>
      </c>
      <c r="J175" s="24" t="inlineStr">
        <is>
          <t>dart_EquityAtBeginningOfPeriod</t>
        </is>
      </c>
      <c r="K175" s="24" t="inlineStr">
        <is>
          <t>기초자본</t>
        </is>
      </c>
      <c r="L175" s="24" t="inlineStr">
        <is>
          <t>자본 [member]|이익잉여금 [member]</t>
        </is>
      </c>
      <c r="M175" s="24" t="inlineStr">
        <is>
          <t>제 27 기</t>
        </is>
      </c>
      <c r="N175" s="24" t="inlineStr">
        <is>
          <t>406833708009.0</t>
        </is>
      </c>
      <c r="O175" s="24" t="inlineStr">
        <is>
          <t>326471703418.0</t>
        </is>
      </c>
      <c r="P175" s="24" t="inlineStr">
        <is>
          <t>KRW</t>
        </is>
      </c>
      <c r="Q175" s="24" t="inlineStr">
        <is>
          <t>1</t>
        </is>
      </c>
    </row>
    <row r="176" ht="24" customHeight="1">
      <c r="A176" s="29" t="inlineStr">
        <is>
          <t>OpenDART_fnlttSinglAcntAll</t>
        </is>
      </c>
      <c r="B176" s="29" t="inlineStr">
        <is>
          <t>00369657</t>
        </is>
      </c>
      <c r="C176" s="29" t="inlineStr">
        <is>
          <t>리노공업</t>
        </is>
      </c>
      <c r="D176" s="29" t="inlineStr">
        <is>
          <t>leeno</t>
        </is>
      </c>
      <c r="E176" s="29" t="inlineStr">
        <is>
          <t>058470</t>
        </is>
      </c>
      <c r="F176" s="29" t="inlineStr">
        <is>
          <t>2022</t>
        </is>
      </c>
      <c r="G176" s="29" t="inlineStr">
        <is>
          <t>OFS</t>
        </is>
      </c>
      <c r="H176" s="29" t="inlineStr">
        <is>
          <t>SCE</t>
        </is>
      </c>
      <c r="I176" s="29" t="inlineStr">
        <is>
          <t>자본변동표</t>
        </is>
      </c>
      <c r="J176" s="29" t="inlineStr">
        <is>
          <t>dart_EquityAtBeginningOfPeriod</t>
        </is>
      </c>
      <c r="K176" s="29" t="inlineStr">
        <is>
          <t>기초자본</t>
        </is>
      </c>
      <c r="L176" s="29" t="inlineStr">
        <is>
          <t>자본 [member]|자본금 [member]</t>
        </is>
      </c>
      <c r="M176" s="29" t="inlineStr">
        <is>
          <t>제 27 기</t>
        </is>
      </c>
      <c r="N176" s="29" t="inlineStr">
        <is>
          <t>7621185000.0</t>
        </is>
      </c>
      <c r="O176" s="29" t="inlineStr">
        <is>
          <t>7621185000.0</t>
        </is>
      </c>
      <c r="P176" s="29" t="inlineStr">
        <is>
          <t>KRW</t>
        </is>
      </c>
      <c r="Q176" s="29" t="inlineStr">
        <is>
          <t>1</t>
        </is>
      </c>
    </row>
    <row r="177" ht="24" customHeight="1">
      <c r="A177" s="24" t="inlineStr">
        <is>
          <t>OpenDART_fnlttSinglAcntAll</t>
        </is>
      </c>
      <c r="B177" s="24" t="inlineStr">
        <is>
          <t>00369657</t>
        </is>
      </c>
      <c r="C177" s="24" t="inlineStr">
        <is>
          <t>리노공업</t>
        </is>
      </c>
      <c r="D177" s="24" t="inlineStr">
        <is>
          <t>leeno</t>
        </is>
      </c>
      <c r="E177" s="24" t="inlineStr">
        <is>
          <t>058470</t>
        </is>
      </c>
      <c r="F177" s="24" t="inlineStr">
        <is>
          <t>2022</t>
        </is>
      </c>
      <c r="G177" s="24" t="inlineStr">
        <is>
          <t>OFS</t>
        </is>
      </c>
      <c r="H177" s="24" t="inlineStr">
        <is>
          <t>SCE</t>
        </is>
      </c>
      <c r="I177" s="24" t="inlineStr">
        <is>
          <t>자본변동표</t>
        </is>
      </c>
      <c r="J177" s="24" t="inlineStr">
        <is>
          <t>dart_EquityAtBeginningOfPeriod</t>
        </is>
      </c>
      <c r="K177" s="24" t="inlineStr">
        <is>
          <t>기초자본</t>
        </is>
      </c>
      <c r="L177" s="24" t="inlineStr">
        <is>
          <t>자본 [member]|자본잉여금 [member]</t>
        </is>
      </c>
      <c r="M177" s="24" t="inlineStr">
        <is>
          <t>제 27 기</t>
        </is>
      </c>
      <c r="N177" s="24" t="inlineStr">
        <is>
          <t>5601810444.0</t>
        </is>
      </c>
      <c r="O177" s="24" t="inlineStr">
        <is>
          <t>5601810444.0</t>
        </is>
      </c>
      <c r="P177" s="24" t="inlineStr">
        <is>
          <t>KRW</t>
        </is>
      </c>
      <c r="Q177" s="24" t="inlineStr">
        <is>
          <t>1</t>
        </is>
      </c>
    </row>
    <row r="178" ht="24" customHeight="1">
      <c r="A178" s="29" t="inlineStr">
        <is>
          <t>OpenDART_fnlttSinglAcntAll</t>
        </is>
      </c>
      <c r="B178" s="29" t="inlineStr">
        <is>
          <t>00369657</t>
        </is>
      </c>
      <c r="C178" s="29" t="inlineStr">
        <is>
          <t>리노공업</t>
        </is>
      </c>
      <c r="D178" s="29" t="inlineStr">
        <is>
          <t>leeno</t>
        </is>
      </c>
      <c r="E178" s="29" t="inlineStr">
        <is>
          <t>058470</t>
        </is>
      </c>
      <c r="F178" s="29" t="inlineStr">
        <is>
          <t>2022</t>
        </is>
      </c>
      <c r="G178" s="29" t="inlineStr">
        <is>
          <t>OFS</t>
        </is>
      </c>
      <c r="H178" s="29" t="inlineStr">
        <is>
          <t>SCE</t>
        </is>
      </c>
      <c r="I178" s="29" t="inlineStr">
        <is>
          <t>자본변동표</t>
        </is>
      </c>
      <c r="J178" s="29" t="inlineStr">
        <is>
          <t>dart_EquityAtBeginningOfPeriod</t>
        </is>
      </c>
      <c r="K178" s="29" t="inlineStr">
        <is>
          <t>기초자본</t>
        </is>
      </c>
      <c r="L178" s="29" t="inlineStr">
        <is>
          <t>자본 [member]|자본조정</t>
        </is>
      </c>
      <c r="M178" s="29" t="inlineStr">
        <is>
          <t>제 27 기</t>
        </is>
      </c>
      <c r="N178" s="29" t="inlineStr">
        <is>
          <t>-2353516350.0</t>
        </is>
      </c>
      <c r="O178" s="29" t="inlineStr">
        <is>
          <t>-2353516350.0</t>
        </is>
      </c>
      <c r="P178" s="29" t="inlineStr">
        <is>
          <t>KRW</t>
        </is>
      </c>
      <c r="Q178" s="29" t="inlineStr">
        <is>
          <t>1</t>
        </is>
      </c>
    </row>
    <row r="179" ht="24" customHeight="1">
      <c r="A179" s="24" t="inlineStr">
        <is>
          <t>OpenDART_fnlttSinglAcntAll</t>
        </is>
      </c>
      <c r="B179" s="24" t="inlineStr">
        <is>
          <t>00369657</t>
        </is>
      </c>
      <c r="C179" s="24" t="inlineStr">
        <is>
          <t>리노공업</t>
        </is>
      </c>
      <c r="D179" s="24" t="inlineStr">
        <is>
          <t>leeno</t>
        </is>
      </c>
      <c r="E179" s="24" t="inlineStr">
        <is>
          <t>058470</t>
        </is>
      </c>
      <c r="F179" s="24" t="inlineStr">
        <is>
          <t>2022</t>
        </is>
      </c>
      <c r="G179" s="24" t="inlineStr">
        <is>
          <t>OFS</t>
        </is>
      </c>
      <c r="H179" s="24" t="inlineStr">
        <is>
          <t>SCE</t>
        </is>
      </c>
      <c r="I179" s="24" t="inlineStr">
        <is>
          <t>자본변동표</t>
        </is>
      </c>
      <c r="J179" s="24" t="inlineStr">
        <is>
          <t>ifrs-full_ProfitLoss</t>
        </is>
      </c>
      <c r="K179" s="24" t="inlineStr">
        <is>
          <t>당기순이익</t>
        </is>
      </c>
      <c r="L179" s="24" t="inlineStr">
        <is>
          <t>별도재무제표 [member]</t>
        </is>
      </c>
      <c r="M179" s="24" t="inlineStr">
        <is>
          <t>제 27 기</t>
        </is>
      </c>
      <c r="N179" s="24" t="inlineStr">
        <is>
          <t>114363791327.0</t>
        </is>
      </c>
      <c r="O179" s="24" t="inlineStr">
        <is>
          <t>103805815149.0</t>
        </is>
      </c>
      <c r="P179" s="24" t="inlineStr">
        <is>
          <t>KRW</t>
        </is>
      </c>
      <c r="Q179" s="24" t="inlineStr">
        <is>
          <t>3</t>
        </is>
      </c>
    </row>
    <row r="180" ht="24" customHeight="1">
      <c r="A180" s="29" t="inlineStr">
        <is>
          <t>OpenDART_fnlttSinglAcntAll</t>
        </is>
      </c>
      <c r="B180" s="29" t="inlineStr">
        <is>
          <t>00369657</t>
        </is>
      </c>
      <c r="C180" s="29" t="inlineStr">
        <is>
          <t>리노공업</t>
        </is>
      </c>
      <c r="D180" s="29" t="inlineStr">
        <is>
          <t>leeno</t>
        </is>
      </c>
      <c r="E180" s="29" t="inlineStr">
        <is>
          <t>058470</t>
        </is>
      </c>
      <c r="F180" s="29" t="inlineStr">
        <is>
          <t>2022</t>
        </is>
      </c>
      <c r="G180" s="29" t="inlineStr">
        <is>
          <t>OFS</t>
        </is>
      </c>
      <c r="H180" s="29" t="inlineStr">
        <is>
          <t>SCE</t>
        </is>
      </c>
      <c r="I180" s="29" t="inlineStr">
        <is>
          <t>자본변동표</t>
        </is>
      </c>
      <c r="J180" s="29" t="inlineStr">
        <is>
          <t>ifrs-full_ProfitLoss</t>
        </is>
      </c>
      <c r="K180" s="29" t="inlineStr">
        <is>
          <t>당기순이익</t>
        </is>
      </c>
      <c r="L180" s="29" t="inlineStr">
        <is>
          <t>자본 [member]|이익잉여금 [member]</t>
        </is>
      </c>
      <c r="M180" s="29" t="inlineStr">
        <is>
          <t>제 27 기</t>
        </is>
      </c>
      <c r="N180" s="29" t="inlineStr">
        <is>
          <t>114363791327.0</t>
        </is>
      </c>
      <c r="O180" s="29" t="inlineStr">
        <is>
          <t>103805815149.0</t>
        </is>
      </c>
      <c r="P180" s="29" t="inlineStr">
        <is>
          <t>KRW</t>
        </is>
      </c>
      <c r="Q180" s="29" t="inlineStr">
        <is>
          <t>3</t>
        </is>
      </c>
    </row>
    <row r="181" ht="24" customHeight="1">
      <c r="A181" s="24" t="inlineStr">
        <is>
          <t>OpenDART_fnlttSinglAcntAll</t>
        </is>
      </c>
      <c r="B181" s="24" t="inlineStr">
        <is>
          <t>00369657</t>
        </is>
      </c>
      <c r="C181" s="24" t="inlineStr">
        <is>
          <t>리노공업</t>
        </is>
      </c>
      <c r="D181" s="24" t="inlineStr">
        <is>
          <t>leeno</t>
        </is>
      </c>
      <c r="E181" s="24" t="inlineStr">
        <is>
          <t>058470</t>
        </is>
      </c>
      <c r="F181" s="24" t="inlineStr">
        <is>
          <t>2022</t>
        </is>
      </c>
      <c r="G181" s="24" t="inlineStr">
        <is>
          <t>OFS</t>
        </is>
      </c>
      <c r="H181" s="24" t="inlineStr">
        <is>
          <t>SCE</t>
        </is>
      </c>
      <c r="I181" s="24" t="inlineStr">
        <is>
          <t>자본변동표</t>
        </is>
      </c>
      <c r="J181" s="24" t="inlineStr">
        <is>
          <t>-표준계정코드 미사용-</t>
        </is>
      </c>
      <c r="K181" s="24" t="inlineStr">
        <is>
          <t>종업원급여재측정요소</t>
        </is>
      </c>
      <c r="L181" s="24" t="inlineStr">
        <is>
          <t>자본 [member]|이익잉여금 [member]</t>
        </is>
      </c>
      <c r="M181" s="24" t="inlineStr">
        <is>
          <t>제 27 기</t>
        </is>
      </c>
      <c r="N181" s="24" t="inlineStr">
        <is>
          <t>-935595604.0</t>
        </is>
      </c>
      <c r="O181" s="24" t="inlineStr">
        <is>
          <t>-675130558.0</t>
        </is>
      </c>
      <c r="P181" s="24" t="inlineStr">
        <is>
          <t>KRW</t>
        </is>
      </c>
      <c r="Q181" s="24" t="inlineStr">
        <is>
          <t>4</t>
        </is>
      </c>
    </row>
    <row r="182" ht="24" customHeight="1">
      <c r="A182" s="29" t="inlineStr">
        <is>
          <t>OpenDART_fnlttSinglAcntAll</t>
        </is>
      </c>
      <c r="B182" s="29" t="inlineStr">
        <is>
          <t>00369657</t>
        </is>
      </c>
      <c r="C182" s="29" t="inlineStr">
        <is>
          <t>리노공업</t>
        </is>
      </c>
      <c r="D182" s="29" t="inlineStr">
        <is>
          <t>leeno</t>
        </is>
      </c>
      <c r="E182" s="29" t="inlineStr">
        <is>
          <t>058470</t>
        </is>
      </c>
      <c r="F182" s="29" t="inlineStr">
        <is>
          <t>2022</t>
        </is>
      </c>
      <c r="G182" s="29" t="inlineStr">
        <is>
          <t>OFS</t>
        </is>
      </c>
      <c r="H182" s="29" t="inlineStr">
        <is>
          <t>SCE</t>
        </is>
      </c>
      <c r="I182" s="29" t="inlineStr">
        <is>
          <t>자본변동표</t>
        </is>
      </c>
      <c r="J182" s="29" t="inlineStr">
        <is>
          <t>-표준계정코드 미사용-</t>
        </is>
      </c>
      <c r="K182" s="29" t="inlineStr">
        <is>
          <t>종업원급여재측정요소</t>
        </is>
      </c>
      <c r="L182" s="29" t="inlineStr">
        <is>
          <t>별도재무제표 [member]</t>
        </is>
      </c>
      <c r="M182" s="29" t="inlineStr">
        <is>
          <t>제 27 기</t>
        </is>
      </c>
      <c r="N182" s="29" t="inlineStr">
        <is>
          <t>-935595604.0</t>
        </is>
      </c>
      <c r="O182" s="29" t="inlineStr">
        <is>
          <t>-675130558.0</t>
        </is>
      </c>
      <c r="P182" s="29" t="inlineStr">
        <is>
          <t>KRW</t>
        </is>
      </c>
      <c r="Q182" s="29" t="inlineStr">
        <is>
          <t>4</t>
        </is>
      </c>
    </row>
    <row r="183" ht="24" customHeight="1">
      <c r="A183" s="24" t="inlineStr">
        <is>
          <t>OpenDART_fnlttSinglAcntAll</t>
        </is>
      </c>
      <c r="B183" s="24" t="inlineStr">
        <is>
          <t>00369657</t>
        </is>
      </c>
      <c r="C183" s="24" t="inlineStr">
        <is>
          <t>리노공업</t>
        </is>
      </c>
      <c r="D183" s="24" t="inlineStr">
        <is>
          <t>leeno</t>
        </is>
      </c>
      <c r="E183" s="24" t="inlineStr">
        <is>
          <t>058470</t>
        </is>
      </c>
      <c r="F183" s="24" t="inlineStr">
        <is>
          <t>2022</t>
        </is>
      </c>
      <c r="G183" s="24" t="inlineStr">
        <is>
          <t>OFS</t>
        </is>
      </c>
      <c r="H183" s="24" t="inlineStr">
        <is>
          <t>SCE</t>
        </is>
      </c>
      <c r="I183" s="24" t="inlineStr">
        <is>
          <t>자본변동표</t>
        </is>
      </c>
      <c r="J183" s="24" t="inlineStr">
        <is>
          <t>-표준계정코드 미사용-</t>
        </is>
      </c>
      <c r="K183" s="24" t="inlineStr">
        <is>
          <t>총포괄손익 소계</t>
        </is>
      </c>
      <c r="L183" s="24" t="inlineStr">
        <is>
          <t>자본 [member]|이익잉여금 [member]</t>
        </is>
      </c>
      <c r="M183" s="24" t="inlineStr">
        <is>
          <t>제 27 기</t>
        </is>
      </c>
      <c r="N183" s="24" t="inlineStr">
        <is>
          <t>113428195723.0</t>
        </is>
      </c>
      <c r="O183" s="24" t="inlineStr">
        <is>
          <t>103130684591.0</t>
        </is>
      </c>
      <c r="P183" s="24" t="inlineStr">
        <is>
          <t>KRW</t>
        </is>
      </c>
      <c r="Q183" s="24" t="inlineStr">
        <is>
          <t>5</t>
        </is>
      </c>
    </row>
    <row r="184" ht="24" customHeight="1">
      <c r="A184" s="29" t="inlineStr">
        <is>
          <t>OpenDART_fnlttSinglAcntAll</t>
        </is>
      </c>
      <c r="B184" s="29" t="inlineStr">
        <is>
          <t>00369657</t>
        </is>
      </c>
      <c r="C184" s="29" t="inlineStr">
        <is>
          <t>리노공업</t>
        </is>
      </c>
      <c r="D184" s="29" t="inlineStr">
        <is>
          <t>leeno</t>
        </is>
      </c>
      <c r="E184" s="29" t="inlineStr">
        <is>
          <t>058470</t>
        </is>
      </c>
      <c r="F184" s="29" t="inlineStr">
        <is>
          <t>2022</t>
        </is>
      </c>
      <c r="G184" s="29" t="inlineStr">
        <is>
          <t>OFS</t>
        </is>
      </c>
      <c r="H184" s="29" t="inlineStr">
        <is>
          <t>SCE</t>
        </is>
      </c>
      <c r="I184" s="29" t="inlineStr">
        <is>
          <t>자본변동표</t>
        </is>
      </c>
      <c r="J184" s="29" t="inlineStr">
        <is>
          <t>-표준계정코드 미사용-</t>
        </is>
      </c>
      <c r="K184" s="29" t="inlineStr">
        <is>
          <t>총포괄손익 소계</t>
        </is>
      </c>
      <c r="L184" s="29" t="inlineStr">
        <is>
          <t>별도재무제표 [member]</t>
        </is>
      </c>
      <c r="M184" s="29" t="inlineStr">
        <is>
          <t>제 27 기</t>
        </is>
      </c>
      <c r="N184" s="29" t="inlineStr">
        <is>
          <t>113428195723.0</t>
        </is>
      </c>
      <c r="O184" s="29" t="inlineStr">
        <is>
          <t>103130684591.0</t>
        </is>
      </c>
      <c r="P184" s="29" t="inlineStr">
        <is>
          <t>KRW</t>
        </is>
      </c>
      <c r="Q184" s="29" t="inlineStr">
        <is>
          <t>5</t>
        </is>
      </c>
    </row>
    <row r="185" ht="24" customHeight="1">
      <c r="A185" s="24" t="inlineStr">
        <is>
          <t>OpenDART_fnlttSinglAcntAll</t>
        </is>
      </c>
      <c r="B185" s="24" t="inlineStr">
        <is>
          <t>00369657</t>
        </is>
      </c>
      <c r="C185" s="24" t="inlineStr">
        <is>
          <t>리노공업</t>
        </is>
      </c>
      <c r="D185" s="24" t="inlineStr">
        <is>
          <t>leeno</t>
        </is>
      </c>
      <c r="E185" s="24" t="inlineStr">
        <is>
          <t>058470</t>
        </is>
      </c>
      <c r="F185" s="24" t="inlineStr">
        <is>
          <t>2022</t>
        </is>
      </c>
      <c r="G185" s="24" t="inlineStr">
        <is>
          <t>OFS</t>
        </is>
      </c>
      <c r="H185" s="24" t="inlineStr">
        <is>
          <t>SCE</t>
        </is>
      </c>
      <c r="I185" s="24" t="inlineStr">
        <is>
          <t>자본변동표</t>
        </is>
      </c>
      <c r="J185" s="24" t="inlineStr">
        <is>
          <t>ifrs-full_DividendsPaid</t>
        </is>
      </c>
      <c r="K185" s="24" t="inlineStr">
        <is>
          <t>배당금의 지급</t>
        </is>
      </c>
      <c r="L185" s="24" t="inlineStr">
        <is>
          <t>자본 [member]|이익잉여금 [member]</t>
        </is>
      </c>
      <c r="M185" s="24" t="inlineStr">
        <is>
          <t>제 27 기</t>
        </is>
      </c>
      <c r="N185" s="24" t="inlineStr">
        <is>
          <t>37947800000.0</t>
        </is>
      </c>
      <c r="O185" s="24" t="inlineStr">
        <is>
          <t>22768680000.0</t>
        </is>
      </c>
      <c r="P185" s="24" t="inlineStr">
        <is>
          <t>KRW</t>
        </is>
      </c>
      <c r="Q185" s="24" t="inlineStr">
        <is>
          <t>6</t>
        </is>
      </c>
    </row>
    <row r="186" ht="24" customHeight="1">
      <c r="A186" s="29" t="inlineStr">
        <is>
          <t>OpenDART_fnlttSinglAcntAll</t>
        </is>
      </c>
      <c r="B186" s="29" t="inlineStr">
        <is>
          <t>00369657</t>
        </is>
      </c>
      <c r="C186" s="29" t="inlineStr">
        <is>
          <t>리노공업</t>
        </is>
      </c>
      <c r="D186" s="29" t="inlineStr">
        <is>
          <t>leeno</t>
        </is>
      </c>
      <c r="E186" s="29" t="inlineStr">
        <is>
          <t>058470</t>
        </is>
      </c>
      <c r="F186" s="29" t="inlineStr">
        <is>
          <t>2022</t>
        </is>
      </c>
      <c r="G186" s="29" t="inlineStr">
        <is>
          <t>OFS</t>
        </is>
      </c>
      <c r="H186" s="29" t="inlineStr">
        <is>
          <t>SCE</t>
        </is>
      </c>
      <c r="I186" s="29" t="inlineStr">
        <is>
          <t>자본변동표</t>
        </is>
      </c>
      <c r="J186" s="29" t="inlineStr">
        <is>
          <t>ifrs-full_DividendsPaid</t>
        </is>
      </c>
      <c r="K186" s="29" t="inlineStr">
        <is>
          <t>배당금의 지급</t>
        </is>
      </c>
      <c r="L186" s="29" t="inlineStr">
        <is>
          <t>별도재무제표 [member]</t>
        </is>
      </c>
      <c r="M186" s="29" t="inlineStr">
        <is>
          <t>제 27 기</t>
        </is>
      </c>
      <c r="N186" s="29" t="inlineStr">
        <is>
          <t>37947800000.0</t>
        </is>
      </c>
      <c r="O186" s="29" t="inlineStr">
        <is>
          <t>22768680000.0</t>
        </is>
      </c>
      <c r="P186" s="29" t="inlineStr">
        <is>
          <t>KRW</t>
        </is>
      </c>
      <c r="Q186" s="29" t="inlineStr">
        <is>
          <t>6</t>
        </is>
      </c>
    </row>
    <row r="187" ht="24" customHeight="1">
      <c r="A187" s="24" t="inlineStr">
        <is>
          <t>OpenDART_fnlttSinglAcntAll</t>
        </is>
      </c>
      <c r="B187" s="24" t="inlineStr">
        <is>
          <t>00369657</t>
        </is>
      </c>
      <c r="C187" s="24" t="inlineStr">
        <is>
          <t>리노공업</t>
        </is>
      </c>
      <c r="D187" s="24" t="inlineStr">
        <is>
          <t>leeno</t>
        </is>
      </c>
      <c r="E187" s="24" t="inlineStr">
        <is>
          <t>058470</t>
        </is>
      </c>
      <c r="F187" s="24" t="inlineStr">
        <is>
          <t>2022</t>
        </is>
      </c>
      <c r="G187" s="24" t="inlineStr">
        <is>
          <t>OFS</t>
        </is>
      </c>
      <c r="H187" s="24" t="inlineStr">
        <is>
          <t>SCE</t>
        </is>
      </c>
      <c r="I187" s="24" t="inlineStr">
        <is>
          <t>자본변동표</t>
        </is>
      </c>
      <c r="J187" s="24" t="inlineStr">
        <is>
          <t>ifrs-full_Equity</t>
        </is>
      </c>
      <c r="K187" s="24" t="inlineStr">
        <is>
          <t>기말자본</t>
        </is>
      </c>
      <c r="L187" s="24" t="inlineStr">
        <is>
          <t>자본 [member]|자본조정</t>
        </is>
      </c>
      <c r="M187" s="24" t="inlineStr">
        <is>
          <t>제 27 기</t>
        </is>
      </c>
      <c r="N187" s="24" t="inlineStr">
        <is>
          <t>-2353516350.0</t>
        </is>
      </c>
      <c r="O187" s="24" t="inlineStr">
        <is>
          <t>-2353516350.0</t>
        </is>
      </c>
      <c r="P187" s="24" t="inlineStr">
        <is>
          <t>KRW</t>
        </is>
      </c>
      <c r="Q187" s="24" t="inlineStr">
        <is>
          <t>8</t>
        </is>
      </c>
    </row>
    <row r="188" ht="24" customHeight="1">
      <c r="A188" s="29" t="inlineStr">
        <is>
          <t>OpenDART_fnlttSinglAcntAll</t>
        </is>
      </c>
      <c r="B188" s="29" t="inlineStr">
        <is>
          <t>00369657</t>
        </is>
      </c>
      <c r="C188" s="29" t="inlineStr">
        <is>
          <t>리노공업</t>
        </is>
      </c>
      <c r="D188" s="29" t="inlineStr">
        <is>
          <t>leeno</t>
        </is>
      </c>
      <c r="E188" s="29" t="inlineStr">
        <is>
          <t>058470</t>
        </is>
      </c>
      <c r="F188" s="29" t="inlineStr">
        <is>
          <t>2022</t>
        </is>
      </c>
      <c r="G188" s="29" t="inlineStr">
        <is>
          <t>OFS</t>
        </is>
      </c>
      <c r="H188" s="29" t="inlineStr">
        <is>
          <t>SCE</t>
        </is>
      </c>
      <c r="I188" s="29" t="inlineStr">
        <is>
          <t>자본변동표</t>
        </is>
      </c>
      <c r="J188" s="29" t="inlineStr">
        <is>
          <t>ifrs-full_Equity</t>
        </is>
      </c>
      <c r="K188" s="29" t="inlineStr">
        <is>
          <t>기말자본</t>
        </is>
      </c>
      <c r="L188" s="29" t="inlineStr">
        <is>
          <t>자본 [member]|자본잉여금 [member]</t>
        </is>
      </c>
      <c r="M188" s="29" t="inlineStr">
        <is>
          <t>제 27 기</t>
        </is>
      </c>
      <c r="N188" s="29" t="inlineStr">
        <is>
          <t>5601810444.0</t>
        </is>
      </c>
      <c r="O188" s="29" t="inlineStr">
        <is>
          <t>5601810444.0</t>
        </is>
      </c>
      <c r="P188" s="29" t="inlineStr">
        <is>
          <t>KRW</t>
        </is>
      </c>
      <c r="Q188" s="29" t="inlineStr">
        <is>
          <t>8</t>
        </is>
      </c>
    </row>
    <row r="189" ht="24" customHeight="1">
      <c r="A189" s="24" t="inlineStr">
        <is>
          <t>OpenDART_fnlttSinglAcntAll</t>
        </is>
      </c>
      <c r="B189" s="24" t="inlineStr">
        <is>
          <t>00369657</t>
        </is>
      </c>
      <c r="C189" s="24" t="inlineStr">
        <is>
          <t>리노공업</t>
        </is>
      </c>
      <c r="D189" s="24" t="inlineStr">
        <is>
          <t>leeno</t>
        </is>
      </c>
      <c r="E189" s="24" t="inlineStr">
        <is>
          <t>058470</t>
        </is>
      </c>
      <c r="F189" s="24" t="inlineStr">
        <is>
          <t>2022</t>
        </is>
      </c>
      <c r="G189" s="24" t="inlineStr">
        <is>
          <t>OFS</t>
        </is>
      </c>
      <c r="H189" s="24" t="inlineStr">
        <is>
          <t>SCE</t>
        </is>
      </c>
      <c r="I189" s="24" t="inlineStr">
        <is>
          <t>자본변동표</t>
        </is>
      </c>
      <c r="J189" s="24" t="inlineStr">
        <is>
          <t>ifrs-full_Equity</t>
        </is>
      </c>
      <c r="K189" s="24" t="inlineStr">
        <is>
          <t>기말자본</t>
        </is>
      </c>
      <c r="L189" s="24" t="inlineStr">
        <is>
          <t>자본 [member]|자본금 [member]</t>
        </is>
      </c>
      <c r="M189" s="24" t="inlineStr">
        <is>
          <t>제 27 기</t>
        </is>
      </c>
      <c r="N189" s="24" t="inlineStr">
        <is>
          <t>7621185000.0</t>
        </is>
      </c>
      <c r="O189" s="24" t="inlineStr">
        <is>
          <t>7621185000.0</t>
        </is>
      </c>
      <c r="P189" s="24" t="inlineStr">
        <is>
          <t>KRW</t>
        </is>
      </c>
      <c r="Q189" s="24" t="inlineStr">
        <is>
          <t>8</t>
        </is>
      </c>
    </row>
    <row r="190" ht="24" customHeight="1">
      <c r="A190" s="29" t="inlineStr">
        <is>
          <t>OpenDART_fnlttSinglAcntAll</t>
        </is>
      </c>
      <c r="B190" s="29" t="inlineStr">
        <is>
          <t>00369657</t>
        </is>
      </c>
      <c r="C190" s="29" t="inlineStr">
        <is>
          <t>리노공업</t>
        </is>
      </c>
      <c r="D190" s="29" t="inlineStr">
        <is>
          <t>leeno</t>
        </is>
      </c>
      <c r="E190" s="29" t="inlineStr">
        <is>
          <t>058470</t>
        </is>
      </c>
      <c r="F190" s="29" t="inlineStr">
        <is>
          <t>2022</t>
        </is>
      </c>
      <c r="G190" s="29" t="inlineStr">
        <is>
          <t>OFS</t>
        </is>
      </c>
      <c r="H190" s="29" t="inlineStr">
        <is>
          <t>SCE</t>
        </is>
      </c>
      <c r="I190" s="29" t="inlineStr">
        <is>
          <t>자본변동표</t>
        </is>
      </c>
      <c r="J190" s="29" t="inlineStr">
        <is>
          <t>ifrs-full_Equity</t>
        </is>
      </c>
      <c r="K190" s="29" t="inlineStr">
        <is>
          <t>기말자본</t>
        </is>
      </c>
      <c r="L190" s="29" t="inlineStr">
        <is>
          <t>별도재무제표 [member]</t>
        </is>
      </c>
      <c r="M190" s="29" t="inlineStr">
        <is>
          <t>제 27 기</t>
        </is>
      </c>
      <c r="N190" s="29" t="inlineStr">
        <is>
          <t>493183582826.0</t>
        </is>
      </c>
      <c r="O190" s="29" t="inlineStr">
        <is>
          <t>417703187103.0</t>
        </is>
      </c>
      <c r="P190" s="29" t="inlineStr">
        <is>
          <t>KRW</t>
        </is>
      </c>
      <c r="Q190" s="29" t="inlineStr">
        <is>
          <t>8</t>
        </is>
      </c>
    </row>
    <row r="191" ht="24" customHeight="1">
      <c r="A191" s="24" t="inlineStr">
        <is>
          <t>OpenDART_fnlttSinglAcntAll</t>
        </is>
      </c>
      <c r="B191" s="24" t="inlineStr">
        <is>
          <t>00369657</t>
        </is>
      </c>
      <c r="C191" s="24" t="inlineStr">
        <is>
          <t>리노공업</t>
        </is>
      </c>
      <c r="D191" s="24" t="inlineStr">
        <is>
          <t>leeno</t>
        </is>
      </c>
      <c r="E191" s="24" t="inlineStr">
        <is>
          <t>058470</t>
        </is>
      </c>
      <c r="F191" s="24" t="inlineStr">
        <is>
          <t>2022</t>
        </is>
      </c>
      <c r="G191" s="24" t="inlineStr">
        <is>
          <t>OFS</t>
        </is>
      </c>
      <c r="H191" s="24" t="inlineStr">
        <is>
          <t>SCE</t>
        </is>
      </c>
      <c r="I191" s="24" t="inlineStr">
        <is>
          <t>자본변동표</t>
        </is>
      </c>
      <c r="J191" s="24" t="inlineStr">
        <is>
          <t>ifrs-full_Equity</t>
        </is>
      </c>
      <c r="K191" s="24" t="inlineStr">
        <is>
          <t>기말자본</t>
        </is>
      </c>
      <c r="L191" s="24" t="inlineStr">
        <is>
          <t>자본 [member]|이익잉여금 [member]</t>
        </is>
      </c>
      <c r="M191" s="24" t="inlineStr">
        <is>
          <t>제 27 기</t>
        </is>
      </c>
      <c r="N191" s="24" t="inlineStr">
        <is>
          <t>482314103732.0</t>
        </is>
      </c>
      <c r="O191" s="24" t="inlineStr">
        <is>
          <t>406833708009.0</t>
        </is>
      </c>
      <c r="P191" s="24" t="inlineStr">
        <is>
          <t>KRW</t>
        </is>
      </c>
      <c r="Q191" s="24" t="inlineStr">
        <is>
          <t>8</t>
        </is>
      </c>
    </row>
    <row r="192" ht="24" customHeight="1">
      <c r="A192" s="29" t="inlineStr">
        <is>
          <t>OpenDART_fnlttSinglAcntAll</t>
        </is>
      </c>
      <c r="B192" s="29" t="inlineStr">
        <is>
          <t>00369657</t>
        </is>
      </c>
      <c r="C192" s="29" t="inlineStr">
        <is>
          <t>리노공업</t>
        </is>
      </c>
      <c r="D192" s="29" t="inlineStr">
        <is>
          <t>leeno</t>
        </is>
      </c>
      <c r="E192" s="29" t="inlineStr">
        <is>
          <t>058470</t>
        </is>
      </c>
      <c r="F192" s="29" t="inlineStr">
        <is>
          <t>2023</t>
        </is>
      </c>
      <c r="G192" s="29" t="inlineStr">
        <is>
          <t>OFS</t>
        </is>
      </c>
      <c r="H192" s="29" t="inlineStr">
        <is>
          <t>BS</t>
        </is>
      </c>
      <c r="I192" s="29" t="inlineStr">
        <is>
          <t>재무상태표</t>
        </is>
      </c>
      <c r="J192" s="29" t="inlineStr">
        <is>
          <t>ifrs-full_Assets</t>
        </is>
      </c>
      <c r="K192" s="29" t="inlineStr">
        <is>
          <t>자산총계</t>
        </is>
      </c>
      <c r="L192" s="29" t="inlineStr">
        <is>
          <t>-</t>
        </is>
      </c>
      <c r="M192" s="29" t="inlineStr">
        <is>
          <t>제 28 기</t>
        </is>
      </c>
      <c r="N192" s="29" t="inlineStr">
        <is>
          <t>582869465294.0</t>
        </is>
      </c>
      <c r="O192" s="29" t="inlineStr">
        <is>
          <t>531488129432.0</t>
        </is>
      </c>
      <c r="P192" s="29" t="inlineStr">
        <is>
          <t>KRW</t>
        </is>
      </c>
      <c r="Q192" s="29" t="inlineStr">
        <is>
          <t>7</t>
        </is>
      </c>
    </row>
    <row r="193" ht="24" customHeight="1">
      <c r="A193" s="24" t="inlineStr">
        <is>
          <t>OpenDART_fnlttSinglAcntAll</t>
        </is>
      </c>
      <c r="B193" s="24" t="inlineStr">
        <is>
          <t>00369657</t>
        </is>
      </c>
      <c r="C193" s="24" t="inlineStr">
        <is>
          <t>리노공업</t>
        </is>
      </c>
      <c r="D193" s="24" t="inlineStr">
        <is>
          <t>leeno</t>
        </is>
      </c>
      <c r="E193" s="24" t="inlineStr">
        <is>
          <t>058470</t>
        </is>
      </c>
      <c r="F193" s="24" t="inlineStr">
        <is>
          <t>2023</t>
        </is>
      </c>
      <c r="G193" s="24" t="inlineStr">
        <is>
          <t>OFS</t>
        </is>
      </c>
      <c r="H193" s="24" t="inlineStr">
        <is>
          <t>BS</t>
        </is>
      </c>
      <c r="I193" s="24" t="inlineStr">
        <is>
          <t>재무상태표</t>
        </is>
      </c>
      <c r="J193" s="24" t="inlineStr">
        <is>
          <t>ifrs-full_CurrentAssets</t>
        </is>
      </c>
      <c r="K193" s="24" t="inlineStr">
        <is>
          <t>유동자산</t>
        </is>
      </c>
      <c r="L193" s="24" t="inlineStr">
        <is>
          <t>-</t>
        </is>
      </c>
      <c r="M193" s="24" t="inlineStr">
        <is>
          <t>제 28 기</t>
        </is>
      </c>
      <c r="N193" s="24" t="inlineStr">
        <is>
          <t>372372898847.0</t>
        </is>
      </c>
      <c r="O193" s="24" t="inlineStr">
        <is>
          <t>377024805599.0</t>
        </is>
      </c>
      <c r="P193" s="24" t="inlineStr">
        <is>
          <t>KRW</t>
        </is>
      </c>
      <c r="Q193" s="24" t="inlineStr">
        <is>
          <t>8</t>
        </is>
      </c>
    </row>
    <row r="194" ht="24" customHeight="1">
      <c r="A194" s="29" t="inlineStr">
        <is>
          <t>OpenDART_fnlttSinglAcntAll</t>
        </is>
      </c>
      <c r="B194" s="29" t="inlineStr">
        <is>
          <t>00369657</t>
        </is>
      </c>
      <c r="C194" s="29" t="inlineStr">
        <is>
          <t>리노공업</t>
        </is>
      </c>
      <c r="D194" s="29" t="inlineStr">
        <is>
          <t>leeno</t>
        </is>
      </c>
      <c r="E194" s="29" t="inlineStr">
        <is>
          <t>058470</t>
        </is>
      </c>
      <c r="F194" s="29" t="inlineStr">
        <is>
          <t>2023</t>
        </is>
      </c>
      <c r="G194" s="29" t="inlineStr">
        <is>
          <t>OFS</t>
        </is>
      </c>
      <c r="H194" s="29" t="inlineStr">
        <is>
          <t>BS</t>
        </is>
      </c>
      <c r="I194" s="29" t="inlineStr">
        <is>
          <t>재무상태표</t>
        </is>
      </c>
      <c r="J194" s="29" t="inlineStr">
        <is>
          <t>dart_ShortTermTradeReceivable</t>
        </is>
      </c>
      <c r="K194" s="29" t="inlineStr">
        <is>
          <t>매출채권</t>
        </is>
      </c>
      <c r="L194" s="29" t="inlineStr">
        <is>
          <t>-</t>
        </is>
      </c>
      <c r="M194" s="29" t="inlineStr">
        <is>
          <t>제 28 기</t>
        </is>
      </c>
      <c r="N194" s="29" t="inlineStr">
        <is>
          <t>29831505651.0</t>
        </is>
      </c>
      <c r="O194" s="29" t="inlineStr">
        <is>
          <t>39326047673.0</t>
        </is>
      </c>
      <c r="P194" s="29" t="inlineStr">
        <is>
          <t>KRW</t>
        </is>
      </c>
      <c r="Q194" s="29" t="inlineStr">
        <is>
          <t>9</t>
        </is>
      </c>
    </row>
    <row r="195" ht="24" customHeight="1">
      <c r="A195" s="24" t="inlineStr">
        <is>
          <t>OpenDART_fnlttSinglAcntAll</t>
        </is>
      </c>
      <c r="B195" s="24" t="inlineStr">
        <is>
          <t>00369657</t>
        </is>
      </c>
      <c r="C195" s="24" t="inlineStr">
        <is>
          <t>리노공업</t>
        </is>
      </c>
      <c r="D195" s="24" t="inlineStr">
        <is>
          <t>leeno</t>
        </is>
      </c>
      <c r="E195" s="24" t="inlineStr">
        <is>
          <t>058470</t>
        </is>
      </c>
      <c r="F195" s="24" t="inlineStr">
        <is>
          <t>2023</t>
        </is>
      </c>
      <c r="G195" s="24" t="inlineStr">
        <is>
          <t>OFS</t>
        </is>
      </c>
      <c r="H195" s="24" t="inlineStr">
        <is>
          <t>BS</t>
        </is>
      </c>
      <c r="I195" s="24" t="inlineStr">
        <is>
          <t>재무상태표</t>
        </is>
      </c>
      <c r="J195" s="24" t="inlineStr">
        <is>
          <t>-표준계정코드 미사용-</t>
        </is>
      </c>
      <c r="K195" s="24" t="inlineStr">
        <is>
          <t>기타채권</t>
        </is>
      </c>
      <c r="L195" s="24" t="inlineStr">
        <is>
          <t>-</t>
        </is>
      </c>
      <c r="M195" s="24" t="inlineStr">
        <is>
          <t>제 28 기</t>
        </is>
      </c>
      <c r="N195" s="24" t="inlineStr">
        <is>
          <t>3344483021.0</t>
        </is>
      </c>
      <c r="O195" s="24" t="inlineStr">
        <is>
          <t>6824703807.0</t>
        </is>
      </c>
      <c r="P195" s="24" t="inlineStr">
        <is>
          <t>KRW</t>
        </is>
      </c>
      <c r="Q195" s="24" t="inlineStr">
        <is>
          <t>10</t>
        </is>
      </c>
    </row>
    <row r="196" ht="24" customHeight="1">
      <c r="A196" s="29" t="inlineStr">
        <is>
          <t>OpenDART_fnlttSinglAcntAll</t>
        </is>
      </c>
      <c r="B196" s="29" t="inlineStr">
        <is>
          <t>00369657</t>
        </is>
      </c>
      <c r="C196" s="29" t="inlineStr">
        <is>
          <t>리노공업</t>
        </is>
      </c>
      <c r="D196" s="29" t="inlineStr">
        <is>
          <t>leeno</t>
        </is>
      </c>
      <c r="E196" s="29" t="inlineStr">
        <is>
          <t>058470</t>
        </is>
      </c>
      <c r="F196" s="29" t="inlineStr">
        <is>
          <t>2023</t>
        </is>
      </c>
      <c r="G196" s="29" t="inlineStr">
        <is>
          <t>OFS</t>
        </is>
      </c>
      <c r="H196" s="29" t="inlineStr">
        <is>
          <t>BS</t>
        </is>
      </c>
      <c r="I196" s="29" t="inlineStr">
        <is>
          <t>재무상태표</t>
        </is>
      </c>
      <c r="J196" s="29" t="inlineStr">
        <is>
          <t>ifrs-full_CashAndCashEquivalents</t>
        </is>
      </c>
      <c r="K196" s="29" t="inlineStr">
        <is>
          <t>현금및현금성자산</t>
        </is>
      </c>
      <c r="L196" s="29" t="inlineStr">
        <is>
          <t>-</t>
        </is>
      </c>
      <c r="M196" s="29" t="inlineStr">
        <is>
          <t>제 28 기</t>
        </is>
      </c>
      <c r="N196" s="29" t="inlineStr">
        <is>
          <t>34165877177.0</t>
        </is>
      </c>
      <c r="O196" s="29" t="inlineStr">
        <is>
          <t>30366977656.0</t>
        </is>
      </c>
      <c r="P196" s="29" t="inlineStr">
        <is>
          <t>KRW</t>
        </is>
      </c>
      <c r="Q196" s="29" t="inlineStr">
        <is>
          <t>11</t>
        </is>
      </c>
    </row>
    <row r="197" ht="24" customHeight="1">
      <c r="A197" s="24" t="inlineStr">
        <is>
          <t>OpenDART_fnlttSinglAcntAll</t>
        </is>
      </c>
      <c r="B197" s="24" t="inlineStr">
        <is>
          <t>00369657</t>
        </is>
      </c>
      <c r="C197" s="24" t="inlineStr">
        <is>
          <t>리노공업</t>
        </is>
      </c>
      <c r="D197" s="24" t="inlineStr">
        <is>
          <t>leeno</t>
        </is>
      </c>
      <c r="E197" s="24" t="inlineStr">
        <is>
          <t>058470</t>
        </is>
      </c>
      <c r="F197" s="24" t="inlineStr">
        <is>
          <t>2023</t>
        </is>
      </c>
      <c r="G197" s="24" t="inlineStr">
        <is>
          <t>OFS</t>
        </is>
      </c>
      <c r="H197" s="24" t="inlineStr">
        <is>
          <t>BS</t>
        </is>
      </c>
      <c r="I197" s="24" t="inlineStr">
        <is>
          <t>재무상태표</t>
        </is>
      </c>
      <c r="J197" s="24" t="inlineStr">
        <is>
          <t>ifrs-full_Inventories</t>
        </is>
      </c>
      <c r="K197" s="24" t="inlineStr">
        <is>
          <t>재고자산</t>
        </is>
      </c>
      <c r="L197" s="24" t="inlineStr">
        <is>
          <t>-</t>
        </is>
      </c>
      <c r="M197" s="24" t="inlineStr">
        <is>
          <t>제 28 기</t>
        </is>
      </c>
      <c r="N197" s="24" t="inlineStr">
        <is>
          <t>14252453441.0</t>
        </is>
      </c>
      <c r="O197" s="24" t="inlineStr">
        <is>
          <t>13111076097.0</t>
        </is>
      </c>
      <c r="P197" s="24" t="inlineStr">
        <is>
          <t>KRW</t>
        </is>
      </c>
      <c r="Q197" s="24" t="inlineStr">
        <is>
          <t>12</t>
        </is>
      </c>
    </row>
    <row r="198" ht="24" customHeight="1">
      <c r="A198" s="29" t="inlineStr">
        <is>
          <t>OpenDART_fnlttSinglAcntAll</t>
        </is>
      </c>
      <c r="B198" s="29" t="inlineStr">
        <is>
          <t>00369657</t>
        </is>
      </c>
      <c r="C198" s="29" t="inlineStr">
        <is>
          <t>리노공업</t>
        </is>
      </c>
      <c r="D198" s="29" t="inlineStr">
        <is>
          <t>leeno</t>
        </is>
      </c>
      <c r="E198" s="29" t="inlineStr">
        <is>
          <t>058470</t>
        </is>
      </c>
      <c r="F198" s="29" t="inlineStr">
        <is>
          <t>2023</t>
        </is>
      </c>
      <c r="G198" s="29" t="inlineStr">
        <is>
          <t>OFS</t>
        </is>
      </c>
      <c r="H198" s="29" t="inlineStr">
        <is>
          <t>BS</t>
        </is>
      </c>
      <c r="I198" s="29" t="inlineStr">
        <is>
          <t>재무상태표</t>
        </is>
      </c>
      <c r="J198" s="29" t="inlineStr">
        <is>
          <t>ifrs-full_OtherCurrentAssets</t>
        </is>
      </c>
      <c r="K198" s="29" t="inlineStr">
        <is>
          <t>기타자산</t>
        </is>
      </c>
      <c r="L198" s="29" t="inlineStr">
        <is>
          <t>-</t>
        </is>
      </c>
      <c r="M198" s="29" t="inlineStr">
        <is>
          <t>제 28 기</t>
        </is>
      </c>
      <c r="N198" s="29" t="inlineStr">
        <is>
          <t>1606579557.0</t>
        </is>
      </c>
      <c r="O198" s="29" t="inlineStr">
        <is>
          <t>629000366.0</t>
        </is>
      </c>
      <c r="P198" s="29" t="inlineStr">
        <is>
          <t>KRW</t>
        </is>
      </c>
      <c r="Q198" s="29" t="inlineStr">
        <is>
          <t>13</t>
        </is>
      </c>
    </row>
    <row r="199" ht="24" customHeight="1">
      <c r="A199" s="24" t="inlineStr">
        <is>
          <t>OpenDART_fnlttSinglAcntAll</t>
        </is>
      </c>
      <c r="B199" s="24" t="inlineStr">
        <is>
          <t>00369657</t>
        </is>
      </c>
      <c r="C199" s="24" t="inlineStr">
        <is>
          <t>리노공업</t>
        </is>
      </c>
      <c r="D199" s="24" t="inlineStr">
        <is>
          <t>leeno</t>
        </is>
      </c>
      <c r="E199" s="24" t="inlineStr">
        <is>
          <t>058470</t>
        </is>
      </c>
      <c r="F199" s="24" t="inlineStr">
        <is>
          <t>2023</t>
        </is>
      </c>
      <c r="G199" s="24" t="inlineStr">
        <is>
          <t>OFS</t>
        </is>
      </c>
      <c r="H199" s="24" t="inlineStr">
        <is>
          <t>BS</t>
        </is>
      </c>
      <c r="I199" s="24" t="inlineStr">
        <is>
          <t>재무상태표</t>
        </is>
      </c>
      <c r="J199" s="24" t="inlineStr">
        <is>
          <t>ifrs-full_OtherCurrentFinancialAssets</t>
        </is>
      </c>
      <c r="K199" s="24" t="inlineStr">
        <is>
          <t>기타금융자산</t>
        </is>
      </c>
      <c r="L199" s="24" t="inlineStr">
        <is>
          <t>-</t>
        </is>
      </c>
      <c r="M199" s="24" t="inlineStr">
        <is>
          <t>제 28 기</t>
        </is>
      </c>
      <c r="N199" s="24" t="inlineStr">
        <is>
          <t>289172000000.0</t>
        </is>
      </c>
      <c r="O199" s="24" t="inlineStr">
        <is>
          <t>286767000000.0</t>
        </is>
      </c>
      <c r="P199" s="24" t="inlineStr">
        <is>
          <t>KRW</t>
        </is>
      </c>
      <c r="Q199" s="24" t="inlineStr">
        <is>
          <t>14</t>
        </is>
      </c>
    </row>
    <row r="200" ht="24" customHeight="1">
      <c r="A200" s="29" t="inlineStr">
        <is>
          <t>OpenDART_fnlttSinglAcntAll</t>
        </is>
      </c>
      <c r="B200" s="29" t="inlineStr">
        <is>
          <t>00369657</t>
        </is>
      </c>
      <c r="C200" s="29" t="inlineStr">
        <is>
          <t>리노공업</t>
        </is>
      </c>
      <c r="D200" s="29" t="inlineStr">
        <is>
          <t>leeno</t>
        </is>
      </c>
      <c r="E200" s="29" t="inlineStr">
        <is>
          <t>058470</t>
        </is>
      </c>
      <c r="F200" s="29" t="inlineStr">
        <is>
          <t>2023</t>
        </is>
      </c>
      <c r="G200" s="29" t="inlineStr">
        <is>
          <t>OFS</t>
        </is>
      </c>
      <c r="H200" s="29" t="inlineStr">
        <is>
          <t>BS</t>
        </is>
      </c>
      <c r="I200" s="29" t="inlineStr">
        <is>
          <t>재무상태표</t>
        </is>
      </c>
      <c r="J200" s="29" t="inlineStr">
        <is>
          <t>ifrs-full_NoncurrentAssets</t>
        </is>
      </c>
      <c r="K200" s="29" t="inlineStr">
        <is>
          <t>비유동자산</t>
        </is>
      </c>
      <c r="L200" s="29" t="inlineStr">
        <is>
          <t>-</t>
        </is>
      </c>
      <c r="M200" s="29" t="inlineStr">
        <is>
          <t>제 28 기</t>
        </is>
      </c>
      <c r="N200" s="29" t="inlineStr">
        <is>
          <t>210496566447.0</t>
        </is>
      </c>
      <c r="O200" s="29" t="inlineStr">
        <is>
          <t>154463323833.0</t>
        </is>
      </c>
      <c r="P200" s="29" t="inlineStr">
        <is>
          <t>KRW</t>
        </is>
      </c>
      <c r="Q200" s="29" t="inlineStr">
        <is>
          <t>15</t>
        </is>
      </c>
    </row>
    <row r="201" ht="24" customHeight="1">
      <c r="A201" s="24" t="inlineStr">
        <is>
          <t>OpenDART_fnlttSinglAcntAll</t>
        </is>
      </c>
      <c r="B201" s="24" t="inlineStr">
        <is>
          <t>00369657</t>
        </is>
      </c>
      <c r="C201" s="24" t="inlineStr">
        <is>
          <t>리노공업</t>
        </is>
      </c>
      <c r="D201" s="24" t="inlineStr">
        <is>
          <t>leeno</t>
        </is>
      </c>
      <c r="E201" s="24" t="inlineStr">
        <is>
          <t>058470</t>
        </is>
      </c>
      <c r="F201" s="24" t="inlineStr">
        <is>
          <t>2023</t>
        </is>
      </c>
      <c r="G201" s="24" t="inlineStr">
        <is>
          <t>OFS</t>
        </is>
      </c>
      <c r="H201" s="24" t="inlineStr">
        <is>
          <t>BS</t>
        </is>
      </c>
      <c r="I201" s="24" t="inlineStr">
        <is>
          <t>재무상태표</t>
        </is>
      </c>
      <c r="J201" s="24" t="inlineStr">
        <is>
          <t>dart_InvestedAssetForPostemploymentBenefit</t>
        </is>
      </c>
      <c r="K201" s="24" t="inlineStr">
        <is>
          <t>순확정급여자산</t>
        </is>
      </c>
      <c r="L201" s="24" t="inlineStr">
        <is>
          <t>-</t>
        </is>
      </c>
      <c r="M201" s="24" t="inlineStr">
        <is>
          <t>제 28 기</t>
        </is>
      </c>
      <c r="N201" s="24" t="inlineStr">
        <is>
          <t>963350037.0</t>
        </is>
      </c>
      <c r="O201" s="24" t="inlineStr">
        <is>
          <t>1615926874.0</t>
        </is>
      </c>
      <c r="P201" s="24" t="inlineStr">
        <is>
          <t>KRW</t>
        </is>
      </c>
      <c r="Q201" s="24" t="inlineStr">
        <is>
          <t>16</t>
        </is>
      </c>
    </row>
    <row r="202" ht="24" customHeight="1">
      <c r="A202" s="29" t="inlineStr">
        <is>
          <t>OpenDART_fnlttSinglAcntAll</t>
        </is>
      </c>
      <c r="B202" s="29" t="inlineStr">
        <is>
          <t>00369657</t>
        </is>
      </c>
      <c r="C202" s="29" t="inlineStr">
        <is>
          <t>리노공업</t>
        </is>
      </c>
      <c r="D202" s="29" t="inlineStr">
        <is>
          <t>leeno</t>
        </is>
      </c>
      <c r="E202" s="29" t="inlineStr">
        <is>
          <t>058470</t>
        </is>
      </c>
      <c r="F202" s="29" t="inlineStr">
        <is>
          <t>2023</t>
        </is>
      </c>
      <c r="G202" s="29" t="inlineStr">
        <is>
          <t>OFS</t>
        </is>
      </c>
      <c r="H202" s="29" t="inlineStr">
        <is>
          <t>BS</t>
        </is>
      </c>
      <c r="I202" s="29" t="inlineStr">
        <is>
          <t>재무상태표</t>
        </is>
      </c>
      <c r="J202" s="29" t="inlineStr">
        <is>
          <t>-표준계정코드 미사용-</t>
        </is>
      </c>
      <c r="K202" s="29" t="inlineStr">
        <is>
          <t>기타채권</t>
        </is>
      </c>
      <c r="L202" s="29" t="inlineStr">
        <is>
          <t>-</t>
        </is>
      </c>
      <c r="M202" s="29" t="inlineStr">
        <is>
          <t>제 28 기</t>
        </is>
      </c>
      <c r="N202" s="29" t="inlineStr">
        <is>
          <t>65625830.0</t>
        </is>
      </c>
      <c r="O202" s="29" t="inlineStr">
        <is>
          <t>78349830.0</t>
        </is>
      </c>
      <c r="P202" s="29" t="inlineStr">
        <is>
          <t>KRW</t>
        </is>
      </c>
      <c r="Q202" s="29" t="inlineStr">
        <is>
          <t>17</t>
        </is>
      </c>
    </row>
    <row r="203" ht="24" customHeight="1">
      <c r="A203" s="24" t="inlineStr">
        <is>
          <t>OpenDART_fnlttSinglAcntAll</t>
        </is>
      </c>
      <c r="B203" s="24" t="inlineStr">
        <is>
          <t>00369657</t>
        </is>
      </c>
      <c r="C203" s="24" t="inlineStr">
        <is>
          <t>리노공업</t>
        </is>
      </c>
      <c r="D203" s="24" t="inlineStr">
        <is>
          <t>leeno</t>
        </is>
      </c>
      <c r="E203" s="24" t="inlineStr">
        <is>
          <t>058470</t>
        </is>
      </c>
      <c r="F203" s="24" t="inlineStr">
        <is>
          <t>2023</t>
        </is>
      </c>
      <c r="G203" s="24" t="inlineStr">
        <is>
          <t>OFS</t>
        </is>
      </c>
      <c r="H203" s="24" t="inlineStr">
        <is>
          <t>BS</t>
        </is>
      </c>
      <c r="I203" s="24" t="inlineStr">
        <is>
          <t>재무상태표</t>
        </is>
      </c>
      <c r="J203" s="24" t="inlineStr">
        <is>
          <t>ifrs-full_DeferredTaxAssets</t>
        </is>
      </c>
      <c r="K203" s="24" t="inlineStr">
        <is>
          <t>이연법인세자산</t>
        </is>
      </c>
      <c r="L203" s="24" t="inlineStr">
        <is>
          <t>-</t>
        </is>
      </c>
      <c r="M203" s="24" t="inlineStr">
        <is>
          <t>제 28 기</t>
        </is>
      </c>
      <c r="N203" s="24" t="inlineStr">
        <is>
          <t>942907564.0</t>
        </is>
      </c>
      <c r="O203" s="24" t="inlineStr">
        <is>
          <t>1339874630.0</t>
        </is>
      </c>
      <c r="P203" s="24" t="inlineStr">
        <is>
          <t>KRW</t>
        </is>
      </c>
      <c r="Q203" s="24" t="inlineStr">
        <is>
          <t>18</t>
        </is>
      </c>
    </row>
    <row r="204" ht="24" customHeight="1">
      <c r="A204" s="29" t="inlineStr">
        <is>
          <t>OpenDART_fnlttSinglAcntAll</t>
        </is>
      </c>
      <c r="B204" s="29" t="inlineStr">
        <is>
          <t>00369657</t>
        </is>
      </c>
      <c r="C204" s="29" t="inlineStr">
        <is>
          <t>리노공업</t>
        </is>
      </c>
      <c r="D204" s="29" t="inlineStr">
        <is>
          <t>leeno</t>
        </is>
      </c>
      <c r="E204" s="29" t="inlineStr">
        <is>
          <t>058470</t>
        </is>
      </c>
      <c r="F204" s="29" t="inlineStr">
        <is>
          <t>2023</t>
        </is>
      </c>
      <c r="G204" s="29" t="inlineStr">
        <is>
          <t>OFS</t>
        </is>
      </c>
      <c r="H204" s="29" t="inlineStr">
        <is>
          <t>BS</t>
        </is>
      </c>
      <c r="I204" s="29" t="inlineStr">
        <is>
          <t>재무상태표</t>
        </is>
      </c>
      <c r="J204" s="29" t="inlineStr">
        <is>
          <t>ifrs-full_IntangibleAssetsOtherThanGoodwill</t>
        </is>
      </c>
      <c r="K204" s="29" t="inlineStr">
        <is>
          <t>무형자산</t>
        </is>
      </c>
      <c r="L204" s="29" t="inlineStr">
        <is>
          <t>-</t>
        </is>
      </c>
      <c r="M204" s="29" t="inlineStr">
        <is>
          <t>제 28 기</t>
        </is>
      </c>
      <c r="N204" s="29" t="inlineStr">
        <is>
          <t>1985707925.0</t>
        </is>
      </c>
      <c r="O204" s="29" t="inlineStr">
        <is>
          <t>1821280539.0</t>
        </is>
      </c>
      <c r="P204" s="29" t="inlineStr">
        <is>
          <t>KRW</t>
        </is>
      </c>
      <c r="Q204" s="29" t="inlineStr">
        <is>
          <t>19</t>
        </is>
      </c>
    </row>
    <row r="205" ht="24" customHeight="1">
      <c r="A205" s="24" t="inlineStr">
        <is>
          <t>OpenDART_fnlttSinglAcntAll</t>
        </is>
      </c>
      <c r="B205" s="24" t="inlineStr">
        <is>
          <t>00369657</t>
        </is>
      </c>
      <c r="C205" s="24" t="inlineStr">
        <is>
          <t>리노공업</t>
        </is>
      </c>
      <c r="D205" s="24" t="inlineStr">
        <is>
          <t>leeno</t>
        </is>
      </c>
      <c r="E205" s="24" t="inlineStr">
        <is>
          <t>058470</t>
        </is>
      </c>
      <c r="F205" s="24" t="inlineStr">
        <is>
          <t>2023</t>
        </is>
      </c>
      <c r="G205" s="24" t="inlineStr">
        <is>
          <t>OFS</t>
        </is>
      </c>
      <c r="H205" s="24" t="inlineStr">
        <is>
          <t>BS</t>
        </is>
      </c>
      <c r="I205" s="24" t="inlineStr">
        <is>
          <t>재무상태표</t>
        </is>
      </c>
      <c r="J205" s="24" t="inlineStr">
        <is>
          <t>ifrs-full_OtherNoncurrentFinancialAssets</t>
        </is>
      </c>
      <c r="K205" s="24" t="inlineStr">
        <is>
          <t>기타금융자산</t>
        </is>
      </c>
      <c r="L205" s="24" t="inlineStr">
        <is>
          <t>-</t>
        </is>
      </c>
      <c r="M205" s="24" t="inlineStr">
        <is>
          <t>제 28 기</t>
        </is>
      </c>
      <c r="N205" s="24" t="inlineStr">
        <is>
          <t>23478459181.0</t>
        </is>
      </c>
      <c r="O205" s="24" t="inlineStr">
        <is>
          <t>21153039181.0</t>
        </is>
      </c>
      <c r="P205" s="24" t="inlineStr">
        <is>
          <t>KRW</t>
        </is>
      </c>
      <c r="Q205" s="24" t="inlineStr">
        <is>
          <t>20</t>
        </is>
      </c>
    </row>
    <row r="206" ht="24" customHeight="1">
      <c r="A206" s="29" t="inlineStr">
        <is>
          <t>OpenDART_fnlttSinglAcntAll</t>
        </is>
      </c>
      <c r="B206" s="29" t="inlineStr">
        <is>
          <t>00369657</t>
        </is>
      </c>
      <c r="C206" s="29" t="inlineStr">
        <is>
          <t>리노공업</t>
        </is>
      </c>
      <c r="D206" s="29" t="inlineStr">
        <is>
          <t>leeno</t>
        </is>
      </c>
      <c r="E206" s="29" t="inlineStr">
        <is>
          <t>058470</t>
        </is>
      </c>
      <c r="F206" s="29" t="inlineStr">
        <is>
          <t>2023</t>
        </is>
      </c>
      <c r="G206" s="29" t="inlineStr">
        <is>
          <t>OFS</t>
        </is>
      </c>
      <c r="H206" s="29" t="inlineStr">
        <is>
          <t>BS</t>
        </is>
      </c>
      <c r="I206" s="29" t="inlineStr">
        <is>
          <t>재무상태표</t>
        </is>
      </c>
      <c r="J206" s="29" t="inlineStr">
        <is>
          <t>ifrs-full_PropertyPlantAndEquipment</t>
        </is>
      </c>
      <c r="K206" s="29" t="inlineStr">
        <is>
          <t>유형자산</t>
        </is>
      </c>
      <c r="L206" s="29" t="inlineStr">
        <is>
          <t>-</t>
        </is>
      </c>
      <c r="M206" s="29" t="inlineStr">
        <is>
          <t>제 28 기</t>
        </is>
      </c>
      <c r="N206" s="29" t="inlineStr">
        <is>
          <t>183060515910.0</t>
        </is>
      </c>
      <c r="O206" s="29" t="inlineStr">
        <is>
          <t>128454852779.0</t>
        </is>
      </c>
      <c r="P206" s="29" t="inlineStr">
        <is>
          <t>KRW</t>
        </is>
      </c>
      <c r="Q206" s="29" t="inlineStr">
        <is>
          <t>21</t>
        </is>
      </c>
    </row>
    <row r="207" ht="24" customHeight="1">
      <c r="A207" s="24" t="inlineStr">
        <is>
          <t>OpenDART_fnlttSinglAcntAll</t>
        </is>
      </c>
      <c r="B207" s="24" t="inlineStr">
        <is>
          <t>00369657</t>
        </is>
      </c>
      <c r="C207" s="24" t="inlineStr">
        <is>
          <t>리노공업</t>
        </is>
      </c>
      <c r="D207" s="24" t="inlineStr">
        <is>
          <t>leeno</t>
        </is>
      </c>
      <c r="E207" s="24" t="inlineStr">
        <is>
          <t>058470</t>
        </is>
      </c>
      <c r="F207" s="24" t="inlineStr">
        <is>
          <t>2023</t>
        </is>
      </c>
      <c r="G207" s="24" t="inlineStr">
        <is>
          <t>OFS</t>
        </is>
      </c>
      <c r="H207" s="24" t="inlineStr">
        <is>
          <t>BS</t>
        </is>
      </c>
      <c r="I207" s="24" t="inlineStr">
        <is>
          <t>재무상태표</t>
        </is>
      </c>
      <c r="J207" s="24" t="inlineStr">
        <is>
          <t>dart_CapitalSurplus</t>
        </is>
      </c>
      <c r="K207" s="24" t="inlineStr">
        <is>
          <t>자본잉여금</t>
        </is>
      </c>
      <c r="L207" s="24" t="inlineStr">
        <is>
          <t>-</t>
        </is>
      </c>
      <c r="M207" s="24" t="inlineStr">
        <is>
          <t>제 28 기</t>
        </is>
      </c>
      <c r="N207" s="24" t="inlineStr">
        <is>
          <t>5601810444.0</t>
        </is>
      </c>
      <c r="O207" s="24" t="inlineStr">
        <is>
          <t>5601810444.0</t>
        </is>
      </c>
      <c r="P207" s="24" t="inlineStr">
        <is>
          <t>KRW</t>
        </is>
      </c>
      <c r="Q207" s="24" t="inlineStr">
        <is>
          <t>23</t>
        </is>
      </c>
    </row>
    <row r="208" ht="24" customHeight="1">
      <c r="A208" s="29" t="inlineStr">
        <is>
          <t>OpenDART_fnlttSinglAcntAll</t>
        </is>
      </c>
      <c r="B208" s="29" t="inlineStr">
        <is>
          <t>00369657</t>
        </is>
      </c>
      <c r="C208" s="29" t="inlineStr">
        <is>
          <t>리노공업</t>
        </is>
      </c>
      <c r="D208" s="29" t="inlineStr">
        <is>
          <t>leeno</t>
        </is>
      </c>
      <c r="E208" s="29" t="inlineStr">
        <is>
          <t>058470</t>
        </is>
      </c>
      <c r="F208" s="29" t="inlineStr">
        <is>
          <t>2023</t>
        </is>
      </c>
      <c r="G208" s="29" t="inlineStr">
        <is>
          <t>OFS</t>
        </is>
      </c>
      <c r="H208" s="29" t="inlineStr">
        <is>
          <t>BS</t>
        </is>
      </c>
      <c r="I208" s="29" t="inlineStr">
        <is>
          <t>재무상태표</t>
        </is>
      </c>
      <c r="J208" s="29" t="inlineStr">
        <is>
          <t>dart_OtherCapitalAdjustments</t>
        </is>
      </c>
      <c r="K208" s="29" t="inlineStr">
        <is>
          <t>자본조정</t>
        </is>
      </c>
      <c r="L208" s="29" t="inlineStr">
        <is>
          <t>-</t>
        </is>
      </c>
      <c r="M208" s="29" t="inlineStr">
        <is>
          <t>제 28 기</t>
        </is>
      </c>
      <c r="N208" s="29" t="inlineStr">
        <is>
          <t>-2353516350.0</t>
        </is>
      </c>
      <c r="O208" s="29" t="inlineStr">
        <is>
          <t>-2353516350.0</t>
        </is>
      </c>
      <c r="P208" s="29" t="inlineStr">
        <is>
          <t>KRW</t>
        </is>
      </c>
      <c r="Q208" s="29" t="inlineStr">
        <is>
          <t>24</t>
        </is>
      </c>
    </row>
    <row r="209" ht="24" customHeight="1">
      <c r="A209" s="24" t="inlineStr">
        <is>
          <t>OpenDART_fnlttSinglAcntAll</t>
        </is>
      </c>
      <c r="B209" s="24" t="inlineStr">
        <is>
          <t>00369657</t>
        </is>
      </c>
      <c r="C209" s="24" t="inlineStr">
        <is>
          <t>리노공업</t>
        </is>
      </c>
      <c r="D209" s="24" t="inlineStr">
        <is>
          <t>leeno</t>
        </is>
      </c>
      <c r="E209" s="24" t="inlineStr">
        <is>
          <t>058470</t>
        </is>
      </c>
      <c r="F209" s="24" t="inlineStr">
        <is>
          <t>2023</t>
        </is>
      </c>
      <c r="G209" s="24" t="inlineStr">
        <is>
          <t>OFS</t>
        </is>
      </c>
      <c r="H209" s="24" t="inlineStr">
        <is>
          <t>BS</t>
        </is>
      </c>
      <c r="I209" s="24" t="inlineStr">
        <is>
          <t>재무상태표</t>
        </is>
      </c>
      <c r="J209" s="24" t="inlineStr">
        <is>
          <t>ifrs-full_Equity</t>
        </is>
      </c>
      <c r="K209" s="24" t="inlineStr">
        <is>
          <t>자본총계</t>
        </is>
      </c>
      <c r="L209" s="24" t="inlineStr">
        <is>
          <t>-</t>
        </is>
      </c>
      <c r="M209" s="24" t="inlineStr">
        <is>
          <t>제 28 기</t>
        </is>
      </c>
      <c r="N209" s="24" t="inlineStr">
        <is>
          <t>557074198066.0</t>
        </is>
      </c>
      <c r="O209" s="24" t="inlineStr">
        <is>
          <t>493183582826.0</t>
        </is>
      </c>
      <c r="P209" s="24" t="inlineStr">
        <is>
          <t>KRW</t>
        </is>
      </c>
      <c r="Q209" s="24" t="inlineStr">
        <is>
          <t>25</t>
        </is>
      </c>
    </row>
    <row r="210" ht="24" customHeight="1">
      <c r="A210" s="29" t="inlineStr">
        <is>
          <t>OpenDART_fnlttSinglAcntAll</t>
        </is>
      </c>
      <c r="B210" s="29" t="inlineStr">
        <is>
          <t>00369657</t>
        </is>
      </c>
      <c r="C210" s="29" t="inlineStr">
        <is>
          <t>리노공업</t>
        </is>
      </c>
      <c r="D210" s="29" t="inlineStr">
        <is>
          <t>leeno</t>
        </is>
      </c>
      <c r="E210" s="29" t="inlineStr">
        <is>
          <t>058470</t>
        </is>
      </c>
      <c r="F210" s="29" t="inlineStr">
        <is>
          <t>2023</t>
        </is>
      </c>
      <c r="G210" s="29" t="inlineStr">
        <is>
          <t>OFS</t>
        </is>
      </c>
      <c r="H210" s="29" t="inlineStr">
        <is>
          <t>BS</t>
        </is>
      </c>
      <c r="I210" s="29" t="inlineStr">
        <is>
          <t>재무상태표</t>
        </is>
      </c>
      <c r="J210" s="29" t="inlineStr">
        <is>
          <t>ifrs-full_IssuedCapital</t>
        </is>
      </c>
      <c r="K210" s="29" t="inlineStr">
        <is>
          <t>자본금</t>
        </is>
      </c>
      <c r="L210" s="29" t="inlineStr">
        <is>
          <t>-</t>
        </is>
      </c>
      <c r="M210" s="29" t="inlineStr">
        <is>
          <t>제 28 기</t>
        </is>
      </c>
      <c r="N210" s="29" t="inlineStr">
        <is>
          <t>7621185000.0</t>
        </is>
      </c>
      <c r="O210" s="29" t="inlineStr">
        <is>
          <t>7621185000.0</t>
        </is>
      </c>
      <c r="P210" s="29" t="inlineStr">
        <is>
          <t>KRW</t>
        </is>
      </c>
      <c r="Q210" s="29" t="inlineStr">
        <is>
          <t>26</t>
        </is>
      </c>
    </row>
    <row r="211" ht="24" customHeight="1">
      <c r="A211" s="24" t="inlineStr">
        <is>
          <t>OpenDART_fnlttSinglAcntAll</t>
        </is>
      </c>
      <c r="B211" s="24" t="inlineStr">
        <is>
          <t>00369657</t>
        </is>
      </c>
      <c r="C211" s="24" t="inlineStr">
        <is>
          <t>리노공업</t>
        </is>
      </c>
      <c r="D211" s="24" t="inlineStr">
        <is>
          <t>leeno</t>
        </is>
      </c>
      <c r="E211" s="24" t="inlineStr">
        <is>
          <t>058470</t>
        </is>
      </c>
      <c r="F211" s="24" t="inlineStr">
        <is>
          <t>2023</t>
        </is>
      </c>
      <c r="G211" s="24" t="inlineStr">
        <is>
          <t>OFS</t>
        </is>
      </c>
      <c r="H211" s="24" t="inlineStr">
        <is>
          <t>BS</t>
        </is>
      </c>
      <c r="I211" s="24" t="inlineStr">
        <is>
          <t>재무상태표</t>
        </is>
      </c>
      <c r="J211" s="24" t="inlineStr">
        <is>
          <t>ifrs-full_RetainedEarnings</t>
        </is>
      </c>
      <c r="K211" s="24" t="inlineStr">
        <is>
          <t>이익잉여금</t>
        </is>
      </c>
      <c r="L211" s="24" t="inlineStr">
        <is>
          <t>-</t>
        </is>
      </c>
      <c r="M211" s="24" t="inlineStr">
        <is>
          <t>제 28 기</t>
        </is>
      </c>
      <c r="N211" s="24" t="inlineStr">
        <is>
          <t>546204718972.0</t>
        </is>
      </c>
      <c r="O211" s="24" t="inlineStr">
        <is>
          <t>482314103732.0</t>
        </is>
      </c>
      <c r="P211" s="24" t="inlineStr">
        <is>
          <t>KRW</t>
        </is>
      </c>
      <c r="Q211" s="24" t="inlineStr">
        <is>
          <t>27</t>
        </is>
      </c>
    </row>
    <row r="212" ht="24" customHeight="1">
      <c r="A212" s="29" t="inlineStr">
        <is>
          <t>OpenDART_fnlttSinglAcntAll</t>
        </is>
      </c>
      <c r="B212" s="29" t="inlineStr">
        <is>
          <t>00369657</t>
        </is>
      </c>
      <c r="C212" s="29" t="inlineStr">
        <is>
          <t>리노공업</t>
        </is>
      </c>
      <c r="D212" s="29" t="inlineStr">
        <is>
          <t>leeno</t>
        </is>
      </c>
      <c r="E212" s="29" t="inlineStr">
        <is>
          <t>058470</t>
        </is>
      </c>
      <c r="F212" s="29" t="inlineStr">
        <is>
          <t>2023</t>
        </is>
      </c>
      <c r="G212" s="29" t="inlineStr">
        <is>
          <t>OFS</t>
        </is>
      </c>
      <c r="H212" s="29" t="inlineStr">
        <is>
          <t>BS</t>
        </is>
      </c>
      <c r="I212" s="29" t="inlineStr">
        <is>
          <t>재무상태표</t>
        </is>
      </c>
      <c r="J212" s="29" t="inlineStr">
        <is>
          <t>ifrs-full_EquityAndLiabilities</t>
        </is>
      </c>
      <c r="K212" s="29" t="inlineStr">
        <is>
          <t>부채와자본총계</t>
        </is>
      </c>
      <c r="L212" s="29" t="inlineStr">
        <is>
          <t>-</t>
        </is>
      </c>
      <c r="M212" s="29" t="inlineStr">
        <is>
          <t>제 28 기</t>
        </is>
      </c>
      <c r="N212" s="29" t="inlineStr">
        <is>
          <t>582869465294.0</t>
        </is>
      </c>
      <c r="O212" s="29" t="inlineStr">
        <is>
          <t>531488129432.0</t>
        </is>
      </c>
      <c r="P212" s="29" t="inlineStr">
        <is>
          <t>KRW</t>
        </is>
      </c>
      <c r="Q212" s="29" t="inlineStr">
        <is>
          <t>28</t>
        </is>
      </c>
    </row>
    <row r="213" ht="24" customHeight="1">
      <c r="A213" s="24" t="inlineStr">
        <is>
          <t>OpenDART_fnlttSinglAcntAll</t>
        </is>
      </c>
      <c r="B213" s="24" t="inlineStr">
        <is>
          <t>00369657</t>
        </is>
      </c>
      <c r="C213" s="24" t="inlineStr">
        <is>
          <t>리노공업</t>
        </is>
      </c>
      <c r="D213" s="24" t="inlineStr">
        <is>
          <t>leeno</t>
        </is>
      </c>
      <c r="E213" s="24" t="inlineStr">
        <is>
          <t>058470</t>
        </is>
      </c>
      <c r="F213" s="24" t="inlineStr">
        <is>
          <t>2023</t>
        </is>
      </c>
      <c r="G213" s="24" t="inlineStr">
        <is>
          <t>OFS</t>
        </is>
      </c>
      <c r="H213" s="24" t="inlineStr">
        <is>
          <t>BS</t>
        </is>
      </c>
      <c r="I213" s="24" t="inlineStr">
        <is>
          <t>재무상태표</t>
        </is>
      </c>
      <c r="J213" s="24" t="inlineStr">
        <is>
          <t>ifrs-full_CurrentLiabilities</t>
        </is>
      </c>
      <c r="K213" s="24" t="inlineStr">
        <is>
          <t>유동부채</t>
        </is>
      </c>
      <c r="L213" s="24" t="inlineStr">
        <is>
          <t>-</t>
        </is>
      </c>
      <c r="M213" s="24" t="inlineStr">
        <is>
          <t>제 28 기</t>
        </is>
      </c>
      <c r="N213" s="24" t="inlineStr">
        <is>
          <t>23110842940.0</t>
        </is>
      </c>
      <c r="O213" s="24" t="inlineStr">
        <is>
          <t>36383168010.0</t>
        </is>
      </c>
      <c r="P213" s="24" t="inlineStr">
        <is>
          <t>KRW</t>
        </is>
      </c>
      <c r="Q213" s="24" t="inlineStr">
        <is>
          <t>30</t>
        </is>
      </c>
    </row>
    <row r="214" ht="24" customHeight="1">
      <c r="A214" s="29" t="inlineStr">
        <is>
          <t>OpenDART_fnlttSinglAcntAll</t>
        </is>
      </c>
      <c r="B214" s="29" t="inlineStr">
        <is>
          <t>00369657</t>
        </is>
      </c>
      <c r="C214" s="29" t="inlineStr">
        <is>
          <t>리노공업</t>
        </is>
      </c>
      <c r="D214" s="29" t="inlineStr">
        <is>
          <t>leeno</t>
        </is>
      </c>
      <c r="E214" s="29" t="inlineStr">
        <is>
          <t>058470</t>
        </is>
      </c>
      <c r="F214" s="29" t="inlineStr">
        <is>
          <t>2023</t>
        </is>
      </c>
      <c r="G214" s="29" t="inlineStr">
        <is>
          <t>OFS</t>
        </is>
      </c>
      <c r="H214" s="29" t="inlineStr">
        <is>
          <t>BS</t>
        </is>
      </c>
      <c r="I214" s="29" t="inlineStr">
        <is>
          <t>재무상태표</t>
        </is>
      </c>
      <c r="J214" s="29" t="inlineStr">
        <is>
          <t>dart_ShortTermTradePayables</t>
        </is>
      </c>
      <c r="K214" s="29" t="inlineStr">
        <is>
          <t>매입채무</t>
        </is>
      </c>
      <c r="L214" s="29" t="inlineStr">
        <is>
          <t>-</t>
        </is>
      </c>
      <c r="M214" s="29" t="inlineStr">
        <is>
          <t>제 28 기</t>
        </is>
      </c>
      <c r="N214" s="29" t="inlineStr">
        <is>
          <t>2590942692.0</t>
        </is>
      </c>
      <c r="O214" s="29" t="inlineStr">
        <is>
          <t>4668842895.0</t>
        </is>
      </c>
      <c r="P214" s="29" t="inlineStr">
        <is>
          <t>KRW</t>
        </is>
      </c>
      <c r="Q214" s="29" t="inlineStr">
        <is>
          <t>31</t>
        </is>
      </c>
    </row>
    <row r="215" ht="24" customHeight="1">
      <c r="A215" s="24" t="inlineStr">
        <is>
          <t>OpenDART_fnlttSinglAcntAll</t>
        </is>
      </c>
      <c r="B215" s="24" t="inlineStr">
        <is>
          <t>00369657</t>
        </is>
      </c>
      <c r="C215" s="24" t="inlineStr">
        <is>
          <t>리노공업</t>
        </is>
      </c>
      <c r="D215" s="24" t="inlineStr">
        <is>
          <t>leeno</t>
        </is>
      </c>
      <c r="E215" s="24" t="inlineStr">
        <is>
          <t>058470</t>
        </is>
      </c>
      <c r="F215" s="24" t="inlineStr">
        <is>
          <t>2023</t>
        </is>
      </c>
      <c r="G215" s="24" t="inlineStr">
        <is>
          <t>OFS</t>
        </is>
      </c>
      <c r="H215" s="24" t="inlineStr">
        <is>
          <t>BS</t>
        </is>
      </c>
      <c r="I215" s="24" t="inlineStr">
        <is>
          <t>재무상태표</t>
        </is>
      </c>
      <c r="J215" s="24" t="inlineStr">
        <is>
          <t>-표준계정코드 미사용-</t>
        </is>
      </c>
      <c r="K215" s="24" t="inlineStr">
        <is>
          <t>기타채무</t>
        </is>
      </c>
      <c r="L215" s="24" t="inlineStr">
        <is>
          <t>-</t>
        </is>
      </c>
      <c r="M215" s="24" t="inlineStr">
        <is>
          <t>제 28 기</t>
        </is>
      </c>
      <c r="N215" s="24" t="inlineStr">
        <is>
          <t>6481125252.0</t>
        </is>
      </c>
      <c r="O215" s="24" t="inlineStr">
        <is>
          <t>6226684918.0</t>
        </is>
      </c>
      <c r="P215" s="24" t="inlineStr">
        <is>
          <t>KRW</t>
        </is>
      </c>
      <c r="Q215" s="24" t="inlineStr">
        <is>
          <t>32</t>
        </is>
      </c>
    </row>
    <row r="216" ht="24" customHeight="1">
      <c r="A216" s="29" t="inlineStr">
        <is>
          <t>OpenDART_fnlttSinglAcntAll</t>
        </is>
      </c>
      <c r="B216" s="29" t="inlineStr">
        <is>
          <t>00369657</t>
        </is>
      </c>
      <c r="C216" s="29" t="inlineStr">
        <is>
          <t>리노공업</t>
        </is>
      </c>
      <c r="D216" s="29" t="inlineStr">
        <is>
          <t>leeno</t>
        </is>
      </c>
      <c r="E216" s="29" t="inlineStr">
        <is>
          <t>058470</t>
        </is>
      </c>
      <c r="F216" s="29" t="inlineStr">
        <is>
          <t>2023</t>
        </is>
      </c>
      <c r="G216" s="29" t="inlineStr">
        <is>
          <t>OFS</t>
        </is>
      </c>
      <c r="H216" s="29" t="inlineStr">
        <is>
          <t>BS</t>
        </is>
      </c>
      <c r="I216" s="29" t="inlineStr">
        <is>
          <t>재무상태표</t>
        </is>
      </c>
      <c r="J216" s="29" t="inlineStr">
        <is>
          <t>ifrs-full_CurrentLeaseLiabilities</t>
        </is>
      </c>
      <c r="K216" s="29" t="inlineStr">
        <is>
          <t>리스부채</t>
        </is>
      </c>
      <c r="L216" s="29" t="inlineStr">
        <is>
          <t>-</t>
        </is>
      </c>
      <c r="M216" s="29" t="inlineStr">
        <is>
          <t>제 28 기</t>
        </is>
      </c>
      <c r="N216" s="29" t="inlineStr">
        <is>
          <t>88278451.0</t>
        </is>
      </c>
      <c r="O216" s="29" t="inlineStr">
        <is>
          <t>102109364.0</t>
        </is>
      </c>
      <c r="P216" s="29" t="inlineStr">
        <is>
          <t>KRW</t>
        </is>
      </c>
      <c r="Q216" s="29" t="inlineStr">
        <is>
          <t>33</t>
        </is>
      </c>
    </row>
    <row r="217" ht="24" customHeight="1">
      <c r="A217" s="24" t="inlineStr">
        <is>
          <t>OpenDART_fnlttSinglAcntAll</t>
        </is>
      </c>
      <c r="B217" s="24" t="inlineStr">
        <is>
          <t>00369657</t>
        </is>
      </c>
      <c r="C217" s="24" t="inlineStr">
        <is>
          <t>리노공업</t>
        </is>
      </c>
      <c r="D217" s="24" t="inlineStr">
        <is>
          <t>leeno</t>
        </is>
      </c>
      <c r="E217" s="24" t="inlineStr">
        <is>
          <t>058470</t>
        </is>
      </c>
      <c r="F217" s="24" t="inlineStr">
        <is>
          <t>2023</t>
        </is>
      </c>
      <c r="G217" s="24" t="inlineStr">
        <is>
          <t>OFS</t>
        </is>
      </c>
      <c r="H217" s="24" t="inlineStr">
        <is>
          <t>BS</t>
        </is>
      </c>
      <c r="I217" s="24" t="inlineStr">
        <is>
          <t>재무상태표</t>
        </is>
      </c>
      <c r="J217" s="24" t="inlineStr">
        <is>
          <t>ifrs-full_CurrentTaxLiabilities</t>
        </is>
      </c>
      <c r="K217" s="24" t="inlineStr">
        <is>
          <t>당기법인세부채</t>
        </is>
      </c>
      <c r="L217" s="24" t="inlineStr">
        <is>
          <t>-</t>
        </is>
      </c>
      <c r="M217" s="24" t="inlineStr">
        <is>
          <t>제 28 기</t>
        </is>
      </c>
      <c r="N217" s="24" t="inlineStr">
        <is>
          <t>13212556823.0</t>
        </is>
      </c>
      <c r="O217" s="24" t="inlineStr">
        <is>
          <t>24669351193.0</t>
        </is>
      </c>
      <c r="P217" s="24" t="inlineStr">
        <is>
          <t>KRW</t>
        </is>
      </c>
      <c r="Q217" s="24" t="inlineStr">
        <is>
          <t>34</t>
        </is>
      </c>
    </row>
    <row r="218" ht="24" customHeight="1">
      <c r="A218" s="29" t="inlineStr">
        <is>
          <t>OpenDART_fnlttSinglAcntAll</t>
        </is>
      </c>
      <c r="B218" s="29" t="inlineStr">
        <is>
          <t>00369657</t>
        </is>
      </c>
      <c r="C218" s="29" t="inlineStr">
        <is>
          <t>리노공업</t>
        </is>
      </c>
      <c r="D218" s="29" t="inlineStr">
        <is>
          <t>leeno</t>
        </is>
      </c>
      <c r="E218" s="29" t="inlineStr">
        <is>
          <t>058470</t>
        </is>
      </c>
      <c r="F218" s="29" t="inlineStr">
        <is>
          <t>2023</t>
        </is>
      </c>
      <c r="G218" s="29" t="inlineStr">
        <is>
          <t>OFS</t>
        </is>
      </c>
      <c r="H218" s="29" t="inlineStr">
        <is>
          <t>BS</t>
        </is>
      </c>
      <c r="I218" s="29" t="inlineStr">
        <is>
          <t>재무상태표</t>
        </is>
      </c>
      <c r="J218" s="29" t="inlineStr">
        <is>
          <t>ifrs-full_OtherCurrentLiabilities</t>
        </is>
      </c>
      <c r="K218" s="29" t="inlineStr">
        <is>
          <t>기타부채</t>
        </is>
      </c>
      <c r="L218" s="29" t="inlineStr">
        <is>
          <t>-</t>
        </is>
      </c>
      <c r="M218" s="29" t="inlineStr">
        <is>
          <t>제 28 기</t>
        </is>
      </c>
      <c r="N218" s="29" t="inlineStr">
        <is>
          <t>737939722.0</t>
        </is>
      </c>
      <c r="O218" s="29" t="inlineStr">
        <is>
          <t>716179640.0</t>
        </is>
      </c>
      <c r="P218" s="29" t="inlineStr">
        <is>
          <t>KRW</t>
        </is>
      </c>
      <c r="Q218" s="29" t="inlineStr">
        <is>
          <t>35</t>
        </is>
      </c>
    </row>
    <row r="219" ht="24" customHeight="1">
      <c r="A219" s="24" t="inlineStr">
        <is>
          <t>OpenDART_fnlttSinglAcntAll</t>
        </is>
      </c>
      <c r="B219" s="24" t="inlineStr">
        <is>
          <t>00369657</t>
        </is>
      </c>
      <c r="C219" s="24" t="inlineStr">
        <is>
          <t>리노공업</t>
        </is>
      </c>
      <c r="D219" s="24" t="inlineStr">
        <is>
          <t>leeno</t>
        </is>
      </c>
      <c r="E219" s="24" t="inlineStr">
        <is>
          <t>058470</t>
        </is>
      </c>
      <c r="F219" s="24" t="inlineStr">
        <is>
          <t>2023</t>
        </is>
      </c>
      <c r="G219" s="24" t="inlineStr">
        <is>
          <t>OFS</t>
        </is>
      </c>
      <c r="H219" s="24" t="inlineStr">
        <is>
          <t>BS</t>
        </is>
      </c>
      <c r="I219" s="24" t="inlineStr">
        <is>
          <t>재무상태표</t>
        </is>
      </c>
      <c r="J219" s="24" t="inlineStr">
        <is>
          <t>ifrs-full_Liabilities</t>
        </is>
      </c>
      <c r="K219" s="24" t="inlineStr">
        <is>
          <t>부채총계</t>
        </is>
      </c>
      <c r="L219" s="24" t="inlineStr">
        <is>
          <t>-</t>
        </is>
      </c>
      <c r="M219" s="24" t="inlineStr">
        <is>
          <t>제 28 기</t>
        </is>
      </c>
      <c r="N219" s="24" t="inlineStr">
        <is>
          <t>25795267228.0</t>
        </is>
      </c>
      <c r="O219" s="24" t="inlineStr">
        <is>
          <t>38304546606.0</t>
        </is>
      </c>
      <c r="P219" s="24" t="inlineStr">
        <is>
          <t>KRW</t>
        </is>
      </c>
      <c r="Q219" s="24" t="inlineStr">
        <is>
          <t>36</t>
        </is>
      </c>
    </row>
    <row r="220" ht="24" customHeight="1">
      <c r="A220" s="29" t="inlineStr">
        <is>
          <t>OpenDART_fnlttSinglAcntAll</t>
        </is>
      </c>
      <c r="B220" s="29" t="inlineStr">
        <is>
          <t>00369657</t>
        </is>
      </c>
      <c r="C220" s="29" t="inlineStr">
        <is>
          <t>리노공업</t>
        </is>
      </c>
      <c r="D220" s="29" t="inlineStr">
        <is>
          <t>leeno</t>
        </is>
      </c>
      <c r="E220" s="29" t="inlineStr">
        <is>
          <t>058470</t>
        </is>
      </c>
      <c r="F220" s="29" t="inlineStr">
        <is>
          <t>2023</t>
        </is>
      </c>
      <c r="G220" s="29" t="inlineStr">
        <is>
          <t>OFS</t>
        </is>
      </c>
      <c r="H220" s="29" t="inlineStr">
        <is>
          <t>BS</t>
        </is>
      </c>
      <c r="I220" s="29" t="inlineStr">
        <is>
          <t>재무상태표</t>
        </is>
      </c>
      <c r="J220" s="29" t="inlineStr">
        <is>
          <t>ifrs-full_NoncurrentLiabilities</t>
        </is>
      </c>
      <c r="K220" s="29" t="inlineStr">
        <is>
          <t>비유동부채</t>
        </is>
      </c>
      <c r="L220" s="29" t="inlineStr">
        <is>
          <t>-</t>
        </is>
      </c>
      <c r="M220" s="29" t="inlineStr">
        <is>
          <t>제 28 기</t>
        </is>
      </c>
      <c r="N220" s="29" t="inlineStr">
        <is>
          <t>2684424288.0</t>
        </is>
      </c>
      <c r="O220" s="29" t="inlineStr">
        <is>
          <t>1921378596.0</t>
        </is>
      </c>
      <c r="P220" s="29" t="inlineStr">
        <is>
          <t>KRW</t>
        </is>
      </c>
      <c r="Q220" s="29" t="inlineStr">
        <is>
          <t>37</t>
        </is>
      </c>
    </row>
    <row r="221" ht="24" customHeight="1">
      <c r="A221" s="24" t="inlineStr">
        <is>
          <t>OpenDART_fnlttSinglAcntAll</t>
        </is>
      </c>
      <c r="B221" s="24" t="inlineStr">
        <is>
          <t>00369657</t>
        </is>
      </c>
      <c r="C221" s="24" t="inlineStr">
        <is>
          <t>리노공업</t>
        </is>
      </c>
      <c r="D221" s="24" t="inlineStr">
        <is>
          <t>leeno</t>
        </is>
      </c>
      <c r="E221" s="24" t="inlineStr">
        <is>
          <t>058470</t>
        </is>
      </c>
      <c r="F221" s="24" t="inlineStr">
        <is>
          <t>2023</t>
        </is>
      </c>
      <c r="G221" s="24" t="inlineStr">
        <is>
          <t>OFS</t>
        </is>
      </c>
      <c r="H221" s="24" t="inlineStr">
        <is>
          <t>BS</t>
        </is>
      </c>
      <c r="I221" s="24" t="inlineStr">
        <is>
          <t>재무상태표</t>
        </is>
      </c>
      <c r="J221" s="24" t="inlineStr">
        <is>
          <t>dart_PostemploymentBenefitObligations</t>
        </is>
      </c>
      <c r="K221" s="24" t="inlineStr">
        <is>
          <t>순확정급여부채</t>
        </is>
      </c>
      <c r="L221" s="24" t="inlineStr">
        <is>
          <t>-</t>
        </is>
      </c>
      <c r="M221" s="24" t="inlineStr">
        <is>
          <t>제 28 기</t>
        </is>
      </c>
      <c r="N221" s="24" t="inlineStr">
        <is>
          <t>해당 없음</t>
        </is>
      </c>
      <c r="O221" s="24" t="inlineStr">
        <is>
          <t>해당 없음</t>
        </is>
      </c>
      <c r="P221" s="24" t="inlineStr">
        <is>
          <t>KRW</t>
        </is>
      </c>
      <c r="Q221" s="24" t="inlineStr">
        <is>
          <t>38</t>
        </is>
      </c>
    </row>
    <row r="222" ht="24" customHeight="1">
      <c r="A222" s="29" t="inlineStr">
        <is>
          <t>OpenDART_fnlttSinglAcntAll</t>
        </is>
      </c>
      <c r="B222" s="29" t="inlineStr">
        <is>
          <t>00369657</t>
        </is>
      </c>
      <c r="C222" s="29" t="inlineStr">
        <is>
          <t>리노공업</t>
        </is>
      </c>
      <c r="D222" s="29" t="inlineStr">
        <is>
          <t>leeno</t>
        </is>
      </c>
      <c r="E222" s="29" t="inlineStr">
        <is>
          <t>058470</t>
        </is>
      </c>
      <c r="F222" s="29" t="inlineStr">
        <is>
          <t>2023</t>
        </is>
      </c>
      <c r="G222" s="29" t="inlineStr">
        <is>
          <t>OFS</t>
        </is>
      </c>
      <c r="H222" s="29" t="inlineStr">
        <is>
          <t>BS</t>
        </is>
      </c>
      <c r="I222" s="29" t="inlineStr">
        <is>
          <t>재무상태표</t>
        </is>
      </c>
      <c r="J222" s="29" t="inlineStr">
        <is>
          <t>ifrs-full_NoncurrentLeaseLiabilities</t>
        </is>
      </c>
      <c r="K222" s="29" t="inlineStr">
        <is>
          <t>리스부채</t>
        </is>
      </c>
      <c r="L222" s="29" t="inlineStr">
        <is>
          <t>-</t>
        </is>
      </c>
      <c r="M222" s="29" t="inlineStr">
        <is>
          <t>제 28 기</t>
        </is>
      </c>
      <c r="N222" s="29" t="inlineStr">
        <is>
          <t>93923540.0</t>
        </is>
      </c>
      <c r="O222" s="29" t="inlineStr">
        <is>
          <t>140037247.0</t>
        </is>
      </c>
      <c r="P222" s="29" t="inlineStr">
        <is>
          <t>KRW</t>
        </is>
      </c>
      <c r="Q222" s="29" t="inlineStr">
        <is>
          <t>39</t>
        </is>
      </c>
    </row>
    <row r="223" ht="24" customHeight="1">
      <c r="A223" s="24" t="inlineStr">
        <is>
          <t>OpenDART_fnlttSinglAcntAll</t>
        </is>
      </c>
      <c r="B223" s="24" t="inlineStr">
        <is>
          <t>00369657</t>
        </is>
      </c>
      <c r="C223" s="24" t="inlineStr">
        <is>
          <t>리노공업</t>
        </is>
      </c>
      <c r="D223" s="24" t="inlineStr">
        <is>
          <t>leeno</t>
        </is>
      </c>
      <c r="E223" s="24" t="inlineStr">
        <is>
          <t>058470</t>
        </is>
      </c>
      <c r="F223" s="24" t="inlineStr">
        <is>
          <t>2023</t>
        </is>
      </c>
      <c r="G223" s="24" t="inlineStr">
        <is>
          <t>OFS</t>
        </is>
      </c>
      <c r="H223" s="24" t="inlineStr">
        <is>
          <t>BS</t>
        </is>
      </c>
      <c r="I223" s="24" t="inlineStr">
        <is>
          <t>재무상태표</t>
        </is>
      </c>
      <c r="J223" s="24" t="inlineStr">
        <is>
          <t>ifrs-full_NoncurrentProvisionsForEmployeeBenefits</t>
        </is>
      </c>
      <c r="K223" s="24" t="inlineStr">
        <is>
          <t>기타장기종업원급여부채</t>
        </is>
      </c>
      <c r="L223" s="24" t="inlineStr">
        <is>
          <t>-</t>
        </is>
      </c>
      <c r="M223" s="24" t="inlineStr">
        <is>
          <t>제 28 기</t>
        </is>
      </c>
      <c r="N223" s="24" t="inlineStr">
        <is>
          <t>2590500748.0</t>
        </is>
      </c>
      <c r="O223" s="24" t="inlineStr">
        <is>
          <t>1781341349.0</t>
        </is>
      </c>
      <c r="P223" s="24" t="inlineStr">
        <is>
          <t>KRW</t>
        </is>
      </c>
      <c r="Q223" s="24" t="inlineStr">
        <is>
          <t>40</t>
        </is>
      </c>
    </row>
    <row r="224" ht="24" customHeight="1">
      <c r="A224" s="29" t="inlineStr">
        <is>
          <t>OpenDART_fnlttSinglAcntAll</t>
        </is>
      </c>
      <c r="B224" s="29" t="inlineStr">
        <is>
          <t>00369657</t>
        </is>
      </c>
      <c r="C224" s="29" t="inlineStr">
        <is>
          <t>리노공업</t>
        </is>
      </c>
      <c r="D224" s="29" t="inlineStr">
        <is>
          <t>leeno</t>
        </is>
      </c>
      <c r="E224" s="29" t="inlineStr">
        <is>
          <t>058470</t>
        </is>
      </c>
      <c r="F224" s="29" t="inlineStr">
        <is>
          <t>2023</t>
        </is>
      </c>
      <c r="G224" s="29" t="inlineStr">
        <is>
          <t>OFS</t>
        </is>
      </c>
      <c r="H224" s="29" t="inlineStr">
        <is>
          <t>CIS</t>
        </is>
      </c>
      <c r="I224" s="29" t="inlineStr">
        <is>
          <t>포괄손익계산서</t>
        </is>
      </c>
      <c r="J224" s="29" t="inlineStr">
        <is>
          <t>dart_OperatingIncomeLoss</t>
        </is>
      </c>
      <c r="K224" s="29" t="inlineStr">
        <is>
          <t>영업이익</t>
        </is>
      </c>
      <c r="L224" s="29" t="inlineStr">
        <is>
          <t>-</t>
        </is>
      </c>
      <c r="M224" s="29" t="inlineStr">
        <is>
          <t>제 28 기</t>
        </is>
      </c>
      <c r="N224" s="29" t="inlineStr">
        <is>
          <t>114378400291.0</t>
        </is>
      </c>
      <c r="O224" s="29" t="inlineStr">
        <is>
          <t>136634729982.0</t>
        </is>
      </c>
      <c r="P224" s="29" t="inlineStr">
        <is>
          <t>KRW</t>
        </is>
      </c>
      <c r="Q224" s="29" t="inlineStr">
        <is>
          <t>6</t>
        </is>
      </c>
    </row>
    <row r="225" ht="24" customHeight="1">
      <c r="A225" s="24" t="inlineStr">
        <is>
          <t>OpenDART_fnlttSinglAcntAll</t>
        </is>
      </c>
      <c r="B225" s="24" t="inlineStr">
        <is>
          <t>00369657</t>
        </is>
      </c>
      <c r="C225" s="24" t="inlineStr">
        <is>
          <t>리노공업</t>
        </is>
      </c>
      <c r="D225" s="24" t="inlineStr">
        <is>
          <t>leeno</t>
        </is>
      </c>
      <c r="E225" s="24" t="inlineStr">
        <is>
          <t>058470</t>
        </is>
      </c>
      <c r="F225" s="24" t="inlineStr">
        <is>
          <t>2023</t>
        </is>
      </c>
      <c r="G225" s="24" t="inlineStr">
        <is>
          <t>OFS</t>
        </is>
      </c>
      <c r="H225" s="24" t="inlineStr">
        <is>
          <t>CIS</t>
        </is>
      </c>
      <c r="I225" s="24" t="inlineStr">
        <is>
          <t>포괄손익계산서</t>
        </is>
      </c>
      <c r="J225" s="24" t="inlineStr">
        <is>
          <t>dart_TotalSellingGeneralAdministrativeExpenses</t>
        </is>
      </c>
      <c r="K225" s="24" t="inlineStr">
        <is>
          <t>판매비와관리비</t>
        </is>
      </c>
      <c r="L225" s="24" t="inlineStr">
        <is>
          <t>-</t>
        </is>
      </c>
      <c r="M225" s="24" t="inlineStr">
        <is>
          <t>제 28 기</t>
        </is>
      </c>
      <c r="N225" s="24" t="inlineStr">
        <is>
          <t>13956224846.0</t>
        </is>
      </c>
      <c r="O225" s="24" t="inlineStr">
        <is>
          <t>17993551880.0</t>
        </is>
      </c>
      <c r="P225" s="24" t="inlineStr">
        <is>
          <t>KRW</t>
        </is>
      </c>
      <c r="Q225" s="24" t="inlineStr">
        <is>
          <t>7</t>
        </is>
      </c>
    </row>
    <row r="226" ht="24" customHeight="1">
      <c r="A226" s="29" t="inlineStr">
        <is>
          <t>OpenDART_fnlttSinglAcntAll</t>
        </is>
      </c>
      <c r="B226" s="29" t="inlineStr">
        <is>
          <t>00369657</t>
        </is>
      </c>
      <c r="C226" s="29" t="inlineStr">
        <is>
          <t>리노공업</t>
        </is>
      </c>
      <c r="D226" s="29" t="inlineStr">
        <is>
          <t>leeno</t>
        </is>
      </c>
      <c r="E226" s="29" t="inlineStr">
        <is>
          <t>058470</t>
        </is>
      </c>
      <c r="F226" s="29" t="inlineStr">
        <is>
          <t>2023</t>
        </is>
      </c>
      <c r="G226" s="29" t="inlineStr">
        <is>
          <t>OFS</t>
        </is>
      </c>
      <c r="H226" s="29" t="inlineStr">
        <is>
          <t>CIS</t>
        </is>
      </c>
      <c r="I226" s="29" t="inlineStr">
        <is>
          <t>포괄손익계산서</t>
        </is>
      </c>
      <c r="J226" s="29" t="inlineStr">
        <is>
          <t>-표준계정코드 미사용-</t>
        </is>
      </c>
      <c r="K226" s="29" t="inlineStr">
        <is>
          <t>영업외손익</t>
        </is>
      </c>
      <c r="L226" s="29" t="inlineStr">
        <is>
          <t>-</t>
        </is>
      </c>
      <c r="M226" s="29" t="inlineStr">
        <is>
          <t>제 28 기</t>
        </is>
      </c>
      <c r="N226" s="29" t="inlineStr">
        <is>
          <t>27865067804.0</t>
        </is>
      </c>
      <c r="O226" s="29" t="inlineStr">
        <is>
          <t>17440784590.0</t>
        </is>
      </c>
      <c r="P226" s="29" t="inlineStr">
        <is>
          <t>KRW</t>
        </is>
      </c>
      <c r="Q226" s="29" t="inlineStr">
        <is>
          <t>8</t>
        </is>
      </c>
    </row>
    <row r="227" ht="24" customHeight="1">
      <c r="A227" s="24" t="inlineStr">
        <is>
          <t>OpenDART_fnlttSinglAcntAll</t>
        </is>
      </c>
      <c r="B227" s="24" t="inlineStr">
        <is>
          <t>00369657</t>
        </is>
      </c>
      <c r="C227" s="24" t="inlineStr">
        <is>
          <t>리노공업</t>
        </is>
      </c>
      <c r="D227" s="24" t="inlineStr">
        <is>
          <t>leeno</t>
        </is>
      </c>
      <c r="E227" s="24" t="inlineStr">
        <is>
          <t>058470</t>
        </is>
      </c>
      <c r="F227" s="24" t="inlineStr">
        <is>
          <t>2023</t>
        </is>
      </c>
      <c r="G227" s="24" t="inlineStr">
        <is>
          <t>OFS</t>
        </is>
      </c>
      <c r="H227" s="24" t="inlineStr">
        <is>
          <t>CIS</t>
        </is>
      </c>
      <c r="I227" s="24" t="inlineStr">
        <is>
          <t>포괄손익계산서</t>
        </is>
      </c>
      <c r="J227" s="24" t="inlineStr">
        <is>
          <t>-표준계정코드 미사용-</t>
        </is>
      </c>
      <c r="K227" s="24" t="inlineStr">
        <is>
          <t>금융비용</t>
        </is>
      </c>
      <c r="L227" s="24" t="inlineStr">
        <is>
          <t>-</t>
        </is>
      </c>
      <c r="M227" s="24" t="inlineStr">
        <is>
          <t>제 28 기</t>
        </is>
      </c>
      <c r="N227" s="24" t="inlineStr">
        <is>
          <t>9431325.0</t>
        </is>
      </c>
      <c r="O227" s="24" t="inlineStr">
        <is>
          <t>8652914.0</t>
        </is>
      </c>
      <c r="P227" s="24" t="inlineStr">
        <is>
          <t>KRW</t>
        </is>
      </c>
      <c r="Q227" s="24" t="inlineStr">
        <is>
          <t>9</t>
        </is>
      </c>
    </row>
    <row r="228" ht="24" customHeight="1">
      <c r="A228" s="29" t="inlineStr">
        <is>
          <t>OpenDART_fnlttSinglAcntAll</t>
        </is>
      </c>
      <c r="B228" s="29" t="inlineStr">
        <is>
          <t>00369657</t>
        </is>
      </c>
      <c r="C228" s="29" t="inlineStr">
        <is>
          <t>리노공업</t>
        </is>
      </c>
      <c r="D228" s="29" t="inlineStr">
        <is>
          <t>leeno</t>
        </is>
      </c>
      <c r="E228" s="29" t="inlineStr">
        <is>
          <t>058470</t>
        </is>
      </c>
      <c r="F228" s="29" t="inlineStr">
        <is>
          <t>2023</t>
        </is>
      </c>
      <c r="G228" s="29" t="inlineStr">
        <is>
          <t>OFS</t>
        </is>
      </c>
      <c r="H228" s="29" t="inlineStr">
        <is>
          <t>CIS</t>
        </is>
      </c>
      <c r="I228" s="29" t="inlineStr">
        <is>
          <t>포괄손익계산서</t>
        </is>
      </c>
      <c r="J228" s="29" t="inlineStr">
        <is>
          <t>-표준계정코드 미사용-</t>
        </is>
      </c>
      <c r="K228" s="29" t="inlineStr">
        <is>
          <t>금융수익</t>
        </is>
      </c>
      <c r="L228" s="29" t="inlineStr">
        <is>
          <t>-</t>
        </is>
      </c>
      <c r="M228" s="29" t="inlineStr">
        <is>
          <t>제 28 기</t>
        </is>
      </c>
      <c r="N228" s="29" t="inlineStr">
        <is>
          <t>11169532521.0</t>
        </is>
      </c>
      <c r="O228" s="29" t="inlineStr">
        <is>
          <t>5704898521.0</t>
        </is>
      </c>
      <c r="P228" s="29" t="inlineStr">
        <is>
          <t>KRW</t>
        </is>
      </c>
      <c r="Q228" s="29" t="inlineStr">
        <is>
          <t>10</t>
        </is>
      </c>
    </row>
    <row r="229" ht="24" customHeight="1">
      <c r="A229" s="24" t="inlineStr">
        <is>
          <t>OpenDART_fnlttSinglAcntAll</t>
        </is>
      </c>
      <c r="B229" s="24" t="inlineStr">
        <is>
          <t>00369657</t>
        </is>
      </c>
      <c r="C229" s="24" t="inlineStr">
        <is>
          <t>리노공업</t>
        </is>
      </c>
      <c r="D229" s="24" t="inlineStr">
        <is>
          <t>leeno</t>
        </is>
      </c>
      <c r="E229" s="24" t="inlineStr">
        <is>
          <t>058470</t>
        </is>
      </c>
      <c r="F229" s="24" t="inlineStr">
        <is>
          <t>2023</t>
        </is>
      </c>
      <c r="G229" s="24" t="inlineStr">
        <is>
          <t>OFS</t>
        </is>
      </c>
      <c r="H229" s="24" t="inlineStr">
        <is>
          <t>CIS</t>
        </is>
      </c>
      <c r="I229" s="24" t="inlineStr">
        <is>
          <t>포괄손익계산서</t>
        </is>
      </c>
      <c r="J229" s="24" t="inlineStr">
        <is>
          <t>-표준계정코드 미사용-</t>
        </is>
      </c>
      <c r="K229" s="24" t="inlineStr">
        <is>
          <t>기타수익</t>
        </is>
      </c>
      <c r="L229" s="24" t="inlineStr">
        <is>
          <t>-</t>
        </is>
      </c>
      <c r="M229" s="24" t="inlineStr">
        <is>
          <t>제 28 기</t>
        </is>
      </c>
      <c r="N229" s="24" t="inlineStr">
        <is>
          <t>20526173615.0</t>
        </is>
      </c>
      <c r="O229" s="24" t="inlineStr">
        <is>
          <t>18764320073.0</t>
        </is>
      </c>
      <c r="P229" s="24" t="inlineStr">
        <is>
          <t>KRW</t>
        </is>
      </c>
      <c r="Q229" s="24" t="inlineStr">
        <is>
          <t>11</t>
        </is>
      </c>
    </row>
    <row r="230" ht="24" customHeight="1">
      <c r="A230" s="29" t="inlineStr">
        <is>
          <t>OpenDART_fnlttSinglAcntAll</t>
        </is>
      </c>
      <c r="B230" s="29" t="inlineStr">
        <is>
          <t>00369657</t>
        </is>
      </c>
      <c r="C230" s="29" t="inlineStr">
        <is>
          <t>리노공업</t>
        </is>
      </c>
      <c r="D230" s="29" t="inlineStr">
        <is>
          <t>leeno</t>
        </is>
      </c>
      <c r="E230" s="29" t="inlineStr">
        <is>
          <t>058470</t>
        </is>
      </c>
      <c r="F230" s="29" t="inlineStr">
        <is>
          <t>2023</t>
        </is>
      </c>
      <c r="G230" s="29" t="inlineStr">
        <is>
          <t>OFS</t>
        </is>
      </c>
      <c r="H230" s="29" t="inlineStr">
        <is>
          <t>CIS</t>
        </is>
      </c>
      <c r="I230" s="29" t="inlineStr">
        <is>
          <t>포괄손익계산서</t>
        </is>
      </c>
      <c r="J230" s="29" t="inlineStr">
        <is>
          <t>-표준계정코드 미사용-</t>
        </is>
      </c>
      <c r="K230" s="29" t="inlineStr">
        <is>
          <t>기타비용</t>
        </is>
      </c>
      <c r="L230" s="29" t="inlineStr">
        <is>
          <t>-</t>
        </is>
      </c>
      <c r="M230" s="29" t="inlineStr">
        <is>
          <t>제 28 기</t>
        </is>
      </c>
      <c r="N230" s="29" t="inlineStr">
        <is>
          <t>3821207007.0</t>
        </is>
      </c>
      <c r="O230" s="29" t="inlineStr">
        <is>
          <t>7019781090.0</t>
        </is>
      </c>
      <c r="P230" s="29" t="inlineStr">
        <is>
          <t>KRW</t>
        </is>
      </c>
      <c r="Q230" s="29" t="inlineStr">
        <is>
          <t>12</t>
        </is>
      </c>
    </row>
    <row r="231" ht="24" customHeight="1">
      <c r="A231" s="24" t="inlineStr">
        <is>
          <t>OpenDART_fnlttSinglAcntAll</t>
        </is>
      </c>
      <c r="B231" s="24" t="inlineStr">
        <is>
          <t>00369657</t>
        </is>
      </c>
      <c r="C231" s="24" t="inlineStr">
        <is>
          <t>리노공업</t>
        </is>
      </c>
      <c r="D231" s="24" t="inlineStr">
        <is>
          <t>leeno</t>
        </is>
      </c>
      <c r="E231" s="24" t="inlineStr">
        <is>
          <t>058470</t>
        </is>
      </c>
      <c r="F231" s="24" t="inlineStr">
        <is>
          <t>2023</t>
        </is>
      </c>
      <c r="G231" s="24" t="inlineStr">
        <is>
          <t>OFS</t>
        </is>
      </c>
      <c r="H231" s="24" t="inlineStr">
        <is>
          <t>CIS</t>
        </is>
      </c>
      <c r="I231" s="24" t="inlineStr">
        <is>
          <t>포괄손익계산서</t>
        </is>
      </c>
      <c r="J231" s="24" t="inlineStr">
        <is>
          <t>ifrs-full_ComprehensiveIncome</t>
        </is>
      </c>
      <c r="K231" s="24" t="inlineStr">
        <is>
          <t>포괄손익</t>
        </is>
      </c>
      <c r="L231" s="24" t="inlineStr">
        <is>
          <t>-</t>
        </is>
      </c>
      <c r="M231" s="24" t="inlineStr">
        <is>
          <t>제 28 기</t>
        </is>
      </c>
      <c r="N231" s="24" t="inlineStr">
        <is>
          <t>109427975240.0</t>
        </is>
      </c>
      <c r="O231" s="24" t="inlineStr">
        <is>
          <t>113428195723.0</t>
        </is>
      </c>
      <c r="P231" s="24" t="inlineStr">
        <is>
          <t>KRW</t>
        </is>
      </c>
      <c r="Q231" s="24" t="inlineStr">
        <is>
          <t>13</t>
        </is>
      </c>
    </row>
    <row r="232" ht="24" customHeight="1">
      <c r="A232" s="29" t="inlineStr">
        <is>
          <t>OpenDART_fnlttSinglAcntAll</t>
        </is>
      </c>
      <c r="B232" s="29" t="inlineStr">
        <is>
          <t>00369657</t>
        </is>
      </c>
      <c r="C232" s="29" t="inlineStr">
        <is>
          <t>리노공업</t>
        </is>
      </c>
      <c r="D232" s="29" t="inlineStr">
        <is>
          <t>leeno</t>
        </is>
      </c>
      <c r="E232" s="29" t="inlineStr">
        <is>
          <t>058470</t>
        </is>
      </c>
      <c r="F232" s="29" t="inlineStr">
        <is>
          <t>2023</t>
        </is>
      </c>
      <c r="G232" s="29" t="inlineStr">
        <is>
          <t>OFS</t>
        </is>
      </c>
      <c r="H232" s="29" t="inlineStr">
        <is>
          <t>CIS</t>
        </is>
      </c>
      <c r="I232" s="29" t="inlineStr">
        <is>
          <t>포괄손익계산서</t>
        </is>
      </c>
      <c r="J232" s="29" t="inlineStr">
        <is>
          <t>ifrs-full_CostOfSales</t>
        </is>
      </c>
      <c r="K232" s="29" t="inlineStr">
        <is>
          <t>매출원가</t>
        </is>
      </c>
      <c r="L232" s="29" t="inlineStr">
        <is>
          <t>-</t>
        </is>
      </c>
      <c r="M232" s="29" t="inlineStr">
        <is>
          <t>제 28 기</t>
        </is>
      </c>
      <c r="N232" s="29" t="inlineStr">
        <is>
          <t>127238409519.0</t>
        </is>
      </c>
      <c r="O232" s="29" t="inlineStr">
        <is>
          <t>167794521227.0</t>
        </is>
      </c>
      <c r="P232" s="29" t="inlineStr">
        <is>
          <t>KRW</t>
        </is>
      </c>
      <c r="Q232" s="29" t="inlineStr">
        <is>
          <t>14</t>
        </is>
      </c>
    </row>
    <row r="233" ht="24" customHeight="1">
      <c r="A233" s="24" t="inlineStr">
        <is>
          <t>OpenDART_fnlttSinglAcntAll</t>
        </is>
      </c>
      <c r="B233" s="24" t="inlineStr">
        <is>
          <t>00369657</t>
        </is>
      </c>
      <c r="C233" s="24" t="inlineStr">
        <is>
          <t>리노공업</t>
        </is>
      </c>
      <c r="D233" s="24" t="inlineStr">
        <is>
          <t>leeno</t>
        </is>
      </c>
      <c r="E233" s="24" t="inlineStr">
        <is>
          <t>058470</t>
        </is>
      </c>
      <c r="F233" s="24" t="inlineStr">
        <is>
          <t>2023</t>
        </is>
      </c>
      <c r="G233" s="24" t="inlineStr">
        <is>
          <t>OFS</t>
        </is>
      </c>
      <c r="H233" s="24" t="inlineStr">
        <is>
          <t>CIS</t>
        </is>
      </c>
      <c r="I233" s="24" t="inlineStr">
        <is>
          <t>포괄손익계산서</t>
        </is>
      </c>
      <c r="J233" s="24" t="inlineStr">
        <is>
          <t>ifrs-full_BasicEarningsLossPerShare</t>
        </is>
      </c>
      <c r="K233" s="24" t="inlineStr">
        <is>
          <t>기본주당이익</t>
        </is>
      </c>
      <c r="L233" s="24" t="inlineStr">
        <is>
          <t>-</t>
        </is>
      </c>
      <c r="M233" s="24" t="inlineStr">
        <is>
          <t>제 28 기</t>
        </is>
      </c>
      <c r="N233" s="24" t="inlineStr">
        <is>
          <t>7308.0</t>
        </is>
      </c>
      <c r="O233" s="24" t="inlineStr">
        <is>
          <t>7534.0</t>
        </is>
      </c>
      <c r="P233" s="24" t="inlineStr">
        <is>
          <t>KRW</t>
        </is>
      </c>
      <c r="Q233" s="24" t="inlineStr">
        <is>
          <t>16</t>
        </is>
      </c>
    </row>
    <row r="234" ht="24" customHeight="1">
      <c r="A234" s="29" t="inlineStr">
        <is>
          <t>OpenDART_fnlttSinglAcntAll</t>
        </is>
      </c>
      <c r="B234" s="29" t="inlineStr">
        <is>
          <t>00369657</t>
        </is>
      </c>
      <c r="C234" s="29" t="inlineStr">
        <is>
          <t>리노공업</t>
        </is>
      </c>
      <c r="D234" s="29" t="inlineStr">
        <is>
          <t>leeno</t>
        </is>
      </c>
      <c r="E234" s="29" t="inlineStr">
        <is>
          <t>058470</t>
        </is>
      </c>
      <c r="F234" s="29" t="inlineStr">
        <is>
          <t>2023</t>
        </is>
      </c>
      <c r="G234" s="29" t="inlineStr">
        <is>
          <t>OFS</t>
        </is>
      </c>
      <c r="H234" s="29" t="inlineStr">
        <is>
          <t>CIS</t>
        </is>
      </c>
      <c r="I234" s="29" t="inlineStr">
        <is>
          <t>포괄손익계산서</t>
        </is>
      </c>
      <c r="J234" s="29" t="inlineStr">
        <is>
          <t>ifrs-full_DilutedEarningsLossPerShare</t>
        </is>
      </c>
      <c r="K234" s="29" t="inlineStr">
        <is>
          <t>희석주당이익</t>
        </is>
      </c>
      <c r="L234" s="29" t="inlineStr">
        <is>
          <t>-</t>
        </is>
      </c>
      <c r="M234" s="29" t="inlineStr">
        <is>
          <t>제 28 기</t>
        </is>
      </c>
      <c r="N234" s="29" t="inlineStr">
        <is>
          <t>7308.0</t>
        </is>
      </c>
      <c r="O234" s="29" t="inlineStr">
        <is>
          <t>7534.0</t>
        </is>
      </c>
      <c r="P234" s="29" t="inlineStr">
        <is>
          <t>KRW</t>
        </is>
      </c>
      <c r="Q234" s="29" t="inlineStr">
        <is>
          <t>17</t>
        </is>
      </c>
    </row>
    <row r="235" ht="24" customHeight="1">
      <c r="A235" s="24" t="inlineStr">
        <is>
          <t>OpenDART_fnlttSinglAcntAll</t>
        </is>
      </c>
      <c r="B235" s="24" t="inlineStr">
        <is>
          <t>00369657</t>
        </is>
      </c>
      <c r="C235" s="24" t="inlineStr">
        <is>
          <t>리노공업</t>
        </is>
      </c>
      <c r="D235" s="24" t="inlineStr">
        <is>
          <t>leeno</t>
        </is>
      </c>
      <c r="E235" s="24" t="inlineStr">
        <is>
          <t>058470</t>
        </is>
      </c>
      <c r="F235" s="24" t="inlineStr">
        <is>
          <t>2023</t>
        </is>
      </c>
      <c r="G235" s="24" t="inlineStr">
        <is>
          <t>OFS</t>
        </is>
      </c>
      <c r="H235" s="24" t="inlineStr">
        <is>
          <t>CIS</t>
        </is>
      </c>
      <c r="I235" s="24" t="inlineStr">
        <is>
          <t>포괄손익계산서</t>
        </is>
      </c>
      <c r="J235" s="24" t="inlineStr">
        <is>
          <t>ifrs-full_GrossProfit</t>
        </is>
      </c>
      <c r="K235" s="24" t="inlineStr">
        <is>
          <t>매출총이익</t>
        </is>
      </c>
      <c r="L235" s="24" t="inlineStr">
        <is>
          <t>-</t>
        </is>
      </c>
      <c r="M235" s="24" t="inlineStr">
        <is>
          <t>제 28 기</t>
        </is>
      </c>
      <c r="N235" s="24" t="inlineStr">
        <is>
          <t>128334625137.0</t>
        </is>
      </c>
      <c r="O235" s="24" t="inlineStr">
        <is>
          <t>154628281862.0</t>
        </is>
      </c>
      <c r="P235" s="24" t="inlineStr">
        <is>
          <t>KRW</t>
        </is>
      </c>
      <c r="Q235" s="24" t="inlineStr">
        <is>
          <t>18</t>
        </is>
      </c>
    </row>
    <row r="236" ht="24" customHeight="1">
      <c r="A236" s="29" t="inlineStr">
        <is>
          <t>OpenDART_fnlttSinglAcntAll</t>
        </is>
      </c>
      <c r="B236" s="29" t="inlineStr">
        <is>
          <t>00369657</t>
        </is>
      </c>
      <c r="C236" s="29" t="inlineStr">
        <is>
          <t>리노공업</t>
        </is>
      </c>
      <c r="D236" s="29" t="inlineStr">
        <is>
          <t>leeno</t>
        </is>
      </c>
      <c r="E236" s="29" t="inlineStr">
        <is>
          <t>058470</t>
        </is>
      </c>
      <c r="F236" s="29" t="inlineStr">
        <is>
          <t>2023</t>
        </is>
      </c>
      <c r="G236" s="29" t="inlineStr">
        <is>
          <t>OFS</t>
        </is>
      </c>
      <c r="H236" s="29" t="inlineStr">
        <is>
          <t>CIS</t>
        </is>
      </c>
      <c r="I236" s="29" t="inlineStr">
        <is>
          <t>포괄손익계산서</t>
        </is>
      </c>
      <c r="J236" s="29" t="inlineStr">
        <is>
          <t>ifrs-full_IncomeTaxExpenseContinuingOperations</t>
        </is>
      </c>
      <c r="K236" s="29" t="inlineStr">
        <is>
          <t>법인세비용</t>
        </is>
      </c>
      <c r="L236" s="29" t="inlineStr">
        <is>
          <t>-</t>
        </is>
      </c>
      <c r="M236" s="29" t="inlineStr">
        <is>
          <t>제 28 기</t>
        </is>
      </c>
      <c r="N236" s="29" t="inlineStr">
        <is>
          <t>31320452655.0</t>
        </is>
      </c>
      <c r="O236" s="29" t="inlineStr">
        <is>
          <t>39711723245.0</t>
        </is>
      </c>
      <c r="P236" s="29" t="inlineStr">
        <is>
          <t>KRW</t>
        </is>
      </c>
      <c r="Q236" s="29" t="inlineStr">
        <is>
          <t>19</t>
        </is>
      </c>
    </row>
    <row r="237" ht="24" customHeight="1">
      <c r="A237" s="24" t="inlineStr">
        <is>
          <t>OpenDART_fnlttSinglAcntAll</t>
        </is>
      </c>
      <c r="B237" s="24" t="inlineStr">
        <is>
          <t>00369657</t>
        </is>
      </c>
      <c r="C237" s="24" t="inlineStr">
        <is>
          <t>리노공업</t>
        </is>
      </c>
      <c r="D237" s="24" t="inlineStr">
        <is>
          <t>leeno</t>
        </is>
      </c>
      <c r="E237" s="24" t="inlineStr">
        <is>
          <t>058470</t>
        </is>
      </c>
      <c r="F237" s="24" t="inlineStr">
        <is>
          <t>2023</t>
        </is>
      </c>
      <c r="G237" s="24" t="inlineStr">
        <is>
          <t>OFS</t>
        </is>
      </c>
      <c r="H237" s="24" t="inlineStr">
        <is>
          <t>CIS</t>
        </is>
      </c>
      <c r="I237" s="24" t="inlineStr">
        <is>
          <t>포괄손익계산서</t>
        </is>
      </c>
      <c r="J237" s="24" t="inlineStr">
        <is>
          <t>ifrs-full_OtherComprehensiveIncome</t>
        </is>
      </c>
      <c r="K237" s="24" t="inlineStr">
        <is>
          <t>기타포괄손익</t>
        </is>
      </c>
      <c r="L237" s="24" t="inlineStr">
        <is>
          <t>-</t>
        </is>
      </c>
      <c r="M237" s="24" t="inlineStr">
        <is>
          <t>제 28 기</t>
        </is>
      </c>
      <c r="N237" s="24" t="inlineStr">
        <is>
          <t>-1495040200.0</t>
        </is>
      </c>
      <c r="O237" s="24" t="inlineStr">
        <is>
          <t>-935595604.0</t>
        </is>
      </c>
      <c r="P237" s="24" t="inlineStr">
        <is>
          <t>KRW</t>
        </is>
      </c>
      <c r="Q237" s="24" t="inlineStr">
        <is>
          <t>20</t>
        </is>
      </c>
    </row>
    <row r="238" ht="24" customHeight="1">
      <c r="A238" s="29" t="inlineStr">
        <is>
          <t>OpenDART_fnlttSinglAcntAll</t>
        </is>
      </c>
      <c r="B238" s="29" t="inlineStr">
        <is>
          <t>00369657</t>
        </is>
      </c>
      <c r="C238" s="29" t="inlineStr">
        <is>
          <t>리노공업</t>
        </is>
      </c>
      <c r="D238" s="29" t="inlineStr">
        <is>
          <t>leeno</t>
        </is>
      </c>
      <c r="E238" s="29" t="inlineStr">
        <is>
          <t>058470</t>
        </is>
      </c>
      <c r="F238" s="29" t="inlineStr">
        <is>
          <t>2023</t>
        </is>
      </c>
      <c r="G238" s="29" t="inlineStr">
        <is>
          <t>OFS</t>
        </is>
      </c>
      <c r="H238" s="29" t="inlineStr">
        <is>
          <t>CIS</t>
        </is>
      </c>
      <c r="I238" s="29" t="inlineStr">
        <is>
          <t>포괄손익계산서</t>
        </is>
      </c>
      <c r="J238" s="29" t="inlineStr">
        <is>
          <t>ifrs-full_OtherComprehensiveIncomeNetOfTaxGainsLossesOnRemeasurementsOfDefinedBenefitPlans</t>
        </is>
      </c>
      <c r="K238" s="29" t="inlineStr">
        <is>
          <t>종업원급여 재측정요소</t>
        </is>
      </c>
      <c r="L238" s="29" t="inlineStr">
        <is>
          <t>-</t>
        </is>
      </c>
      <c r="M238" s="29" t="inlineStr">
        <is>
          <t>제 28 기</t>
        </is>
      </c>
      <c r="N238" s="29" t="inlineStr">
        <is>
          <t>-1495040200.0</t>
        </is>
      </c>
      <c r="O238" s="29" t="inlineStr">
        <is>
          <t>-935595604.0</t>
        </is>
      </c>
      <c r="P238" s="29" t="inlineStr">
        <is>
          <t>KRW</t>
        </is>
      </c>
      <c r="Q238" s="29" t="inlineStr">
        <is>
          <t>22</t>
        </is>
      </c>
    </row>
    <row r="239" ht="24" customHeight="1">
      <c r="A239" s="24" t="inlineStr">
        <is>
          <t>OpenDART_fnlttSinglAcntAll</t>
        </is>
      </c>
      <c r="B239" s="24" t="inlineStr">
        <is>
          <t>00369657</t>
        </is>
      </c>
      <c r="C239" s="24" t="inlineStr">
        <is>
          <t>리노공업</t>
        </is>
      </c>
      <c r="D239" s="24" t="inlineStr">
        <is>
          <t>leeno</t>
        </is>
      </c>
      <c r="E239" s="24" t="inlineStr">
        <is>
          <t>058470</t>
        </is>
      </c>
      <c r="F239" s="24" t="inlineStr">
        <is>
          <t>2023</t>
        </is>
      </c>
      <c r="G239" s="24" t="inlineStr">
        <is>
          <t>OFS</t>
        </is>
      </c>
      <c r="H239" s="24" t="inlineStr">
        <is>
          <t>CIS</t>
        </is>
      </c>
      <c r="I239" s="24" t="inlineStr">
        <is>
          <t>포괄손익계산서</t>
        </is>
      </c>
      <c r="J239" s="24" t="inlineStr">
        <is>
          <t>ifrs-full_ProfitLoss</t>
        </is>
      </c>
      <c r="K239" s="24" t="inlineStr">
        <is>
          <t>당기순이익</t>
        </is>
      </c>
      <c r="L239" s="24" t="inlineStr">
        <is>
          <t>-</t>
        </is>
      </c>
      <c r="M239" s="24" t="inlineStr">
        <is>
          <t>제 28 기</t>
        </is>
      </c>
      <c r="N239" s="24" t="inlineStr">
        <is>
          <t>110923015440.0</t>
        </is>
      </c>
      <c r="O239" s="24" t="inlineStr">
        <is>
          <t>114363791327.0</t>
        </is>
      </c>
      <c r="P239" s="24" t="inlineStr">
        <is>
          <t>KRW</t>
        </is>
      </c>
      <c r="Q239" s="24" t="inlineStr">
        <is>
          <t>23</t>
        </is>
      </c>
    </row>
    <row r="240" ht="24" customHeight="1">
      <c r="A240" s="29" t="inlineStr">
        <is>
          <t>OpenDART_fnlttSinglAcntAll</t>
        </is>
      </c>
      <c r="B240" s="29" t="inlineStr">
        <is>
          <t>00369657</t>
        </is>
      </c>
      <c r="C240" s="29" t="inlineStr">
        <is>
          <t>리노공업</t>
        </is>
      </c>
      <c r="D240" s="29" t="inlineStr">
        <is>
          <t>leeno</t>
        </is>
      </c>
      <c r="E240" s="29" t="inlineStr">
        <is>
          <t>058470</t>
        </is>
      </c>
      <c r="F240" s="29" t="inlineStr">
        <is>
          <t>2023</t>
        </is>
      </c>
      <c r="G240" s="29" t="inlineStr">
        <is>
          <t>OFS</t>
        </is>
      </c>
      <c r="H240" s="29" t="inlineStr">
        <is>
          <t>CIS</t>
        </is>
      </c>
      <c r="I240" s="29" t="inlineStr">
        <is>
          <t>포괄손익계산서</t>
        </is>
      </c>
      <c r="J240" s="29" t="inlineStr">
        <is>
          <t>ifrs-full_ProfitLossBeforeTax</t>
        </is>
      </c>
      <c r="K240" s="29" t="inlineStr">
        <is>
          <t>법인세비용차감전순이익</t>
        </is>
      </c>
      <c r="L240" s="29" t="inlineStr">
        <is>
          <t>-</t>
        </is>
      </c>
      <c r="M240" s="29" t="inlineStr">
        <is>
          <t>제 28 기</t>
        </is>
      </c>
      <c r="N240" s="29" t="inlineStr">
        <is>
          <t>142243468095.0</t>
        </is>
      </c>
      <c r="O240" s="29" t="inlineStr">
        <is>
          <t>154075514572.0</t>
        </is>
      </c>
      <c r="P240" s="29" t="inlineStr">
        <is>
          <t>KRW</t>
        </is>
      </c>
      <c r="Q240" s="29" t="inlineStr">
        <is>
          <t>24</t>
        </is>
      </c>
    </row>
    <row r="241" ht="24" customHeight="1">
      <c r="A241" s="24" t="inlineStr">
        <is>
          <t>OpenDART_fnlttSinglAcntAll</t>
        </is>
      </c>
      <c r="B241" s="24" t="inlineStr">
        <is>
          <t>00369657</t>
        </is>
      </c>
      <c r="C241" s="24" t="inlineStr">
        <is>
          <t>리노공업</t>
        </is>
      </c>
      <c r="D241" s="24" t="inlineStr">
        <is>
          <t>leeno</t>
        </is>
      </c>
      <c r="E241" s="24" t="inlineStr">
        <is>
          <t>058470</t>
        </is>
      </c>
      <c r="F241" s="24" t="inlineStr">
        <is>
          <t>2023</t>
        </is>
      </c>
      <c r="G241" s="24" t="inlineStr">
        <is>
          <t>OFS</t>
        </is>
      </c>
      <c r="H241" s="24" t="inlineStr">
        <is>
          <t>CIS</t>
        </is>
      </c>
      <c r="I241" s="24" t="inlineStr">
        <is>
          <t>포괄손익계산서</t>
        </is>
      </c>
      <c r="J241" s="24" t="inlineStr">
        <is>
          <t>ifrs-full_Revenue</t>
        </is>
      </c>
      <c r="K241" s="24" t="inlineStr">
        <is>
          <t>매출액</t>
        </is>
      </c>
      <c r="L241" s="24" t="inlineStr">
        <is>
          <t>-</t>
        </is>
      </c>
      <c r="M241" s="24" t="inlineStr">
        <is>
          <t>제 28 기</t>
        </is>
      </c>
      <c r="N241" s="24" t="inlineStr">
        <is>
          <t>255573034656.0</t>
        </is>
      </c>
      <c r="O241" s="24" t="inlineStr">
        <is>
          <t>322422803089.0</t>
        </is>
      </c>
      <c r="P241" s="24" t="inlineStr">
        <is>
          <t>KRW</t>
        </is>
      </c>
      <c r="Q241" s="24" t="inlineStr">
        <is>
          <t>25</t>
        </is>
      </c>
    </row>
    <row r="242" ht="24" customHeight="1">
      <c r="A242" s="29" t="inlineStr">
        <is>
          <t>OpenDART_fnlttSinglAcntAll</t>
        </is>
      </c>
      <c r="B242" s="29" t="inlineStr">
        <is>
          <t>00369657</t>
        </is>
      </c>
      <c r="C242" s="29" t="inlineStr">
        <is>
          <t>리노공업</t>
        </is>
      </c>
      <c r="D242" s="29" t="inlineStr">
        <is>
          <t>leeno</t>
        </is>
      </c>
      <c r="E242" s="29" t="inlineStr">
        <is>
          <t>058470</t>
        </is>
      </c>
      <c r="F242" s="29" t="inlineStr">
        <is>
          <t>2023</t>
        </is>
      </c>
      <c r="G242" s="29" t="inlineStr">
        <is>
          <t>OFS</t>
        </is>
      </c>
      <c r="H242" s="29" t="inlineStr">
        <is>
          <t>CF</t>
        </is>
      </c>
      <c r="I242" s="29" t="inlineStr">
        <is>
          <t>현금흐름표</t>
        </is>
      </c>
      <c r="J242" s="29" t="inlineStr">
        <is>
          <t>dart_CashAndCashEquivalentsAtBeginningOfPeriodCf</t>
        </is>
      </c>
      <c r="K242" s="29" t="inlineStr">
        <is>
          <t>기초현금및현금성자산</t>
        </is>
      </c>
      <c r="L242" s="29" t="inlineStr">
        <is>
          <t>-</t>
        </is>
      </c>
      <c r="M242" s="29" t="inlineStr">
        <is>
          <t>제 28 기</t>
        </is>
      </c>
      <c r="N242" s="29" t="inlineStr">
        <is>
          <t>30366977656.0</t>
        </is>
      </c>
      <c r="O242" s="29" t="inlineStr">
        <is>
          <t>77211544736.0</t>
        </is>
      </c>
      <c r="P242" s="29" t="inlineStr">
        <is>
          <t>KRW</t>
        </is>
      </c>
      <c r="Q242" s="29" t="inlineStr">
        <is>
          <t>2</t>
        </is>
      </c>
    </row>
    <row r="243" ht="24" customHeight="1">
      <c r="A243" s="24" t="inlineStr">
        <is>
          <t>OpenDART_fnlttSinglAcntAll</t>
        </is>
      </c>
      <c r="B243" s="24" t="inlineStr">
        <is>
          <t>00369657</t>
        </is>
      </c>
      <c r="C243" s="24" t="inlineStr">
        <is>
          <t>리노공업</t>
        </is>
      </c>
      <c r="D243" s="24" t="inlineStr">
        <is>
          <t>leeno</t>
        </is>
      </c>
      <c r="E243" s="24" t="inlineStr">
        <is>
          <t>058470</t>
        </is>
      </c>
      <c r="F243" s="24" t="inlineStr">
        <is>
          <t>2023</t>
        </is>
      </c>
      <c r="G243" s="24" t="inlineStr">
        <is>
          <t>OFS</t>
        </is>
      </c>
      <c r="H243" s="24" t="inlineStr">
        <is>
          <t>CF</t>
        </is>
      </c>
      <c r="I243" s="24" t="inlineStr">
        <is>
          <t>현금흐름표</t>
        </is>
      </c>
      <c r="J243" s="24" t="inlineStr">
        <is>
          <t>dart_CashAndCashEquivalentsAtEndOfPeriodCf</t>
        </is>
      </c>
      <c r="K243" s="24" t="inlineStr">
        <is>
          <t>기말현금및현금성자산</t>
        </is>
      </c>
      <c r="L243" s="24" t="inlineStr">
        <is>
          <t>-</t>
        </is>
      </c>
      <c r="M243" s="24" t="inlineStr">
        <is>
          <t>제 28 기</t>
        </is>
      </c>
      <c r="N243" s="24" t="inlineStr">
        <is>
          <t>34165877177.0</t>
        </is>
      </c>
      <c r="O243" s="24" t="inlineStr">
        <is>
          <t>30366977656.0</t>
        </is>
      </c>
      <c r="P243" s="24" t="inlineStr">
        <is>
          <t>KRW</t>
        </is>
      </c>
      <c r="Q243" s="24" t="inlineStr">
        <is>
          <t>3</t>
        </is>
      </c>
    </row>
    <row r="244" ht="24" customHeight="1">
      <c r="A244" s="29" t="inlineStr">
        <is>
          <t>OpenDART_fnlttSinglAcntAll</t>
        </is>
      </c>
      <c r="B244" s="29" t="inlineStr">
        <is>
          <t>00369657</t>
        </is>
      </c>
      <c r="C244" s="29" t="inlineStr">
        <is>
          <t>리노공업</t>
        </is>
      </c>
      <c r="D244" s="29" t="inlineStr">
        <is>
          <t>leeno</t>
        </is>
      </c>
      <c r="E244" s="29" t="inlineStr">
        <is>
          <t>058470</t>
        </is>
      </c>
      <c r="F244" s="29" t="inlineStr">
        <is>
          <t>2023</t>
        </is>
      </c>
      <c r="G244" s="29" t="inlineStr">
        <is>
          <t>OFS</t>
        </is>
      </c>
      <c r="H244" s="29" t="inlineStr">
        <is>
          <t>CF</t>
        </is>
      </c>
      <c r="I244" s="29" t="inlineStr">
        <is>
          <t>현금흐름표</t>
        </is>
      </c>
      <c r="J244" s="29" t="inlineStr">
        <is>
          <t>ifrs-full_CashFlowsFromUsedInFinancingActivities</t>
        </is>
      </c>
      <c r="K244" s="29" t="inlineStr">
        <is>
          <t>재무활동현금흐름</t>
        </is>
      </c>
      <c r="L244" s="29" t="inlineStr">
        <is>
          <t>-</t>
        </is>
      </c>
      <c r="M244" s="29" t="inlineStr">
        <is>
          <t>제 28 기</t>
        </is>
      </c>
      <c r="N244" s="29" t="inlineStr">
        <is>
          <t>-45645540820.0</t>
        </is>
      </c>
      <c r="O244" s="29" t="inlineStr">
        <is>
          <t>-38069068174.0</t>
        </is>
      </c>
      <c r="P244" s="29" t="inlineStr">
        <is>
          <t>KRW</t>
        </is>
      </c>
      <c r="Q244" s="29" t="inlineStr">
        <is>
          <t>8</t>
        </is>
      </c>
    </row>
    <row r="245" ht="24" customHeight="1">
      <c r="A245" s="24" t="inlineStr">
        <is>
          <t>OpenDART_fnlttSinglAcntAll</t>
        </is>
      </c>
      <c r="B245" s="24" t="inlineStr">
        <is>
          <t>00369657</t>
        </is>
      </c>
      <c r="C245" s="24" t="inlineStr">
        <is>
          <t>리노공업</t>
        </is>
      </c>
      <c r="D245" s="24" t="inlineStr">
        <is>
          <t>leeno</t>
        </is>
      </c>
      <c r="E245" s="24" t="inlineStr">
        <is>
          <t>058470</t>
        </is>
      </c>
      <c r="F245" s="24" t="inlineStr">
        <is>
          <t>2023</t>
        </is>
      </c>
      <c r="G245" s="24" t="inlineStr">
        <is>
          <t>OFS</t>
        </is>
      </c>
      <c r="H245" s="24" t="inlineStr">
        <is>
          <t>CF</t>
        </is>
      </c>
      <c r="I245" s="24" t="inlineStr">
        <is>
          <t>현금흐름표</t>
        </is>
      </c>
      <c r="J245" s="24" t="inlineStr">
        <is>
          <t>dart_PaymentsOfFinanceLeaseLiabilitiesClassifiedAsFinancingActivities</t>
        </is>
      </c>
      <c r="K245" s="24" t="inlineStr">
        <is>
          <t>금융리스부채의 지급</t>
        </is>
      </c>
      <c r="L245" s="24" t="inlineStr">
        <is>
          <t>-</t>
        </is>
      </c>
      <c r="M245" s="24" t="inlineStr">
        <is>
          <t>제 28 기</t>
        </is>
      </c>
      <c r="N245" s="24" t="inlineStr">
        <is>
          <t>108180820.0</t>
        </is>
      </c>
      <c r="O245" s="24" t="inlineStr">
        <is>
          <t>121268174.0</t>
        </is>
      </c>
      <c r="P245" s="24" t="inlineStr">
        <is>
          <t>KRW</t>
        </is>
      </c>
      <c r="Q245" s="24" t="inlineStr">
        <is>
          <t>9</t>
        </is>
      </c>
    </row>
    <row r="246" ht="24" customHeight="1">
      <c r="A246" s="29" t="inlineStr">
        <is>
          <t>OpenDART_fnlttSinglAcntAll</t>
        </is>
      </c>
      <c r="B246" s="29" t="inlineStr">
        <is>
          <t>00369657</t>
        </is>
      </c>
      <c r="C246" s="29" t="inlineStr">
        <is>
          <t>리노공업</t>
        </is>
      </c>
      <c r="D246" s="29" t="inlineStr">
        <is>
          <t>leeno</t>
        </is>
      </c>
      <c r="E246" s="29" t="inlineStr">
        <is>
          <t>058470</t>
        </is>
      </c>
      <c r="F246" s="29" t="inlineStr">
        <is>
          <t>2023</t>
        </is>
      </c>
      <c r="G246" s="29" t="inlineStr">
        <is>
          <t>OFS</t>
        </is>
      </c>
      <c r="H246" s="29" t="inlineStr">
        <is>
          <t>CF</t>
        </is>
      </c>
      <c r="I246" s="29" t="inlineStr">
        <is>
          <t>현금흐름표</t>
        </is>
      </c>
      <c r="J246" s="29" t="inlineStr">
        <is>
          <t>ifrs-full_DividendsPaidClassifiedAsFinancingActivities</t>
        </is>
      </c>
      <c r="K246" s="29" t="inlineStr">
        <is>
          <t>배당금의 지급</t>
        </is>
      </c>
      <c r="L246" s="29" t="inlineStr">
        <is>
          <t>-</t>
        </is>
      </c>
      <c r="M246" s="29" t="inlineStr">
        <is>
          <t>제 28 기</t>
        </is>
      </c>
      <c r="N246" s="29" t="inlineStr">
        <is>
          <t>45537360000.0</t>
        </is>
      </c>
      <c r="O246" s="29" t="inlineStr">
        <is>
          <t>37947800000.0</t>
        </is>
      </c>
      <c r="P246" s="29" t="inlineStr">
        <is>
          <t>KRW</t>
        </is>
      </c>
      <c r="Q246" s="29" t="inlineStr">
        <is>
          <t>10</t>
        </is>
      </c>
    </row>
    <row r="247" ht="24" customHeight="1">
      <c r="A247" s="24" t="inlineStr">
        <is>
          <t>OpenDART_fnlttSinglAcntAll</t>
        </is>
      </c>
      <c r="B247" s="24" t="inlineStr">
        <is>
          <t>00369657</t>
        </is>
      </c>
      <c r="C247" s="24" t="inlineStr">
        <is>
          <t>리노공업</t>
        </is>
      </c>
      <c r="D247" s="24" t="inlineStr">
        <is>
          <t>leeno</t>
        </is>
      </c>
      <c r="E247" s="24" t="inlineStr">
        <is>
          <t>058470</t>
        </is>
      </c>
      <c r="F247" s="24" t="inlineStr">
        <is>
          <t>2023</t>
        </is>
      </c>
      <c r="G247" s="24" t="inlineStr">
        <is>
          <t>OFS</t>
        </is>
      </c>
      <c r="H247" s="24" t="inlineStr">
        <is>
          <t>CF</t>
        </is>
      </c>
      <c r="I247" s="24" t="inlineStr">
        <is>
          <t>현금흐름표</t>
        </is>
      </c>
      <c r="J247" s="24" t="inlineStr">
        <is>
          <t>ifrs-full_CashFlowsFromUsedInInvestingActivities</t>
        </is>
      </c>
      <c r="K247" s="24" t="inlineStr">
        <is>
          <t>투자활동현금흐름</t>
        </is>
      </c>
      <c r="L247" s="24" t="inlineStr">
        <is>
          <t>-</t>
        </is>
      </c>
      <c r="M247" s="24" t="inlineStr">
        <is>
          <t>제 28 기</t>
        </is>
      </c>
      <c r="N247" s="24" t="inlineStr">
        <is>
          <t>-61048311242.0</t>
        </is>
      </c>
      <c r="O247" s="24" t="inlineStr">
        <is>
          <t>-117259026467.0</t>
        </is>
      </c>
      <c r="P247" s="24" t="inlineStr">
        <is>
          <t>KRW</t>
        </is>
      </c>
      <c r="Q247" s="24" t="inlineStr">
        <is>
          <t>11</t>
        </is>
      </c>
    </row>
    <row r="248" ht="24" customHeight="1">
      <c r="A248" s="29" t="inlineStr">
        <is>
          <t>OpenDART_fnlttSinglAcntAll</t>
        </is>
      </c>
      <c r="B248" s="29" t="inlineStr">
        <is>
          <t>00369657</t>
        </is>
      </c>
      <c r="C248" s="29" t="inlineStr">
        <is>
          <t>리노공업</t>
        </is>
      </c>
      <c r="D248" s="29" t="inlineStr">
        <is>
          <t>leeno</t>
        </is>
      </c>
      <c r="E248" s="29" t="inlineStr">
        <is>
          <t>058470</t>
        </is>
      </c>
      <c r="F248" s="29" t="inlineStr">
        <is>
          <t>2023</t>
        </is>
      </c>
      <c r="G248" s="29" t="inlineStr">
        <is>
          <t>OFS</t>
        </is>
      </c>
      <c r="H248" s="29" t="inlineStr">
        <is>
          <t>CF</t>
        </is>
      </c>
      <c r="I248" s="29" t="inlineStr">
        <is>
          <t>현금흐름표</t>
        </is>
      </c>
      <c r="J248" s="29" t="inlineStr">
        <is>
          <t>dart_ProceedsFromSalesOfLongTermLoansAndReceivables</t>
        </is>
      </c>
      <c r="K248" s="29" t="inlineStr">
        <is>
          <t>기타채권(비유동)의 감소</t>
        </is>
      </c>
      <c r="L248" s="29" t="inlineStr">
        <is>
          <t>-</t>
        </is>
      </c>
      <c r="M248" s="29" t="inlineStr">
        <is>
          <t>제 28 기</t>
        </is>
      </c>
      <c r="N248" s="29" t="inlineStr">
        <is>
          <t>13000000.0</t>
        </is>
      </c>
      <c r="O248" s="29" t="inlineStr">
        <is>
          <t>해당 없음</t>
        </is>
      </c>
      <c r="P248" s="29" t="inlineStr">
        <is>
          <t>KRW</t>
        </is>
      </c>
      <c r="Q248" s="29" t="inlineStr">
        <is>
          <t>12</t>
        </is>
      </c>
    </row>
    <row r="249" ht="24" customHeight="1">
      <c r="A249" s="24" t="inlineStr">
        <is>
          <t>OpenDART_fnlttSinglAcntAll</t>
        </is>
      </c>
      <c r="B249" s="24" t="inlineStr">
        <is>
          <t>00369657</t>
        </is>
      </c>
      <c r="C249" s="24" t="inlineStr">
        <is>
          <t>리노공업</t>
        </is>
      </c>
      <c r="D249" s="24" t="inlineStr">
        <is>
          <t>leeno</t>
        </is>
      </c>
      <c r="E249" s="24" t="inlineStr">
        <is>
          <t>058470</t>
        </is>
      </c>
      <c r="F249" s="24" t="inlineStr">
        <is>
          <t>2023</t>
        </is>
      </c>
      <c r="G249" s="24" t="inlineStr">
        <is>
          <t>OFS</t>
        </is>
      </c>
      <c r="H249" s="24" t="inlineStr">
        <is>
          <t>CF</t>
        </is>
      </c>
      <c r="I249" s="24" t="inlineStr">
        <is>
          <t>현금흐름표</t>
        </is>
      </c>
      <c r="J249" s="24" t="inlineStr">
        <is>
          <t>dart_ProceedsFromSalesOfOtherCurrentFinancialAssets</t>
        </is>
      </c>
      <c r="K249" s="24" t="inlineStr">
        <is>
          <t>금융자산(유동)의 처분</t>
        </is>
      </c>
      <c r="L249" s="24" t="inlineStr">
        <is>
          <t>-</t>
        </is>
      </c>
      <c r="M249" s="24" t="inlineStr">
        <is>
          <t>제 28 기</t>
        </is>
      </c>
      <c r="N249" s="24" t="inlineStr">
        <is>
          <t>1130564174668.0</t>
        </is>
      </c>
      <c r="O249" s="24" t="inlineStr">
        <is>
          <t>645019104972.0</t>
        </is>
      </c>
      <c r="P249" s="24" t="inlineStr">
        <is>
          <t>KRW</t>
        </is>
      </c>
      <c r="Q249" s="24" t="inlineStr">
        <is>
          <t>13</t>
        </is>
      </c>
    </row>
    <row r="250" ht="24" customHeight="1">
      <c r="A250" s="29" t="inlineStr">
        <is>
          <t>OpenDART_fnlttSinglAcntAll</t>
        </is>
      </c>
      <c r="B250" s="29" t="inlineStr">
        <is>
          <t>00369657</t>
        </is>
      </c>
      <c r="C250" s="29" t="inlineStr">
        <is>
          <t>리노공업</t>
        </is>
      </c>
      <c r="D250" s="29" t="inlineStr">
        <is>
          <t>leeno</t>
        </is>
      </c>
      <c r="E250" s="29" t="inlineStr">
        <is>
          <t>058470</t>
        </is>
      </c>
      <c r="F250" s="29" t="inlineStr">
        <is>
          <t>2023</t>
        </is>
      </c>
      <c r="G250" s="29" t="inlineStr">
        <is>
          <t>OFS</t>
        </is>
      </c>
      <c r="H250" s="29" t="inlineStr">
        <is>
          <t>CF</t>
        </is>
      </c>
      <c r="I250" s="29" t="inlineStr">
        <is>
          <t>현금흐름표</t>
        </is>
      </c>
      <c r="J250" s="29" t="inlineStr">
        <is>
          <t>dart_ProceedsFromSalesOfOtherNonCurrentFinancialAssets</t>
        </is>
      </c>
      <c r="K250" s="29" t="inlineStr">
        <is>
          <t>금융자산(비유동)의 처분</t>
        </is>
      </c>
      <c r="L250" s="29" t="inlineStr">
        <is>
          <t>-</t>
        </is>
      </c>
      <c r="M250" s="29" t="inlineStr">
        <is>
          <t>제 28 기</t>
        </is>
      </c>
      <c r="N250" s="29" t="inlineStr">
        <is>
          <t>45395021100.0</t>
        </is>
      </c>
      <c r="O250" s="29" t="inlineStr">
        <is>
          <t>해당 없음</t>
        </is>
      </c>
      <c r="P250" s="29" t="inlineStr">
        <is>
          <t>KRW</t>
        </is>
      </c>
      <c r="Q250" s="29" t="inlineStr">
        <is>
          <t>14</t>
        </is>
      </c>
    </row>
    <row r="251" ht="24" customHeight="1">
      <c r="A251" s="24" t="inlineStr">
        <is>
          <t>OpenDART_fnlttSinglAcntAll</t>
        </is>
      </c>
      <c r="B251" s="24" t="inlineStr">
        <is>
          <t>00369657</t>
        </is>
      </c>
      <c r="C251" s="24" t="inlineStr">
        <is>
          <t>리노공업</t>
        </is>
      </c>
      <c r="D251" s="24" t="inlineStr">
        <is>
          <t>leeno</t>
        </is>
      </c>
      <c r="E251" s="24" t="inlineStr">
        <is>
          <t>058470</t>
        </is>
      </c>
      <c r="F251" s="24" t="inlineStr">
        <is>
          <t>2023</t>
        </is>
      </c>
      <c r="G251" s="24" t="inlineStr">
        <is>
          <t>OFS</t>
        </is>
      </c>
      <c r="H251" s="24" t="inlineStr">
        <is>
          <t>CF</t>
        </is>
      </c>
      <c r="I251" s="24" t="inlineStr">
        <is>
          <t>현금흐름표</t>
        </is>
      </c>
      <c r="J251" s="24" t="inlineStr">
        <is>
          <t>dart_ProceedsFromSalesOfShortTermLoansAndReceivables</t>
        </is>
      </c>
      <c r="K251" s="24" t="inlineStr">
        <is>
          <t>기타채권(유동)의 감소</t>
        </is>
      </c>
      <c r="L251" s="24" t="inlineStr">
        <is>
          <t>-</t>
        </is>
      </c>
      <c r="M251" s="24" t="inlineStr">
        <is>
          <t>제 28 기</t>
        </is>
      </c>
      <c r="N251" s="24" t="inlineStr">
        <is>
          <t>541348077.0</t>
        </is>
      </c>
      <c r="O251" s="24" t="inlineStr">
        <is>
          <t>558419717.0</t>
        </is>
      </c>
      <c r="P251" s="24" t="inlineStr">
        <is>
          <t>KRW</t>
        </is>
      </c>
      <c r="Q251" s="24" t="inlineStr">
        <is>
          <t>15</t>
        </is>
      </c>
    </row>
    <row r="252" ht="24" customHeight="1">
      <c r="A252" s="29" t="inlineStr">
        <is>
          <t>OpenDART_fnlttSinglAcntAll</t>
        </is>
      </c>
      <c r="B252" s="29" t="inlineStr">
        <is>
          <t>00369657</t>
        </is>
      </c>
      <c r="C252" s="29" t="inlineStr">
        <is>
          <t>리노공업</t>
        </is>
      </c>
      <c r="D252" s="29" t="inlineStr">
        <is>
          <t>leeno</t>
        </is>
      </c>
      <c r="E252" s="29" t="inlineStr">
        <is>
          <t>058470</t>
        </is>
      </c>
      <c r="F252" s="29" t="inlineStr">
        <is>
          <t>2023</t>
        </is>
      </c>
      <c r="G252" s="29" t="inlineStr">
        <is>
          <t>OFS</t>
        </is>
      </c>
      <c r="H252" s="29" t="inlineStr">
        <is>
          <t>CF</t>
        </is>
      </c>
      <c r="I252" s="29" t="inlineStr">
        <is>
          <t>현금흐름표</t>
        </is>
      </c>
      <c r="J252" s="29" t="inlineStr">
        <is>
          <t>dart_PurchaseOfLongTermLoansAndReceivables</t>
        </is>
      </c>
      <c r="K252" s="29" t="inlineStr">
        <is>
          <t>기타채권(비유동)의 증가</t>
        </is>
      </c>
      <c r="L252" s="29" t="inlineStr">
        <is>
          <t>-</t>
        </is>
      </c>
      <c r="M252" s="29" t="inlineStr">
        <is>
          <t>제 28 기</t>
        </is>
      </c>
      <c r="N252" s="29" t="inlineStr">
        <is>
          <t>276000.0</t>
        </is>
      </c>
      <c r="O252" s="29" t="inlineStr">
        <is>
          <t>해당 없음</t>
        </is>
      </c>
      <c r="P252" s="29" t="inlineStr">
        <is>
          <t>KRW</t>
        </is>
      </c>
      <c r="Q252" s="29" t="inlineStr">
        <is>
          <t>16</t>
        </is>
      </c>
    </row>
    <row r="253" ht="24" customHeight="1">
      <c r="A253" s="24" t="inlineStr">
        <is>
          <t>OpenDART_fnlttSinglAcntAll</t>
        </is>
      </c>
      <c r="B253" s="24" t="inlineStr">
        <is>
          <t>00369657</t>
        </is>
      </c>
      <c r="C253" s="24" t="inlineStr">
        <is>
          <t>리노공업</t>
        </is>
      </c>
      <c r="D253" s="24" t="inlineStr">
        <is>
          <t>leeno</t>
        </is>
      </c>
      <c r="E253" s="24" t="inlineStr">
        <is>
          <t>058470</t>
        </is>
      </c>
      <c r="F253" s="24" t="inlineStr">
        <is>
          <t>2023</t>
        </is>
      </c>
      <c r="G253" s="24" t="inlineStr">
        <is>
          <t>OFS</t>
        </is>
      </c>
      <c r="H253" s="24" t="inlineStr">
        <is>
          <t>CF</t>
        </is>
      </c>
      <c r="I253" s="24" t="inlineStr">
        <is>
          <t>현금흐름표</t>
        </is>
      </c>
      <c r="J253" s="24" t="inlineStr">
        <is>
          <t>dart_PurchaseOfOtherCurrentFinancialAssets</t>
        </is>
      </c>
      <c r="K253" s="24" t="inlineStr">
        <is>
          <t>금융자산(유동)의 취득</t>
        </is>
      </c>
      <c r="L253" s="24" t="inlineStr">
        <is>
          <t>-</t>
        </is>
      </c>
      <c r="M253" s="24" t="inlineStr">
        <is>
          <t>제 28 기</t>
        </is>
      </c>
      <c r="N253" s="24" t="inlineStr">
        <is>
          <t>1130414174668.0</t>
        </is>
      </c>
      <c r="O253" s="24" t="inlineStr">
        <is>
          <t>724826604972.0</t>
        </is>
      </c>
      <c r="P253" s="24" t="inlineStr">
        <is>
          <t>KRW</t>
        </is>
      </c>
      <c r="Q253" s="24" t="inlineStr">
        <is>
          <t>17</t>
        </is>
      </c>
    </row>
    <row r="254" ht="24" customHeight="1">
      <c r="A254" s="29" t="inlineStr">
        <is>
          <t>OpenDART_fnlttSinglAcntAll</t>
        </is>
      </c>
      <c r="B254" s="29" t="inlineStr">
        <is>
          <t>00369657</t>
        </is>
      </c>
      <c r="C254" s="29" t="inlineStr">
        <is>
          <t>리노공업</t>
        </is>
      </c>
      <c r="D254" s="29" t="inlineStr">
        <is>
          <t>leeno</t>
        </is>
      </c>
      <c r="E254" s="29" t="inlineStr">
        <is>
          <t>058470</t>
        </is>
      </c>
      <c r="F254" s="29" t="inlineStr">
        <is>
          <t>2023</t>
        </is>
      </c>
      <c r="G254" s="29" t="inlineStr">
        <is>
          <t>OFS</t>
        </is>
      </c>
      <c r="H254" s="29" t="inlineStr">
        <is>
          <t>CF</t>
        </is>
      </c>
      <c r="I254" s="29" t="inlineStr">
        <is>
          <t>현금흐름표</t>
        </is>
      </c>
      <c r="J254" s="29" t="inlineStr">
        <is>
          <t>dart_PurchaseOfOtherNonCurrentFinancialAssets</t>
        </is>
      </c>
      <c r="K254" s="29" t="inlineStr">
        <is>
          <t>금융자산(비유동)의 취득</t>
        </is>
      </c>
      <c r="L254" s="29" t="inlineStr">
        <is>
          <t>-</t>
        </is>
      </c>
      <c r="M254" s="29" t="inlineStr">
        <is>
          <t>제 28 기</t>
        </is>
      </c>
      <c r="N254" s="29" t="inlineStr">
        <is>
          <t>37585000000.0</t>
        </is>
      </c>
      <c r="O254" s="29" t="inlineStr">
        <is>
          <t>19324999477.0</t>
        </is>
      </c>
      <c r="P254" s="29" t="inlineStr">
        <is>
          <t>KRW</t>
        </is>
      </c>
      <c r="Q254" s="29" t="inlineStr">
        <is>
          <t>18</t>
        </is>
      </c>
    </row>
    <row r="255" ht="24" customHeight="1">
      <c r="A255" s="24" t="inlineStr">
        <is>
          <t>OpenDART_fnlttSinglAcntAll</t>
        </is>
      </c>
      <c r="B255" s="24" t="inlineStr">
        <is>
          <t>00369657</t>
        </is>
      </c>
      <c r="C255" s="24" t="inlineStr">
        <is>
          <t>리노공업</t>
        </is>
      </c>
      <c r="D255" s="24" t="inlineStr">
        <is>
          <t>leeno</t>
        </is>
      </c>
      <c r="E255" s="24" t="inlineStr">
        <is>
          <t>058470</t>
        </is>
      </c>
      <c r="F255" s="24" t="inlineStr">
        <is>
          <t>2023</t>
        </is>
      </c>
      <c r="G255" s="24" t="inlineStr">
        <is>
          <t>OFS</t>
        </is>
      </c>
      <c r="H255" s="24" t="inlineStr">
        <is>
          <t>CF</t>
        </is>
      </c>
      <c r="I255" s="24" t="inlineStr">
        <is>
          <t>현금흐름표</t>
        </is>
      </c>
      <c r="J255" s="24" t="inlineStr">
        <is>
          <t>dart_PurchaseOfShortTermLoansAndReceivables</t>
        </is>
      </c>
      <c r="K255" s="24" t="inlineStr">
        <is>
          <t>기타채권(유동)의 증가</t>
        </is>
      </c>
      <c r="L255" s="24" t="inlineStr">
        <is>
          <t>-</t>
        </is>
      </c>
      <c r="M255" s="24" t="inlineStr">
        <is>
          <t>제 28 기</t>
        </is>
      </c>
      <c r="N255" s="24" t="inlineStr">
        <is>
          <t>541348077.0</t>
        </is>
      </c>
      <c r="O255" s="24" t="inlineStr">
        <is>
          <t>558419717.0</t>
        </is>
      </c>
      <c r="P255" s="24" t="inlineStr">
        <is>
          <t>KRW</t>
        </is>
      </c>
      <c r="Q255" s="24" t="inlineStr">
        <is>
          <t>19</t>
        </is>
      </c>
    </row>
    <row r="256" ht="24" customHeight="1">
      <c r="A256" s="29" t="inlineStr">
        <is>
          <t>OpenDART_fnlttSinglAcntAll</t>
        </is>
      </c>
      <c r="B256" s="29" t="inlineStr">
        <is>
          <t>00369657</t>
        </is>
      </c>
      <c r="C256" s="29" t="inlineStr">
        <is>
          <t>리노공업</t>
        </is>
      </c>
      <c r="D256" s="29" t="inlineStr">
        <is>
          <t>leeno</t>
        </is>
      </c>
      <c r="E256" s="29" t="inlineStr">
        <is>
          <t>058470</t>
        </is>
      </c>
      <c r="F256" s="29" t="inlineStr">
        <is>
          <t>2023</t>
        </is>
      </c>
      <c r="G256" s="29" t="inlineStr">
        <is>
          <t>OFS</t>
        </is>
      </c>
      <c r="H256" s="29" t="inlineStr">
        <is>
          <t>CF</t>
        </is>
      </c>
      <c r="I256" s="29" t="inlineStr">
        <is>
          <t>현금흐름표</t>
        </is>
      </c>
      <c r="J256" s="29" t="inlineStr">
        <is>
          <t>-표준계정코드 미사용-</t>
        </is>
      </c>
      <c r="K256" s="29" t="inlineStr">
        <is>
          <t>유형자산 관련 기타채무의 감소</t>
        </is>
      </c>
      <c r="L256" s="29" t="inlineStr">
        <is>
          <t>-</t>
        </is>
      </c>
      <c r="M256" s="29" t="inlineStr">
        <is>
          <t>제 28 기</t>
        </is>
      </c>
      <c r="N256" s="29" t="inlineStr">
        <is>
          <t>10488000.0</t>
        </is>
      </c>
      <c r="O256" s="29" t="inlineStr">
        <is>
          <t>76743000.0</t>
        </is>
      </c>
      <c r="P256" s="29" t="inlineStr">
        <is>
          <t>KRW</t>
        </is>
      </c>
      <c r="Q256" s="29" t="inlineStr">
        <is>
          <t>20</t>
        </is>
      </c>
    </row>
    <row r="257" ht="24" customHeight="1">
      <c r="A257" s="24" t="inlineStr">
        <is>
          <t>OpenDART_fnlttSinglAcntAll</t>
        </is>
      </c>
      <c r="B257" s="24" t="inlineStr">
        <is>
          <t>00369657</t>
        </is>
      </c>
      <c r="C257" s="24" t="inlineStr">
        <is>
          <t>리노공업</t>
        </is>
      </c>
      <c r="D257" s="24" t="inlineStr">
        <is>
          <t>leeno</t>
        </is>
      </c>
      <c r="E257" s="24" t="inlineStr">
        <is>
          <t>058470</t>
        </is>
      </c>
      <c r="F257" s="24" t="inlineStr">
        <is>
          <t>2023</t>
        </is>
      </c>
      <c r="G257" s="24" t="inlineStr">
        <is>
          <t>OFS</t>
        </is>
      </c>
      <c r="H257" s="24" t="inlineStr">
        <is>
          <t>CF</t>
        </is>
      </c>
      <c r="I257" s="24" t="inlineStr">
        <is>
          <t>현금흐름표</t>
        </is>
      </c>
      <c r="J257" s="24" t="inlineStr">
        <is>
          <t>-표준계정코드 미사용-</t>
        </is>
      </c>
      <c r="K257" s="24" t="inlineStr">
        <is>
          <t>유형자산 관련 기타채무의 증가</t>
        </is>
      </c>
      <c r="L257" s="24" t="inlineStr">
        <is>
          <t>-</t>
        </is>
      </c>
      <c r="M257" s="24" t="inlineStr">
        <is>
          <t>제 28 기</t>
        </is>
      </c>
      <c r="N257" s="24" t="inlineStr">
        <is>
          <t>15200000.0</t>
        </is>
      </c>
      <c r="O257" s="24" t="inlineStr">
        <is>
          <t>10488000.0</t>
        </is>
      </c>
      <c r="P257" s="24" t="inlineStr">
        <is>
          <t>KRW</t>
        </is>
      </c>
      <c r="Q257" s="24" t="inlineStr">
        <is>
          <t>21</t>
        </is>
      </c>
    </row>
    <row r="258" ht="24" customHeight="1">
      <c r="A258" s="29" t="inlineStr">
        <is>
          <t>OpenDART_fnlttSinglAcntAll</t>
        </is>
      </c>
      <c r="B258" s="29" t="inlineStr">
        <is>
          <t>00369657</t>
        </is>
      </c>
      <c r="C258" s="29" t="inlineStr">
        <is>
          <t>리노공업</t>
        </is>
      </c>
      <c r="D258" s="29" t="inlineStr">
        <is>
          <t>leeno</t>
        </is>
      </c>
      <c r="E258" s="29" t="inlineStr">
        <is>
          <t>058470</t>
        </is>
      </c>
      <c r="F258" s="29" t="inlineStr">
        <is>
          <t>2023</t>
        </is>
      </c>
      <c r="G258" s="29" t="inlineStr">
        <is>
          <t>OFS</t>
        </is>
      </c>
      <c r="H258" s="29" t="inlineStr">
        <is>
          <t>CF</t>
        </is>
      </c>
      <c r="I258" s="29" t="inlineStr">
        <is>
          <t>현금흐름표</t>
        </is>
      </c>
      <c r="J258" s="29" t="inlineStr">
        <is>
          <t>ifrs-full_ProceedsFromSalesOfPropertyPlantAndEquipmentClassifiedAsInvestingActivities</t>
        </is>
      </c>
      <c r="K258" s="29" t="inlineStr">
        <is>
          <t>유형자산의 처분</t>
        </is>
      </c>
      <c r="L258" s="29" t="inlineStr">
        <is>
          <t>-</t>
        </is>
      </c>
      <c r="M258" s="29" t="inlineStr">
        <is>
          <t>제 28 기</t>
        </is>
      </c>
      <c r="N258" s="29" t="inlineStr">
        <is>
          <t>174200.0</t>
        </is>
      </c>
      <c r="O258" s="29" t="inlineStr">
        <is>
          <t>326568730.0</t>
        </is>
      </c>
      <c r="P258" s="29" t="inlineStr">
        <is>
          <t>KRW</t>
        </is>
      </c>
      <c r="Q258" s="29" t="inlineStr">
        <is>
          <t>22</t>
        </is>
      </c>
    </row>
    <row r="259" ht="24" customHeight="1">
      <c r="A259" s="24" t="inlineStr">
        <is>
          <t>OpenDART_fnlttSinglAcntAll</t>
        </is>
      </c>
      <c r="B259" s="24" t="inlineStr">
        <is>
          <t>00369657</t>
        </is>
      </c>
      <c r="C259" s="24" t="inlineStr">
        <is>
          <t>리노공업</t>
        </is>
      </c>
      <c r="D259" s="24" t="inlineStr">
        <is>
          <t>leeno</t>
        </is>
      </c>
      <c r="E259" s="24" t="inlineStr">
        <is>
          <t>058470</t>
        </is>
      </c>
      <c r="F259" s="24" t="inlineStr">
        <is>
          <t>2023</t>
        </is>
      </c>
      <c r="G259" s="24" t="inlineStr">
        <is>
          <t>OFS</t>
        </is>
      </c>
      <c r="H259" s="24" t="inlineStr">
        <is>
          <t>CF</t>
        </is>
      </c>
      <c r="I259" s="24" t="inlineStr">
        <is>
          <t>현금흐름표</t>
        </is>
      </c>
      <c r="J259" s="24" t="inlineStr">
        <is>
          <t>ifrs-full_PurchaseOfIntangibleAssetsClassifiedAsInvestingActivities</t>
        </is>
      </c>
      <c r="K259" s="24" t="inlineStr">
        <is>
          <t>무형자산의 취득</t>
        </is>
      </c>
      <c r="L259" s="24" t="inlineStr">
        <is>
          <t>-</t>
        </is>
      </c>
      <c r="M259" s="24" t="inlineStr">
        <is>
          <t>제 28 기</t>
        </is>
      </c>
      <c r="N259" s="24" t="inlineStr">
        <is>
          <t>525450824.0</t>
        </is>
      </c>
      <c r="O259" s="24" t="inlineStr">
        <is>
          <t>137333416.0</t>
        </is>
      </c>
      <c r="P259" s="24" t="inlineStr">
        <is>
          <t>KRW</t>
        </is>
      </c>
      <c r="Q259" s="24" t="inlineStr">
        <is>
          <t>23</t>
        </is>
      </c>
    </row>
    <row r="260" ht="24" customHeight="1">
      <c r="A260" s="29" t="inlineStr">
        <is>
          <t>OpenDART_fnlttSinglAcntAll</t>
        </is>
      </c>
      <c r="B260" s="29" t="inlineStr">
        <is>
          <t>00369657</t>
        </is>
      </c>
      <c r="C260" s="29" t="inlineStr">
        <is>
          <t>리노공업</t>
        </is>
      </c>
      <c r="D260" s="29" t="inlineStr">
        <is>
          <t>leeno</t>
        </is>
      </c>
      <c r="E260" s="29" t="inlineStr">
        <is>
          <t>058470</t>
        </is>
      </c>
      <c r="F260" s="29" t="inlineStr">
        <is>
          <t>2023</t>
        </is>
      </c>
      <c r="G260" s="29" t="inlineStr">
        <is>
          <t>OFS</t>
        </is>
      </c>
      <c r="H260" s="29" t="inlineStr">
        <is>
          <t>CF</t>
        </is>
      </c>
      <c r="I260" s="29" t="inlineStr">
        <is>
          <t>현금흐름표</t>
        </is>
      </c>
      <c r="J260" s="29" t="inlineStr">
        <is>
          <t>ifrs-full_PurchaseOfPropertyPlantAndEquipmentClassifiedAsInvestingActivities</t>
        </is>
      </c>
      <c r="K260" s="29" t="inlineStr">
        <is>
          <t>유형자산의 취득</t>
        </is>
      </c>
      <c r="L260" s="29" t="inlineStr">
        <is>
          <t>-</t>
        </is>
      </c>
      <c r="M260" s="29" t="inlineStr">
        <is>
          <t>제 28 기</t>
        </is>
      </c>
      <c r="N260" s="29" t="inlineStr">
        <is>
          <t>68500491718.0</t>
        </is>
      </c>
      <c r="O260" s="29" t="inlineStr">
        <is>
          <t>18249507304.0</t>
        </is>
      </c>
      <c r="P260" s="29" t="inlineStr">
        <is>
          <t>KRW</t>
        </is>
      </c>
      <c r="Q260" s="29" t="inlineStr">
        <is>
          <t>24</t>
        </is>
      </c>
    </row>
    <row r="261" ht="24" customHeight="1">
      <c r="A261" s="24" t="inlineStr">
        <is>
          <t>OpenDART_fnlttSinglAcntAll</t>
        </is>
      </c>
      <c r="B261" s="24" t="inlineStr">
        <is>
          <t>00369657</t>
        </is>
      </c>
      <c r="C261" s="24" t="inlineStr">
        <is>
          <t>리노공업</t>
        </is>
      </c>
      <c r="D261" s="24" t="inlineStr">
        <is>
          <t>leeno</t>
        </is>
      </c>
      <c r="E261" s="24" t="inlineStr">
        <is>
          <t>058470</t>
        </is>
      </c>
      <c r="F261" s="24" t="inlineStr">
        <is>
          <t>2023</t>
        </is>
      </c>
      <c r="G261" s="24" t="inlineStr">
        <is>
          <t>OFS</t>
        </is>
      </c>
      <c r="H261" s="24" t="inlineStr">
        <is>
          <t>CF</t>
        </is>
      </c>
      <c r="I261" s="24" t="inlineStr">
        <is>
          <t>현금흐름표</t>
        </is>
      </c>
      <c r="J261" s="24" t="inlineStr">
        <is>
          <t>ifrs-full_CashFlowsFromUsedInOperatingActivities</t>
        </is>
      </c>
      <c r="K261" s="24" t="inlineStr">
        <is>
          <t>영업활동현금흐름</t>
        </is>
      </c>
      <c r="L261" s="24" t="inlineStr">
        <is>
          <t>-</t>
        </is>
      </c>
      <c r="M261" s="24" t="inlineStr">
        <is>
          <t>제 28 기</t>
        </is>
      </c>
      <c r="N261" s="24" t="inlineStr">
        <is>
          <t>110391022028.0</t>
        </is>
      </c>
      <c r="O261" s="24" t="inlineStr">
        <is>
          <t>108593008315.0</t>
        </is>
      </c>
      <c r="P261" s="24" t="inlineStr">
        <is>
          <t>KRW</t>
        </is>
      </c>
      <c r="Q261" s="24" t="inlineStr">
        <is>
          <t>25</t>
        </is>
      </c>
    </row>
    <row r="262" ht="24" customHeight="1">
      <c r="A262" s="29" t="inlineStr">
        <is>
          <t>OpenDART_fnlttSinglAcntAll</t>
        </is>
      </c>
      <c r="B262" s="29" t="inlineStr">
        <is>
          <t>00369657</t>
        </is>
      </c>
      <c r="C262" s="29" t="inlineStr">
        <is>
          <t>리노공업</t>
        </is>
      </c>
      <c r="D262" s="29" t="inlineStr">
        <is>
          <t>leeno</t>
        </is>
      </c>
      <c r="E262" s="29" t="inlineStr">
        <is>
          <t>058470</t>
        </is>
      </c>
      <c r="F262" s="29" t="inlineStr">
        <is>
          <t>2023</t>
        </is>
      </c>
      <c r="G262" s="29" t="inlineStr">
        <is>
          <t>OFS</t>
        </is>
      </c>
      <c r="H262" s="29" t="inlineStr">
        <is>
          <t>CF</t>
        </is>
      </c>
      <c r="I262" s="29" t="inlineStr">
        <is>
          <t>현금흐름표</t>
        </is>
      </c>
      <c r="J262" s="29" t="inlineStr">
        <is>
          <t>-표준계정코드 미사용-</t>
        </is>
      </c>
      <c r="K262" s="29" t="inlineStr">
        <is>
          <t>영업으로부터 창출된 현금흐름</t>
        </is>
      </c>
      <c r="L262" s="29" t="inlineStr">
        <is>
          <t>-</t>
        </is>
      </c>
      <c r="M262" s="29" t="inlineStr">
        <is>
          <t>제 28 기</t>
        </is>
      </c>
      <c r="N262" s="29" t="inlineStr">
        <is>
          <t>141739522948.0</t>
        </is>
      </c>
      <c r="O262" s="29" t="inlineStr">
        <is>
          <t>146161347623.0</t>
        </is>
      </c>
      <c r="P262" s="29" t="inlineStr">
        <is>
          <t>KRW</t>
        </is>
      </c>
      <c r="Q262" s="29" t="inlineStr">
        <is>
          <t>26</t>
        </is>
      </c>
    </row>
    <row r="263" ht="24" customHeight="1">
      <c r="A263" s="24" t="inlineStr">
        <is>
          <t>OpenDART_fnlttSinglAcntAll</t>
        </is>
      </c>
      <c r="B263" s="24" t="inlineStr">
        <is>
          <t>00369657</t>
        </is>
      </c>
      <c r="C263" s="24" t="inlineStr">
        <is>
          <t>리노공업</t>
        </is>
      </c>
      <c r="D263" s="24" t="inlineStr">
        <is>
          <t>leeno</t>
        </is>
      </c>
      <c r="E263" s="24" t="inlineStr">
        <is>
          <t>058470</t>
        </is>
      </c>
      <c r="F263" s="24" t="inlineStr">
        <is>
          <t>2023</t>
        </is>
      </c>
      <c r="G263" s="24" t="inlineStr">
        <is>
          <t>OFS</t>
        </is>
      </c>
      <c r="H263" s="24" t="inlineStr">
        <is>
          <t>CF</t>
        </is>
      </c>
      <c r="I263" s="24" t="inlineStr">
        <is>
          <t>현금흐름표</t>
        </is>
      </c>
      <c r="J263" s="24" t="inlineStr">
        <is>
          <t>ifrs-full_IncomeTaxesPaidRefundClassifiedAsOperatingActivities</t>
        </is>
      </c>
      <c r="K263" s="24" t="inlineStr">
        <is>
          <t>법인세의 납부</t>
        </is>
      </c>
      <c r="L263" s="24" t="inlineStr">
        <is>
          <t>-</t>
        </is>
      </c>
      <c r="M263" s="24" t="inlineStr">
        <is>
          <t>제 28 기</t>
        </is>
      </c>
      <c r="N263" s="24" t="inlineStr">
        <is>
          <t>42026167643.0</t>
        </is>
      </c>
      <c r="O263" s="24" t="inlineStr">
        <is>
          <t>42660026667.0</t>
        </is>
      </c>
      <c r="P263" s="24" t="inlineStr">
        <is>
          <t>KRW</t>
        </is>
      </c>
      <c r="Q263" s="24" t="inlineStr">
        <is>
          <t>27</t>
        </is>
      </c>
    </row>
    <row r="264" ht="24" customHeight="1">
      <c r="A264" s="29" t="inlineStr">
        <is>
          <t>OpenDART_fnlttSinglAcntAll</t>
        </is>
      </c>
      <c r="B264" s="29" t="inlineStr">
        <is>
          <t>00369657</t>
        </is>
      </c>
      <c r="C264" s="29" t="inlineStr">
        <is>
          <t>리노공업</t>
        </is>
      </c>
      <c r="D264" s="29" t="inlineStr">
        <is>
          <t>leeno</t>
        </is>
      </c>
      <c r="E264" s="29" t="inlineStr">
        <is>
          <t>058470</t>
        </is>
      </c>
      <c r="F264" s="29" t="inlineStr">
        <is>
          <t>2023</t>
        </is>
      </c>
      <c r="G264" s="29" t="inlineStr">
        <is>
          <t>OFS</t>
        </is>
      </c>
      <c r="H264" s="29" t="inlineStr">
        <is>
          <t>CF</t>
        </is>
      </c>
      <c r="I264" s="29" t="inlineStr">
        <is>
          <t>현금흐름표</t>
        </is>
      </c>
      <c r="J264" s="29" t="inlineStr">
        <is>
          <t>ifrs-full_InterestPaidClassifiedAsOperatingActivities</t>
        </is>
      </c>
      <c r="K264" s="29" t="inlineStr">
        <is>
          <t>이자지급</t>
        </is>
      </c>
      <c r="L264" s="29" t="inlineStr">
        <is>
          <t>-</t>
        </is>
      </c>
      <c r="M264" s="29" t="inlineStr">
        <is>
          <t>제 28 기</t>
        </is>
      </c>
      <c r="N264" s="29" t="inlineStr">
        <is>
          <t>9113805.0</t>
        </is>
      </c>
      <c r="O264" s="29" t="inlineStr">
        <is>
          <t>7217826.0</t>
        </is>
      </c>
      <c r="P264" s="29" t="inlineStr">
        <is>
          <t>KRW</t>
        </is>
      </c>
      <c r="Q264" s="29" t="inlineStr">
        <is>
          <t>28</t>
        </is>
      </c>
    </row>
    <row r="265" ht="24" customHeight="1">
      <c r="A265" s="24" t="inlineStr">
        <is>
          <t>OpenDART_fnlttSinglAcntAll</t>
        </is>
      </c>
      <c r="B265" s="24" t="inlineStr">
        <is>
          <t>00369657</t>
        </is>
      </c>
      <c r="C265" s="24" t="inlineStr">
        <is>
          <t>리노공업</t>
        </is>
      </c>
      <c r="D265" s="24" t="inlineStr">
        <is>
          <t>leeno</t>
        </is>
      </c>
      <c r="E265" s="24" t="inlineStr">
        <is>
          <t>058470</t>
        </is>
      </c>
      <c r="F265" s="24" t="inlineStr">
        <is>
          <t>2023</t>
        </is>
      </c>
      <c r="G265" s="24" t="inlineStr">
        <is>
          <t>OFS</t>
        </is>
      </c>
      <c r="H265" s="24" t="inlineStr">
        <is>
          <t>CF</t>
        </is>
      </c>
      <c r="I265" s="24" t="inlineStr">
        <is>
          <t>현금흐름표</t>
        </is>
      </c>
      <c r="J265" s="24" t="inlineStr">
        <is>
          <t>ifrs-full_InterestReceivedClassifiedAsOperatingActivities</t>
        </is>
      </c>
      <c r="K265" s="24" t="inlineStr">
        <is>
          <t>이자의 수취</t>
        </is>
      </c>
      <c r="L265" s="24" t="inlineStr">
        <is>
          <t>-</t>
        </is>
      </c>
      <c r="M265" s="24" t="inlineStr">
        <is>
          <t>제 28 기</t>
        </is>
      </c>
      <c r="N265" s="24" t="inlineStr">
        <is>
          <t>10686780528.0</t>
        </is>
      </c>
      <c r="O265" s="24" t="inlineStr">
        <is>
          <t>5098905185.0</t>
        </is>
      </c>
      <c r="P265" s="24" t="inlineStr">
        <is>
          <t>KRW</t>
        </is>
      </c>
      <c r="Q265" s="24" t="inlineStr">
        <is>
          <t>29</t>
        </is>
      </c>
    </row>
    <row r="266" ht="24" customHeight="1">
      <c r="A266" s="29" t="inlineStr">
        <is>
          <t>OpenDART_fnlttSinglAcntAll</t>
        </is>
      </c>
      <c r="B266" s="29" t="inlineStr">
        <is>
          <t>00369657</t>
        </is>
      </c>
      <c r="C266" s="29" t="inlineStr">
        <is>
          <t>리노공업</t>
        </is>
      </c>
      <c r="D266" s="29" t="inlineStr">
        <is>
          <t>leeno</t>
        </is>
      </c>
      <c r="E266" s="29" t="inlineStr">
        <is>
          <t>058470</t>
        </is>
      </c>
      <c r="F266" s="29" t="inlineStr">
        <is>
          <t>2023</t>
        </is>
      </c>
      <c r="G266" s="29" t="inlineStr">
        <is>
          <t>OFS</t>
        </is>
      </c>
      <c r="H266" s="29" t="inlineStr">
        <is>
          <t>CF</t>
        </is>
      </c>
      <c r="I266" s="29" t="inlineStr">
        <is>
          <t>현금흐름표</t>
        </is>
      </c>
      <c r="J266" s="29" t="inlineStr">
        <is>
          <t>ifrs-full_EffectOfExchangeRateChangesOnCashAndCashEquivalents</t>
        </is>
      </c>
      <c r="K266" s="29" t="inlineStr">
        <is>
          <t>현금및현금성자산에 대한 환율변동효과</t>
        </is>
      </c>
      <c r="L266" s="29" t="inlineStr">
        <is>
          <t>-</t>
        </is>
      </c>
      <c r="M266" s="29" t="inlineStr">
        <is>
          <t>제 28 기</t>
        </is>
      </c>
      <c r="N266" s="29" t="inlineStr">
        <is>
          <t>101729555.0</t>
        </is>
      </c>
      <c r="O266" s="29" t="inlineStr">
        <is>
          <t>-109480754.0</t>
        </is>
      </c>
      <c r="P266" s="29" t="inlineStr">
        <is>
          <t>KRW</t>
        </is>
      </c>
      <c r="Q266" s="29" t="inlineStr">
        <is>
          <t>30</t>
        </is>
      </c>
    </row>
    <row r="267" ht="24" customHeight="1">
      <c r="A267" s="24" t="inlineStr">
        <is>
          <t>OpenDART_fnlttSinglAcntAll</t>
        </is>
      </c>
      <c r="B267" s="24" t="inlineStr">
        <is>
          <t>00369657</t>
        </is>
      </c>
      <c r="C267" s="24" t="inlineStr">
        <is>
          <t>리노공업</t>
        </is>
      </c>
      <c r="D267" s="24" t="inlineStr">
        <is>
          <t>leeno</t>
        </is>
      </c>
      <c r="E267" s="24" t="inlineStr">
        <is>
          <t>058470</t>
        </is>
      </c>
      <c r="F267" s="24" t="inlineStr">
        <is>
          <t>2023</t>
        </is>
      </c>
      <c r="G267" s="24" t="inlineStr">
        <is>
          <t>OFS</t>
        </is>
      </c>
      <c r="H267" s="24" t="inlineStr">
        <is>
          <t>CF</t>
        </is>
      </c>
      <c r="I267" s="24" t="inlineStr">
        <is>
          <t>현금흐름표</t>
        </is>
      </c>
      <c r="J267" s="24" t="inlineStr">
        <is>
          <t>ifrs-full_IncreaseDecreaseInCashAndCashEquivalentsBeforeEffectOfExchangeRateChanges</t>
        </is>
      </c>
      <c r="K267" s="24" t="inlineStr">
        <is>
          <t>현금및현금성자산의 증가(감소)</t>
        </is>
      </c>
      <c r="L267" s="24" t="inlineStr">
        <is>
          <t>-</t>
        </is>
      </c>
      <c r="M267" s="24" t="inlineStr">
        <is>
          <t>제 28 기</t>
        </is>
      </c>
      <c r="N267" s="24" t="inlineStr">
        <is>
          <t>3697169966.0</t>
        </is>
      </c>
      <c r="O267" s="24" t="inlineStr">
        <is>
          <t>-46735086326.0</t>
        </is>
      </c>
      <c r="P267" s="24" t="inlineStr">
        <is>
          <t>KRW</t>
        </is>
      </c>
      <c r="Q267" s="24" t="inlineStr">
        <is>
          <t>31</t>
        </is>
      </c>
    </row>
    <row r="268" ht="24" customHeight="1">
      <c r="A268" s="29" t="inlineStr">
        <is>
          <t>OpenDART_fnlttSinglAcntAll</t>
        </is>
      </c>
      <c r="B268" s="29" t="inlineStr">
        <is>
          <t>00369657</t>
        </is>
      </c>
      <c r="C268" s="29" t="inlineStr">
        <is>
          <t>리노공업</t>
        </is>
      </c>
      <c r="D268" s="29" t="inlineStr">
        <is>
          <t>leeno</t>
        </is>
      </c>
      <c r="E268" s="29" t="inlineStr">
        <is>
          <t>058470</t>
        </is>
      </c>
      <c r="F268" s="29" t="inlineStr">
        <is>
          <t>2023</t>
        </is>
      </c>
      <c r="G268" s="29" t="inlineStr">
        <is>
          <t>OFS</t>
        </is>
      </c>
      <c r="H268" s="29" t="inlineStr">
        <is>
          <t>SCE</t>
        </is>
      </c>
      <c r="I268" s="29" t="inlineStr">
        <is>
          <t>자본변동표</t>
        </is>
      </c>
      <c r="J268" s="29" t="inlineStr">
        <is>
          <t>dart_EquityAtBeginningOfPeriod</t>
        </is>
      </c>
      <c r="K268" s="29" t="inlineStr">
        <is>
          <t>기초자본</t>
        </is>
      </c>
      <c r="L268" s="29" t="inlineStr">
        <is>
          <t>별도재무제표 [member]</t>
        </is>
      </c>
      <c r="M268" s="29" t="inlineStr">
        <is>
          <t>제 28 기</t>
        </is>
      </c>
      <c r="N268" s="29" t="inlineStr">
        <is>
          <t>493183582826.0</t>
        </is>
      </c>
      <c r="O268" s="29" t="inlineStr">
        <is>
          <t>417703187103.0</t>
        </is>
      </c>
      <c r="P268" s="29" t="inlineStr">
        <is>
          <t>KRW</t>
        </is>
      </c>
      <c r="Q268" s="29" t="inlineStr">
        <is>
          <t>3</t>
        </is>
      </c>
    </row>
    <row r="269" ht="24" customHeight="1">
      <c r="A269" s="24" t="inlineStr">
        <is>
          <t>OpenDART_fnlttSinglAcntAll</t>
        </is>
      </c>
      <c r="B269" s="24" t="inlineStr">
        <is>
          <t>00369657</t>
        </is>
      </c>
      <c r="C269" s="24" t="inlineStr">
        <is>
          <t>리노공업</t>
        </is>
      </c>
      <c r="D269" s="24" t="inlineStr">
        <is>
          <t>leeno</t>
        </is>
      </c>
      <c r="E269" s="24" t="inlineStr">
        <is>
          <t>058470</t>
        </is>
      </c>
      <c r="F269" s="24" t="inlineStr">
        <is>
          <t>2023</t>
        </is>
      </c>
      <c r="G269" s="24" t="inlineStr">
        <is>
          <t>OFS</t>
        </is>
      </c>
      <c r="H269" s="24" t="inlineStr">
        <is>
          <t>SCE</t>
        </is>
      </c>
      <c r="I269" s="24" t="inlineStr">
        <is>
          <t>자본변동표</t>
        </is>
      </c>
      <c r="J269" s="24" t="inlineStr">
        <is>
          <t>dart_EquityAtBeginningOfPeriod</t>
        </is>
      </c>
      <c r="K269" s="24" t="inlineStr">
        <is>
          <t>기초자본</t>
        </is>
      </c>
      <c r="L269" s="24" t="inlineStr">
        <is>
          <t>자본 [구성요소]|기타자본구성요소 [구성요소]</t>
        </is>
      </c>
      <c r="M269" s="24" t="inlineStr">
        <is>
          <t>제 28 기</t>
        </is>
      </c>
      <c r="N269" s="24" t="inlineStr">
        <is>
          <t>-2353516350.0</t>
        </is>
      </c>
      <c r="O269" s="24" t="inlineStr">
        <is>
          <t>-2353516350.0</t>
        </is>
      </c>
      <c r="P269" s="24" t="inlineStr">
        <is>
          <t>KRW</t>
        </is>
      </c>
      <c r="Q269" s="24" t="inlineStr">
        <is>
          <t>3</t>
        </is>
      </c>
    </row>
    <row r="270" ht="24" customHeight="1">
      <c r="A270" s="29" t="inlineStr">
        <is>
          <t>OpenDART_fnlttSinglAcntAll</t>
        </is>
      </c>
      <c r="B270" s="29" t="inlineStr">
        <is>
          <t>00369657</t>
        </is>
      </c>
      <c r="C270" s="29" t="inlineStr">
        <is>
          <t>리노공업</t>
        </is>
      </c>
      <c r="D270" s="29" t="inlineStr">
        <is>
          <t>leeno</t>
        </is>
      </c>
      <c r="E270" s="29" t="inlineStr">
        <is>
          <t>058470</t>
        </is>
      </c>
      <c r="F270" s="29" t="inlineStr">
        <is>
          <t>2023</t>
        </is>
      </c>
      <c r="G270" s="29" t="inlineStr">
        <is>
          <t>OFS</t>
        </is>
      </c>
      <c r="H270" s="29" t="inlineStr">
        <is>
          <t>SCE</t>
        </is>
      </c>
      <c r="I270" s="29" t="inlineStr">
        <is>
          <t>자본변동표</t>
        </is>
      </c>
      <c r="J270" s="29" t="inlineStr">
        <is>
          <t>dart_EquityAtBeginningOfPeriod</t>
        </is>
      </c>
      <c r="K270" s="29" t="inlineStr">
        <is>
          <t>기초자본</t>
        </is>
      </c>
      <c r="L270" s="29" t="inlineStr">
        <is>
          <t>자본 [구성요소]|이익잉여금 [구성요소]</t>
        </is>
      </c>
      <c r="M270" s="29" t="inlineStr">
        <is>
          <t>제 28 기</t>
        </is>
      </c>
      <c r="N270" s="29" t="inlineStr">
        <is>
          <t>482314103732.0</t>
        </is>
      </c>
      <c r="O270" s="29" t="inlineStr">
        <is>
          <t>406833708009.0</t>
        </is>
      </c>
      <c r="P270" s="29" t="inlineStr">
        <is>
          <t>KRW</t>
        </is>
      </c>
      <c r="Q270" s="29" t="inlineStr">
        <is>
          <t>3</t>
        </is>
      </c>
    </row>
    <row r="271" ht="24" customHeight="1">
      <c r="A271" s="24" t="inlineStr">
        <is>
          <t>OpenDART_fnlttSinglAcntAll</t>
        </is>
      </c>
      <c r="B271" s="24" t="inlineStr">
        <is>
          <t>00369657</t>
        </is>
      </c>
      <c r="C271" s="24" t="inlineStr">
        <is>
          <t>리노공업</t>
        </is>
      </c>
      <c r="D271" s="24" t="inlineStr">
        <is>
          <t>leeno</t>
        </is>
      </c>
      <c r="E271" s="24" t="inlineStr">
        <is>
          <t>058470</t>
        </is>
      </c>
      <c r="F271" s="24" t="inlineStr">
        <is>
          <t>2023</t>
        </is>
      </c>
      <c r="G271" s="24" t="inlineStr">
        <is>
          <t>OFS</t>
        </is>
      </c>
      <c r="H271" s="24" t="inlineStr">
        <is>
          <t>SCE</t>
        </is>
      </c>
      <c r="I271" s="24" t="inlineStr">
        <is>
          <t>자본변동표</t>
        </is>
      </c>
      <c r="J271" s="24" t="inlineStr">
        <is>
          <t>dart_EquityAtBeginningOfPeriod</t>
        </is>
      </c>
      <c r="K271" s="24" t="inlineStr">
        <is>
          <t>기초자본</t>
        </is>
      </c>
      <c r="L271" s="24" t="inlineStr">
        <is>
          <t>자본 [구성요소]|자본금 [구성요소]</t>
        </is>
      </c>
      <c r="M271" s="24" t="inlineStr">
        <is>
          <t>제 28 기</t>
        </is>
      </c>
      <c r="N271" s="24" t="inlineStr">
        <is>
          <t>7621185000.0</t>
        </is>
      </c>
      <c r="O271" s="24" t="inlineStr">
        <is>
          <t>7621185000.0</t>
        </is>
      </c>
      <c r="P271" s="24" t="inlineStr">
        <is>
          <t>KRW</t>
        </is>
      </c>
      <c r="Q271" s="24" t="inlineStr">
        <is>
          <t>3</t>
        </is>
      </c>
    </row>
    <row r="272" ht="24" customHeight="1">
      <c r="A272" s="29" t="inlineStr">
        <is>
          <t>OpenDART_fnlttSinglAcntAll</t>
        </is>
      </c>
      <c r="B272" s="29" t="inlineStr">
        <is>
          <t>00369657</t>
        </is>
      </c>
      <c r="C272" s="29" t="inlineStr">
        <is>
          <t>리노공업</t>
        </is>
      </c>
      <c r="D272" s="29" t="inlineStr">
        <is>
          <t>leeno</t>
        </is>
      </c>
      <c r="E272" s="29" t="inlineStr">
        <is>
          <t>058470</t>
        </is>
      </c>
      <c r="F272" s="29" t="inlineStr">
        <is>
          <t>2023</t>
        </is>
      </c>
      <c r="G272" s="29" t="inlineStr">
        <is>
          <t>OFS</t>
        </is>
      </c>
      <c r="H272" s="29" t="inlineStr">
        <is>
          <t>SCE</t>
        </is>
      </c>
      <c r="I272" s="29" t="inlineStr">
        <is>
          <t>자본변동표</t>
        </is>
      </c>
      <c r="J272" s="29" t="inlineStr">
        <is>
          <t>dart_EquityAtBeginningOfPeriod</t>
        </is>
      </c>
      <c r="K272" s="29" t="inlineStr">
        <is>
          <t>기초자본</t>
        </is>
      </c>
      <c r="L272" s="29" t="inlineStr">
        <is>
          <t>자본 [구성요소]|자본잉여금 [구성요소]</t>
        </is>
      </c>
      <c r="M272" s="29" t="inlineStr">
        <is>
          <t>제 28 기</t>
        </is>
      </c>
      <c r="N272" s="29" t="inlineStr">
        <is>
          <t>5601810444.0</t>
        </is>
      </c>
      <c r="O272" s="29" t="inlineStr">
        <is>
          <t>5601810444.0</t>
        </is>
      </c>
      <c r="P272" s="29" t="inlineStr">
        <is>
          <t>KRW</t>
        </is>
      </c>
      <c r="Q272" s="29" t="inlineStr">
        <is>
          <t>3</t>
        </is>
      </c>
    </row>
    <row r="273" ht="24" customHeight="1">
      <c r="A273" s="24" t="inlineStr">
        <is>
          <t>OpenDART_fnlttSinglAcntAll</t>
        </is>
      </c>
      <c r="B273" s="24" t="inlineStr">
        <is>
          <t>00369657</t>
        </is>
      </c>
      <c r="C273" s="24" t="inlineStr">
        <is>
          <t>리노공업</t>
        </is>
      </c>
      <c r="D273" s="24" t="inlineStr">
        <is>
          <t>leeno</t>
        </is>
      </c>
      <c r="E273" s="24" t="inlineStr">
        <is>
          <t>058470</t>
        </is>
      </c>
      <c r="F273" s="24" t="inlineStr">
        <is>
          <t>2023</t>
        </is>
      </c>
      <c r="G273" s="24" t="inlineStr">
        <is>
          <t>OFS</t>
        </is>
      </c>
      <c r="H273" s="24" t="inlineStr">
        <is>
          <t>SCE</t>
        </is>
      </c>
      <c r="I273" s="24" t="inlineStr">
        <is>
          <t>자본변동표</t>
        </is>
      </c>
      <c r="J273" s="24" t="inlineStr">
        <is>
          <t>-표준계정코드 미사용-</t>
        </is>
      </c>
      <c r="K273" s="24" t="inlineStr">
        <is>
          <t>배당금의 지급</t>
        </is>
      </c>
      <c r="L273" s="24" t="inlineStr">
        <is>
          <t>별도재무제표 [member]</t>
        </is>
      </c>
      <c r="M273" s="24" t="inlineStr">
        <is>
          <t>제 28 기</t>
        </is>
      </c>
      <c r="N273" s="24" t="inlineStr">
        <is>
          <t>-45537360000.0</t>
        </is>
      </c>
      <c r="O273" s="24" t="inlineStr">
        <is>
          <t>-37947800000.0</t>
        </is>
      </c>
      <c r="P273" s="24" t="inlineStr">
        <is>
          <t>KRW</t>
        </is>
      </c>
      <c r="Q273" s="24" t="inlineStr">
        <is>
          <t>4</t>
        </is>
      </c>
    </row>
    <row r="274" ht="24" customHeight="1">
      <c r="A274" s="29" t="inlineStr">
        <is>
          <t>OpenDART_fnlttSinglAcntAll</t>
        </is>
      </c>
      <c r="B274" s="29" t="inlineStr">
        <is>
          <t>00369657</t>
        </is>
      </c>
      <c r="C274" s="29" t="inlineStr">
        <is>
          <t>리노공업</t>
        </is>
      </c>
      <c r="D274" s="29" t="inlineStr">
        <is>
          <t>leeno</t>
        </is>
      </c>
      <c r="E274" s="29" t="inlineStr">
        <is>
          <t>058470</t>
        </is>
      </c>
      <c r="F274" s="29" t="inlineStr">
        <is>
          <t>2023</t>
        </is>
      </c>
      <c r="G274" s="29" t="inlineStr">
        <is>
          <t>OFS</t>
        </is>
      </c>
      <c r="H274" s="29" t="inlineStr">
        <is>
          <t>SCE</t>
        </is>
      </c>
      <c r="I274" s="29" t="inlineStr">
        <is>
          <t>자본변동표</t>
        </is>
      </c>
      <c r="J274" s="29" t="inlineStr">
        <is>
          <t>-표준계정코드 미사용-</t>
        </is>
      </c>
      <c r="K274" s="29" t="inlineStr">
        <is>
          <t>배당금의 지급</t>
        </is>
      </c>
      <c r="L274" s="29" t="inlineStr">
        <is>
          <t>자본 [구성요소]|이익잉여금 [구성요소]</t>
        </is>
      </c>
      <c r="M274" s="29" t="inlineStr">
        <is>
          <t>제 28 기</t>
        </is>
      </c>
      <c r="N274" s="29" t="inlineStr">
        <is>
          <t>-45537360000.0</t>
        </is>
      </c>
      <c r="O274" s="29" t="inlineStr">
        <is>
          <t>-37947800000.0</t>
        </is>
      </c>
      <c r="P274" s="29" t="inlineStr">
        <is>
          <t>KRW</t>
        </is>
      </c>
      <c r="Q274" s="29" t="inlineStr">
        <is>
          <t>4</t>
        </is>
      </c>
    </row>
    <row r="275" ht="24" customHeight="1">
      <c r="A275" s="24" t="inlineStr">
        <is>
          <t>OpenDART_fnlttSinglAcntAll</t>
        </is>
      </c>
      <c r="B275" s="24" t="inlineStr">
        <is>
          <t>00369657</t>
        </is>
      </c>
      <c r="C275" s="24" t="inlineStr">
        <is>
          <t>리노공업</t>
        </is>
      </c>
      <c r="D275" s="24" t="inlineStr">
        <is>
          <t>leeno</t>
        </is>
      </c>
      <c r="E275" s="24" t="inlineStr">
        <is>
          <t>058470</t>
        </is>
      </c>
      <c r="F275" s="24" t="inlineStr">
        <is>
          <t>2023</t>
        </is>
      </c>
      <c r="G275" s="24" t="inlineStr">
        <is>
          <t>OFS</t>
        </is>
      </c>
      <c r="H275" s="24" t="inlineStr">
        <is>
          <t>SCE</t>
        </is>
      </c>
      <c r="I275" s="24" t="inlineStr">
        <is>
          <t>자본변동표</t>
        </is>
      </c>
      <c r="J275" s="24" t="inlineStr">
        <is>
          <t>-표준계정코드 미사용-</t>
        </is>
      </c>
      <c r="K275" s="24" t="inlineStr">
        <is>
          <t>종업원급여재측정요소</t>
        </is>
      </c>
      <c r="L275" s="24" t="inlineStr">
        <is>
          <t>별도재무제표 [member]</t>
        </is>
      </c>
      <c r="M275" s="24" t="inlineStr">
        <is>
          <t>제 28 기</t>
        </is>
      </c>
      <c r="N275" s="24" t="inlineStr">
        <is>
          <t>-1495040200.0</t>
        </is>
      </c>
      <c r="O275" s="24" t="inlineStr">
        <is>
          <t>-935595604.0</t>
        </is>
      </c>
      <c r="P275" s="24" t="inlineStr">
        <is>
          <t>KRW</t>
        </is>
      </c>
      <c r="Q275" s="24" t="inlineStr">
        <is>
          <t>5</t>
        </is>
      </c>
    </row>
    <row r="276" ht="24" customHeight="1">
      <c r="A276" s="29" t="inlineStr">
        <is>
          <t>OpenDART_fnlttSinglAcntAll</t>
        </is>
      </c>
      <c r="B276" s="29" t="inlineStr">
        <is>
          <t>00369657</t>
        </is>
      </c>
      <c r="C276" s="29" t="inlineStr">
        <is>
          <t>리노공업</t>
        </is>
      </c>
      <c r="D276" s="29" t="inlineStr">
        <is>
          <t>leeno</t>
        </is>
      </c>
      <c r="E276" s="29" t="inlineStr">
        <is>
          <t>058470</t>
        </is>
      </c>
      <c r="F276" s="29" t="inlineStr">
        <is>
          <t>2023</t>
        </is>
      </c>
      <c r="G276" s="29" t="inlineStr">
        <is>
          <t>OFS</t>
        </is>
      </c>
      <c r="H276" s="29" t="inlineStr">
        <is>
          <t>SCE</t>
        </is>
      </c>
      <c r="I276" s="29" t="inlineStr">
        <is>
          <t>자본변동표</t>
        </is>
      </c>
      <c r="J276" s="29" t="inlineStr">
        <is>
          <t>-표준계정코드 미사용-</t>
        </is>
      </c>
      <c r="K276" s="29" t="inlineStr">
        <is>
          <t>종업원급여재측정요소</t>
        </is>
      </c>
      <c r="L276" s="29" t="inlineStr">
        <is>
          <t>자본 [구성요소]|이익잉여금 [구성요소]</t>
        </is>
      </c>
      <c r="M276" s="29" t="inlineStr">
        <is>
          <t>제 28 기</t>
        </is>
      </c>
      <c r="N276" s="29" t="inlineStr">
        <is>
          <t>-1495040200.0</t>
        </is>
      </c>
      <c r="O276" s="29" t="inlineStr">
        <is>
          <t>-935595604.0</t>
        </is>
      </c>
      <c r="P276" s="29" t="inlineStr">
        <is>
          <t>KRW</t>
        </is>
      </c>
      <c r="Q276" s="29" t="inlineStr">
        <is>
          <t>5</t>
        </is>
      </c>
    </row>
    <row r="277" ht="24" customHeight="1">
      <c r="A277" s="24" t="inlineStr">
        <is>
          <t>OpenDART_fnlttSinglAcntAll</t>
        </is>
      </c>
      <c r="B277" s="24" t="inlineStr">
        <is>
          <t>00369657</t>
        </is>
      </c>
      <c r="C277" s="24" t="inlineStr">
        <is>
          <t>리노공업</t>
        </is>
      </c>
      <c r="D277" s="24" t="inlineStr">
        <is>
          <t>leeno</t>
        </is>
      </c>
      <c r="E277" s="24" t="inlineStr">
        <is>
          <t>058470</t>
        </is>
      </c>
      <c r="F277" s="24" t="inlineStr">
        <is>
          <t>2023</t>
        </is>
      </c>
      <c r="G277" s="24" t="inlineStr">
        <is>
          <t>OFS</t>
        </is>
      </c>
      <c r="H277" s="24" t="inlineStr">
        <is>
          <t>SCE</t>
        </is>
      </c>
      <c r="I277" s="24" t="inlineStr">
        <is>
          <t>자본변동표</t>
        </is>
      </c>
      <c r="J277" s="24" t="inlineStr">
        <is>
          <t>-표준계정코드 미사용-</t>
        </is>
      </c>
      <c r="K277" s="24" t="inlineStr">
        <is>
          <t>총포괄손익 소계</t>
        </is>
      </c>
      <c r="L277" s="24" t="inlineStr">
        <is>
          <t>자본 [구성요소]|이익잉여금 [구성요소]</t>
        </is>
      </c>
      <c r="M277" s="24" t="inlineStr">
        <is>
          <t>제 28 기</t>
        </is>
      </c>
      <c r="N277" s="24" t="inlineStr">
        <is>
          <t>109427975240.0</t>
        </is>
      </c>
      <c r="O277" s="24" t="inlineStr">
        <is>
          <t>113428195723.0</t>
        </is>
      </c>
      <c r="P277" s="24" t="inlineStr">
        <is>
          <t>KRW</t>
        </is>
      </c>
      <c r="Q277" s="24" t="inlineStr">
        <is>
          <t>6</t>
        </is>
      </c>
    </row>
    <row r="278" ht="24" customHeight="1">
      <c r="A278" s="29" t="inlineStr">
        <is>
          <t>OpenDART_fnlttSinglAcntAll</t>
        </is>
      </c>
      <c r="B278" s="29" t="inlineStr">
        <is>
          <t>00369657</t>
        </is>
      </c>
      <c r="C278" s="29" t="inlineStr">
        <is>
          <t>리노공업</t>
        </is>
      </c>
      <c r="D278" s="29" t="inlineStr">
        <is>
          <t>leeno</t>
        </is>
      </c>
      <c r="E278" s="29" t="inlineStr">
        <is>
          <t>058470</t>
        </is>
      </c>
      <c r="F278" s="29" t="inlineStr">
        <is>
          <t>2023</t>
        </is>
      </c>
      <c r="G278" s="29" t="inlineStr">
        <is>
          <t>OFS</t>
        </is>
      </c>
      <c r="H278" s="29" t="inlineStr">
        <is>
          <t>SCE</t>
        </is>
      </c>
      <c r="I278" s="29" t="inlineStr">
        <is>
          <t>자본변동표</t>
        </is>
      </c>
      <c r="J278" s="29" t="inlineStr">
        <is>
          <t>-표준계정코드 미사용-</t>
        </is>
      </c>
      <c r="K278" s="29" t="inlineStr">
        <is>
          <t>총포괄손익 소계</t>
        </is>
      </c>
      <c r="L278" s="29" t="inlineStr">
        <is>
          <t>별도재무제표 [member]</t>
        </is>
      </c>
      <c r="M278" s="29" t="inlineStr">
        <is>
          <t>제 28 기</t>
        </is>
      </c>
      <c r="N278" s="29" t="inlineStr">
        <is>
          <t>109427975240.0</t>
        </is>
      </c>
      <c r="O278" s="29" t="inlineStr">
        <is>
          <t>113428195723.0</t>
        </is>
      </c>
      <c r="P278" s="29" t="inlineStr">
        <is>
          <t>KRW</t>
        </is>
      </c>
      <c r="Q278" s="29" t="inlineStr">
        <is>
          <t>6</t>
        </is>
      </c>
    </row>
    <row r="279" ht="24" customHeight="1">
      <c r="A279" s="24" t="inlineStr">
        <is>
          <t>OpenDART_fnlttSinglAcntAll</t>
        </is>
      </c>
      <c r="B279" s="24" t="inlineStr">
        <is>
          <t>00369657</t>
        </is>
      </c>
      <c r="C279" s="24" t="inlineStr">
        <is>
          <t>리노공업</t>
        </is>
      </c>
      <c r="D279" s="24" t="inlineStr">
        <is>
          <t>leeno</t>
        </is>
      </c>
      <c r="E279" s="24" t="inlineStr">
        <is>
          <t>058470</t>
        </is>
      </c>
      <c r="F279" s="24" t="inlineStr">
        <is>
          <t>2023</t>
        </is>
      </c>
      <c r="G279" s="24" t="inlineStr">
        <is>
          <t>OFS</t>
        </is>
      </c>
      <c r="H279" s="24" t="inlineStr">
        <is>
          <t>SCE</t>
        </is>
      </c>
      <c r="I279" s="24" t="inlineStr">
        <is>
          <t>자본변동표</t>
        </is>
      </c>
      <c r="J279" s="24" t="inlineStr">
        <is>
          <t>ifrs-full_Equity</t>
        </is>
      </c>
      <c r="K279" s="24" t="inlineStr">
        <is>
          <t>자본총계</t>
        </is>
      </c>
      <c r="L279" s="24" t="inlineStr">
        <is>
          <t>자본 [구성요소]|기타자본구성요소 [구성요소]</t>
        </is>
      </c>
      <c r="M279" s="24" t="inlineStr">
        <is>
          <t>제 28 기</t>
        </is>
      </c>
      <c r="N279" s="24" t="inlineStr">
        <is>
          <t>-2353516350.0</t>
        </is>
      </c>
      <c r="O279" s="24" t="inlineStr">
        <is>
          <t>-2353516350.0</t>
        </is>
      </c>
      <c r="P279" s="24" t="inlineStr">
        <is>
          <t>KRW</t>
        </is>
      </c>
      <c r="Q279" s="24" t="inlineStr">
        <is>
          <t>8</t>
        </is>
      </c>
    </row>
    <row r="280" ht="24" customHeight="1">
      <c r="A280" s="29" t="inlineStr">
        <is>
          <t>OpenDART_fnlttSinglAcntAll</t>
        </is>
      </c>
      <c r="B280" s="29" t="inlineStr">
        <is>
          <t>00369657</t>
        </is>
      </c>
      <c r="C280" s="29" t="inlineStr">
        <is>
          <t>리노공업</t>
        </is>
      </c>
      <c r="D280" s="29" t="inlineStr">
        <is>
          <t>leeno</t>
        </is>
      </c>
      <c r="E280" s="29" t="inlineStr">
        <is>
          <t>058470</t>
        </is>
      </c>
      <c r="F280" s="29" t="inlineStr">
        <is>
          <t>2023</t>
        </is>
      </c>
      <c r="G280" s="29" t="inlineStr">
        <is>
          <t>OFS</t>
        </is>
      </c>
      <c r="H280" s="29" t="inlineStr">
        <is>
          <t>SCE</t>
        </is>
      </c>
      <c r="I280" s="29" t="inlineStr">
        <is>
          <t>자본변동표</t>
        </is>
      </c>
      <c r="J280" s="29" t="inlineStr">
        <is>
          <t>ifrs-full_Equity</t>
        </is>
      </c>
      <c r="K280" s="29" t="inlineStr">
        <is>
          <t>자본총계</t>
        </is>
      </c>
      <c r="L280" s="29" t="inlineStr">
        <is>
          <t>별도재무제표 [member]</t>
        </is>
      </c>
      <c r="M280" s="29" t="inlineStr">
        <is>
          <t>제 28 기</t>
        </is>
      </c>
      <c r="N280" s="29" t="inlineStr">
        <is>
          <t>557074198066.0</t>
        </is>
      </c>
      <c r="O280" s="29" t="inlineStr">
        <is>
          <t>493183582826.0</t>
        </is>
      </c>
      <c r="P280" s="29" t="inlineStr">
        <is>
          <t>KRW</t>
        </is>
      </c>
      <c r="Q280" s="29" t="inlineStr">
        <is>
          <t>8</t>
        </is>
      </c>
    </row>
    <row r="281" ht="24" customHeight="1">
      <c r="A281" s="24" t="inlineStr">
        <is>
          <t>OpenDART_fnlttSinglAcntAll</t>
        </is>
      </c>
      <c r="B281" s="24" t="inlineStr">
        <is>
          <t>00369657</t>
        </is>
      </c>
      <c r="C281" s="24" t="inlineStr">
        <is>
          <t>리노공업</t>
        </is>
      </c>
      <c r="D281" s="24" t="inlineStr">
        <is>
          <t>leeno</t>
        </is>
      </c>
      <c r="E281" s="24" t="inlineStr">
        <is>
          <t>058470</t>
        </is>
      </c>
      <c r="F281" s="24" t="inlineStr">
        <is>
          <t>2023</t>
        </is>
      </c>
      <c r="G281" s="24" t="inlineStr">
        <is>
          <t>OFS</t>
        </is>
      </c>
      <c r="H281" s="24" t="inlineStr">
        <is>
          <t>SCE</t>
        </is>
      </c>
      <c r="I281" s="24" t="inlineStr">
        <is>
          <t>자본변동표</t>
        </is>
      </c>
      <c r="J281" s="24" t="inlineStr">
        <is>
          <t>ifrs-full_Equity</t>
        </is>
      </c>
      <c r="K281" s="24" t="inlineStr">
        <is>
          <t>자본총계</t>
        </is>
      </c>
      <c r="L281" s="24" t="inlineStr">
        <is>
          <t>자본 [구성요소]|이익잉여금 [구성요소]</t>
        </is>
      </c>
      <c r="M281" s="24" t="inlineStr">
        <is>
          <t>제 28 기</t>
        </is>
      </c>
      <c r="N281" s="24" t="inlineStr">
        <is>
          <t>546204718972.0</t>
        </is>
      </c>
      <c r="O281" s="24" t="inlineStr">
        <is>
          <t>482314103732.0</t>
        </is>
      </c>
      <c r="P281" s="24" t="inlineStr">
        <is>
          <t>KRW</t>
        </is>
      </c>
      <c r="Q281" s="24" t="inlineStr">
        <is>
          <t>8</t>
        </is>
      </c>
    </row>
    <row r="282" ht="24" customHeight="1">
      <c r="A282" s="29" t="inlineStr">
        <is>
          <t>OpenDART_fnlttSinglAcntAll</t>
        </is>
      </c>
      <c r="B282" s="29" t="inlineStr">
        <is>
          <t>00369657</t>
        </is>
      </c>
      <c r="C282" s="29" t="inlineStr">
        <is>
          <t>리노공업</t>
        </is>
      </c>
      <c r="D282" s="29" t="inlineStr">
        <is>
          <t>leeno</t>
        </is>
      </c>
      <c r="E282" s="29" t="inlineStr">
        <is>
          <t>058470</t>
        </is>
      </c>
      <c r="F282" s="29" t="inlineStr">
        <is>
          <t>2023</t>
        </is>
      </c>
      <c r="G282" s="29" t="inlineStr">
        <is>
          <t>OFS</t>
        </is>
      </c>
      <c r="H282" s="29" t="inlineStr">
        <is>
          <t>SCE</t>
        </is>
      </c>
      <c r="I282" s="29" t="inlineStr">
        <is>
          <t>자본변동표</t>
        </is>
      </c>
      <c r="J282" s="29" t="inlineStr">
        <is>
          <t>ifrs-full_Equity</t>
        </is>
      </c>
      <c r="K282" s="29" t="inlineStr">
        <is>
          <t>자본총계</t>
        </is>
      </c>
      <c r="L282" s="29" t="inlineStr">
        <is>
          <t>자본 [구성요소]|자본잉여금 [구성요소]</t>
        </is>
      </c>
      <c r="M282" s="29" t="inlineStr">
        <is>
          <t>제 28 기</t>
        </is>
      </c>
      <c r="N282" s="29" t="inlineStr">
        <is>
          <t>5601810444.0</t>
        </is>
      </c>
      <c r="O282" s="29" t="inlineStr">
        <is>
          <t>5601810444.0</t>
        </is>
      </c>
      <c r="P282" s="29" t="inlineStr">
        <is>
          <t>KRW</t>
        </is>
      </c>
      <c r="Q282" s="29" t="inlineStr">
        <is>
          <t>8</t>
        </is>
      </c>
    </row>
    <row r="283" ht="24" customHeight="1">
      <c r="A283" s="24" t="inlineStr">
        <is>
          <t>OpenDART_fnlttSinglAcntAll</t>
        </is>
      </c>
      <c r="B283" s="24" t="inlineStr">
        <is>
          <t>00369657</t>
        </is>
      </c>
      <c r="C283" s="24" t="inlineStr">
        <is>
          <t>리노공업</t>
        </is>
      </c>
      <c r="D283" s="24" t="inlineStr">
        <is>
          <t>leeno</t>
        </is>
      </c>
      <c r="E283" s="24" t="inlineStr">
        <is>
          <t>058470</t>
        </is>
      </c>
      <c r="F283" s="24" t="inlineStr">
        <is>
          <t>2023</t>
        </is>
      </c>
      <c r="G283" s="24" t="inlineStr">
        <is>
          <t>OFS</t>
        </is>
      </c>
      <c r="H283" s="24" t="inlineStr">
        <is>
          <t>SCE</t>
        </is>
      </c>
      <c r="I283" s="24" t="inlineStr">
        <is>
          <t>자본변동표</t>
        </is>
      </c>
      <c r="J283" s="24" t="inlineStr">
        <is>
          <t>ifrs-full_Equity</t>
        </is>
      </c>
      <c r="K283" s="24" t="inlineStr">
        <is>
          <t>자본총계</t>
        </is>
      </c>
      <c r="L283" s="24" t="inlineStr">
        <is>
          <t>자본 [구성요소]|자본금 [구성요소]</t>
        </is>
      </c>
      <c r="M283" s="24" t="inlineStr">
        <is>
          <t>제 28 기</t>
        </is>
      </c>
      <c r="N283" s="24" t="inlineStr">
        <is>
          <t>7621185000.0</t>
        </is>
      </c>
      <c r="O283" s="24" t="inlineStr">
        <is>
          <t>7621185000.0</t>
        </is>
      </c>
      <c r="P283" s="24" t="inlineStr">
        <is>
          <t>KRW</t>
        </is>
      </c>
      <c r="Q283" s="24" t="inlineStr">
        <is>
          <t>8</t>
        </is>
      </c>
    </row>
    <row r="284" ht="24" customHeight="1">
      <c r="A284" s="29" t="inlineStr">
        <is>
          <t>OpenDART_fnlttSinglAcntAll</t>
        </is>
      </c>
      <c r="B284" s="29" t="inlineStr">
        <is>
          <t>00369657</t>
        </is>
      </c>
      <c r="C284" s="29" t="inlineStr">
        <is>
          <t>리노공업</t>
        </is>
      </c>
      <c r="D284" s="29" t="inlineStr">
        <is>
          <t>leeno</t>
        </is>
      </c>
      <c r="E284" s="29" t="inlineStr">
        <is>
          <t>058470</t>
        </is>
      </c>
      <c r="F284" s="29" t="inlineStr">
        <is>
          <t>2023</t>
        </is>
      </c>
      <c r="G284" s="29" t="inlineStr">
        <is>
          <t>OFS</t>
        </is>
      </c>
      <c r="H284" s="29" t="inlineStr">
        <is>
          <t>SCE</t>
        </is>
      </c>
      <c r="I284" s="29" t="inlineStr">
        <is>
          <t>자본변동표</t>
        </is>
      </c>
      <c r="J284" s="29" t="inlineStr">
        <is>
          <t>ifrs-full_ProfitLoss</t>
        </is>
      </c>
      <c r="K284" s="29" t="inlineStr">
        <is>
          <t>당기순이익</t>
        </is>
      </c>
      <c r="L284" s="29" t="inlineStr">
        <is>
          <t>별도재무제표 [member]</t>
        </is>
      </c>
      <c r="M284" s="29" t="inlineStr">
        <is>
          <t>제 28 기</t>
        </is>
      </c>
      <c r="N284" s="29" t="inlineStr">
        <is>
          <t>110923015440.0</t>
        </is>
      </c>
      <c r="O284" s="29" t="inlineStr">
        <is>
          <t>114363791327.0</t>
        </is>
      </c>
      <c r="P284" s="29" t="inlineStr">
        <is>
          <t>KRW</t>
        </is>
      </c>
      <c r="Q284" s="29" t="inlineStr">
        <is>
          <t>9</t>
        </is>
      </c>
    </row>
    <row r="285" ht="24" customHeight="1">
      <c r="A285" s="24" t="inlineStr">
        <is>
          <t>OpenDART_fnlttSinglAcntAll</t>
        </is>
      </c>
      <c r="B285" s="24" t="inlineStr">
        <is>
          <t>00369657</t>
        </is>
      </c>
      <c r="C285" s="24" t="inlineStr">
        <is>
          <t>리노공업</t>
        </is>
      </c>
      <c r="D285" s="24" t="inlineStr">
        <is>
          <t>leeno</t>
        </is>
      </c>
      <c r="E285" s="24" t="inlineStr">
        <is>
          <t>058470</t>
        </is>
      </c>
      <c r="F285" s="24" t="inlineStr">
        <is>
          <t>2023</t>
        </is>
      </c>
      <c r="G285" s="24" t="inlineStr">
        <is>
          <t>OFS</t>
        </is>
      </c>
      <c r="H285" s="24" t="inlineStr">
        <is>
          <t>SCE</t>
        </is>
      </c>
      <c r="I285" s="24" t="inlineStr">
        <is>
          <t>자본변동표</t>
        </is>
      </c>
      <c r="J285" s="24" t="inlineStr">
        <is>
          <t>ifrs-full_ProfitLoss</t>
        </is>
      </c>
      <c r="K285" s="24" t="inlineStr">
        <is>
          <t>당기순이익</t>
        </is>
      </c>
      <c r="L285" s="24" t="inlineStr">
        <is>
          <t>자본 [구성요소]|이익잉여금 [구성요소]</t>
        </is>
      </c>
      <c r="M285" s="24" t="inlineStr">
        <is>
          <t>제 28 기</t>
        </is>
      </c>
      <c r="N285" s="24" t="inlineStr">
        <is>
          <t>110923015440.0</t>
        </is>
      </c>
      <c r="O285" s="24" t="inlineStr">
        <is>
          <t>114363791327.0</t>
        </is>
      </c>
      <c r="P285" s="24" t="inlineStr">
        <is>
          <t>KRW</t>
        </is>
      </c>
      <c r="Q285" s="24" t="inlineStr">
        <is>
          <t>9</t>
        </is>
      </c>
    </row>
    <row r="286" ht="24" customHeight="1">
      <c r="A286" s="29" t="inlineStr">
        <is>
          <t>OpenDART_fnlttSinglAcntAll</t>
        </is>
      </c>
      <c r="B286" s="29" t="inlineStr">
        <is>
          <t>00369657</t>
        </is>
      </c>
      <c r="C286" s="29" t="inlineStr">
        <is>
          <t>리노공업</t>
        </is>
      </c>
      <c r="D286" s="29" t="inlineStr">
        <is>
          <t>leeno</t>
        </is>
      </c>
      <c r="E286" s="29" t="inlineStr">
        <is>
          <t>058470</t>
        </is>
      </c>
      <c r="F286" s="29" t="inlineStr">
        <is>
          <t>2024</t>
        </is>
      </c>
      <c r="G286" s="29" t="inlineStr">
        <is>
          <t>OFS</t>
        </is>
      </c>
      <c r="H286" s="29" t="inlineStr">
        <is>
          <t>BS</t>
        </is>
      </c>
      <c r="I286" s="29" t="inlineStr">
        <is>
          <t>재무상태표</t>
        </is>
      </c>
      <c r="J286" s="29" t="inlineStr">
        <is>
          <t>ifrs-full_Assets</t>
        </is>
      </c>
      <c r="K286" s="29" t="inlineStr">
        <is>
          <t>자산총계</t>
        </is>
      </c>
      <c r="L286" s="29" t="inlineStr">
        <is>
          <t>-</t>
        </is>
      </c>
      <c r="M286" s="29" t="inlineStr">
        <is>
          <t>제 29 기</t>
        </is>
      </c>
      <c r="N286" s="29" t="inlineStr">
        <is>
          <t>657443780756.0</t>
        </is>
      </c>
      <c r="O286" s="29" t="inlineStr">
        <is>
          <t>582869465294.0</t>
        </is>
      </c>
      <c r="P286" s="29" t="inlineStr">
        <is>
          <t>KRW</t>
        </is>
      </c>
      <c r="Q286" s="29" t="inlineStr">
        <is>
          <t>7</t>
        </is>
      </c>
    </row>
    <row r="287" ht="24" customHeight="1">
      <c r="A287" s="24" t="inlineStr">
        <is>
          <t>OpenDART_fnlttSinglAcntAll</t>
        </is>
      </c>
      <c r="B287" s="24" t="inlineStr">
        <is>
          <t>00369657</t>
        </is>
      </c>
      <c r="C287" s="24" t="inlineStr">
        <is>
          <t>리노공업</t>
        </is>
      </c>
      <c r="D287" s="24" t="inlineStr">
        <is>
          <t>leeno</t>
        </is>
      </c>
      <c r="E287" s="24" t="inlineStr">
        <is>
          <t>058470</t>
        </is>
      </c>
      <c r="F287" s="24" t="inlineStr">
        <is>
          <t>2024</t>
        </is>
      </c>
      <c r="G287" s="24" t="inlineStr">
        <is>
          <t>OFS</t>
        </is>
      </c>
      <c r="H287" s="24" t="inlineStr">
        <is>
          <t>BS</t>
        </is>
      </c>
      <c r="I287" s="24" t="inlineStr">
        <is>
          <t>재무상태표</t>
        </is>
      </c>
      <c r="J287" s="24" t="inlineStr">
        <is>
          <t>ifrs-full_CurrentAssets</t>
        </is>
      </c>
      <c r="K287" s="24" t="inlineStr">
        <is>
          <t>유동자산</t>
        </is>
      </c>
      <c r="L287" s="24" t="inlineStr">
        <is>
          <t>-</t>
        </is>
      </c>
      <c r="M287" s="24" t="inlineStr">
        <is>
          <t>제 29 기</t>
        </is>
      </c>
      <c r="N287" s="24" t="inlineStr">
        <is>
          <t>449498090730.0</t>
        </is>
      </c>
      <c r="O287" s="24" t="inlineStr">
        <is>
          <t>372372898847.0</t>
        </is>
      </c>
      <c r="P287" s="24" t="inlineStr">
        <is>
          <t>KRW</t>
        </is>
      </c>
      <c r="Q287" s="24" t="inlineStr">
        <is>
          <t>8</t>
        </is>
      </c>
    </row>
    <row r="288" ht="24" customHeight="1">
      <c r="A288" s="29" t="inlineStr">
        <is>
          <t>OpenDART_fnlttSinglAcntAll</t>
        </is>
      </c>
      <c r="B288" s="29" t="inlineStr">
        <is>
          <t>00369657</t>
        </is>
      </c>
      <c r="C288" s="29" t="inlineStr">
        <is>
          <t>리노공업</t>
        </is>
      </c>
      <c r="D288" s="29" t="inlineStr">
        <is>
          <t>leeno</t>
        </is>
      </c>
      <c r="E288" s="29" t="inlineStr">
        <is>
          <t>058470</t>
        </is>
      </c>
      <c r="F288" s="29" t="inlineStr">
        <is>
          <t>2024</t>
        </is>
      </c>
      <c r="G288" s="29" t="inlineStr">
        <is>
          <t>OFS</t>
        </is>
      </c>
      <c r="H288" s="29" t="inlineStr">
        <is>
          <t>BS</t>
        </is>
      </c>
      <c r="I288" s="29" t="inlineStr">
        <is>
          <t>재무상태표</t>
        </is>
      </c>
      <c r="J288" s="29" t="inlineStr">
        <is>
          <t>ifrs-full_CashAndCashEquivalents</t>
        </is>
      </c>
      <c r="K288" s="29" t="inlineStr">
        <is>
          <t>현금및현금성자산</t>
        </is>
      </c>
      <c r="L288" s="29" t="inlineStr">
        <is>
          <t>-</t>
        </is>
      </c>
      <c r="M288" s="29" t="inlineStr">
        <is>
          <t>제 29 기</t>
        </is>
      </c>
      <c r="N288" s="29" t="inlineStr">
        <is>
          <t>54759251381.0</t>
        </is>
      </c>
      <c r="O288" s="29" t="inlineStr">
        <is>
          <t>34165877177.0</t>
        </is>
      </c>
      <c r="P288" s="29" t="inlineStr">
        <is>
          <t>KRW</t>
        </is>
      </c>
      <c r="Q288" s="29" t="inlineStr">
        <is>
          <t>9</t>
        </is>
      </c>
    </row>
    <row r="289" ht="24" customHeight="1">
      <c r="A289" s="24" t="inlineStr">
        <is>
          <t>OpenDART_fnlttSinglAcntAll</t>
        </is>
      </c>
      <c r="B289" s="24" t="inlineStr">
        <is>
          <t>00369657</t>
        </is>
      </c>
      <c r="C289" s="24" t="inlineStr">
        <is>
          <t>리노공업</t>
        </is>
      </c>
      <c r="D289" s="24" t="inlineStr">
        <is>
          <t>leeno</t>
        </is>
      </c>
      <c r="E289" s="24" t="inlineStr">
        <is>
          <t>058470</t>
        </is>
      </c>
      <c r="F289" s="24" t="inlineStr">
        <is>
          <t>2024</t>
        </is>
      </c>
      <c r="G289" s="24" t="inlineStr">
        <is>
          <t>OFS</t>
        </is>
      </c>
      <c r="H289" s="24" t="inlineStr">
        <is>
          <t>BS</t>
        </is>
      </c>
      <c r="I289" s="24" t="inlineStr">
        <is>
          <t>재무상태표</t>
        </is>
      </c>
      <c r="J289" s="24" t="inlineStr">
        <is>
          <t>ifrs-full_CurrentTradeReceivables</t>
        </is>
      </c>
      <c r="K289" s="24" t="inlineStr">
        <is>
          <t>매출채권</t>
        </is>
      </c>
      <c r="L289" s="24" t="inlineStr">
        <is>
          <t>-</t>
        </is>
      </c>
      <c r="M289" s="24" t="inlineStr">
        <is>
          <t>제 29 기</t>
        </is>
      </c>
      <c r="N289" s="24" t="inlineStr">
        <is>
          <t>51075599798.0</t>
        </is>
      </c>
      <c r="O289" s="24" t="inlineStr">
        <is>
          <t>29831505651.0</t>
        </is>
      </c>
      <c r="P289" s="24" t="inlineStr">
        <is>
          <t>KRW</t>
        </is>
      </c>
      <c r="Q289" s="24" t="inlineStr">
        <is>
          <t>10</t>
        </is>
      </c>
    </row>
    <row r="290" ht="24" customHeight="1">
      <c r="A290" s="29" t="inlineStr">
        <is>
          <t>OpenDART_fnlttSinglAcntAll</t>
        </is>
      </c>
      <c r="B290" s="29" t="inlineStr">
        <is>
          <t>00369657</t>
        </is>
      </c>
      <c r="C290" s="29" t="inlineStr">
        <is>
          <t>리노공업</t>
        </is>
      </c>
      <c r="D290" s="29" t="inlineStr">
        <is>
          <t>leeno</t>
        </is>
      </c>
      <c r="E290" s="29" t="inlineStr">
        <is>
          <t>058470</t>
        </is>
      </c>
      <c r="F290" s="29" t="inlineStr">
        <is>
          <t>2024</t>
        </is>
      </c>
      <c r="G290" s="29" t="inlineStr">
        <is>
          <t>OFS</t>
        </is>
      </c>
      <c r="H290" s="29" t="inlineStr">
        <is>
          <t>BS</t>
        </is>
      </c>
      <c r="I290" s="29" t="inlineStr">
        <is>
          <t>재무상태표</t>
        </is>
      </c>
      <c r="J290" s="29" t="inlineStr">
        <is>
          <t>ifrs-full_Inventories</t>
        </is>
      </c>
      <c r="K290" s="29" t="inlineStr">
        <is>
          <t>재고자산</t>
        </is>
      </c>
      <c r="L290" s="29" t="inlineStr">
        <is>
          <t>-</t>
        </is>
      </c>
      <c r="M290" s="29" t="inlineStr">
        <is>
          <t>제 29 기</t>
        </is>
      </c>
      <c r="N290" s="29" t="inlineStr">
        <is>
          <t>12959312526.0</t>
        </is>
      </c>
      <c r="O290" s="29" t="inlineStr">
        <is>
          <t>14252453441.0</t>
        </is>
      </c>
      <c r="P290" s="29" t="inlineStr">
        <is>
          <t>KRW</t>
        </is>
      </c>
      <c r="Q290" s="29" t="inlineStr">
        <is>
          <t>11</t>
        </is>
      </c>
    </row>
    <row r="291" ht="24" customHeight="1">
      <c r="A291" s="24" t="inlineStr">
        <is>
          <t>OpenDART_fnlttSinglAcntAll</t>
        </is>
      </c>
      <c r="B291" s="24" t="inlineStr">
        <is>
          <t>00369657</t>
        </is>
      </c>
      <c r="C291" s="24" t="inlineStr">
        <is>
          <t>리노공업</t>
        </is>
      </c>
      <c r="D291" s="24" t="inlineStr">
        <is>
          <t>leeno</t>
        </is>
      </c>
      <c r="E291" s="24" t="inlineStr">
        <is>
          <t>058470</t>
        </is>
      </c>
      <c r="F291" s="24" t="inlineStr">
        <is>
          <t>2024</t>
        </is>
      </c>
      <c r="G291" s="24" t="inlineStr">
        <is>
          <t>OFS</t>
        </is>
      </c>
      <c r="H291" s="24" t="inlineStr">
        <is>
          <t>BS</t>
        </is>
      </c>
      <c r="I291" s="24" t="inlineStr">
        <is>
          <t>재무상태표</t>
        </is>
      </c>
      <c r="J291" s="24" t="inlineStr">
        <is>
          <t>ifrs-full_OtherCurrentAssets</t>
        </is>
      </c>
      <c r="K291" s="24" t="inlineStr">
        <is>
          <t>기타자산</t>
        </is>
      </c>
      <c r="L291" s="24" t="inlineStr">
        <is>
          <t>-</t>
        </is>
      </c>
      <c r="M291" s="24" t="inlineStr">
        <is>
          <t>제 29 기</t>
        </is>
      </c>
      <c r="N291" s="24" t="inlineStr">
        <is>
          <t>2181704272.0</t>
        </is>
      </c>
      <c r="O291" s="24" t="inlineStr">
        <is>
          <t>1606579557.0</t>
        </is>
      </c>
      <c r="P291" s="24" t="inlineStr">
        <is>
          <t>KRW</t>
        </is>
      </c>
      <c r="Q291" s="24" t="inlineStr">
        <is>
          <t>12</t>
        </is>
      </c>
    </row>
    <row r="292" ht="24" customHeight="1">
      <c r="A292" s="29" t="inlineStr">
        <is>
          <t>OpenDART_fnlttSinglAcntAll</t>
        </is>
      </c>
      <c r="B292" s="29" t="inlineStr">
        <is>
          <t>00369657</t>
        </is>
      </c>
      <c r="C292" s="29" t="inlineStr">
        <is>
          <t>리노공업</t>
        </is>
      </c>
      <c r="D292" s="29" t="inlineStr">
        <is>
          <t>leeno</t>
        </is>
      </c>
      <c r="E292" s="29" t="inlineStr">
        <is>
          <t>058470</t>
        </is>
      </c>
      <c r="F292" s="29" t="inlineStr">
        <is>
          <t>2024</t>
        </is>
      </c>
      <c r="G292" s="29" t="inlineStr">
        <is>
          <t>OFS</t>
        </is>
      </c>
      <c r="H292" s="29" t="inlineStr">
        <is>
          <t>BS</t>
        </is>
      </c>
      <c r="I292" s="29" t="inlineStr">
        <is>
          <t>재무상태표</t>
        </is>
      </c>
      <c r="J292" s="29" t="inlineStr">
        <is>
          <t>ifrs-full_OtherCurrentFinancialAssets</t>
        </is>
      </c>
      <c r="K292" s="29" t="inlineStr">
        <is>
          <t>기타금융자산</t>
        </is>
      </c>
      <c r="L292" s="29" t="inlineStr">
        <is>
          <t>-</t>
        </is>
      </c>
      <c r="M292" s="29" t="inlineStr">
        <is>
          <t>제 29 기</t>
        </is>
      </c>
      <c r="N292" s="29" t="inlineStr">
        <is>
          <t>325041999477.0</t>
        </is>
      </c>
      <c r="O292" s="29" t="inlineStr">
        <is>
          <t>289172000000.0</t>
        </is>
      </c>
      <c r="P292" s="29" t="inlineStr">
        <is>
          <t>KRW</t>
        </is>
      </c>
      <c r="Q292" s="29" t="inlineStr">
        <is>
          <t>13</t>
        </is>
      </c>
    </row>
    <row r="293" ht="24" customHeight="1">
      <c r="A293" s="24" t="inlineStr">
        <is>
          <t>OpenDART_fnlttSinglAcntAll</t>
        </is>
      </c>
      <c r="B293" s="24" t="inlineStr">
        <is>
          <t>00369657</t>
        </is>
      </c>
      <c r="C293" s="24" t="inlineStr">
        <is>
          <t>리노공업</t>
        </is>
      </c>
      <c r="D293" s="24" t="inlineStr">
        <is>
          <t>leeno</t>
        </is>
      </c>
      <c r="E293" s="24" t="inlineStr">
        <is>
          <t>058470</t>
        </is>
      </c>
      <c r="F293" s="24" t="inlineStr">
        <is>
          <t>2024</t>
        </is>
      </c>
      <c r="G293" s="24" t="inlineStr">
        <is>
          <t>OFS</t>
        </is>
      </c>
      <c r="H293" s="24" t="inlineStr">
        <is>
          <t>BS</t>
        </is>
      </c>
      <c r="I293" s="24" t="inlineStr">
        <is>
          <t>재무상태표</t>
        </is>
      </c>
      <c r="J293" s="24" t="inlineStr">
        <is>
          <t>ifrs-full_OtherCurrentReceivables</t>
        </is>
      </c>
      <c r="K293" s="24" t="inlineStr">
        <is>
          <t>기타채권</t>
        </is>
      </c>
      <c r="L293" s="24" t="inlineStr">
        <is>
          <t>-</t>
        </is>
      </c>
      <c r="M293" s="24" t="inlineStr">
        <is>
          <t>제 29 기</t>
        </is>
      </c>
      <c r="N293" s="24" t="inlineStr">
        <is>
          <t>3480223276.0</t>
        </is>
      </c>
      <c r="O293" s="24" t="inlineStr">
        <is>
          <t>3344483021.0</t>
        </is>
      </c>
      <c r="P293" s="24" t="inlineStr">
        <is>
          <t>KRW</t>
        </is>
      </c>
      <c r="Q293" s="24" t="inlineStr">
        <is>
          <t>14</t>
        </is>
      </c>
    </row>
    <row r="294" ht="24" customHeight="1">
      <c r="A294" s="29" t="inlineStr">
        <is>
          <t>OpenDART_fnlttSinglAcntAll</t>
        </is>
      </c>
      <c r="B294" s="29" t="inlineStr">
        <is>
          <t>00369657</t>
        </is>
      </c>
      <c r="C294" s="29" t="inlineStr">
        <is>
          <t>리노공업</t>
        </is>
      </c>
      <c r="D294" s="29" t="inlineStr">
        <is>
          <t>leeno</t>
        </is>
      </c>
      <c r="E294" s="29" t="inlineStr">
        <is>
          <t>058470</t>
        </is>
      </c>
      <c r="F294" s="29" t="inlineStr">
        <is>
          <t>2024</t>
        </is>
      </c>
      <c r="G294" s="29" t="inlineStr">
        <is>
          <t>OFS</t>
        </is>
      </c>
      <c r="H294" s="29" t="inlineStr">
        <is>
          <t>BS</t>
        </is>
      </c>
      <c r="I294" s="29" t="inlineStr">
        <is>
          <t>재무상태표</t>
        </is>
      </c>
      <c r="J294" s="29" t="inlineStr">
        <is>
          <t>ifrs-full_NoncurrentAssets</t>
        </is>
      </c>
      <c r="K294" s="29" t="inlineStr">
        <is>
          <t>비유동자산</t>
        </is>
      </c>
      <c r="L294" s="29" t="inlineStr">
        <is>
          <t>-</t>
        </is>
      </c>
      <c r="M294" s="29" t="inlineStr">
        <is>
          <t>제 29 기</t>
        </is>
      </c>
      <c r="N294" s="29" t="inlineStr">
        <is>
          <t>207945690026.0</t>
        </is>
      </c>
      <c r="O294" s="29" t="inlineStr">
        <is>
          <t>210496566447.0</t>
        </is>
      </c>
      <c r="P294" s="29" t="inlineStr">
        <is>
          <t>KRW</t>
        </is>
      </c>
      <c r="Q294" s="29" t="inlineStr">
        <is>
          <t>15</t>
        </is>
      </c>
    </row>
    <row r="295" ht="24" customHeight="1">
      <c r="A295" s="24" t="inlineStr">
        <is>
          <t>OpenDART_fnlttSinglAcntAll</t>
        </is>
      </c>
      <c r="B295" s="24" t="inlineStr">
        <is>
          <t>00369657</t>
        </is>
      </c>
      <c r="C295" s="24" t="inlineStr">
        <is>
          <t>리노공업</t>
        </is>
      </c>
      <c r="D295" s="24" t="inlineStr">
        <is>
          <t>leeno</t>
        </is>
      </c>
      <c r="E295" s="24" t="inlineStr">
        <is>
          <t>058470</t>
        </is>
      </c>
      <c r="F295" s="24" t="inlineStr">
        <is>
          <t>2024</t>
        </is>
      </c>
      <c r="G295" s="24" t="inlineStr">
        <is>
          <t>OFS</t>
        </is>
      </c>
      <c r="H295" s="24" t="inlineStr">
        <is>
          <t>BS</t>
        </is>
      </c>
      <c r="I295" s="24" t="inlineStr">
        <is>
          <t>재무상태표</t>
        </is>
      </c>
      <c r="J295" s="24" t="inlineStr">
        <is>
          <t>ifrs-full_DeferredTaxAssets</t>
        </is>
      </c>
      <c r="K295" s="24" t="inlineStr">
        <is>
          <t>이연법인세자산</t>
        </is>
      </c>
      <c r="L295" s="24" t="inlineStr">
        <is>
          <t>-</t>
        </is>
      </c>
      <c r="M295" s="24" t="inlineStr">
        <is>
          <t>제 29 기</t>
        </is>
      </c>
      <c r="N295" s="24" t="inlineStr">
        <is>
          <t>1569384971.0</t>
        </is>
      </c>
      <c r="O295" s="24" t="inlineStr">
        <is>
          <t>942907564.0</t>
        </is>
      </c>
      <c r="P295" s="24" t="inlineStr">
        <is>
          <t>KRW</t>
        </is>
      </c>
      <c r="Q295" s="24" t="inlineStr">
        <is>
          <t>16</t>
        </is>
      </c>
    </row>
    <row r="296" ht="24" customHeight="1">
      <c r="A296" s="29" t="inlineStr">
        <is>
          <t>OpenDART_fnlttSinglAcntAll</t>
        </is>
      </c>
      <c r="B296" s="29" t="inlineStr">
        <is>
          <t>00369657</t>
        </is>
      </c>
      <c r="C296" s="29" t="inlineStr">
        <is>
          <t>리노공업</t>
        </is>
      </c>
      <c r="D296" s="29" t="inlineStr">
        <is>
          <t>leeno</t>
        </is>
      </c>
      <c r="E296" s="29" t="inlineStr">
        <is>
          <t>058470</t>
        </is>
      </c>
      <c r="F296" s="29" t="inlineStr">
        <is>
          <t>2024</t>
        </is>
      </c>
      <c r="G296" s="29" t="inlineStr">
        <is>
          <t>OFS</t>
        </is>
      </c>
      <c r="H296" s="29" t="inlineStr">
        <is>
          <t>BS</t>
        </is>
      </c>
      <c r="I296" s="29" t="inlineStr">
        <is>
          <t>재무상태표</t>
        </is>
      </c>
      <c r="J296" s="29" t="inlineStr">
        <is>
          <t>ifrs-full_IntangibleAssetsOtherThanGoodwill</t>
        </is>
      </c>
      <c r="K296" s="29" t="inlineStr">
        <is>
          <t>무형자산</t>
        </is>
      </c>
      <c r="L296" s="29" t="inlineStr">
        <is>
          <t>-</t>
        </is>
      </c>
      <c r="M296" s="29" t="inlineStr">
        <is>
          <t>제 29 기</t>
        </is>
      </c>
      <c r="N296" s="29" t="inlineStr">
        <is>
          <t>1959270745.0</t>
        </is>
      </c>
      <c r="O296" s="29" t="inlineStr">
        <is>
          <t>1985707925.0</t>
        </is>
      </c>
      <c r="P296" s="29" t="inlineStr">
        <is>
          <t>KRW</t>
        </is>
      </c>
      <c r="Q296" s="29" t="inlineStr">
        <is>
          <t>17</t>
        </is>
      </c>
    </row>
    <row r="297" ht="24" customHeight="1">
      <c r="A297" s="24" t="inlineStr">
        <is>
          <t>OpenDART_fnlttSinglAcntAll</t>
        </is>
      </c>
      <c r="B297" s="24" t="inlineStr">
        <is>
          <t>00369657</t>
        </is>
      </c>
      <c r="C297" s="24" t="inlineStr">
        <is>
          <t>리노공업</t>
        </is>
      </c>
      <c r="D297" s="24" t="inlineStr">
        <is>
          <t>leeno</t>
        </is>
      </c>
      <c r="E297" s="24" t="inlineStr">
        <is>
          <t>058470</t>
        </is>
      </c>
      <c r="F297" s="24" t="inlineStr">
        <is>
          <t>2024</t>
        </is>
      </c>
      <c r="G297" s="24" t="inlineStr">
        <is>
          <t>OFS</t>
        </is>
      </c>
      <c r="H297" s="24" t="inlineStr">
        <is>
          <t>BS</t>
        </is>
      </c>
      <c r="I297" s="24" t="inlineStr">
        <is>
          <t>재무상태표</t>
        </is>
      </c>
      <c r="J297" s="24" t="inlineStr">
        <is>
          <t>ifrs-full_NoncurrentRecognisedAssetsDefinedBenefitPlan</t>
        </is>
      </c>
      <c r="K297" s="24" t="inlineStr">
        <is>
          <t>순확정급여자산</t>
        </is>
      </c>
      <c r="L297" s="24" t="inlineStr">
        <is>
          <t>-</t>
        </is>
      </c>
      <c r="M297" s="24" t="inlineStr">
        <is>
          <t>제 29 기</t>
        </is>
      </c>
      <c r="N297" s="24" t="inlineStr">
        <is>
          <t>0.0</t>
        </is>
      </c>
      <c r="O297" s="24" t="inlineStr">
        <is>
          <t>963350037.0</t>
        </is>
      </c>
      <c r="P297" s="24" t="inlineStr">
        <is>
          <t>KRW</t>
        </is>
      </c>
      <c r="Q297" s="24" t="inlineStr">
        <is>
          <t>18</t>
        </is>
      </c>
    </row>
    <row r="298" ht="24" customHeight="1">
      <c r="A298" s="29" t="inlineStr">
        <is>
          <t>OpenDART_fnlttSinglAcntAll</t>
        </is>
      </c>
      <c r="B298" s="29" t="inlineStr">
        <is>
          <t>00369657</t>
        </is>
      </c>
      <c r="C298" s="29" t="inlineStr">
        <is>
          <t>리노공업</t>
        </is>
      </c>
      <c r="D298" s="29" t="inlineStr">
        <is>
          <t>leeno</t>
        </is>
      </c>
      <c r="E298" s="29" t="inlineStr">
        <is>
          <t>058470</t>
        </is>
      </c>
      <c r="F298" s="29" t="inlineStr">
        <is>
          <t>2024</t>
        </is>
      </c>
      <c r="G298" s="29" t="inlineStr">
        <is>
          <t>OFS</t>
        </is>
      </c>
      <c r="H298" s="29" t="inlineStr">
        <is>
          <t>BS</t>
        </is>
      </c>
      <c r="I298" s="29" t="inlineStr">
        <is>
          <t>재무상태표</t>
        </is>
      </c>
      <c r="J298" s="29" t="inlineStr">
        <is>
          <t>ifrs-full_OtherNoncurrentFinancialAssets</t>
        </is>
      </c>
      <c r="K298" s="29" t="inlineStr">
        <is>
          <t>기타금융자산</t>
        </is>
      </c>
      <c r="L298" s="29" t="inlineStr">
        <is>
          <t>-</t>
        </is>
      </c>
      <c r="M298" s="29" t="inlineStr">
        <is>
          <t>제 29 기</t>
        </is>
      </c>
      <c r="N298" s="29" t="inlineStr">
        <is>
          <t>22988728704.0</t>
        </is>
      </c>
      <c r="O298" s="29" t="inlineStr">
        <is>
          <t>23478459181.0</t>
        </is>
      </c>
      <c r="P298" s="29" t="inlineStr">
        <is>
          <t>KRW</t>
        </is>
      </c>
      <c r="Q298" s="29" t="inlineStr">
        <is>
          <t>19</t>
        </is>
      </c>
    </row>
    <row r="299" ht="24" customHeight="1">
      <c r="A299" s="24" t="inlineStr">
        <is>
          <t>OpenDART_fnlttSinglAcntAll</t>
        </is>
      </c>
      <c r="B299" s="24" t="inlineStr">
        <is>
          <t>00369657</t>
        </is>
      </c>
      <c r="C299" s="24" t="inlineStr">
        <is>
          <t>리노공업</t>
        </is>
      </c>
      <c r="D299" s="24" t="inlineStr">
        <is>
          <t>leeno</t>
        </is>
      </c>
      <c r="E299" s="24" t="inlineStr">
        <is>
          <t>058470</t>
        </is>
      </c>
      <c r="F299" s="24" t="inlineStr">
        <is>
          <t>2024</t>
        </is>
      </c>
      <c r="G299" s="24" t="inlineStr">
        <is>
          <t>OFS</t>
        </is>
      </c>
      <c r="H299" s="24" t="inlineStr">
        <is>
          <t>BS</t>
        </is>
      </c>
      <c r="I299" s="24" t="inlineStr">
        <is>
          <t>재무상태표</t>
        </is>
      </c>
      <c r="J299" s="24" t="inlineStr">
        <is>
          <t>ifrs-full_OtherNoncurrentReceivables</t>
        </is>
      </c>
      <c r="K299" s="24" t="inlineStr">
        <is>
          <t>기타채권</t>
        </is>
      </c>
      <c r="L299" s="24" t="inlineStr">
        <is>
          <t>-</t>
        </is>
      </c>
      <c r="M299" s="24" t="inlineStr">
        <is>
          <t>제 29 기</t>
        </is>
      </c>
      <c r="N299" s="24" t="inlineStr">
        <is>
          <t>65625830.0</t>
        </is>
      </c>
      <c r="O299" s="24" t="inlineStr">
        <is>
          <t>65625830.0</t>
        </is>
      </c>
      <c r="P299" s="24" t="inlineStr">
        <is>
          <t>KRW</t>
        </is>
      </c>
      <c r="Q299" s="24" t="inlineStr">
        <is>
          <t>20</t>
        </is>
      </c>
    </row>
    <row r="300" ht="24" customHeight="1">
      <c r="A300" s="29" t="inlineStr">
        <is>
          <t>OpenDART_fnlttSinglAcntAll</t>
        </is>
      </c>
      <c r="B300" s="29" t="inlineStr">
        <is>
          <t>00369657</t>
        </is>
      </c>
      <c r="C300" s="29" t="inlineStr">
        <is>
          <t>리노공업</t>
        </is>
      </c>
      <c r="D300" s="29" t="inlineStr">
        <is>
          <t>leeno</t>
        </is>
      </c>
      <c r="E300" s="29" t="inlineStr">
        <is>
          <t>058470</t>
        </is>
      </c>
      <c r="F300" s="29" t="inlineStr">
        <is>
          <t>2024</t>
        </is>
      </c>
      <c r="G300" s="29" t="inlineStr">
        <is>
          <t>OFS</t>
        </is>
      </c>
      <c r="H300" s="29" t="inlineStr">
        <is>
          <t>BS</t>
        </is>
      </c>
      <c r="I300" s="29" t="inlineStr">
        <is>
          <t>재무상태표</t>
        </is>
      </c>
      <c r="J300" s="29" t="inlineStr">
        <is>
          <t>ifrs-full_PropertyPlantAndEquipment</t>
        </is>
      </c>
      <c r="K300" s="29" t="inlineStr">
        <is>
          <t>유형자산</t>
        </is>
      </c>
      <c r="L300" s="29" t="inlineStr">
        <is>
          <t>-</t>
        </is>
      </c>
      <c r="M300" s="29" t="inlineStr">
        <is>
          <t>제 29 기</t>
        </is>
      </c>
      <c r="N300" s="29" t="inlineStr">
        <is>
          <t>181362679776.0</t>
        </is>
      </c>
      <c r="O300" s="29" t="inlineStr">
        <is>
          <t>183060515910.0</t>
        </is>
      </c>
      <c r="P300" s="29" t="inlineStr">
        <is>
          <t>KRW</t>
        </is>
      </c>
      <c r="Q300" s="29" t="inlineStr">
        <is>
          <t>21</t>
        </is>
      </c>
    </row>
    <row r="301" ht="24" customHeight="1">
      <c r="A301" s="24" t="inlineStr">
        <is>
          <t>OpenDART_fnlttSinglAcntAll</t>
        </is>
      </c>
      <c r="B301" s="24" t="inlineStr">
        <is>
          <t>00369657</t>
        </is>
      </c>
      <c r="C301" s="24" t="inlineStr">
        <is>
          <t>리노공업</t>
        </is>
      </c>
      <c r="D301" s="24" t="inlineStr">
        <is>
          <t>leeno</t>
        </is>
      </c>
      <c r="E301" s="24" t="inlineStr">
        <is>
          <t>058470</t>
        </is>
      </c>
      <c r="F301" s="24" t="inlineStr">
        <is>
          <t>2024</t>
        </is>
      </c>
      <c r="G301" s="24" t="inlineStr">
        <is>
          <t>OFS</t>
        </is>
      </c>
      <c r="H301" s="24" t="inlineStr">
        <is>
          <t>BS</t>
        </is>
      </c>
      <c r="I301" s="24" t="inlineStr">
        <is>
          <t>재무상태표</t>
        </is>
      </c>
      <c r="J301" s="24" t="inlineStr">
        <is>
          <t>dart_CapitalSurplus</t>
        </is>
      </c>
      <c r="K301" s="24" t="inlineStr">
        <is>
          <t>자본잉여금</t>
        </is>
      </c>
      <c r="L301" s="24" t="inlineStr">
        <is>
          <t>-</t>
        </is>
      </c>
      <c r="M301" s="24" t="inlineStr">
        <is>
          <t>제 29 기</t>
        </is>
      </c>
      <c r="N301" s="24" t="inlineStr">
        <is>
          <t>5601810444.0</t>
        </is>
      </c>
      <c r="O301" s="24" t="inlineStr">
        <is>
          <t>5601810444.0</t>
        </is>
      </c>
      <c r="P301" s="24" t="inlineStr">
        <is>
          <t>KRW</t>
        </is>
      </c>
      <c r="Q301" s="24" t="inlineStr">
        <is>
          <t>23</t>
        </is>
      </c>
    </row>
    <row r="302" ht="24" customHeight="1">
      <c r="A302" s="29" t="inlineStr">
        <is>
          <t>OpenDART_fnlttSinglAcntAll</t>
        </is>
      </c>
      <c r="B302" s="29" t="inlineStr">
        <is>
          <t>00369657</t>
        </is>
      </c>
      <c r="C302" s="29" t="inlineStr">
        <is>
          <t>리노공업</t>
        </is>
      </c>
      <c r="D302" s="29" t="inlineStr">
        <is>
          <t>leeno</t>
        </is>
      </c>
      <c r="E302" s="29" t="inlineStr">
        <is>
          <t>058470</t>
        </is>
      </c>
      <c r="F302" s="29" t="inlineStr">
        <is>
          <t>2024</t>
        </is>
      </c>
      <c r="G302" s="29" t="inlineStr">
        <is>
          <t>OFS</t>
        </is>
      </c>
      <c r="H302" s="29" t="inlineStr">
        <is>
          <t>BS</t>
        </is>
      </c>
      <c r="I302" s="29" t="inlineStr">
        <is>
          <t>재무상태표</t>
        </is>
      </c>
      <c r="J302" s="29" t="inlineStr">
        <is>
          <t>dart_OtherCapitalAdjustments</t>
        </is>
      </c>
      <c r="K302" s="29" t="inlineStr">
        <is>
          <t>자본조정</t>
        </is>
      </c>
      <c r="L302" s="29" t="inlineStr">
        <is>
          <t>-</t>
        </is>
      </c>
      <c r="M302" s="29" t="inlineStr">
        <is>
          <t>제 29 기</t>
        </is>
      </c>
      <c r="N302" s="29" t="inlineStr">
        <is>
          <t>-2353516350.0</t>
        </is>
      </c>
      <c r="O302" s="29" t="inlineStr">
        <is>
          <t>-2353516350.0</t>
        </is>
      </c>
      <c r="P302" s="29" t="inlineStr">
        <is>
          <t>KRW</t>
        </is>
      </c>
      <c r="Q302" s="29" t="inlineStr">
        <is>
          <t>24</t>
        </is>
      </c>
    </row>
    <row r="303" ht="24" customHeight="1">
      <c r="A303" s="24" t="inlineStr">
        <is>
          <t>OpenDART_fnlttSinglAcntAll</t>
        </is>
      </c>
      <c r="B303" s="24" t="inlineStr">
        <is>
          <t>00369657</t>
        </is>
      </c>
      <c r="C303" s="24" t="inlineStr">
        <is>
          <t>리노공업</t>
        </is>
      </c>
      <c r="D303" s="24" t="inlineStr">
        <is>
          <t>leeno</t>
        </is>
      </c>
      <c r="E303" s="24" t="inlineStr">
        <is>
          <t>058470</t>
        </is>
      </c>
      <c r="F303" s="24" t="inlineStr">
        <is>
          <t>2024</t>
        </is>
      </c>
      <c r="G303" s="24" t="inlineStr">
        <is>
          <t>OFS</t>
        </is>
      </c>
      <c r="H303" s="24" t="inlineStr">
        <is>
          <t>BS</t>
        </is>
      </c>
      <c r="I303" s="24" t="inlineStr">
        <is>
          <t>재무상태표</t>
        </is>
      </c>
      <c r="J303" s="24" t="inlineStr">
        <is>
          <t>ifrs-full_Equity</t>
        </is>
      </c>
      <c r="K303" s="24" t="inlineStr">
        <is>
          <t>자본총계</t>
        </is>
      </c>
      <c r="L303" s="24" t="inlineStr">
        <is>
          <t>-</t>
        </is>
      </c>
      <c r="M303" s="24" t="inlineStr">
        <is>
          <t>제 29 기</t>
        </is>
      </c>
      <c r="N303" s="24" t="inlineStr">
        <is>
          <t>622629112163.0</t>
        </is>
      </c>
      <c r="O303" s="24" t="inlineStr">
        <is>
          <t>557074198066.0</t>
        </is>
      </c>
      <c r="P303" s="24" t="inlineStr">
        <is>
          <t>KRW</t>
        </is>
      </c>
      <c r="Q303" s="24" t="inlineStr">
        <is>
          <t>25</t>
        </is>
      </c>
    </row>
    <row r="304" ht="24" customHeight="1">
      <c r="A304" s="29" t="inlineStr">
        <is>
          <t>OpenDART_fnlttSinglAcntAll</t>
        </is>
      </c>
      <c r="B304" s="29" t="inlineStr">
        <is>
          <t>00369657</t>
        </is>
      </c>
      <c r="C304" s="29" t="inlineStr">
        <is>
          <t>리노공업</t>
        </is>
      </c>
      <c r="D304" s="29" t="inlineStr">
        <is>
          <t>leeno</t>
        </is>
      </c>
      <c r="E304" s="29" t="inlineStr">
        <is>
          <t>058470</t>
        </is>
      </c>
      <c r="F304" s="29" t="inlineStr">
        <is>
          <t>2024</t>
        </is>
      </c>
      <c r="G304" s="29" t="inlineStr">
        <is>
          <t>OFS</t>
        </is>
      </c>
      <c r="H304" s="29" t="inlineStr">
        <is>
          <t>BS</t>
        </is>
      </c>
      <c r="I304" s="29" t="inlineStr">
        <is>
          <t>재무상태표</t>
        </is>
      </c>
      <c r="J304" s="29" t="inlineStr">
        <is>
          <t>ifrs-full_IssuedCapital</t>
        </is>
      </c>
      <c r="K304" s="29" t="inlineStr">
        <is>
          <t>자본금</t>
        </is>
      </c>
      <c r="L304" s="29" t="inlineStr">
        <is>
          <t>-</t>
        </is>
      </c>
      <c r="M304" s="29" t="inlineStr">
        <is>
          <t>제 29 기</t>
        </is>
      </c>
      <c r="N304" s="29" t="inlineStr">
        <is>
          <t>7621185000.0</t>
        </is>
      </c>
      <c r="O304" s="29" t="inlineStr">
        <is>
          <t>7621185000.0</t>
        </is>
      </c>
      <c r="P304" s="29" t="inlineStr">
        <is>
          <t>KRW</t>
        </is>
      </c>
      <c r="Q304" s="29" t="inlineStr">
        <is>
          <t>26</t>
        </is>
      </c>
    </row>
    <row r="305" ht="24" customHeight="1">
      <c r="A305" s="24" t="inlineStr">
        <is>
          <t>OpenDART_fnlttSinglAcntAll</t>
        </is>
      </c>
      <c r="B305" s="24" t="inlineStr">
        <is>
          <t>00369657</t>
        </is>
      </c>
      <c r="C305" s="24" t="inlineStr">
        <is>
          <t>리노공업</t>
        </is>
      </c>
      <c r="D305" s="24" t="inlineStr">
        <is>
          <t>leeno</t>
        </is>
      </c>
      <c r="E305" s="24" t="inlineStr">
        <is>
          <t>058470</t>
        </is>
      </c>
      <c r="F305" s="24" t="inlineStr">
        <is>
          <t>2024</t>
        </is>
      </c>
      <c r="G305" s="24" t="inlineStr">
        <is>
          <t>OFS</t>
        </is>
      </c>
      <c r="H305" s="24" t="inlineStr">
        <is>
          <t>BS</t>
        </is>
      </c>
      <c r="I305" s="24" t="inlineStr">
        <is>
          <t>재무상태표</t>
        </is>
      </c>
      <c r="J305" s="24" t="inlineStr">
        <is>
          <t>ifrs-full_RetainedEarnings</t>
        </is>
      </c>
      <c r="K305" s="24" t="inlineStr">
        <is>
          <t>이익잉여금</t>
        </is>
      </c>
      <c r="L305" s="24" t="inlineStr">
        <is>
          <t>-</t>
        </is>
      </c>
      <c r="M305" s="24" t="inlineStr">
        <is>
          <t>제 29 기</t>
        </is>
      </c>
      <c r="N305" s="24" t="inlineStr">
        <is>
          <t>611759633069.0</t>
        </is>
      </c>
      <c r="O305" s="24" t="inlineStr">
        <is>
          <t>546204718972.0</t>
        </is>
      </c>
      <c r="P305" s="24" t="inlineStr">
        <is>
          <t>KRW</t>
        </is>
      </c>
      <c r="Q305" s="24" t="inlineStr">
        <is>
          <t>27</t>
        </is>
      </c>
    </row>
    <row r="306" ht="24" customHeight="1">
      <c r="A306" s="29" t="inlineStr">
        <is>
          <t>OpenDART_fnlttSinglAcntAll</t>
        </is>
      </c>
      <c r="B306" s="29" t="inlineStr">
        <is>
          <t>00369657</t>
        </is>
      </c>
      <c r="C306" s="29" t="inlineStr">
        <is>
          <t>리노공업</t>
        </is>
      </c>
      <c r="D306" s="29" t="inlineStr">
        <is>
          <t>leeno</t>
        </is>
      </c>
      <c r="E306" s="29" t="inlineStr">
        <is>
          <t>058470</t>
        </is>
      </c>
      <c r="F306" s="29" t="inlineStr">
        <is>
          <t>2024</t>
        </is>
      </c>
      <c r="G306" s="29" t="inlineStr">
        <is>
          <t>OFS</t>
        </is>
      </c>
      <c r="H306" s="29" t="inlineStr">
        <is>
          <t>BS</t>
        </is>
      </c>
      <c r="I306" s="29" t="inlineStr">
        <is>
          <t>재무상태표</t>
        </is>
      </c>
      <c r="J306" s="29" t="inlineStr">
        <is>
          <t>ifrs-full_EquityAndLiabilities</t>
        </is>
      </c>
      <c r="K306" s="29" t="inlineStr">
        <is>
          <t>부채와자본총계</t>
        </is>
      </c>
      <c r="L306" s="29" t="inlineStr">
        <is>
          <t>-</t>
        </is>
      </c>
      <c r="M306" s="29" t="inlineStr">
        <is>
          <t>제 29 기</t>
        </is>
      </c>
      <c r="N306" s="29" t="inlineStr">
        <is>
          <t>657443780756.0</t>
        </is>
      </c>
      <c r="O306" s="29" t="inlineStr">
        <is>
          <t>582869465294.0</t>
        </is>
      </c>
      <c r="P306" s="29" t="inlineStr">
        <is>
          <t>KRW</t>
        </is>
      </c>
      <c r="Q306" s="29" t="inlineStr">
        <is>
          <t>28</t>
        </is>
      </c>
    </row>
    <row r="307" ht="24" customHeight="1">
      <c r="A307" s="24" t="inlineStr">
        <is>
          <t>OpenDART_fnlttSinglAcntAll</t>
        </is>
      </c>
      <c r="B307" s="24" t="inlineStr">
        <is>
          <t>00369657</t>
        </is>
      </c>
      <c r="C307" s="24" t="inlineStr">
        <is>
          <t>리노공업</t>
        </is>
      </c>
      <c r="D307" s="24" t="inlineStr">
        <is>
          <t>leeno</t>
        </is>
      </c>
      <c r="E307" s="24" t="inlineStr">
        <is>
          <t>058470</t>
        </is>
      </c>
      <c r="F307" s="24" t="inlineStr">
        <is>
          <t>2024</t>
        </is>
      </c>
      <c r="G307" s="24" t="inlineStr">
        <is>
          <t>OFS</t>
        </is>
      </c>
      <c r="H307" s="24" t="inlineStr">
        <is>
          <t>BS</t>
        </is>
      </c>
      <c r="I307" s="24" t="inlineStr">
        <is>
          <t>재무상태표</t>
        </is>
      </c>
      <c r="J307" s="24" t="inlineStr">
        <is>
          <t>ifrs-full_CurrentLiabilities</t>
        </is>
      </c>
      <c r="K307" s="24" t="inlineStr">
        <is>
          <t>유동부채</t>
        </is>
      </c>
      <c r="L307" s="24" t="inlineStr">
        <is>
          <t>-</t>
        </is>
      </c>
      <c r="M307" s="24" t="inlineStr">
        <is>
          <t>제 29 기</t>
        </is>
      </c>
      <c r="N307" s="24" t="inlineStr">
        <is>
          <t>30614692642.0</t>
        </is>
      </c>
      <c r="O307" s="24" t="inlineStr">
        <is>
          <t>23110842940.0</t>
        </is>
      </c>
      <c r="P307" s="24" t="inlineStr">
        <is>
          <t>KRW</t>
        </is>
      </c>
      <c r="Q307" s="24" t="inlineStr">
        <is>
          <t>30</t>
        </is>
      </c>
    </row>
    <row r="308" ht="24" customHeight="1">
      <c r="A308" s="29" t="inlineStr">
        <is>
          <t>OpenDART_fnlttSinglAcntAll</t>
        </is>
      </c>
      <c r="B308" s="29" t="inlineStr">
        <is>
          <t>00369657</t>
        </is>
      </c>
      <c r="C308" s="29" t="inlineStr">
        <is>
          <t>리노공업</t>
        </is>
      </c>
      <c r="D308" s="29" t="inlineStr">
        <is>
          <t>leeno</t>
        </is>
      </c>
      <c r="E308" s="29" t="inlineStr">
        <is>
          <t>058470</t>
        </is>
      </c>
      <c r="F308" s="29" t="inlineStr">
        <is>
          <t>2024</t>
        </is>
      </c>
      <c r="G308" s="29" t="inlineStr">
        <is>
          <t>OFS</t>
        </is>
      </c>
      <c r="H308" s="29" t="inlineStr">
        <is>
          <t>BS</t>
        </is>
      </c>
      <c r="I308" s="29" t="inlineStr">
        <is>
          <t>재무상태표</t>
        </is>
      </c>
      <c r="J308" s="29" t="inlineStr">
        <is>
          <t>ifrs-full_CurrentLeaseLiabilities</t>
        </is>
      </c>
      <c r="K308" s="29" t="inlineStr">
        <is>
          <t>리스부채</t>
        </is>
      </c>
      <c r="L308" s="29" t="inlineStr">
        <is>
          <t>-</t>
        </is>
      </c>
      <c r="M308" s="29" t="inlineStr">
        <is>
          <t>제 29 기</t>
        </is>
      </c>
      <c r="N308" s="29" t="inlineStr">
        <is>
          <t>81125048.0</t>
        </is>
      </c>
      <c r="O308" s="29" t="inlineStr">
        <is>
          <t>88278451.0</t>
        </is>
      </c>
      <c r="P308" s="29" t="inlineStr">
        <is>
          <t>KRW</t>
        </is>
      </c>
      <c r="Q308" s="29" t="inlineStr">
        <is>
          <t>31</t>
        </is>
      </c>
    </row>
    <row r="309" ht="24" customHeight="1">
      <c r="A309" s="24" t="inlineStr">
        <is>
          <t>OpenDART_fnlttSinglAcntAll</t>
        </is>
      </c>
      <c r="B309" s="24" t="inlineStr">
        <is>
          <t>00369657</t>
        </is>
      </c>
      <c r="C309" s="24" t="inlineStr">
        <is>
          <t>리노공업</t>
        </is>
      </c>
      <c r="D309" s="24" t="inlineStr">
        <is>
          <t>leeno</t>
        </is>
      </c>
      <c r="E309" s="24" t="inlineStr">
        <is>
          <t>058470</t>
        </is>
      </c>
      <c r="F309" s="24" t="inlineStr">
        <is>
          <t>2024</t>
        </is>
      </c>
      <c r="G309" s="24" t="inlineStr">
        <is>
          <t>OFS</t>
        </is>
      </c>
      <c r="H309" s="24" t="inlineStr">
        <is>
          <t>BS</t>
        </is>
      </c>
      <c r="I309" s="24" t="inlineStr">
        <is>
          <t>재무상태표</t>
        </is>
      </c>
      <c r="J309" s="24" t="inlineStr">
        <is>
          <t>ifrs-full_CurrentTaxLiabilities</t>
        </is>
      </c>
      <c r="K309" s="24" t="inlineStr">
        <is>
          <t>당기법인세부채</t>
        </is>
      </c>
      <c r="L309" s="24" t="inlineStr">
        <is>
          <t>-</t>
        </is>
      </c>
      <c r="M309" s="24" t="inlineStr">
        <is>
          <t>제 29 기</t>
        </is>
      </c>
      <c r="N309" s="24" t="inlineStr">
        <is>
          <t>18322324767.0</t>
        </is>
      </c>
      <c r="O309" s="24" t="inlineStr">
        <is>
          <t>13212556823.0</t>
        </is>
      </c>
      <c r="P309" s="24" t="inlineStr">
        <is>
          <t>KRW</t>
        </is>
      </c>
      <c r="Q309" s="24" t="inlineStr">
        <is>
          <t>32</t>
        </is>
      </c>
    </row>
    <row r="310" ht="24" customHeight="1">
      <c r="A310" s="29" t="inlineStr">
        <is>
          <t>OpenDART_fnlttSinglAcntAll</t>
        </is>
      </c>
      <c r="B310" s="29" t="inlineStr">
        <is>
          <t>00369657</t>
        </is>
      </c>
      <c r="C310" s="29" t="inlineStr">
        <is>
          <t>리노공업</t>
        </is>
      </c>
      <c r="D310" s="29" t="inlineStr">
        <is>
          <t>leeno</t>
        </is>
      </c>
      <c r="E310" s="29" t="inlineStr">
        <is>
          <t>058470</t>
        </is>
      </c>
      <c r="F310" s="29" t="inlineStr">
        <is>
          <t>2024</t>
        </is>
      </c>
      <c r="G310" s="29" t="inlineStr">
        <is>
          <t>OFS</t>
        </is>
      </c>
      <c r="H310" s="29" t="inlineStr">
        <is>
          <t>BS</t>
        </is>
      </c>
      <c r="I310" s="29" t="inlineStr">
        <is>
          <t>재무상태표</t>
        </is>
      </c>
      <c r="J310" s="29" t="inlineStr">
        <is>
          <t>ifrs-full_OtherCurrentLiabilities</t>
        </is>
      </c>
      <c r="K310" s="29" t="inlineStr">
        <is>
          <t>기타부채</t>
        </is>
      </c>
      <c r="L310" s="29" t="inlineStr">
        <is>
          <t>-</t>
        </is>
      </c>
      <c r="M310" s="29" t="inlineStr">
        <is>
          <t>제 29 기</t>
        </is>
      </c>
      <c r="N310" s="29" t="inlineStr">
        <is>
          <t>770708930.0</t>
        </is>
      </c>
      <c r="O310" s="29" t="inlineStr">
        <is>
          <t>737939722.0</t>
        </is>
      </c>
      <c r="P310" s="29" t="inlineStr">
        <is>
          <t>KRW</t>
        </is>
      </c>
      <c r="Q310" s="29" t="inlineStr">
        <is>
          <t>33</t>
        </is>
      </c>
    </row>
    <row r="311" ht="24" customHeight="1">
      <c r="A311" s="24" t="inlineStr">
        <is>
          <t>OpenDART_fnlttSinglAcntAll</t>
        </is>
      </c>
      <c r="B311" s="24" t="inlineStr">
        <is>
          <t>00369657</t>
        </is>
      </c>
      <c r="C311" s="24" t="inlineStr">
        <is>
          <t>리노공업</t>
        </is>
      </c>
      <c r="D311" s="24" t="inlineStr">
        <is>
          <t>leeno</t>
        </is>
      </c>
      <c r="E311" s="24" t="inlineStr">
        <is>
          <t>058470</t>
        </is>
      </c>
      <c r="F311" s="24" t="inlineStr">
        <is>
          <t>2024</t>
        </is>
      </c>
      <c r="G311" s="24" t="inlineStr">
        <is>
          <t>OFS</t>
        </is>
      </c>
      <c r="H311" s="24" t="inlineStr">
        <is>
          <t>BS</t>
        </is>
      </c>
      <c r="I311" s="24" t="inlineStr">
        <is>
          <t>재무상태표</t>
        </is>
      </c>
      <c r="J311" s="24" t="inlineStr">
        <is>
          <t>ifrs-full_OtherCurrentPayables</t>
        </is>
      </c>
      <c r="K311" s="24" t="inlineStr">
        <is>
          <t>기타채무</t>
        </is>
      </c>
      <c r="L311" s="24" t="inlineStr">
        <is>
          <t>-</t>
        </is>
      </c>
      <c r="M311" s="24" t="inlineStr">
        <is>
          <t>제 29 기</t>
        </is>
      </c>
      <c r="N311" s="24" t="inlineStr">
        <is>
          <t>6798405442.0</t>
        </is>
      </c>
      <c r="O311" s="24" t="inlineStr">
        <is>
          <t>6481125252.0</t>
        </is>
      </c>
      <c r="P311" s="24" t="inlineStr">
        <is>
          <t>KRW</t>
        </is>
      </c>
      <c r="Q311" s="24" t="inlineStr">
        <is>
          <t>34</t>
        </is>
      </c>
    </row>
    <row r="312" ht="24" customHeight="1">
      <c r="A312" s="29" t="inlineStr">
        <is>
          <t>OpenDART_fnlttSinglAcntAll</t>
        </is>
      </c>
      <c r="B312" s="29" t="inlineStr">
        <is>
          <t>00369657</t>
        </is>
      </c>
      <c r="C312" s="29" t="inlineStr">
        <is>
          <t>리노공업</t>
        </is>
      </c>
      <c r="D312" s="29" t="inlineStr">
        <is>
          <t>leeno</t>
        </is>
      </c>
      <c r="E312" s="29" t="inlineStr">
        <is>
          <t>058470</t>
        </is>
      </c>
      <c r="F312" s="29" t="inlineStr">
        <is>
          <t>2024</t>
        </is>
      </c>
      <c r="G312" s="29" t="inlineStr">
        <is>
          <t>OFS</t>
        </is>
      </c>
      <c r="H312" s="29" t="inlineStr">
        <is>
          <t>BS</t>
        </is>
      </c>
      <c r="I312" s="29" t="inlineStr">
        <is>
          <t>재무상태표</t>
        </is>
      </c>
      <c r="J312" s="29" t="inlineStr">
        <is>
          <t>ifrs-full_TradeAndOtherCurrentPayablesToTradeSuppliers</t>
        </is>
      </c>
      <c r="K312" s="29" t="inlineStr">
        <is>
          <t>매입채무</t>
        </is>
      </c>
      <c r="L312" s="29" t="inlineStr">
        <is>
          <t>-</t>
        </is>
      </c>
      <c r="M312" s="29" t="inlineStr">
        <is>
          <t>제 29 기</t>
        </is>
      </c>
      <c r="N312" s="29" t="inlineStr">
        <is>
          <t>4642128455.0</t>
        </is>
      </c>
      <c r="O312" s="29" t="inlineStr">
        <is>
          <t>2590942692.0</t>
        </is>
      </c>
      <c r="P312" s="29" t="inlineStr">
        <is>
          <t>KRW</t>
        </is>
      </c>
      <c r="Q312" s="29" t="inlineStr">
        <is>
          <t>35</t>
        </is>
      </c>
    </row>
    <row r="313" ht="24" customHeight="1">
      <c r="A313" s="24" t="inlineStr">
        <is>
          <t>OpenDART_fnlttSinglAcntAll</t>
        </is>
      </c>
      <c r="B313" s="24" t="inlineStr">
        <is>
          <t>00369657</t>
        </is>
      </c>
      <c r="C313" s="24" t="inlineStr">
        <is>
          <t>리노공업</t>
        </is>
      </c>
      <c r="D313" s="24" t="inlineStr">
        <is>
          <t>leeno</t>
        </is>
      </c>
      <c r="E313" s="24" t="inlineStr">
        <is>
          <t>058470</t>
        </is>
      </c>
      <c r="F313" s="24" t="inlineStr">
        <is>
          <t>2024</t>
        </is>
      </c>
      <c r="G313" s="24" t="inlineStr">
        <is>
          <t>OFS</t>
        </is>
      </c>
      <c r="H313" s="24" t="inlineStr">
        <is>
          <t>BS</t>
        </is>
      </c>
      <c r="I313" s="24" t="inlineStr">
        <is>
          <t>재무상태표</t>
        </is>
      </c>
      <c r="J313" s="24" t="inlineStr">
        <is>
          <t>ifrs-full_Liabilities</t>
        </is>
      </c>
      <c r="K313" s="24" t="inlineStr">
        <is>
          <t>부채총계</t>
        </is>
      </c>
      <c r="L313" s="24" t="inlineStr">
        <is>
          <t>-</t>
        </is>
      </c>
      <c r="M313" s="24" t="inlineStr">
        <is>
          <t>제 29 기</t>
        </is>
      </c>
      <c r="N313" s="24" t="inlineStr">
        <is>
          <t>34814668593.0</t>
        </is>
      </c>
      <c r="O313" s="24" t="inlineStr">
        <is>
          <t>25795267228.0</t>
        </is>
      </c>
      <c r="P313" s="24" t="inlineStr">
        <is>
          <t>KRW</t>
        </is>
      </c>
      <c r="Q313" s="24" t="inlineStr">
        <is>
          <t>36</t>
        </is>
      </c>
    </row>
    <row r="314" ht="24" customHeight="1">
      <c r="A314" s="29" t="inlineStr">
        <is>
          <t>OpenDART_fnlttSinglAcntAll</t>
        </is>
      </c>
      <c r="B314" s="29" t="inlineStr">
        <is>
          <t>00369657</t>
        </is>
      </c>
      <c r="C314" s="29" t="inlineStr">
        <is>
          <t>리노공업</t>
        </is>
      </c>
      <c r="D314" s="29" t="inlineStr">
        <is>
          <t>leeno</t>
        </is>
      </c>
      <c r="E314" s="29" t="inlineStr">
        <is>
          <t>058470</t>
        </is>
      </c>
      <c r="F314" s="29" t="inlineStr">
        <is>
          <t>2024</t>
        </is>
      </c>
      <c r="G314" s="29" t="inlineStr">
        <is>
          <t>OFS</t>
        </is>
      </c>
      <c r="H314" s="29" t="inlineStr">
        <is>
          <t>BS</t>
        </is>
      </c>
      <c r="I314" s="29" t="inlineStr">
        <is>
          <t>재무상태표</t>
        </is>
      </c>
      <c r="J314" s="29" t="inlineStr">
        <is>
          <t>ifrs-full_NoncurrentLiabilities</t>
        </is>
      </c>
      <c r="K314" s="29" t="inlineStr">
        <is>
          <t>비유동부채</t>
        </is>
      </c>
      <c r="L314" s="29" t="inlineStr">
        <is>
          <t>-</t>
        </is>
      </c>
      <c r="M314" s="29" t="inlineStr">
        <is>
          <t>제 29 기</t>
        </is>
      </c>
      <c r="N314" s="29" t="inlineStr">
        <is>
          <t>4199975951.0</t>
        </is>
      </c>
      <c r="O314" s="29" t="inlineStr">
        <is>
          <t>2684424288.0</t>
        </is>
      </c>
      <c r="P314" s="29" t="inlineStr">
        <is>
          <t>KRW</t>
        </is>
      </c>
      <c r="Q314" s="29" t="inlineStr">
        <is>
          <t>37</t>
        </is>
      </c>
    </row>
    <row r="315" ht="24" customHeight="1">
      <c r="A315" s="24" t="inlineStr">
        <is>
          <t>OpenDART_fnlttSinglAcntAll</t>
        </is>
      </c>
      <c r="B315" s="24" t="inlineStr">
        <is>
          <t>00369657</t>
        </is>
      </c>
      <c r="C315" s="24" t="inlineStr">
        <is>
          <t>리노공업</t>
        </is>
      </c>
      <c r="D315" s="24" t="inlineStr">
        <is>
          <t>leeno</t>
        </is>
      </c>
      <c r="E315" s="24" t="inlineStr">
        <is>
          <t>058470</t>
        </is>
      </c>
      <c r="F315" s="24" t="inlineStr">
        <is>
          <t>2024</t>
        </is>
      </c>
      <c r="G315" s="24" t="inlineStr">
        <is>
          <t>OFS</t>
        </is>
      </c>
      <c r="H315" s="24" t="inlineStr">
        <is>
          <t>BS</t>
        </is>
      </c>
      <c r="I315" s="24" t="inlineStr">
        <is>
          <t>재무상태표</t>
        </is>
      </c>
      <c r="J315" s="24" t="inlineStr">
        <is>
          <t>ifrs-full_NoncurrentLeaseLiabilities</t>
        </is>
      </c>
      <c r="K315" s="24" t="inlineStr">
        <is>
          <t>리스부채</t>
        </is>
      </c>
      <c r="L315" s="24" t="inlineStr">
        <is>
          <t>-</t>
        </is>
      </c>
      <c r="M315" s="24" t="inlineStr">
        <is>
          <t>제 29 기</t>
        </is>
      </c>
      <c r="N315" s="24" t="inlineStr">
        <is>
          <t>100646226.0</t>
        </is>
      </c>
      <c r="O315" s="24" t="inlineStr">
        <is>
          <t>93923540.0</t>
        </is>
      </c>
      <c r="P315" s="24" t="inlineStr">
        <is>
          <t>KRW</t>
        </is>
      </c>
      <c r="Q315" s="24" t="inlineStr">
        <is>
          <t>38</t>
        </is>
      </c>
    </row>
    <row r="316" ht="24" customHeight="1">
      <c r="A316" s="29" t="inlineStr">
        <is>
          <t>OpenDART_fnlttSinglAcntAll</t>
        </is>
      </c>
      <c r="B316" s="29" t="inlineStr">
        <is>
          <t>00369657</t>
        </is>
      </c>
      <c r="C316" s="29" t="inlineStr">
        <is>
          <t>리노공업</t>
        </is>
      </c>
      <c r="D316" s="29" t="inlineStr">
        <is>
          <t>leeno</t>
        </is>
      </c>
      <c r="E316" s="29" t="inlineStr">
        <is>
          <t>058470</t>
        </is>
      </c>
      <c r="F316" s="29" t="inlineStr">
        <is>
          <t>2024</t>
        </is>
      </c>
      <c r="G316" s="29" t="inlineStr">
        <is>
          <t>OFS</t>
        </is>
      </c>
      <c r="H316" s="29" t="inlineStr">
        <is>
          <t>BS</t>
        </is>
      </c>
      <c r="I316" s="29" t="inlineStr">
        <is>
          <t>재무상태표</t>
        </is>
      </c>
      <c r="J316" s="29" t="inlineStr">
        <is>
          <t>ifrs-full_NoncurrentProvisionsForEmployeeBenefits</t>
        </is>
      </c>
      <c r="K316" s="29" t="inlineStr">
        <is>
          <t>기타장기종업원급여부채</t>
        </is>
      </c>
      <c r="L316" s="29" t="inlineStr">
        <is>
          <t>-</t>
        </is>
      </c>
      <c r="M316" s="29" t="inlineStr">
        <is>
          <t>제 29 기</t>
        </is>
      </c>
      <c r="N316" s="29" t="inlineStr">
        <is>
          <t>3910514525.0</t>
        </is>
      </c>
      <c r="O316" s="29" t="inlineStr">
        <is>
          <t>2590500748.0</t>
        </is>
      </c>
      <c r="P316" s="29" t="inlineStr">
        <is>
          <t>KRW</t>
        </is>
      </c>
      <c r="Q316" s="29" t="inlineStr">
        <is>
          <t>39</t>
        </is>
      </c>
    </row>
    <row r="317" ht="24" customHeight="1">
      <c r="A317" s="24" t="inlineStr">
        <is>
          <t>OpenDART_fnlttSinglAcntAll</t>
        </is>
      </c>
      <c r="B317" s="24" t="inlineStr">
        <is>
          <t>00369657</t>
        </is>
      </c>
      <c r="C317" s="24" t="inlineStr">
        <is>
          <t>리노공업</t>
        </is>
      </c>
      <c r="D317" s="24" t="inlineStr">
        <is>
          <t>leeno</t>
        </is>
      </c>
      <c r="E317" s="24" t="inlineStr">
        <is>
          <t>058470</t>
        </is>
      </c>
      <c r="F317" s="24" t="inlineStr">
        <is>
          <t>2024</t>
        </is>
      </c>
      <c r="G317" s="24" t="inlineStr">
        <is>
          <t>OFS</t>
        </is>
      </c>
      <c r="H317" s="24" t="inlineStr">
        <is>
          <t>BS</t>
        </is>
      </c>
      <c r="I317" s="24" t="inlineStr">
        <is>
          <t>재무상태표</t>
        </is>
      </c>
      <c r="J317" s="24" t="inlineStr">
        <is>
          <t>ifrs-full_NoncurrentRecognisedLiabilitiesDefinedBenefitPlan</t>
        </is>
      </c>
      <c r="K317" s="24" t="inlineStr">
        <is>
          <t>순확정급여부채</t>
        </is>
      </c>
      <c r="L317" s="24" t="inlineStr">
        <is>
          <t>-</t>
        </is>
      </c>
      <c r="M317" s="24" t="inlineStr">
        <is>
          <t>제 29 기</t>
        </is>
      </c>
      <c r="N317" s="24" t="inlineStr">
        <is>
          <t>188815200.0</t>
        </is>
      </c>
      <c r="O317" s="24" t="inlineStr">
        <is>
          <t>0.0</t>
        </is>
      </c>
      <c r="P317" s="24" t="inlineStr">
        <is>
          <t>KRW</t>
        </is>
      </c>
      <c r="Q317" s="24" t="inlineStr">
        <is>
          <t>40</t>
        </is>
      </c>
    </row>
    <row r="318" ht="24" customHeight="1">
      <c r="A318" s="29" t="inlineStr">
        <is>
          <t>OpenDART_fnlttSinglAcntAll</t>
        </is>
      </c>
      <c r="B318" s="29" t="inlineStr">
        <is>
          <t>00369657</t>
        </is>
      </c>
      <c r="C318" s="29" t="inlineStr">
        <is>
          <t>리노공업</t>
        </is>
      </c>
      <c r="D318" s="29" t="inlineStr">
        <is>
          <t>leeno</t>
        </is>
      </c>
      <c r="E318" s="29" t="inlineStr">
        <is>
          <t>058470</t>
        </is>
      </c>
      <c r="F318" s="29" t="inlineStr">
        <is>
          <t>2024</t>
        </is>
      </c>
      <c r="G318" s="29" t="inlineStr">
        <is>
          <t>OFS</t>
        </is>
      </c>
      <c r="H318" s="29" t="inlineStr">
        <is>
          <t>CIS</t>
        </is>
      </c>
      <c r="I318" s="29" t="inlineStr">
        <is>
          <t>포괄손익계산서</t>
        </is>
      </c>
      <c r="J318" s="29" t="inlineStr">
        <is>
          <t>dart_NonOperatingProfitLoss</t>
        </is>
      </c>
      <c r="K318" s="29" t="inlineStr">
        <is>
          <t>영업외손익</t>
        </is>
      </c>
      <c r="L318" s="29" t="inlineStr">
        <is>
          <t>-</t>
        </is>
      </c>
      <c r="M318" s="29" t="inlineStr">
        <is>
          <t>제 29 기</t>
        </is>
      </c>
      <c r="N318" s="29" t="inlineStr">
        <is>
          <t>22337738072.0</t>
        </is>
      </c>
      <c r="O318" s="29" t="inlineStr">
        <is>
          <t>27865067804.0</t>
        </is>
      </c>
      <c r="P318" s="29" t="inlineStr">
        <is>
          <t>KRW</t>
        </is>
      </c>
      <c r="Q318" s="29" t="inlineStr">
        <is>
          <t>6</t>
        </is>
      </c>
    </row>
    <row r="319" ht="24" customHeight="1">
      <c r="A319" s="24" t="inlineStr">
        <is>
          <t>OpenDART_fnlttSinglAcntAll</t>
        </is>
      </c>
      <c r="B319" s="24" t="inlineStr">
        <is>
          <t>00369657</t>
        </is>
      </c>
      <c r="C319" s="24" t="inlineStr">
        <is>
          <t>리노공업</t>
        </is>
      </c>
      <c r="D319" s="24" t="inlineStr">
        <is>
          <t>leeno</t>
        </is>
      </c>
      <c r="E319" s="24" t="inlineStr">
        <is>
          <t>058470</t>
        </is>
      </c>
      <c r="F319" s="24" t="inlineStr">
        <is>
          <t>2024</t>
        </is>
      </c>
      <c r="G319" s="24" t="inlineStr">
        <is>
          <t>OFS</t>
        </is>
      </c>
      <c r="H319" s="24" t="inlineStr">
        <is>
          <t>CIS</t>
        </is>
      </c>
      <c r="I319" s="24" t="inlineStr">
        <is>
          <t>포괄손익계산서</t>
        </is>
      </c>
      <c r="J319" s="24" t="inlineStr">
        <is>
          <t>dart_OtherGains</t>
        </is>
      </c>
      <c r="K319" s="24" t="inlineStr">
        <is>
          <t>기타수익</t>
        </is>
      </c>
      <c r="L319" s="24" t="inlineStr">
        <is>
          <t>-</t>
        </is>
      </c>
      <c r="M319" s="24" t="inlineStr">
        <is>
          <t>제 29 기</t>
        </is>
      </c>
      <c r="N319" s="24" t="inlineStr">
        <is>
          <t>13700970478.0</t>
        </is>
      </c>
      <c r="O319" s="24" t="inlineStr">
        <is>
          <t>20526173615.0</t>
        </is>
      </c>
      <c r="P319" s="24" t="inlineStr">
        <is>
          <t>KRW</t>
        </is>
      </c>
      <c r="Q319" s="24" t="inlineStr">
        <is>
          <t>7</t>
        </is>
      </c>
    </row>
    <row r="320" ht="24" customHeight="1">
      <c r="A320" s="29" t="inlineStr">
        <is>
          <t>OpenDART_fnlttSinglAcntAll</t>
        </is>
      </c>
      <c r="B320" s="29" t="inlineStr">
        <is>
          <t>00369657</t>
        </is>
      </c>
      <c r="C320" s="29" t="inlineStr">
        <is>
          <t>리노공업</t>
        </is>
      </c>
      <c r="D320" s="29" t="inlineStr">
        <is>
          <t>leeno</t>
        </is>
      </c>
      <c r="E320" s="29" t="inlineStr">
        <is>
          <t>058470</t>
        </is>
      </c>
      <c r="F320" s="29" t="inlineStr">
        <is>
          <t>2024</t>
        </is>
      </c>
      <c r="G320" s="29" t="inlineStr">
        <is>
          <t>OFS</t>
        </is>
      </c>
      <c r="H320" s="29" t="inlineStr">
        <is>
          <t>CIS</t>
        </is>
      </c>
      <c r="I320" s="29" t="inlineStr">
        <is>
          <t>포괄손익계산서</t>
        </is>
      </c>
      <c r="J320" s="29" t="inlineStr">
        <is>
          <t>dart_OtherLosses</t>
        </is>
      </c>
      <c r="K320" s="29" t="inlineStr">
        <is>
          <t>기타비용</t>
        </is>
      </c>
      <c r="L320" s="29" t="inlineStr">
        <is>
          <t>-</t>
        </is>
      </c>
      <c r="M320" s="29" t="inlineStr">
        <is>
          <t>제 29 기</t>
        </is>
      </c>
      <c r="N320" s="29" t="inlineStr">
        <is>
          <t>2312820865.0</t>
        </is>
      </c>
      <c r="O320" s="29" t="inlineStr">
        <is>
          <t>3821207007.0</t>
        </is>
      </c>
      <c r="P320" s="29" t="inlineStr">
        <is>
          <t>KRW</t>
        </is>
      </c>
      <c r="Q320" s="29" t="inlineStr">
        <is>
          <t>8</t>
        </is>
      </c>
    </row>
    <row r="321" ht="24" customHeight="1">
      <c r="A321" s="24" t="inlineStr">
        <is>
          <t>OpenDART_fnlttSinglAcntAll</t>
        </is>
      </c>
      <c r="B321" s="24" t="inlineStr">
        <is>
          <t>00369657</t>
        </is>
      </c>
      <c r="C321" s="24" t="inlineStr">
        <is>
          <t>리노공업</t>
        </is>
      </c>
      <c r="D321" s="24" t="inlineStr">
        <is>
          <t>leeno</t>
        </is>
      </c>
      <c r="E321" s="24" t="inlineStr">
        <is>
          <t>058470</t>
        </is>
      </c>
      <c r="F321" s="24" t="inlineStr">
        <is>
          <t>2024</t>
        </is>
      </c>
      <c r="G321" s="24" t="inlineStr">
        <is>
          <t>OFS</t>
        </is>
      </c>
      <c r="H321" s="24" t="inlineStr">
        <is>
          <t>CIS</t>
        </is>
      </c>
      <c r="I321" s="24" t="inlineStr">
        <is>
          <t>포괄손익계산서</t>
        </is>
      </c>
      <c r="J321" s="24" t="inlineStr">
        <is>
          <t>ifrs-full_FinanceCosts</t>
        </is>
      </c>
      <c r="K321" s="24" t="inlineStr">
        <is>
          <t>금융원가</t>
        </is>
      </c>
      <c r="L321" s="24" t="inlineStr">
        <is>
          <t>-</t>
        </is>
      </c>
      <c r="M321" s="24" t="inlineStr">
        <is>
          <t>제 29 기</t>
        </is>
      </c>
      <c r="N321" s="24" t="inlineStr">
        <is>
          <t>7604344.0</t>
        </is>
      </c>
      <c r="O321" s="24" t="inlineStr">
        <is>
          <t>9431325.0</t>
        </is>
      </c>
      <c r="P321" s="24" t="inlineStr">
        <is>
          <t>KRW</t>
        </is>
      </c>
      <c r="Q321" s="24" t="inlineStr">
        <is>
          <t>9</t>
        </is>
      </c>
    </row>
    <row r="322" ht="24" customHeight="1">
      <c r="A322" s="29" t="inlineStr">
        <is>
          <t>OpenDART_fnlttSinglAcntAll</t>
        </is>
      </c>
      <c r="B322" s="29" t="inlineStr">
        <is>
          <t>00369657</t>
        </is>
      </c>
      <c r="C322" s="29" t="inlineStr">
        <is>
          <t>리노공업</t>
        </is>
      </c>
      <c r="D322" s="29" t="inlineStr">
        <is>
          <t>leeno</t>
        </is>
      </c>
      <c r="E322" s="29" t="inlineStr">
        <is>
          <t>058470</t>
        </is>
      </c>
      <c r="F322" s="29" t="inlineStr">
        <is>
          <t>2024</t>
        </is>
      </c>
      <c r="G322" s="29" t="inlineStr">
        <is>
          <t>OFS</t>
        </is>
      </c>
      <c r="H322" s="29" t="inlineStr">
        <is>
          <t>CIS</t>
        </is>
      </c>
      <c r="I322" s="29" t="inlineStr">
        <is>
          <t>포괄손익계산서</t>
        </is>
      </c>
      <c r="J322" s="29" t="inlineStr">
        <is>
          <t>ifrs-full_FinanceIncome</t>
        </is>
      </c>
      <c r="K322" s="29" t="inlineStr">
        <is>
          <t>금융수익</t>
        </is>
      </c>
      <c r="L322" s="29" t="inlineStr">
        <is>
          <t>-</t>
        </is>
      </c>
      <c r="M322" s="29" t="inlineStr">
        <is>
          <t>제 29 기</t>
        </is>
      </c>
      <c r="N322" s="29" t="inlineStr">
        <is>
          <t>10957192803.0</t>
        </is>
      </c>
      <c r="O322" s="29" t="inlineStr">
        <is>
          <t>11169532521.0</t>
        </is>
      </c>
      <c r="P322" s="29" t="inlineStr">
        <is>
          <t>KRW</t>
        </is>
      </c>
      <c r="Q322" s="29" t="inlineStr">
        <is>
          <t>10</t>
        </is>
      </c>
    </row>
    <row r="323" ht="24" customHeight="1">
      <c r="A323" s="24" t="inlineStr">
        <is>
          <t>OpenDART_fnlttSinglAcntAll</t>
        </is>
      </c>
      <c r="B323" s="24" t="inlineStr">
        <is>
          <t>00369657</t>
        </is>
      </c>
      <c r="C323" s="24" t="inlineStr">
        <is>
          <t>리노공업</t>
        </is>
      </c>
      <c r="D323" s="24" t="inlineStr">
        <is>
          <t>leeno</t>
        </is>
      </c>
      <c r="E323" s="24" t="inlineStr">
        <is>
          <t>058470</t>
        </is>
      </c>
      <c r="F323" s="24" t="inlineStr">
        <is>
          <t>2024</t>
        </is>
      </c>
      <c r="G323" s="24" t="inlineStr">
        <is>
          <t>OFS</t>
        </is>
      </c>
      <c r="H323" s="24" t="inlineStr">
        <is>
          <t>CIS</t>
        </is>
      </c>
      <c r="I323" s="24" t="inlineStr">
        <is>
          <t>포괄손익계산서</t>
        </is>
      </c>
      <c r="J323" s="24" t="inlineStr">
        <is>
          <t>dart_OperatingIncomeLoss</t>
        </is>
      </c>
      <c r="K323" s="24" t="inlineStr">
        <is>
          <t>영업이익</t>
        </is>
      </c>
      <c r="L323" s="24" t="inlineStr">
        <is>
          <t>-</t>
        </is>
      </c>
      <c r="M323" s="24" t="inlineStr">
        <is>
          <t>제 29 기</t>
        </is>
      </c>
      <c r="N323" s="24" t="inlineStr">
        <is>
          <t>124201343872.0</t>
        </is>
      </c>
      <c r="O323" s="24" t="inlineStr">
        <is>
          <t>114378400291.0</t>
        </is>
      </c>
      <c r="P323" s="24" t="inlineStr">
        <is>
          <t>KRW</t>
        </is>
      </c>
      <c r="Q323" s="24" t="inlineStr">
        <is>
          <t>11</t>
        </is>
      </c>
    </row>
    <row r="324" ht="24" customHeight="1">
      <c r="A324" s="29" t="inlineStr">
        <is>
          <t>OpenDART_fnlttSinglAcntAll</t>
        </is>
      </c>
      <c r="B324" s="29" t="inlineStr">
        <is>
          <t>00369657</t>
        </is>
      </c>
      <c r="C324" s="29" t="inlineStr">
        <is>
          <t>리노공업</t>
        </is>
      </c>
      <c r="D324" s="29" t="inlineStr">
        <is>
          <t>leeno</t>
        </is>
      </c>
      <c r="E324" s="29" t="inlineStr">
        <is>
          <t>058470</t>
        </is>
      </c>
      <c r="F324" s="29" t="inlineStr">
        <is>
          <t>2024</t>
        </is>
      </c>
      <c r="G324" s="29" t="inlineStr">
        <is>
          <t>OFS</t>
        </is>
      </c>
      <c r="H324" s="29" t="inlineStr">
        <is>
          <t>CIS</t>
        </is>
      </c>
      <c r="I324" s="29" t="inlineStr">
        <is>
          <t>포괄손익계산서</t>
        </is>
      </c>
      <c r="J324" s="29" t="inlineStr">
        <is>
          <t>dart_TotalSellingGeneralAdministrativeExpenses</t>
        </is>
      </c>
      <c r="K324" s="29" t="inlineStr">
        <is>
          <t>판매비와관리비</t>
        </is>
      </c>
      <c r="L324" s="29" t="inlineStr">
        <is>
          <t>-</t>
        </is>
      </c>
      <c r="M324" s="29" t="inlineStr">
        <is>
          <t>제 29 기</t>
        </is>
      </c>
      <c r="N324" s="29" t="inlineStr">
        <is>
          <t>13964737445.0</t>
        </is>
      </c>
      <c r="O324" s="29" t="inlineStr">
        <is>
          <t>13956224846.0</t>
        </is>
      </c>
      <c r="P324" s="29" t="inlineStr">
        <is>
          <t>KRW</t>
        </is>
      </c>
      <c r="Q324" s="29" t="inlineStr">
        <is>
          <t>12</t>
        </is>
      </c>
    </row>
    <row r="325" ht="24" customHeight="1">
      <c r="A325" s="24" t="inlineStr">
        <is>
          <t>OpenDART_fnlttSinglAcntAll</t>
        </is>
      </c>
      <c r="B325" s="24" t="inlineStr">
        <is>
          <t>00369657</t>
        </is>
      </c>
      <c r="C325" s="24" t="inlineStr">
        <is>
          <t>리노공업</t>
        </is>
      </c>
      <c r="D325" s="24" t="inlineStr">
        <is>
          <t>leeno</t>
        </is>
      </c>
      <c r="E325" s="24" t="inlineStr">
        <is>
          <t>058470</t>
        </is>
      </c>
      <c r="F325" s="24" t="inlineStr">
        <is>
          <t>2024</t>
        </is>
      </c>
      <c r="G325" s="24" t="inlineStr">
        <is>
          <t>OFS</t>
        </is>
      </c>
      <c r="H325" s="24" t="inlineStr">
        <is>
          <t>CIS</t>
        </is>
      </c>
      <c r="I325" s="24" t="inlineStr">
        <is>
          <t>포괄손익계산서</t>
        </is>
      </c>
      <c r="J325" s="24" t="inlineStr">
        <is>
          <t>ifrs-full_ComprehensiveIncome</t>
        </is>
      </c>
      <c r="K325" s="24" t="inlineStr">
        <is>
          <t>포괄손익</t>
        </is>
      </c>
      <c r="L325" s="24" t="inlineStr">
        <is>
          <t>-</t>
        </is>
      </c>
      <c r="M325" s="24" t="inlineStr">
        <is>
          <t>제 29 기</t>
        </is>
      </c>
      <c r="N325" s="24" t="inlineStr">
        <is>
          <t>111092274097.0</t>
        </is>
      </c>
      <c r="O325" s="24" t="inlineStr">
        <is>
          <t>109427975240.0</t>
        </is>
      </c>
      <c r="P325" s="24" t="inlineStr">
        <is>
          <t>KRW</t>
        </is>
      </c>
      <c r="Q325" s="24" t="inlineStr">
        <is>
          <t>13</t>
        </is>
      </c>
    </row>
    <row r="326" ht="24" customHeight="1">
      <c r="A326" s="29" t="inlineStr">
        <is>
          <t>OpenDART_fnlttSinglAcntAll</t>
        </is>
      </c>
      <c r="B326" s="29" t="inlineStr">
        <is>
          <t>00369657</t>
        </is>
      </c>
      <c r="C326" s="29" t="inlineStr">
        <is>
          <t>리노공업</t>
        </is>
      </c>
      <c r="D326" s="29" t="inlineStr">
        <is>
          <t>leeno</t>
        </is>
      </c>
      <c r="E326" s="29" t="inlineStr">
        <is>
          <t>058470</t>
        </is>
      </c>
      <c r="F326" s="29" t="inlineStr">
        <is>
          <t>2024</t>
        </is>
      </c>
      <c r="G326" s="29" t="inlineStr">
        <is>
          <t>OFS</t>
        </is>
      </c>
      <c r="H326" s="29" t="inlineStr">
        <is>
          <t>CIS</t>
        </is>
      </c>
      <c r="I326" s="29" t="inlineStr">
        <is>
          <t>포괄손익계산서</t>
        </is>
      </c>
      <c r="J326" s="29" t="inlineStr">
        <is>
          <t>ifrs-full_CostOfSales</t>
        </is>
      </c>
      <c r="K326" s="29" t="inlineStr">
        <is>
          <t>매출원가</t>
        </is>
      </c>
      <c r="L326" s="29" t="inlineStr">
        <is>
          <t>-</t>
        </is>
      </c>
      <c r="M326" s="29" t="inlineStr">
        <is>
          <t>제 29 기</t>
        </is>
      </c>
      <c r="N326" s="29" t="inlineStr">
        <is>
          <t>140020108110.0</t>
        </is>
      </c>
      <c r="O326" s="29" t="inlineStr">
        <is>
          <t>127238409519.0</t>
        </is>
      </c>
      <c r="P326" s="29" t="inlineStr">
        <is>
          <t>KRW</t>
        </is>
      </c>
      <c r="Q326" s="29" t="inlineStr">
        <is>
          <t>14</t>
        </is>
      </c>
    </row>
    <row r="327" ht="24" customHeight="1">
      <c r="A327" s="24" t="inlineStr">
        <is>
          <t>OpenDART_fnlttSinglAcntAll</t>
        </is>
      </c>
      <c r="B327" s="24" t="inlineStr">
        <is>
          <t>00369657</t>
        </is>
      </c>
      <c r="C327" s="24" t="inlineStr">
        <is>
          <t>리노공업</t>
        </is>
      </c>
      <c r="D327" s="24" t="inlineStr">
        <is>
          <t>leeno</t>
        </is>
      </c>
      <c r="E327" s="24" t="inlineStr">
        <is>
          <t>058470</t>
        </is>
      </c>
      <c r="F327" s="24" t="inlineStr">
        <is>
          <t>2024</t>
        </is>
      </c>
      <c r="G327" s="24" t="inlineStr">
        <is>
          <t>OFS</t>
        </is>
      </c>
      <c r="H327" s="24" t="inlineStr">
        <is>
          <t>CIS</t>
        </is>
      </c>
      <c r="I327" s="24" t="inlineStr">
        <is>
          <t>포괄손익계산서</t>
        </is>
      </c>
      <c r="J327" s="24" t="inlineStr">
        <is>
          <t>ifrs-full_BasicEarningsLossPerShare</t>
        </is>
      </c>
      <c r="K327" s="24" t="inlineStr">
        <is>
          <t>기본주당이익</t>
        </is>
      </c>
      <c r="L327" s="24" t="inlineStr">
        <is>
          <t>-</t>
        </is>
      </c>
      <c r="M327" s="24" t="inlineStr">
        <is>
          <t>제 29 기</t>
        </is>
      </c>
      <c r="N327" s="24" t="inlineStr">
        <is>
          <t>7463.0</t>
        </is>
      </c>
      <c r="O327" s="24" t="inlineStr">
        <is>
          <t>7308.0</t>
        </is>
      </c>
      <c r="P327" s="24" t="inlineStr">
        <is>
          <t>KRW</t>
        </is>
      </c>
      <c r="Q327" s="24" t="inlineStr">
        <is>
          <t>16</t>
        </is>
      </c>
    </row>
    <row r="328" ht="24" customHeight="1">
      <c r="A328" s="29" t="inlineStr">
        <is>
          <t>OpenDART_fnlttSinglAcntAll</t>
        </is>
      </c>
      <c r="B328" s="29" t="inlineStr">
        <is>
          <t>00369657</t>
        </is>
      </c>
      <c r="C328" s="29" t="inlineStr">
        <is>
          <t>리노공업</t>
        </is>
      </c>
      <c r="D328" s="29" t="inlineStr">
        <is>
          <t>leeno</t>
        </is>
      </c>
      <c r="E328" s="29" t="inlineStr">
        <is>
          <t>058470</t>
        </is>
      </c>
      <c r="F328" s="29" t="inlineStr">
        <is>
          <t>2024</t>
        </is>
      </c>
      <c r="G328" s="29" t="inlineStr">
        <is>
          <t>OFS</t>
        </is>
      </c>
      <c r="H328" s="29" t="inlineStr">
        <is>
          <t>CIS</t>
        </is>
      </c>
      <c r="I328" s="29" t="inlineStr">
        <is>
          <t>포괄손익계산서</t>
        </is>
      </c>
      <c r="J328" s="29" t="inlineStr">
        <is>
          <t>ifrs-full_DilutedEarningsLossPerShare</t>
        </is>
      </c>
      <c r="K328" s="29" t="inlineStr">
        <is>
          <t>희석주당이익</t>
        </is>
      </c>
      <c r="L328" s="29" t="inlineStr">
        <is>
          <t>-</t>
        </is>
      </c>
      <c r="M328" s="29" t="inlineStr">
        <is>
          <t>제 29 기</t>
        </is>
      </c>
      <c r="N328" s="29" t="inlineStr">
        <is>
          <t>7463.0</t>
        </is>
      </c>
      <c r="O328" s="29" t="inlineStr">
        <is>
          <t>7308.0</t>
        </is>
      </c>
      <c r="P328" s="29" t="inlineStr">
        <is>
          <t>KRW</t>
        </is>
      </c>
      <c r="Q328" s="29" t="inlineStr">
        <is>
          <t>17</t>
        </is>
      </c>
    </row>
    <row r="329" ht="24" customHeight="1">
      <c r="A329" s="24" t="inlineStr">
        <is>
          <t>OpenDART_fnlttSinglAcntAll</t>
        </is>
      </c>
      <c r="B329" s="24" t="inlineStr">
        <is>
          <t>00369657</t>
        </is>
      </c>
      <c r="C329" s="24" t="inlineStr">
        <is>
          <t>리노공업</t>
        </is>
      </c>
      <c r="D329" s="24" t="inlineStr">
        <is>
          <t>leeno</t>
        </is>
      </c>
      <c r="E329" s="24" t="inlineStr">
        <is>
          <t>058470</t>
        </is>
      </c>
      <c r="F329" s="24" t="inlineStr">
        <is>
          <t>2024</t>
        </is>
      </c>
      <c r="G329" s="24" t="inlineStr">
        <is>
          <t>OFS</t>
        </is>
      </c>
      <c r="H329" s="24" t="inlineStr">
        <is>
          <t>CIS</t>
        </is>
      </c>
      <c r="I329" s="24" t="inlineStr">
        <is>
          <t>포괄손익계산서</t>
        </is>
      </c>
      <c r="J329" s="24" t="inlineStr">
        <is>
          <t>ifrs-full_GrossProfit</t>
        </is>
      </c>
      <c r="K329" s="24" t="inlineStr">
        <is>
          <t>매출총이익</t>
        </is>
      </c>
      <c r="L329" s="24" t="inlineStr">
        <is>
          <t>-</t>
        </is>
      </c>
      <c r="M329" s="24" t="inlineStr">
        <is>
          <t>제 29 기</t>
        </is>
      </c>
      <c r="N329" s="24" t="inlineStr">
        <is>
          <t>138166081317.0</t>
        </is>
      </c>
      <c r="O329" s="24" t="inlineStr">
        <is>
          <t>128334625137.0</t>
        </is>
      </c>
      <c r="P329" s="24" t="inlineStr">
        <is>
          <t>KRW</t>
        </is>
      </c>
      <c r="Q329" s="24" t="inlineStr">
        <is>
          <t>18</t>
        </is>
      </c>
    </row>
    <row r="330" ht="24" customHeight="1">
      <c r="A330" s="29" t="inlineStr">
        <is>
          <t>OpenDART_fnlttSinglAcntAll</t>
        </is>
      </c>
      <c r="B330" s="29" t="inlineStr">
        <is>
          <t>00369657</t>
        </is>
      </c>
      <c r="C330" s="29" t="inlineStr">
        <is>
          <t>리노공업</t>
        </is>
      </c>
      <c r="D330" s="29" t="inlineStr">
        <is>
          <t>leeno</t>
        </is>
      </c>
      <c r="E330" s="29" t="inlineStr">
        <is>
          <t>058470</t>
        </is>
      </c>
      <c r="F330" s="29" t="inlineStr">
        <is>
          <t>2024</t>
        </is>
      </c>
      <c r="G330" s="29" t="inlineStr">
        <is>
          <t>OFS</t>
        </is>
      </c>
      <c r="H330" s="29" t="inlineStr">
        <is>
          <t>CIS</t>
        </is>
      </c>
      <c r="I330" s="29" t="inlineStr">
        <is>
          <t>포괄손익계산서</t>
        </is>
      </c>
      <c r="J330" s="29" t="inlineStr">
        <is>
          <t>ifrs-full_IncomeTaxExpenseContinuingOperations</t>
        </is>
      </c>
      <c r="K330" s="29" t="inlineStr">
        <is>
          <t>법인세비용</t>
        </is>
      </c>
      <c r="L330" s="29" t="inlineStr">
        <is>
          <t>-</t>
        </is>
      </c>
      <c r="M330" s="29" t="inlineStr">
        <is>
          <t>제 29 기</t>
        </is>
      </c>
      <c r="N330" s="29" t="inlineStr">
        <is>
          <t>33260035516.0</t>
        </is>
      </c>
      <c r="O330" s="29" t="inlineStr">
        <is>
          <t>31320452655.0</t>
        </is>
      </c>
      <c r="P330" s="29" t="inlineStr">
        <is>
          <t>KRW</t>
        </is>
      </c>
      <c r="Q330" s="29" t="inlineStr">
        <is>
          <t>19</t>
        </is>
      </c>
    </row>
    <row r="331" ht="24" customHeight="1">
      <c r="A331" s="24" t="inlineStr">
        <is>
          <t>OpenDART_fnlttSinglAcntAll</t>
        </is>
      </c>
      <c r="B331" s="24" t="inlineStr">
        <is>
          <t>00369657</t>
        </is>
      </c>
      <c r="C331" s="24" t="inlineStr">
        <is>
          <t>리노공업</t>
        </is>
      </c>
      <c r="D331" s="24" t="inlineStr">
        <is>
          <t>leeno</t>
        </is>
      </c>
      <c r="E331" s="24" t="inlineStr">
        <is>
          <t>058470</t>
        </is>
      </c>
      <c r="F331" s="24" t="inlineStr">
        <is>
          <t>2024</t>
        </is>
      </c>
      <c r="G331" s="24" t="inlineStr">
        <is>
          <t>OFS</t>
        </is>
      </c>
      <c r="H331" s="24" t="inlineStr">
        <is>
          <t>CIS</t>
        </is>
      </c>
      <c r="I331" s="24" t="inlineStr">
        <is>
          <t>포괄손익계산서</t>
        </is>
      </c>
      <c r="J331" s="24" t="inlineStr">
        <is>
          <t>ifrs-full_OtherComprehensiveIncome</t>
        </is>
      </c>
      <c r="K331" s="24" t="inlineStr">
        <is>
          <t>기타포괄손익</t>
        </is>
      </c>
      <c r="L331" s="24" t="inlineStr">
        <is>
          <t>-</t>
        </is>
      </c>
      <c r="M331" s="24" t="inlineStr">
        <is>
          <t>제 29 기</t>
        </is>
      </c>
      <c r="N331" s="24" t="inlineStr">
        <is>
          <t>-2186772331.0</t>
        </is>
      </c>
      <c r="O331" s="24" t="inlineStr">
        <is>
          <t>-1495040200.0</t>
        </is>
      </c>
      <c r="P331" s="24" t="inlineStr">
        <is>
          <t>KRW</t>
        </is>
      </c>
      <c r="Q331" s="24" t="inlineStr">
        <is>
          <t>20</t>
        </is>
      </c>
    </row>
    <row r="332" ht="24" customHeight="1">
      <c r="A332" s="29" t="inlineStr">
        <is>
          <t>OpenDART_fnlttSinglAcntAll</t>
        </is>
      </c>
      <c r="B332" s="29" t="inlineStr">
        <is>
          <t>00369657</t>
        </is>
      </c>
      <c r="C332" s="29" t="inlineStr">
        <is>
          <t>리노공업</t>
        </is>
      </c>
      <c r="D332" s="29" t="inlineStr">
        <is>
          <t>leeno</t>
        </is>
      </c>
      <c r="E332" s="29" t="inlineStr">
        <is>
          <t>058470</t>
        </is>
      </c>
      <c r="F332" s="29" t="inlineStr">
        <is>
          <t>2024</t>
        </is>
      </c>
      <c r="G332" s="29" t="inlineStr">
        <is>
          <t>OFS</t>
        </is>
      </c>
      <c r="H332" s="29" t="inlineStr">
        <is>
          <t>CIS</t>
        </is>
      </c>
      <c r="I332" s="29" t="inlineStr">
        <is>
          <t>포괄손익계산서</t>
        </is>
      </c>
      <c r="J332" s="29" t="inlineStr">
        <is>
          <t>ifrs-full_OtherComprehensiveIncomeThatWillNotBeReclassifiedToProfitOrLossNetOfTax</t>
        </is>
      </c>
      <c r="K332" s="29" t="inlineStr">
        <is>
          <t>후속적으로 당기손익으로 재분류되지 않는 포괄손익</t>
        </is>
      </c>
      <c r="L332" s="29" t="inlineStr">
        <is>
          <t>-</t>
        </is>
      </c>
      <c r="M332" s="29" t="inlineStr">
        <is>
          <t>제 29 기</t>
        </is>
      </c>
      <c r="N332" s="29" t="inlineStr">
        <is>
          <t>-2186772331.0</t>
        </is>
      </c>
      <c r="O332" s="29" t="inlineStr">
        <is>
          <t>-1495040200.0</t>
        </is>
      </c>
      <c r="P332" s="29" t="inlineStr">
        <is>
          <t>KRW</t>
        </is>
      </c>
      <c r="Q332" s="29" t="inlineStr">
        <is>
          <t>21</t>
        </is>
      </c>
    </row>
    <row r="333" ht="24" customHeight="1">
      <c r="A333" s="24" t="inlineStr">
        <is>
          <t>OpenDART_fnlttSinglAcntAll</t>
        </is>
      </c>
      <c r="B333" s="24" t="inlineStr">
        <is>
          <t>00369657</t>
        </is>
      </c>
      <c r="C333" s="24" t="inlineStr">
        <is>
          <t>리노공업</t>
        </is>
      </c>
      <c r="D333" s="24" t="inlineStr">
        <is>
          <t>leeno</t>
        </is>
      </c>
      <c r="E333" s="24" t="inlineStr">
        <is>
          <t>058470</t>
        </is>
      </c>
      <c r="F333" s="24" t="inlineStr">
        <is>
          <t>2024</t>
        </is>
      </c>
      <c r="G333" s="24" t="inlineStr">
        <is>
          <t>OFS</t>
        </is>
      </c>
      <c r="H333" s="24" t="inlineStr">
        <is>
          <t>CIS</t>
        </is>
      </c>
      <c r="I333" s="24" t="inlineStr">
        <is>
          <t>포괄손익계산서</t>
        </is>
      </c>
      <c r="J333" s="24" t="inlineStr">
        <is>
          <t>ifrs-full_OtherComprehensiveIncomeNetOfTaxGainsLossesOnRemeasurementsOfDefinedBenefitPlans</t>
        </is>
      </c>
      <c r="K333" s="24" t="inlineStr">
        <is>
          <t>종업원급여 재측정요소</t>
        </is>
      </c>
      <c r="L333" s="24" t="inlineStr">
        <is>
          <t>-</t>
        </is>
      </c>
      <c r="M333" s="24" t="inlineStr">
        <is>
          <t>제 29 기</t>
        </is>
      </c>
      <c r="N333" s="24" t="inlineStr">
        <is>
          <t>-2186772331.0</t>
        </is>
      </c>
      <c r="O333" s="24" t="inlineStr">
        <is>
          <t>-1495040200.0</t>
        </is>
      </c>
      <c r="P333" s="24" t="inlineStr">
        <is>
          <t>KRW</t>
        </is>
      </c>
      <c r="Q333" s="24" t="inlineStr">
        <is>
          <t>22</t>
        </is>
      </c>
    </row>
    <row r="334" ht="24" customHeight="1">
      <c r="A334" s="29" t="inlineStr">
        <is>
          <t>OpenDART_fnlttSinglAcntAll</t>
        </is>
      </c>
      <c r="B334" s="29" t="inlineStr">
        <is>
          <t>00369657</t>
        </is>
      </c>
      <c r="C334" s="29" t="inlineStr">
        <is>
          <t>리노공업</t>
        </is>
      </c>
      <c r="D334" s="29" t="inlineStr">
        <is>
          <t>leeno</t>
        </is>
      </c>
      <c r="E334" s="29" t="inlineStr">
        <is>
          <t>058470</t>
        </is>
      </c>
      <c r="F334" s="29" t="inlineStr">
        <is>
          <t>2024</t>
        </is>
      </c>
      <c r="G334" s="29" t="inlineStr">
        <is>
          <t>OFS</t>
        </is>
      </c>
      <c r="H334" s="29" t="inlineStr">
        <is>
          <t>CIS</t>
        </is>
      </c>
      <c r="I334" s="29" t="inlineStr">
        <is>
          <t>포괄손익계산서</t>
        </is>
      </c>
      <c r="J334" s="29" t="inlineStr">
        <is>
          <t>ifrs-full_ProfitLoss</t>
        </is>
      </c>
      <c r="K334" s="29" t="inlineStr">
        <is>
          <t>당기순이익</t>
        </is>
      </c>
      <c r="L334" s="29" t="inlineStr">
        <is>
          <t>-</t>
        </is>
      </c>
      <c r="M334" s="29" t="inlineStr">
        <is>
          <t>제 29 기</t>
        </is>
      </c>
      <c r="N334" s="29" t="inlineStr">
        <is>
          <t>113279046428.0</t>
        </is>
      </c>
      <c r="O334" s="29" t="inlineStr">
        <is>
          <t>110923015440.0</t>
        </is>
      </c>
      <c r="P334" s="29" t="inlineStr">
        <is>
          <t>KRW</t>
        </is>
      </c>
      <c r="Q334" s="29" t="inlineStr">
        <is>
          <t>23</t>
        </is>
      </c>
    </row>
    <row r="335" ht="24" customHeight="1">
      <c r="A335" s="24" t="inlineStr">
        <is>
          <t>OpenDART_fnlttSinglAcntAll</t>
        </is>
      </c>
      <c r="B335" s="24" t="inlineStr">
        <is>
          <t>00369657</t>
        </is>
      </c>
      <c r="C335" s="24" t="inlineStr">
        <is>
          <t>리노공업</t>
        </is>
      </c>
      <c r="D335" s="24" t="inlineStr">
        <is>
          <t>leeno</t>
        </is>
      </c>
      <c r="E335" s="24" t="inlineStr">
        <is>
          <t>058470</t>
        </is>
      </c>
      <c r="F335" s="24" t="inlineStr">
        <is>
          <t>2024</t>
        </is>
      </c>
      <c r="G335" s="24" t="inlineStr">
        <is>
          <t>OFS</t>
        </is>
      </c>
      <c r="H335" s="24" t="inlineStr">
        <is>
          <t>CIS</t>
        </is>
      </c>
      <c r="I335" s="24" t="inlineStr">
        <is>
          <t>포괄손익계산서</t>
        </is>
      </c>
      <c r="J335" s="24" t="inlineStr">
        <is>
          <t>ifrs-full_ProfitLossBeforeTax</t>
        </is>
      </c>
      <c r="K335" s="24" t="inlineStr">
        <is>
          <t>법인세비용차감전순이익</t>
        </is>
      </c>
      <c r="L335" s="24" t="inlineStr">
        <is>
          <t>-</t>
        </is>
      </c>
      <c r="M335" s="24" t="inlineStr">
        <is>
          <t>제 29 기</t>
        </is>
      </c>
      <c r="N335" s="24" t="inlineStr">
        <is>
          <t>146539081944.0</t>
        </is>
      </c>
      <c r="O335" s="24" t="inlineStr">
        <is>
          <t>142243468095.0</t>
        </is>
      </c>
      <c r="P335" s="24" t="inlineStr">
        <is>
          <t>KRW</t>
        </is>
      </c>
      <c r="Q335" s="24" t="inlineStr">
        <is>
          <t>24</t>
        </is>
      </c>
    </row>
    <row r="336" ht="24" customHeight="1">
      <c r="A336" s="29" t="inlineStr">
        <is>
          <t>OpenDART_fnlttSinglAcntAll</t>
        </is>
      </c>
      <c r="B336" s="29" t="inlineStr">
        <is>
          <t>00369657</t>
        </is>
      </c>
      <c r="C336" s="29" t="inlineStr">
        <is>
          <t>리노공업</t>
        </is>
      </c>
      <c r="D336" s="29" t="inlineStr">
        <is>
          <t>leeno</t>
        </is>
      </c>
      <c r="E336" s="29" t="inlineStr">
        <is>
          <t>058470</t>
        </is>
      </c>
      <c r="F336" s="29" t="inlineStr">
        <is>
          <t>2024</t>
        </is>
      </c>
      <c r="G336" s="29" t="inlineStr">
        <is>
          <t>OFS</t>
        </is>
      </c>
      <c r="H336" s="29" t="inlineStr">
        <is>
          <t>CIS</t>
        </is>
      </c>
      <c r="I336" s="29" t="inlineStr">
        <is>
          <t>포괄손익계산서</t>
        </is>
      </c>
      <c r="J336" s="29" t="inlineStr">
        <is>
          <t>ifrs-full_Revenue</t>
        </is>
      </c>
      <c r="K336" s="29" t="inlineStr">
        <is>
          <t>매출액</t>
        </is>
      </c>
      <c r="L336" s="29" t="inlineStr">
        <is>
          <t>-</t>
        </is>
      </c>
      <c r="M336" s="29" t="inlineStr">
        <is>
          <t>제 29 기</t>
        </is>
      </c>
      <c r="N336" s="29" t="inlineStr">
        <is>
          <t>278186189427.0</t>
        </is>
      </c>
      <c r="O336" s="29" t="inlineStr">
        <is>
          <t>255573034656.0</t>
        </is>
      </c>
      <c r="P336" s="29" t="inlineStr">
        <is>
          <t>KRW</t>
        </is>
      </c>
      <c r="Q336" s="29" t="inlineStr">
        <is>
          <t>25</t>
        </is>
      </c>
    </row>
    <row r="337" ht="24" customHeight="1">
      <c r="A337" s="24" t="inlineStr">
        <is>
          <t>OpenDART_fnlttSinglAcntAll</t>
        </is>
      </c>
      <c r="B337" s="24" t="inlineStr">
        <is>
          <t>00369657</t>
        </is>
      </c>
      <c r="C337" s="24" t="inlineStr">
        <is>
          <t>리노공업</t>
        </is>
      </c>
      <c r="D337" s="24" t="inlineStr">
        <is>
          <t>leeno</t>
        </is>
      </c>
      <c r="E337" s="24" t="inlineStr">
        <is>
          <t>058470</t>
        </is>
      </c>
      <c r="F337" s="24" t="inlineStr">
        <is>
          <t>2024</t>
        </is>
      </c>
      <c r="G337" s="24" t="inlineStr">
        <is>
          <t>OFS</t>
        </is>
      </c>
      <c r="H337" s="24" t="inlineStr">
        <is>
          <t>CF</t>
        </is>
      </c>
      <c r="I337" s="24" t="inlineStr">
        <is>
          <t>현금흐름표</t>
        </is>
      </c>
      <c r="J337" s="24" t="inlineStr">
        <is>
          <t>dart_CashAndCashEquivalentsAtBeginningOfPeriodCf</t>
        </is>
      </c>
      <c r="K337" s="24" t="inlineStr">
        <is>
          <t>기초현금및현금성자산</t>
        </is>
      </c>
      <c r="L337" s="24" t="inlineStr">
        <is>
          <t>-</t>
        </is>
      </c>
      <c r="M337" s="24" t="inlineStr">
        <is>
          <t>제 29 기</t>
        </is>
      </c>
      <c r="N337" s="24" t="inlineStr">
        <is>
          <t>34165877177.0</t>
        </is>
      </c>
      <c r="O337" s="24" t="inlineStr">
        <is>
          <t>30366977656.0</t>
        </is>
      </c>
      <c r="P337" s="24" t="inlineStr">
        <is>
          <t>KRW</t>
        </is>
      </c>
      <c r="Q337" s="24" t="inlineStr">
        <is>
          <t>2</t>
        </is>
      </c>
    </row>
    <row r="338" ht="24" customHeight="1">
      <c r="A338" s="29" t="inlineStr">
        <is>
          <t>OpenDART_fnlttSinglAcntAll</t>
        </is>
      </c>
      <c r="B338" s="29" t="inlineStr">
        <is>
          <t>00369657</t>
        </is>
      </c>
      <c r="C338" s="29" t="inlineStr">
        <is>
          <t>리노공업</t>
        </is>
      </c>
      <c r="D338" s="29" t="inlineStr">
        <is>
          <t>leeno</t>
        </is>
      </c>
      <c r="E338" s="29" t="inlineStr">
        <is>
          <t>058470</t>
        </is>
      </c>
      <c r="F338" s="29" t="inlineStr">
        <is>
          <t>2024</t>
        </is>
      </c>
      <c r="G338" s="29" t="inlineStr">
        <is>
          <t>OFS</t>
        </is>
      </c>
      <c r="H338" s="29" t="inlineStr">
        <is>
          <t>CF</t>
        </is>
      </c>
      <c r="I338" s="29" t="inlineStr">
        <is>
          <t>현금흐름표</t>
        </is>
      </c>
      <c r="J338" s="29" t="inlineStr">
        <is>
          <t>dart_CashAndCashEquivalentsAtEndOfPeriodCf</t>
        </is>
      </c>
      <c r="K338" s="29" t="inlineStr">
        <is>
          <t>기말현금및현금성자산</t>
        </is>
      </c>
      <c r="L338" s="29" t="inlineStr">
        <is>
          <t>-</t>
        </is>
      </c>
      <c r="M338" s="29" t="inlineStr">
        <is>
          <t>제 29 기</t>
        </is>
      </c>
      <c r="N338" s="29" t="inlineStr">
        <is>
          <t>54759251381.0</t>
        </is>
      </c>
      <c r="O338" s="29" t="inlineStr">
        <is>
          <t>34165877177.0</t>
        </is>
      </c>
      <c r="P338" s="29" t="inlineStr">
        <is>
          <t>KRW</t>
        </is>
      </c>
      <c r="Q338" s="29" t="inlineStr">
        <is>
          <t>3</t>
        </is>
      </c>
    </row>
    <row r="339" ht="24" customHeight="1">
      <c r="A339" s="24" t="inlineStr">
        <is>
          <t>OpenDART_fnlttSinglAcntAll</t>
        </is>
      </c>
      <c r="B339" s="24" t="inlineStr">
        <is>
          <t>00369657</t>
        </is>
      </c>
      <c r="C339" s="24" t="inlineStr">
        <is>
          <t>리노공업</t>
        </is>
      </c>
      <c r="D339" s="24" t="inlineStr">
        <is>
          <t>leeno</t>
        </is>
      </c>
      <c r="E339" s="24" t="inlineStr">
        <is>
          <t>058470</t>
        </is>
      </c>
      <c r="F339" s="24" t="inlineStr">
        <is>
          <t>2024</t>
        </is>
      </c>
      <c r="G339" s="24" t="inlineStr">
        <is>
          <t>OFS</t>
        </is>
      </c>
      <c r="H339" s="24" t="inlineStr">
        <is>
          <t>CF</t>
        </is>
      </c>
      <c r="I339" s="24" t="inlineStr">
        <is>
          <t>현금흐름표</t>
        </is>
      </c>
      <c r="J339" s="24" t="inlineStr">
        <is>
          <t>ifrs-full_CashFlowsFromUsedInFinancingActivities</t>
        </is>
      </c>
      <c r="K339" s="24" t="inlineStr">
        <is>
          <t>재무활동현금흐름</t>
        </is>
      </c>
      <c r="L339" s="24" t="inlineStr">
        <is>
          <t>-</t>
        </is>
      </c>
      <c r="M339" s="24" t="inlineStr">
        <is>
          <t>제 29 기</t>
        </is>
      </c>
      <c r="N339" s="24" t="inlineStr">
        <is>
          <t>-45636652253.0</t>
        </is>
      </c>
      <c r="O339" s="24" t="inlineStr">
        <is>
          <t>-45645540820.0</t>
        </is>
      </c>
      <c r="P339" s="24" t="inlineStr">
        <is>
          <t>KRW</t>
        </is>
      </c>
      <c r="Q339" s="24" t="inlineStr">
        <is>
          <t>8</t>
        </is>
      </c>
    </row>
    <row r="340" ht="24" customHeight="1">
      <c r="A340" s="29" t="inlineStr">
        <is>
          <t>OpenDART_fnlttSinglAcntAll</t>
        </is>
      </c>
      <c r="B340" s="29" t="inlineStr">
        <is>
          <t>00369657</t>
        </is>
      </c>
      <c r="C340" s="29" t="inlineStr">
        <is>
          <t>리노공업</t>
        </is>
      </c>
      <c r="D340" s="29" t="inlineStr">
        <is>
          <t>leeno</t>
        </is>
      </c>
      <c r="E340" s="29" t="inlineStr">
        <is>
          <t>058470</t>
        </is>
      </c>
      <c r="F340" s="29" t="inlineStr">
        <is>
          <t>2024</t>
        </is>
      </c>
      <c r="G340" s="29" t="inlineStr">
        <is>
          <t>OFS</t>
        </is>
      </c>
      <c r="H340" s="29" t="inlineStr">
        <is>
          <t>CF</t>
        </is>
      </c>
      <c r="I340" s="29" t="inlineStr">
        <is>
          <t>현금흐름표</t>
        </is>
      </c>
      <c r="J340" s="29" t="inlineStr">
        <is>
          <t>dart_PaymentsOfFinanceLeaseLiabilitiesClassifiedAsFinancingActivities</t>
        </is>
      </c>
      <c r="K340" s="29" t="inlineStr">
        <is>
          <t>금융리스부채의 지급</t>
        </is>
      </c>
      <c r="L340" s="29" t="inlineStr">
        <is>
          <t>-</t>
        </is>
      </c>
      <c r="M340" s="29" t="inlineStr">
        <is>
          <t>제 29 기</t>
        </is>
      </c>
      <c r="N340" s="29" t="inlineStr">
        <is>
          <t>99292253.0</t>
        </is>
      </c>
      <c r="O340" s="29" t="inlineStr">
        <is>
          <t>108180820.0</t>
        </is>
      </c>
      <c r="P340" s="29" t="inlineStr">
        <is>
          <t>KRW</t>
        </is>
      </c>
      <c r="Q340" s="29" t="inlineStr">
        <is>
          <t>9</t>
        </is>
      </c>
    </row>
    <row r="341" ht="24" customHeight="1">
      <c r="A341" s="24" t="inlineStr">
        <is>
          <t>OpenDART_fnlttSinglAcntAll</t>
        </is>
      </c>
      <c r="B341" s="24" t="inlineStr">
        <is>
          <t>00369657</t>
        </is>
      </c>
      <c r="C341" s="24" t="inlineStr">
        <is>
          <t>리노공업</t>
        </is>
      </c>
      <c r="D341" s="24" t="inlineStr">
        <is>
          <t>leeno</t>
        </is>
      </c>
      <c r="E341" s="24" t="inlineStr">
        <is>
          <t>058470</t>
        </is>
      </c>
      <c r="F341" s="24" t="inlineStr">
        <is>
          <t>2024</t>
        </is>
      </c>
      <c r="G341" s="24" t="inlineStr">
        <is>
          <t>OFS</t>
        </is>
      </c>
      <c r="H341" s="24" t="inlineStr">
        <is>
          <t>CF</t>
        </is>
      </c>
      <c r="I341" s="24" t="inlineStr">
        <is>
          <t>현금흐름표</t>
        </is>
      </c>
      <c r="J341" s="24" t="inlineStr">
        <is>
          <t>ifrs-full_DividendsPaidClassifiedAsFinancingActivities</t>
        </is>
      </c>
      <c r="K341" s="24" t="inlineStr">
        <is>
          <t>배당금의 지급</t>
        </is>
      </c>
      <c r="L341" s="24" t="inlineStr">
        <is>
          <t>-</t>
        </is>
      </c>
      <c r="M341" s="24" t="inlineStr">
        <is>
          <t>제 29 기</t>
        </is>
      </c>
      <c r="N341" s="24" t="inlineStr">
        <is>
          <t>45537360000.0</t>
        </is>
      </c>
      <c r="O341" s="24" t="inlineStr">
        <is>
          <t>45537360000.0</t>
        </is>
      </c>
      <c r="P341" s="24" t="inlineStr">
        <is>
          <t>KRW</t>
        </is>
      </c>
      <c r="Q341" s="24" t="inlineStr">
        <is>
          <t>10</t>
        </is>
      </c>
    </row>
    <row r="342" ht="24" customHeight="1">
      <c r="A342" s="29" t="inlineStr">
        <is>
          <t>OpenDART_fnlttSinglAcntAll</t>
        </is>
      </c>
      <c r="B342" s="29" t="inlineStr">
        <is>
          <t>00369657</t>
        </is>
      </c>
      <c r="C342" s="29" t="inlineStr">
        <is>
          <t>리노공업</t>
        </is>
      </c>
      <c r="D342" s="29" t="inlineStr">
        <is>
          <t>leeno</t>
        </is>
      </c>
      <c r="E342" s="29" t="inlineStr">
        <is>
          <t>058470</t>
        </is>
      </c>
      <c r="F342" s="29" t="inlineStr">
        <is>
          <t>2024</t>
        </is>
      </c>
      <c r="G342" s="29" t="inlineStr">
        <is>
          <t>OFS</t>
        </is>
      </c>
      <c r="H342" s="29" t="inlineStr">
        <is>
          <t>CF</t>
        </is>
      </c>
      <c r="I342" s="29" t="inlineStr">
        <is>
          <t>현금흐름표</t>
        </is>
      </c>
      <c r="J342" s="29" t="inlineStr">
        <is>
          <t>ifrs-full_CashFlowsFromUsedInInvestingActivities</t>
        </is>
      </c>
      <c r="K342" s="29" t="inlineStr">
        <is>
          <t>투자활동현금흐름</t>
        </is>
      </c>
      <c r="L342" s="29" t="inlineStr">
        <is>
          <t>-</t>
        </is>
      </c>
      <c r="M342" s="29" t="inlineStr">
        <is>
          <t>제 29 기</t>
        </is>
      </c>
      <c r="N342" s="29" t="inlineStr">
        <is>
          <t>-46761936241.0</t>
        </is>
      </c>
      <c r="O342" s="29" t="inlineStr">
        <is>
          <t>-61048311242.0</t>
        </is>
      </c>
      <c r="P342" s="29" t="inlineStr">
        <is>
          <t>KRW</t>
        </is>
      </c>
      <c r="Q342" s="29" t="inlineStr">
        <is>
          <t>11</t>
        </is>
      </c>
    </row>
    <row r="343" ht="24" customHeight="1">
      <c r="A343" s="24" t="inlineStr">
        <is>
          <t>OpenDART_fnlttSinglAcntAll</t>
        </is>
      </c>
      <c r="B343" s="24" t="inlineStr">
        <is>
          <t>00369657</t>
        </is>
      </c>
      <c r="C343" s="24" t="inlineStr">
        <is>
          <t>리노공업</t>
        </is>
      </c>
      <c r="D343" s="24" t="inlineStr">
        <is>
          <t>leeno</t>
        </is>
      </c>
      <c r="E343" s="24" t="inlineStr">
        <is>
          <t>058470</t>
        </is>
      </c>
      <c r="F343" s="24" t="inlineStr">
        <is>
          <t>2024</t>
        </is>
      </c>
      <c r="G343" s="24" t="inlineStr">
        <is>
          <t>OFS</t>
        </is>
      </c>
      <c r="H343" s="24" t="inlineStr">
        <is>
          <t>CF</t>
        </is>
      </c>
      <c r="I343" s="24" t="inlineStr">
        <is>
          <t>현금흐름표</t>
        </is>
      </c>
      <c r="J343" s="24" t="inlineStr">
        <is>
          <t>dart_ProceedsFromSalesOfLongTermLoansAndReceivables</t>
        </is>
      </c>
      <c r="K343" s="24" t="inlineStr">
        <is>
          <t>기타채권(비유동)의 감소</t>
        </is>
      </c>
      <c r="L343" s="24" t="inlineStr">
        <is>
          <t>-</t>
        </is>
      </c>
      <c r="M343" s="24" t="inlineStr">
        <is>
          <t>제 29 기</t>
        </is>
      </c>
      <c r="N343" s="24" t="inlineStr">
        <is>
          <t>0.0</t>
        </is>
      </c>
      <c r="O343" s="24" t="inlineStr">
        <is>
          <t>13000000.0</t>
        </is>
      </c>
      <c r="P343" s="24" t="inlineStr">
        <is>
          <t>KRW</t>
        </is>
      </c>
      <c r="Q343" s="24" t="inlineStr">
        <is>
          <t>12</t>
        </is>
      </c>
    </row>
    <row r="344" ht="24" customHeight="1">
      <c r="A344" s="29" t="inlineStr">
        <is>
          <t>OpenDART_fnlttSinglAcntAll</t>
        </is>
      </c>
      <c r="B344" s="29" t="inlineStr">
        <is>
          <t>00369657</t>
        </is>
      </c>
      <c r="C344" s="29" t="inlineStr">
        <is>
          <t>리노공업</t>
        </is>
      </c>
      <c r="D344" s="29" t="inlineStr">
        <is>
          <t>leeno</t>
        </is>
      </c>
      <c r="E344" s="29" t="inlineStr">
        <is>
          <t>058470</t>
        </is>
      </c>
      <c r="F344" s="29" t="inlineStr">
        <is>
          <t>2024</t>
        </is>
      </c>
      <c r="G344" s="29" t="inlineStr">
        <is>
          <t>OFS</t>
        </is>
      </c>
      <c r="H344" s="29" t="inlineStr">
        <is>
          <t>CF</t>
        </is>
      </c>
      <c r="I344" s="29" t="inlineStr">
        <is>
          <t>현금흐름표</t>
        </is>
      </c>
      <c r="J344" s="29" t="inlineStr">
        <is>
          <t>dart_ProceedsFromSalesOfOtherCurrentFinancialAssets</t>
        </is>
      </c>
      <c r="K344" s="29" t="inlineStr">
        <is>
          <t>금융자산(유동)의 처분</t>
        </is>
      </c>
      <c r="L344" s="29" t="inlineStr">
        <is>
          <t>-</t>
        </is>
      </c>
      <c r="M344" s="29" t="inlineStr">
        <is>
          <t>제 29 기</t>
        </is>
      </c>
      <c r="N344" s="29" t="inlineStr">
        <is>
          <t>1198248242370.0</t>
        </is>
      </c>
      <c r="O344" s="29" t="inlineStr">
        <is>
          <t>1130564174668.0</t>
        </is>
      </c>
      <c r="P344" s="29" t="inlineStr">
        <is>
          <t>KRW</t>
        </is>
      </c>
      <c r="Q344" s="29" t="inlineStr">
        <is>
          <t>13</t>
        </is>
      </c>
    </row>
    <row r="345" ht="24" customHeight="1">
      <c r="A345" s="24" t="inlineStr">
        <is>
          <t>OpenDART_fnlttSinglAcntAll</t>
        </is>
      </c>
      <c r="B345" s="24" t="inlineStr">
        <is>
          <t>00369657</t>
        </is>
      </c>
      <c r="C345" s="24" t="inlineStr">
        <is>
          <t>리노공업</t>
        </is>
      </c>
      <c r="D345" s="24" t="inlineStr">
        <is>
          <t>leeno</t>
        </is>
      </c>
      <c r="E345" s="24" t="inlineStr">
        <is>
          <t>058470</t>
        </is>
      </c>
      <c r="F345" s="24" t="inlineStr">
        <is>
          <t>2024</t>
        </is>
      </c>
      <c r="G345" s="24" t="inlineStr">
        <is>
          <t>OFS</t>
        </is>
      </c>
      <c r="H345" s="24" t="inlineStr">
        <is>
          <t>CF</t>
        </is>
      </c>
      <c r="I345" s="24" t="inlineStr">
        <is>
          <t>현금흐름표</t>
        </is>
      </c>
      <c r="J345" s="24" t="inlineStr">
        <is>
          <t>dart_ProceedsFromSalesOfOtherNonCurrentFinancialAssets</t>
        </is>
      </c>
      <c r="K345" s="24" t="inlineStr">
        <is>
          <t>금융자산(비유동)의 처분</t>
        </is>
      </c>
      <c r="L345" s="24" t="inlineStr">
        <is>
          <t>-</t>
        </is>
      </c>
      <c r="M345" s="24" t="inlineStr">
        <is>
          <t>제 29 기</t>
        </is>
      </c>
      <c r="N345" s="24" t="inlineStr">
        <is>
          <t>40054350000.0</t>
        </is>
      </c>
      <c r="O345" s="24" t="inlineStr">
        <is>
          <t>45395021100.0</t>
        </is>
      </c>
      <c r="P345" s="24" t="inlineStr">
        <is>
          <t>KRW</t>
        </is>
      </c>
      <c r="Q345" s="24" t="inlineStr">
        <is>
          <t>14</t>
        </is>
      </c>
    </row>
    <row r="346" ht="24" customHeight="1">
      <c r="A346" s="29" t="inlineStr">
        <is>
          <t>OpenDART_fnlttSinglAcntAll</t>
        </is>
      </c>
      <c r="B346" s="29" t="inlineStr">
        <is>
          <t>00369657</t>
        </is>
      </c>
      <c r="C346" s="29" t="inlineStr">
        <is>
          <t>리노공업</t>
        </is>
      </c>
      <c r="D346" s="29" t="inlineStr">
        <is>
          <t>leeno</t>
        </is>
      </c>
      <c r="E346" s="29" t="inlineStr">
        <is>
          <t>058470</t>
        </is>
      </c>
      <c r="F346" s="29" t="inlineStr">
        <is>
          <t>2024</t>
        </is>
      </c>
      <c r="G346" s="29" t="inlineStr">
        <is>
          <t>OFS</t>
        </is>
      </c>
      <c r="H346" s="29" t="inlineStr">
        <is>
          <t>CF</t>
        </is>
      </c>
      <c r="I346" s="29" t="inlineStr">
        <is>
          <t>현금흐름표</t>
        </is>
      </c>
      <c r="J346" s="29" t="inlineStr">
        <is>
          <t>dart_ProceedsFromSalesOfShortTermLoansAndReceivables</t>
        </is>
      </c>
      <c r="K346" s="29" t="inlineStr">
        <is>
          <t>기타채권(유동)의 감소</t>
        </is>
      </c>
      <c r="L346" s="29" t="inlineStr">
        <is>
          <t>-</t>
        </is>
      </c>
      <c r="M346" s="29" t="inlineStr">
        <is>
          <t>제 29 기</t>
        </is>
      </c>
      <c r="N346" s="29" t="inlineStr">
        <is>
          <t>863665954.0</t>
        </is>
      </c>
      <c r="O346" s="29" t="inlineStr">
        <is>
          <t>541348077.0</t>
        </is>
      </c>
      <c r="P346" s="29" t="inlineStr">
        <is>
          <t>KRW</t>
        </is>
      </c>
      <c r="Q346" s="29" t="inlineStr">
        <is>
          <t>15</t>
        </is>
      </c>
    </row>
    <row r="347" ht="24" customHeight="1">
      <c r="A347" s="24" t="inlineStr">
        <is>
          <t>OpenDART_fnlttSinglAcntAll</t>
        </is>
      </c>
      <c r="B347" s="24" t="inlineStr">
        <is>
          <t>00369657</t>
        </is>
      </c>
      <c r="C347" s="24" t="inlineStr">
        <is>
          <t>리노공업</t>
        </is>
      </c>
      <c r="D347" s="24" t="inlineStr">
        <is>
          <t>leeno</t>
        </is>
      </c>
      <c r="E347" s="24" t="inlineStr">
        <is>
          <t>058470</t>
        </is>
      </c>
      <c r="F347" s="24" t="inlineStr">
        <is>
          <t>2024</t>
        </is>
      </c>
      <c r="G347" s="24" t="inlineStr">
        <is>
          <t>OFS</t>
        </is>
      </c>
      <c r="H347" s="24" t="inlineStr">
        <is>
          <t>CF</t>
        </is>
      </c>
      <c r="I347" s="24" t="inlineStr">
        <is>
          <t>현금흐름표</t>
        </is>
      </c>
      <c r="J347" s="24" t="inlineStr">
        <is>
          <t>dart_PurchaseOfLongTermLoansAndReceivables</t>
        </is>
      </c>
      <c r="K347" s="24" t="inlineStr">
        <is>
          <t>기타채권(비유동)의 증가</t>
        </is>
      </c>
      <c r="L347" s="24" t="inlineStr">
        <is>
          <t>-</t>
        </is>
      </c>
      <c r="M347" s="24" t="inlineStr">
        <is>
          <t>제 29 기</t>
        </is>
      </c>
      <c r="N347" s="24" t="inlineStr">
        <is>
          <t>0.0</t>
        </is>
      </c>
      <c r="O347" s="24" t="inlineStr">
        <is>
          <t>276000.0</t>
        </is>
      </c>
      <c r="P347" s="24" t="inlineStr">
        <is>
          <t>KRW</t>
        </is>
      </c>
      <c r="Q347" s="24" t="inlineStr">
        <is>
          <t>16</t>
        </is>
      </c>
    </row>
    <row r="348" ht="24" customHeight="1">
      <c r="A348" s="29" t="inlineStr">
        <is>
          <t>OpenDART_fnlttSinglAcntAll</t>
        </is>
      </c>
      <c r="B348" s="29" t="inlineStr">
        <is>
          <t>00369657</t>
        </is>
      </c>
      <c r="C348" s="29" t="inlineStr">
        <is>
          <t>리노공업</t>
        </is>
      </c>
      <c r="D348" s="29" t="inlineStr">
        <is>
          <t>leeno</t>
        </is>
      </c>
      <c r="E348" s="29" t="inlineStr">
        <is>
          <t>058470</t>
        </is>
      </c>
      <c r="F348" s="29" t="inlineStr">
        <is>
          <t>2024</t>
        </is>
      </c>
      <c r="G348" s="29" t="inlineStr">
        <is>
          <t>OFS</t>
        </is>
      </c>
      <c r="H348" s="29" t="inlineStr">
        <is>
          <t>CF</t>
        </is>
      </c>
      <c r="I348" s="29" t="inlineStr">
        <is>
          <t>현금흐름표</t>
        </is>
      </c>
      <c r="J348" s="29" t="inlineStr">
        <is>
          <t>dart_PurchaseOfOtherCurrentFinancialAssets</t>
        </is>
      </c>
      <c r="K348" s="29" t="inlineStr">
        <is>
          <t>금융자산(유동)의 취득</t>
        </is>
      </c>
      <c r="L348" s="29" t="inlineStr">
        <is>
          <t>-</t>
        </is>
      </c>
      <c r="M348" s="29" t="inlineStr">
        <is>
          <t>제 29 기</t>
        </is>
      </c>
      <c r="N348" s="29" t="inlineStr">
        <is>
          <t>1229118242370.0</t>
        </is>
      </c>
      <c r="O348" s="29" t="inlineStr">
        <is>
          <t>1130414174668.0</t>
        </is>
      </c>
      <c r="P348" s="29" t="inlineStr">
        <is>
          <t>KRW</t>
        </is>
      </c>
      <c r="Q348" s="29" t="inlineStr">
        <is>
          <t>17</t>
        </is>
      </c>
    </row>
    <row r="349" ht="24" customHeight="1">
      <c r="A349" s="24" t="inlineStr">
        <is>
          <t>OpenDART_fnlttSinglAcntAll</t>
        </is>
      </c>
      <c r="B349" s="24" t="inlineStr">
        <is>
          <t>00369657</t>
        </is>
      </c>
      <c r="C349" s="24" t="inlineStr">
        <is>
          <t>리노공업</t>
        </is>
      </c>
      <c r="D349" s="24" t="inlineStr">
        <is>
          <t>leeno</t>
        </is>
      </c>
      <c r="E349" s="24" t="inlineStr">
        <is>
          <t>058470</t>
        </is>
      </c>
      <c r="F349" s="24" t="inlineStr">
        <is>
          <t>2024</t>
        </is>
      </c>
      <c r="G349" s="24" t="inlineStr">
        <is>
          <t>OFS</t>
        </is>
      </c>
      <c r="H349" s="24" t="inlineStr">
        <is>
          <t>CF</t>
        </is>
      </c>
      <c r="I349" s="24" t="inlineStr">
        <is>
          <t>현금흐름표</t>
        </is>
      </c>
      <c r="J349" s="24" t="inlineStr">
        <is>
          <t>dart_PurchaseOfOtherNonCurrentFinancialAssets</t>
        </is>
      </c>
      <c r="K349" s="24" t="inlineStr">
        <is>
          <t>금융자산(비유동)의 취득</t>
        </is>
      </c>
      <c r="L349" s="24" t="inlineStr">
        <is>
          <t>-</t>
        </is>
      </c>
      <c r="M349" s="24" t="inlineStr">
        <is>
          <t>제 29 기</t>
        </is>
      </c>
      <c r="N349" s="24" t="inlineStr">
        <is>
          <t>44001480000.0</t>
        </is>
      </c>
      <c r="O349" s="24" t="inlineStr">
        <is>
          <t>37585000000.0</t>
        </is>
      </c>
      <c r="P349" s="24" t="inlineStr">
        <is>
          <t>KRW</t>
        </is>
      </c>
      <c r="Q349" s="24" t="inlineStr">
        <is>
          <t>18</t>
        </is>
      </c>
    </row>
    <row r="350" ht="24" customHeight="1">
      <c r="A350" s="29" t="inlineStr">
        <is>
          <t>OpenDART_fnlttSinglAcntAll</t>
        </is>
      </c>
      <c r="B350" s="29" t="inlineStr">
        <is>
          <t>00369657</t>
        </is>
      </c>
      <c r="C350" s="29" t="inlineStr">
        <is>
          <t>리노공업</t>
        </is>
      </c>
      <c r="D350" s="29" t="inlineStr">
        <is>
          <t>leeno</t>
        </is>
      </c>
      <c r="E350" s="29" t="inlineStr">
        <is>
          <t>058470</t>
        </is>
      </c>
      <c r="F350" s="29" t="inlineStr">
        <is>
          <t>2024</t>
        </is>
      </c>
      <c r="G350" s="29" t="inlineStr">
        <is>
          <t>OFS</t>
        </is>
      </c>
      <c r="H350" s="29" t="inlineStr">
        <is>
          <t>CF</t>
        </is>
      </c>
      <c r="I350" s="29" t="inlineStr">
        <is>
          <t>현금흐름표</t>
        </is>
      </c>
      <c r="J350" s="29" t="inlineStr">
        <is>
          <t>dart_PurchaseOfShortTermLoansAndReceivables</t>
        </is>
      </c>
      <c r="K350" s="29" t="inlineStr">
        <is>
          <t>기타채권(유동)의 증가</t>
        </is>
      </c>
      <c r="L350" s="29" t="inlineStr">
        <is>
          <t>-</t>
        </is>
      </c>
      <c r="M350" s="29" t="inlineStr">
        <is>
          <t>제 29 기</t>
        </is>
      </c>
      <c r="N350" s="29" t="inlineStr">
        <is>
          <t>863665954.0</t>
        </is>
      </c>
      <c r="O350" s="29" t="inlineStr">
        <is>
          <t>541348077.0</t>
        </is>
      </c>
      <c r="P350" s="29" t="inlineStr">
        <is>
          <t>KRW</t>
        </is>
      </c>
      <c r="Q350" s="29" t="inlineStr">
        <is>
          <t>19</t>
        </is>
      </c>
    </row>
    <row r="351" ht="24" customHeight="1">
      <c r="A351" s="24" t="inlineStr">
        <is>
          <t>OpenDART_fnlttSinglAcntAll</t>
        </is>
      </c>
      <c r="B351" s="24" t="inlineStr">
        <is>
          <t>00369657</t>
        </is>
      </c>
      <c r="C351" s="24" t="inlineStr">
        <is>
          <t>리노공업</t>
        </is>
      </c>
      <c r="D351" s="24" t="inlineStr">
        <is>
          <t>leeno</t>
        </is>
      </c>
      <c r="E351" s="24" t="inlineStr">
        <is>
          <t>058470</t>
        </is>
      </c>
      <c r="F351" s="24" t="inlineStr">
        <is>
          <t>2024</t>
        </is>
      </c>
      <c r="G351" s="24" t="inlineStr">
        <is>
          <t>OFS</t>
        </is>
      </c>
      <c r="H351" s="24" t="inlineStr">
        <is>
          <t>CF</t>
        </is>
      </c>
      <c r="I351" s="24" t="inlineStr">
        <is>
          <t>현금흐름표</t>
        </is>
      </c>
      <c r="J351" s="24" t="inlineStr">
        <is>
          <t>-표준계정코드 미사용-</t>
        </is>
      </c>
      <c r="K351" s="24" t="inlineStr">
        <is>
          <t>유형자산 관련 기타채무의 감소</t>
        </is>
      </c>
      <c r="L351" s="24" t="inlineStr">
        <is>
          <t>-</t>
        </is>
      </c>
      <c r="M351" s="24" t="inlineStr">
        <is>
          <t>제 29 기</t>
        </is>
      </c>
      <c r="N351" s="24" t="inlineStr">
        <is>
          <t>15200000.0</t>
        </is>
      </c>
      <c r="O351" s="24" t="inlineStr">
        <is>
          <t>10488000.0</t>
        </is>
      </c>
      <c r="P351" s="24" t="inlineStr">
        <is>
          <t>KRW</t>
        </is>
      </c>
      <c r="Q351" s="24" t="inlineStr">
        <is>
          <t>20</t>
        </is>
      </c>
    </row>
    <row r="352" ht="24" customHeight="1">
      <c r="A352" s="29" t="inlineStr">
        <is>
          <t>OpenDART_fnlttSinglAcntAll</t>
        </is>
      </c>
      <c r="B352" s="29" t="inlineStr">
        <is>
          <t>00369657</t>
        </is>
      </c>
      <c r="C352" s="29" t="inlineStr">
        <is>
          <t>리노공업</t>
        </is>
      </c>
      <c r="D352" s="29" t="inlineStr">
        <is>
          <t>leeno</t>
        </is>
      </c>
      <c r="E352" s="29" t="inlineStr">
        <is>
          <t>058470</t>
        </is>
      </c>
      <c r="F352" s="29" t="inlineStr">
        <is>
          <t>2024</t>
        </is>
      </c>
      <c r="G352" s="29" t="inlineStr">
        <is>
          <t>OFS</t>
        </is>
      </c>
      <c r="H352" s="29" t="inlineStr">
        <is>
          <t>CF</t>
        </is>
      </c>
      <c r="I352" s="29" t="inlineStr">
        <is>
          <t>현금흐름표</t>
        </is>
      </c>
      <c r="J352" s="29" t="inlineStr">
        <is>
          <t>-표준계정코드 미사용-</t>
        </is>
      </c>
      <c r="K352" s="29" t="inlineStr">
        <is>
          <t>유형자산 관련 기타채무의 증가</t>
        </is>
      </c>
      <c r="L352" s="29" t="inlineStr">
        <is>
          <t>-</t>
        </is>
      </c>
      <c r="M352" s="29" t="inlineStr">
        <is>
          <t>제 29 기</t>
        </is>
      </c>
      <c r="N352" s="29" t="inlineStr">
        <is>
          <t>85582290.0</t>
        </is>
      </c>
      <c r="O352" s="29" t="inlineStr">
        <is>
          <t>15200000.0</t>
        </is>
      </c>
      <c r="P352" s="29" t="inlineStr">
        <is>
          <t>KRW</t>
        </is>
      </c>
      <c r="Q352" s="29" t="inlineStr">
        <is>
          <t>21</t>
        </is>
      </c>
    </row>
    <row r="353" ht="24" customHeight="1">
      <c r="A353" s="24" t="inlineStr">
        <is>
          <t>OpenDART_fnlttSinglAcntAll</t>
        </is>
      </c>
      <c r="B353" s="24" t="inlineStr">
        <is>
          <t>00369657</t>
        </is>
      </c>
      <c r="C353" s="24" t="inlineStr">
        <is>
          <t>리노공업</t>
        </is>
      </c>
      <c r="D353" s="24" t="inlineStr">
        <is>
          <t>leeno</t>
        </is>
      </c>
      <c r="E353" s="24" t="inlineStr">
        <is>
          <t>058470</t>
        </is>
      </c>
      <c r="F353" s="24" t="inlineStr">
        <is>
          <t>2024</t>
        </is>
      </c>
      <c r="G353" s="24" t="inlineStr">
        <is>
          <t>OFS</t>
        </is>
      </c>
      <c r="H353" s="24" t="inlineStr">
        <is>
          <t>CF</t>
        </is>
      </c>
      <c r="I353" s="24" t="inlineStr">
        <is>
          <t>현금흐름표</t>
        </is>
      </c>
      <c r="J353" s="24" t="inlineStr">
        <is>
          <t>ifrs-full_ProceedsFromSalesOfPropertyPlantAndEquipmentClassifiedAsInvestingActivities</t>
        </is>
      </c>
      <c r="K353" s="24" t="inlineStr">
        <is>
          <t>유형자산의 처분</t>
        </is>
      </c>
      <c r="L353" s="24" t="inlineStr">
        <is>
          <t>-</t>
        </is>
      </c>
      <c r="M353" s="24" t="inlineStr">
        <is>
          <t>제 29 기</t>
        </is>
      </c>
      <c r="N353" s="24" t="inlineStr">
        <is>
          <t>320000.0</t>
        </is>
      </c>
      <c r="O353" s="24" t="inlineStr">
        <is>
          <t>174200.0</t>
        </is>
      </c>
      <c r="P353" s="24" t="inlineStr">
        <is>
          <t>KRW</t>
        </is>
      </c>
      <c r="Q353" s="24" t="inlineStr">
        <is>
          <t>22</t>
        </is>
      </c>
    </row>
    <row r="354" ht="24" customHeight="1">
      <c r="A354" s="29" t="inlineStr">
        <is>
          <t>OpenDART_fnlttSinglAcntAll</t>
        </is>
      </c>
      <c r="B354" s="29" t="inlineStr">
        <is>
          <t>00369657</t>
        </is>
      </c>
      <c r="C354" s="29" t="inlineStr">
        <is>
          <t>리노공업</t>
        </is>
      </c>
      <c r="D354" s="29" t="inlineStr">
        <is>
          <t>leeno</t>
        </is>
      </c>
      <c r="E354" s="29" t="inlineStr">
        <is>
          <t>058470</t>
        </is>
      </c>
      <c r="F354" s="29" t="inlineStr">
        <is>
          <t>2024</t>
        </is>
      </c>
      <c r="G354" s="29" t="inlineStr">
        <is>
          <t>OFS</t>
        </is>
      </c>
      <c r="H354" s="29" t="inlineStr">
        <is>
          <t>CF</t>
        </is>
      </c>
      <c r="I354" s="29" t="inlineStr">
        <is>
          <t>현금흐름표</t>
        </is>
      </c>
      <c r="J354" s="29" t="inlineStr">
        <is>
          <t>ifrs-full_PurchaseOfIntangibleAssetsClassifiedAsInvestingActivities</t>
        </is>
      </c>
      <c r="K354" s="29" t="inlineStr">
        <is>
          <t>무형자산의 취득</t>
        </is>
      </c>
      <c r="L354" s="29" t="inlineStr">
        <is>
          <t>-</t>
        </is>
      </c>
      <c r="M354" s="29" t="inlineStr">
        <is>
          <t>제 29 기</t>
        </is>
      </c>
      <c r="N354" s="29" t="inlineStr">
        <is>
          <t>374960718.0</t>
        </is>
      </c>
      <c r="O354" s="29" t="inlineStr">
        <is>
          <t>525450824.0</t>
        </is>
      </c>
      <c r="P354" s="29" t="inlineStr">
        <is>
          <t>KRW</t>
        </is>
      </c>
      <c r="Q354" s="29" t="inlineStr">
        <is>
          <t>23</t>
        </is>
      </c>
    </row>
    <row r="355" ht="24" customHeight="1">
      <c r="A355" s="24" t="inlineStr">
        <is>
          <t>OpenDART_fnlttSinglAcntAll</t>
        </is>
      </c>
      <c r="B355" s="24" t="inlineStr">
        <is>
          <t>00369657</t>
        </is>
      </c>
      <c r="C355" s="24" t="inlineStr">
        <is>
          <t>리노공업</t>
        </is>
      </c>
      <c r="D355" s="24" t="inlineStr">
        <is>
          <t>leeno</t>
        </is>
      </c>
      <c r="E355" s="24" t="inlineStr">
        <is>
          <t>058470</t>
        </is>
      </c>
      <c r="F355" s="24" t="inlineStr">
        <is>
          <t>2024</t>
        </is>
      </c>
      <c r="G355" s="24" t="inlineStr">
        <is>
          <t>OFS</t>
        </is>
      </c>
      <c r="H355" s="24" t="inlineStr">
        <is>
          <t>CF</t>
        </is>
      </c>
      <c r="I355" s="24" t="inlineStr">
        <is>
          <t>현금흐름표</t>
        </is>
      </c>
      <c r="J355" s="24" t="inlineStr">
        <is>
          <t>ifrs-full_PurchaseOfPropertyPlantAndEquipmentClassifiedAsInvestingActivities</t>
        </is>
      </c>
      <c r="K355" s="24" t="inlineStr">
        <is>
          <t>유형자산의 취득</t>
        </is>
      </c>
      <c r="L355" s="24" t="inlineStr">
        <is>
          <t>-</t>
        </is>
      </c>
      <c r="M355" s="24" t="inlineStr">
        <is>
          <t>제 29 기</t>
        </is>
      </c>
      <c r="N355" s="24" t="inlineStr">
        <is>
          <t>11640547813.0</t>
        </is>
      </c>
      <c r="O355" s="24" t="inlineStr">
        <is>
          <t>68500491718.0</t>
        </is>
      </c>
      <c r="P355" s="24" t="inlineStr">
        <is>
          <t>KRW</t>
        </is>
      </c>
      <c r="Q355" s="24" t="inlineStr">
        <is>
          <t>24</t>
        </is>
      </c>
    </row>
    <row r="356" ht="24" customHeight="1">
      <c r="A356" s="29" t="inlineStr">
        <is>
          <t>OpenDART_fnlttSinglAcntAll</t>
        </is>
      </c>
      <c r="B356" s="29" t="inlineStr">
        <is>
          <t>00369657</t>
        </is>
      </c>
      <c r="C356" s="29" t="inlineStr">
        <is>
          <t>리노공업</t>
        </is>
      </c>
      <c r="D356" s="29" t="inlineStr">
        <is>
          <t>leeno</t>
        </is>
      </c>
      <c r="E356" s="29" t="inlineStr">
        <is>
          <t>058470</t>
        </is>
      </c>
      <c r="F356" s="29" t="inlineStr">
        <is>
          <t>2024</t>
        </is>
      </c>
      <c r="G356" s="29" t="inlineStr">
        <is>
          <t>OFS</t>
        </is>
      </c>
      <c r="H356" s="29" t="inlineStr">
        <is>
          <t>CF</t>
        </is>
      </c>
      <c r="I356" s="29" t="inlineStr">
        <is>
          <t>현금흐름표</t>
        </is>
      </c>
      <c r="J356" s="29" t="inlineStr">
        <is>
          <t>ifrs-full_CashFlowsFromUsedInOperatingActivities</t>
        </is>
      </c>
      <c r="K356" s="29" t="inlineStr">
        <is>
          <t>영업활동현금흐름</t>
        </is>
      </c>
      <c r="L356" s="29" t="inlineStr">
        <is>
          <t>-</t>
        </is>
      </c>
      <c r="M356" s="29" t="inlineStr">
        <is>
          <t>제 29 기</t>
        </is>
      </c>
      <c r="N356" s="29" t="inlineStr">
        <is>
          <t>110106597065.0</t>
        </is>
      </c>
      <c r="O356" s="29" t="inlineStr">
        <is>
          <t>110391022028.0</t>
        </is>
      </c>
      <c r="P356" s="29" t="inlineStr">
        <is>
          <t>KRW</t>
        </is>
      </c>
      <c r="Q356" s="29" t="inlineStr">
        <is>
          <t>25</t>
        </is>
      </c>
    </row>
    <row r="357" ht="24" customHeight="1">
      <c r="A357" s="24" t="inlineStr">
        <is>
          <t>OpenDART_fnlttSinglAcntAll</t>
        </is>
      </c>
      <c r="B357" s="24" t="inlineStr">
        <is>
          <t>00369657</t>
        </is>
      </c>
      <c r="C357" s="24" t="inlineStr">
        <is>
          <t>리노공업</t>
        </is>
      </c>
      <c r="D357" s="24" t="inlineStr">
        <is>
          <t>leeno</t>
        </is>
      </c>
      <c r="E357" s="24" t="inlineStr">
        <is>
          <t>058470</t>
        </is>
      </c>
      <c r="F357" s="24" t="inlineStr">
        <is>
          <t>2024</t>
        </is>
      </c>
      <c r="G357" s="24" t="inlineStr">
        <is>
          <t>OFS</t>
        </is>
      </c>
      <c r="H357" s="24" t="inlineStr">
        <is>
          <t>CF</t>
        </is>
      </c>
      <c r="I357" s="24" t="inlineStr">
        <is>
          <t>현금흐름표</t>
        </is>
      </c>
      <c r="J357" s="24" t="inlineStr">
        <is>
          <t>ifrs-full_CashFlowsFromUsedInOperations</t>
        </is>
      </c>
      <c r="K357" s="24" t="inlineStr">
        <is>
          <t>영업에서 창출된 현금흐름</t>
        </is>
      </c>
      <c r="L357" s="24" t="inlineStr">
        <is>
          <t>-</t>
        </is>
      </c>
      <c r="M357" s="24" t="inlineStr">
        <is>
          <t>제 29 기</t>
        </is>
      </c>
      <c r="N357" s="24" t="inlineStr">
        <is>
          <t>126924742388.0</t>
        </is>
      </c>
      <c r="O357" s="24" t="inlineStr">
        <is>
          <t>141739522948.0</t>
        </is>
      </c>
      <c r="P357" s="24" t="inlineStr">
        <is>
          <t>KRW</t>
        </is>
      </c>
      <c r="Q357" s="24" t="inlineStr">
        <is>
          <t>26</t>
        </is>
      </c>
    </row>
    <row r="358" ht="24" customHeight="1">
      <c r="A358" s="29" t="inlineStr">
        <is>
          <t>OpenDART_fnlttSinglAcntAll</t>
        </is>
      </c>
      <c r="B358" s="29" t="inlineStr">
        <is>
          <t>00369657</t>
        </is>
      </c>
      <c r="C358" s="29" t="inlineStr">
        <is>
          <t>리노공업</t>
        </is>
      </c>
      <c r="D358" s="29" t="inlineStr">
        <is>
          <t>leeno</t>
        </is>
      </c>
      <c r="E358" s="29" t="inlineStr">
        <is>
          <t>058470</t>
        </is>
      </c>
      <c r="F358" s="29" t="inlineStr">
        <is>
          <t>2024</t>
        </is>
      </c>
      <c r="G358" s="29" t="inlineStr">
        <is>
          <t>OFS</t>
        </is>
      </c>
      <c r="H358" s="29" t="inlineStr">
        <is>
          <t>CF</t>
        </is>
      </c>
      <c r="I358" s="29" t="inlineStr">
        <is>
          <t>현금흐름표</t>
        </is>
      </c>
      <c r="J358" s="29" t="inlineStr">
        <is>
          <t>ifrs-full_IncomeTaxesPaidRefundClassifiedAsOperatingActivities</t>
        </is>
      </c>
      <c r="K358" s="29" t="inlineStr">
        <is>
          <t>법인세의 납부</t>
        </is>
      </c>
      <c r="L358" s="29" t="inlineStr">
        <is>
          <t>-</t>
        </is>
      </c>
      <c r="M358" s="29" t="inlineStr">
        <is>
          <t>제 29 기</t>
        </is>
      </c>
      <c r="N358" s="29" t="inlineStr">
        <is>
          <t>28119860183.0</t>
        </is>
      </c>
      <c r="O358" s="29" t="inlineStr">
        <is>
          <t>42026167643.0</t>
        </is>
      </c>
      <c r="P358" s="29" t="inlineStr">
        <is>
          <t>KRW</t>
        </is>
      </c>
      <c r="Q358" s="29" t="inlineStr">
        <is>
          <t>27</t>
        </is>
      </c>
    </row>
    <row r="359" ht="24" customHeight="1">
      <c r="A359" s="24" t="inlineStr">
        <is>
          <t>OpenDART_fnlttSinglAcntAll</t>
        </is>
      </c>
      <c r="B359" s="24" t="inlineStr">
        <is>
          <t>00369657</t>
        </is>
      </c>
      <c r="C359" s="24" t="inlineStr">
        <is>
          <t>리노공업</t>
        </is>
      </c>
      <c r="D359" s="24" t="inlineStr">
        <is>
          <t>leeno</t>
        </is>
      </c>
      <c r="E359" s="24" t="inlineStr">
        <is>
          <t>058470</t>
        </is>
      </c>
      <c r="F359" s="24" t="inlineStr">
        <is>
          <t>2024</t>
        </is>
      </c>
      <c r="G359" s="24" t="inlineStr">
        <is>
          <t>OFS</t>
        </is>
      </c>
      <c r="H359" s="24" t="inlineStr">
        <is>
          <t>CF</t>
        </is>
      </c>
      <c r="I359" s="24" t="inlineStr">
        <is>
          <t>현금흐름표</t>
        </is>
      </c>
      <c r="J359" s="24" t="inlineStr">
        <is>
          <t>ifrs-full_InterestPaidClassifiedAsOperatingActivities</t>
        </is>
      </c>
      <c r="K359" s="24" t="inlineStr">
        <is>
          <t>이자지급</t>
        </is>
      </c>
      <c r="L359" s="24" t="inlineStr">
        <is>
          <t>-</t>
        </is>
      </c>
      <c r="M359" s="24" t="inlineStr">
        <is>
          <t>제 29 기</t>
        </is>
      </c>
      <c r="N359" s="24" t="inlineStr">
        <is>
          <t>7604344.0</t>
        </is>
      </c>
      <c r="O359" s="24" t="inlineStr">
        <is>
          <t>9113805.0</t>
        </is>
      </c>
      <c r="P359" s="24" t="inlineStr">
        <is>
          <t>KRW</t>
        </is>
      </c>
      <c r="Q359" s="24" t="inlineStr">
        <is>
          <t>28</t>
        </is>
      </c>
    </row>
    <row r="360" ht="24" customHeight="1">
      <c r="A360" s="29" t="inlineStr">
        <is>
          <t>OpenDART_fnlttSinglAcntAll</t>
        </is>
      </c>
      <c r="B360" s="29" t="inlineStr">
        <is>
          <t>00369657</t>
        </is>
      </c>
      <c r="C360" s="29" t="inlineStr">
        <is>
          <t>리노공업</t>
        </is>
      </c>
      <c r="D360" s="29" t="inlineStr">
        <is>
          <t>leeno</t>
        </is>
      </c>
      <c r="E360" s="29" t="inlineStr">
        <is>
          <t>058470</t>
        </is>
      </c>
      <c r="F360" s="29" t="inlineStr">
        <is>
          <t>2024</t>
        </is>
      </c>
      <c r="G360" s="29" t="inlineStr">
        <is>
          <t>OFS</t>
        </is>
      </c>
      <c r="H360" s="29" t="inlineStr">
        <is>
          <t>CF</t>
        </is>
      </c>
      <c r="I360" s="29" t="inlineStr">
        <is>
          <t>현금흐름표</t>
        </is>
      </c>
      <c r="J360" s="29" t="inlineStr">
        <is>
          <t>ifrs-full_InterestReceivedClassifiedAsOperatingActivities</t>
        </is>
      </c>
      <c r="K360" s="29" t="inlineStr">
        <is>
          <t>이자의 수취</t>
        </is>
      </c>
      <c r="L360" s="29" t="inlineStr">
        <is>
          <t>-</t>
        </is>
      </c>
      <c r="M360" s="29" t="inlineStr">
        <is>
          <t>제 29 기</t>
        </is>
      </c>
      <c r="N360" s="29" t="inlineStr">
        <is>
          <t>11309319204.0</t>
        </is>
      </c>
      <c r="O360" s="29" t="inlineStr">
        <is>
          <t>10686780528.0</t>
        </is>
      </c>
      <c r="P360" s="29" t="inlineStr">
        <is>
          <t>KRW</t>
        </is>
      </c>
      <c r="Q360" s="29" t="inlineStr">
        <is>
          <t>29</t>
        </is>
      </c>
    </row>
    <row r="361" ht="24" customHeight="1">
      <c r="A361" s="24" t="inlineStr">
        <is>
          <t>OpenDART_fnlttSinglAcntAll</t>
        </is>
      </c>
      <c r="B361" s="24" t="inlineStr">
        <is>
          <t>00369657</t>
        </is>
      </c>
      <c r="C361" s="24" t="inlineStr">
        <is>
          <t>리노공업</t>
        </is>
      </c>
      <c r="D361" s="24" t="inlineStr">
        <is>
          <t>leeno</t>
        </is>
      </c>
      <c r="E361" s="24" t="inlineStr">
        <is>
          <t>058470</t>
        </is>
      </c>
      <c r="F361" s="24" t="inlineStr">
        <is>
          <t>2024</t>
        </is>
      </c>
      <c r="G361" s="24" t="inlineStr">
        <is>
          <t>OFS</t>
        </is>
      </c>
      <c r="H361" s="24" t="inlineStr">
        <is>
          <t>CF</t>
        </is>
      </c>
      <c r="I361" s="24" t="inlineStr">
        <is>
          <t>현금흐름표</t>
        </is>
      </c>
      <c r="J361" s="24" t="inlineStr">
        <is>
          <t>ifrs-full_EffectOfExchangeRateChangesOnCashAndCashEquivalents</t>
        </is>
      </c>
      <c r="K361" s="24" t="inlineStr">
        <is>
          <t>현금및현금성자산에 대한 환율변동효과</t>
        </is>
      </c>
      <c r="L361" s="24" t="inlineStr">
        <is>
          <t>-</t>
        </is>
      </c>
      <c r="M361" s="24" t="inlineStr">
        <is>
          <t>제 29 기</t>
        </is>
      </c>
      <c r="N361" s="24" t="inlineStr">
        <is>
          <t>2885365633.0</t>
        </is>
      </c>
      <c r="O361" s="24" t="inlineStr">
        <is>
          <t>101729555.0</t>
        </is>
      </c>
      <c r="P361" s="24" t="inlineStr">
        <is>
          <t>KRW</t>
        </is>
      </c>
      <c r="Q361" s="24" t="inlineStr">
        <is>
          <t>30</t>
        </is>
      </c>
    </row>
    <row r="362" ht="24" customHeight="1">
      <c r="A362" s="29" t="inlineStr">
        <is>
          <t>OpenDART_fnlttSinglAcntAll</t>
        </is>
      </c>
      <c r="B362" s="29" t="inlineStr">
        <is>
          <t>00369657</t>
        </is>
      </c>
      <c r="C362" s="29" t="inlineStr">
        <is>
          <t>리노공업</t>
        </is>
      </c>
      <c r="D362" s="29" t="inlineStr">
        <is>
          <t>leeno</t>
        </is>
      </c>
      <c r="E362" s="29" t="inlineStr">
        <is>
          <t>058470</t>
        </is>
      </c>
      <c r="F362" s="29" t="inlineStr">
        <is>
          <t>2024</t>
        </is>
      </c>
      <c r="G362" s="29" t="inlineStr">
        <is>
          <t>OFS</t>
        </is>
      </c>
      <c r="H362" s="29" t="inlineStr">
        <is>
          <t>CF</t>
        </is>
      </c>
      <c r="I362" s="29" t="inlineStr">
        <is>
          <t>현금흐름표</t>
        </is>
      </c>
      <c r="J362" s="29" t="inlineStr">
        <is>
          <t>ifrs-full_IncreaseDecreaseInCashAndCashEquivalentsBeforeEffectOfExchangeRateChanges</t>
        </is>
      </c>
      <c r="K362" s="29" t="inlineStr">
        <is>
          <t>현금및현금성자산의 증가(감소)</t>
        </is>
      </c>
      <c r="L362" s="29" t="inlineStr">
        <is>
          <t>-</t>
        </is>
      </c>
      <c r="M362" s="29" t="inlineStr">
        <is>
          <t>제 29 기</t>
        </is>
      </c>
      <c r="N362" s="29" t="inlineStr">
        <is>
          <t>17708008571.0</t>
        </is>
      </c>
      <c r="O362" s="29" t="inlineStr">
        <is>
          <t>3697169966.0</t>
        </is>
      </c>
      <c r="P362" s="29" t="inlineStr">
        <is>
          <t>KRW</t>
        </is>
      </c>
      <c r="Q362" s="29" t="inlineStr">
        <is>
          <t>31</t>
        </is>
      </c>
    </row>
    <row r="363" ht="24" customHeight="1">
      <c r="A363" s="24" t="inlineStr">
        <is>
          <t>OpenDART_fnlttSinglAcntAll</t>
        </is>
      </c>
      <c r="B363" s="24" t="inlineStr">
        <is>
          <t>00369657</t>
        </is>
      </c>
      <c r="C363" s="24" t="inlineStr">
        <is>
          <t>리노공업</t>
        </is>
      </c>
      <c r="D363" s="24" t="inlineStr">
        <is>
          <t>leeno</t>
        </is>
      </c>
      <c r="E363" s="24" t="inlineStr">
        <is>
          <t>058470</t>
        </is>
      </c>
      <c r="F363" s="24" t="inlineStr">
        <is>
          <t>2024</t>
        </is>
      </c>
      <c r="G363" s="24" t="inlineStr">
        <is>
          <t>OFS</t>
        </is>
      </c>
      <c r="H363" s="24" t="inlineStr">
        <is>
          <t>SCE</t>
        </is>
      </c>
      <c r="I363" s="24" t="inlineStr">
        <is>
          <t>자본변동표</t>
        </is>
      </c>
      <c r="J363" s="24" t="inlineStr">
        <is>
          <t>dart_EquityAtBeginningOfPeriod</t>
        </is>
      </c>
      <c r="K363" s="24" t="inlineStr">
        <is>
          <t>기초자본</t>
        </is>
      </c>
      <c r="L363" s="24" t="inlineStr">
        <is>
          <t>별도재무제표 [member]</t>
        </is>
      </c>
      <c r="M363" s="24" t="inlineStr">
        <is>
          <t>제 29 기</t>
        </is>
      </c>
      <c r="N363" s="24" t="inlineStr">
        <is>
          <t>557074198066.0</t>
        </is>
      </c>
      <c r="O363" s="24" t="inlineStr">
        <is>
          <t>493183582826.0</t>
        </is>
      </c>
      <c r="P363" s="24" t="inlineStr">
        <is>
          <t>KRW</t>
        </is>
      </c>
      <c r="Q363" s="24" t="inlineStr">
        <is>
          <t>3</t>
        </is>
      </c>
    </row>
    <row r="364" ht="24" customHeight="1">
      <c r="A364" s="29" t="inlineStr">
        <is>
          <t>OpenDART_fnlttSinglAcntAll</t>
        </is>
      </c>
      <c r="B364" s="29" t="inlineStr">
        <is>
          <t>00369657</t>
        </is>
      </c>
      <c r="C364" s="29" t="inlineStr">
        <is>
          <t>리노공업</t>
        </is>
      </c>
      <c r="D364" s="29" t="inlineStr">
        <is>
          <t>leeno</t>
        </is>
      </c>
      <c r="E364" s="29" t="inlineStr">
        <is>
          <t>058470</t>
        </is>
      </c>
      <c r="F364" s="29" t="inlineStr">
        <is>
          <t>2024</t>
        </is>
      </c>
      <c r="G364" s="29" t="inlineStr">
        <is>
          <t>OFS</t>
        </is>
      </c>
      <c r="H364" s="29" t="inlineStr">
        <is>
          <t>SCE</t>
        </is>
      </c>
      <c r="I364" s="29" t="inlineStr">
        <is>
          <t>자본변동표</t>
        </is>
      </c>
      <c r="J364" s="29" t="inlineStr">
        <is>
          <t>dart_EquityAtBeginningOfPeriod</t>
        </is>
      </c>
      <c r="K364" s="29" t="inlineStr">
        <is>
          <t>기초자본</t>
        </is>
      </c>
      <c r="L364" s="29" t="inlineStr">
        <is>
          <t>자본 [구성요소]|기타자본구성요소 [구성요소]</t>
        </is>
      </c>
      <c r="M364" s="29" t="inlineStr">
        <is>
          <t>제 29 기</t>
        </is>
      </c>
      <c r="N364" s="29" t="inlineStr">
        <is>
          <t>-2353516350.0</t>
        </is>
      </c>
      <c r="O364" s="29" t="inlineStr">
        <is>
          <t>-2353516350.0</t>
        </is>
      </c>
      <c r="P364" s="29" t="inlineStr">
        <is>
          <t>KRW</t>
        </is>
      </c>
      <c r="Q364" s="29" t="inlineStr">
        <is>
          <t>3</t>
        </is>
      </c>
    </row>
    <row r="365" ht="24" customHeight="1">
      <c r="A365" s="24" t="inlineStr">
        <is>
          <t>OpenDART_fnlttSinglAcntAll</t>
        </is>
      </c>
      <c r="B365" s="24" t="inlineStr">
        <is>
          <t>00369657</t>
        </is>
      </c>
      <c r="C365" s="24" t="inlineStr">
        <is>
          <t>리노공업</t>
        </is>
      </c>
      <c r="D365" s="24" t="inlineStr">
        <is>
          <t>leeno</t>
        </is>
      </c>
      <c r="E365" s="24" t="inlineStr">
        <is>
          <t>058470</t>
        </is>
      </c>
      <c r="F365" s="24" t="inlineStr">
        <is>
          <t>2024</t>
        </is>
      </c>
      <c r="G365" s="24" t="inlineStr">
        <is>
          <t>OFS</t>
        </is>
      </c>
      <c r="H365" s="24" t="inlineStr">
        <is>
          <t>SCE</t>
        </is>
      </c>
      <c r="I365" s="24" t="inlineStr">
        <is>
          <t>자본변동표</t>
        </is>
      </c>
      <c r="J365" s="24" t="inlineStr">
        <is>
          <t>dart_EquityAtBeginningOfPeriod</t>
        </is>
      </c>
      <c r="K365" s="24" t="inlineStr">
        <is>
          <t>기초자본</t>
        </is>
      </c>
      <c r="L365" s="24" t="inlineStr">
        <is>
          <t>자본 [구성요소]|이익잉여금 [구성요소]</t>
        </is>
      </c>
      <c r="M365" s="24" t="inlineStr">
        <is>
          <t>제 29 기</t>
        </is>
      </c>
      <c r="N365" s="24" t="inlineStr">
        <is>
          <t>546204718972.0</t>
        </is>
      </c>
      <c r="O365" s="24" t="inlineStr">
        <is>
          <t>482314103732.0</t>
        </is>
      </c>
      <c r="P365" s="24" t="inlineStr">
        <is>
          <t>KRW</t>
        </is>
      </c>
      <c r="Q365" s="24" t="inlineStr">
        <is>
          <t>3</t>
        </is>
      </c>
    </row>
    <row r="366" ht="24" customHeight="1">
      <c r="A366" s="29" t="inlineStr">
        <is>
          <t>OpenDART_fnlttSinglAcntAll</t>
        </is>
      </c>
      <c r="B366" s="29" t="inlineStr">
        <is>
          <t>00369657</t>
        </is>
      </c>
      <c r="C366" s="29" t="inlineStr">
        <is>
          <t>리노공업</t>
        </is>
      </c>
      <c r="D366" s="29" t="inlineStr">
        <is>
          <t>leeno</t>
        </is>
      </c>
      <c r="E366" s="29" t="inlineStr">
        <is>
          <t>058470</t>
        </is>
      </c>
      <c r="F366" s="29" t="inlineStr">
        <is>
          <t>2024</t>
        </is>
      </c>
      <c r="G366" s="29" t="inlineStr">
        <is>
          <t>OFS</t>
        </is>
      </c>
      <c r="H366" s="29" t="inlineStr">
        <is>
          <t>SCE</t>
        </is>
      </c>
      <c r="I366" s="29" t="inlineStr">
        <is>
          <t>자본변동표</t>
        </is>
      </c>
      <c r="J366" s="29" t="inlineStr">
        <is>
          <t>dart_EquityAtBeginningOfPeriod</t>
        </is>
      </c>
      <c r="K366" s="29" t="inlineStr">
        <is>
          <t>기초자본</t>
        </is>
      </c>
      <c r="L366" s="29" t="inlineStr">
        <is>
          <t>자본 [구성요소]|자본금 [구성요소]</t>
        </is>
      </c>
      <c r="M366" s="29" t="inlineStr">
        <is>
          <t>제 29 기</t>
        </is>
      </c>
      <c r="N366" s="29" t="inlineStr">
        <is>
          <t>7621185000.0</t>
        </is>
      </c>
      <c r="O366" s="29" t="inlineStr">
        <is>
          <t>7621185000.0</t>
        </is>
      </c>
      <c r="P366" s="29" t="inlineStr">
        <is>
          <t>KRW</t>
        </is>
      </c>
      <c r="Q366" s="29" t="inlineStr">
        <is>
          <t>3</t>
        </is>
      </c>
    </row>
    <row r="367" ht="24" customHeight="1">
      <c r="A367" s="24" t="inlineStr">
        <is>
          <t>OpenDART_fnlttSinglAcntAll</t>
        </is>
      </c>
      <c r="B367" s="24" t="inlineStr">
        <is>
          <t>00369657</t>
        </is>
      </c>
      <c r="C367" s="24" t="inlineStr">
        <is>
          <t>리노공업</t>
        </is>
      </c>
      <c r="D367" s="24" t="inlineStr">
        <is>
          <t>leeno</t>
        </is>
      </c>
      <c r="E367" s="24" t="inlineStr">
        <is>
          <t>058470</t>
        </is>
      </c>
      <c r="F367" s="24" t="inlineStr">
        <is>
          <t>2024</t>
        </is>
      </c>
      <c r="G367" s="24" t="inlineStr">
        <is>
          <t>OFS</t>
        </is>
      </c>
      <c r="H367" s="24" t="inlineStr">
        <is>
          <t>SCE</t>
        </is>
      </c>
      <c r="I367" s="24" t="inlineStr">
        <is>
          <t>자본변동표</t>
        </is>
      </c>
      <c r="J367" s="24" t="inlineStr">
        <is>
          <t>dart_EquityAtBeginningOfPeriod</t>
        </is>
      </c>
      <c r="K367" s="24" t="inlineStr">
        <is>
          <t>기초자본</t>
        </is>
      </c>
      <c r="L367" s="24" t="inlineStr">
        <is>
          <t>자본 [구성요소]|자본잉여금 [구성요소]</t>
        </is>
      </c>
      <c r="M367" s="24" t="inlineStr">
        <is>
          <t>제 29 기</t>
        </is>
      </c>
      <c r="N367" s="24" t="inlineStr">
        <is>
          <t>5601810444.0</t>
        </is>
      </c>
      <c r="O367" s="24" t="inlineStr">
        <is>
          <t>5601810444.0</t>
        </is>
      </c>
      <c r="P367" s="24" t="inlineStr">
        <is>
          <t>KRW</t>
        </is>
      </c>
      <c r="Q367" s="24" t="inlineStr">
        <is>
          <t>3</t>
        </is>
      </c>
    </row>
    <row r="368" ht="24" customHeight="1">
      <c r="A368" s="29" t="inlineStr">
        <is>
          <t>OpenDART_fnlttSinglAcntAll</t>
        </is>
      </c>
      <c r="B368" s="29" t="inlineStr">
        <is>
          <t>00369657</t>
        </is>
      </c>
      <c r="C368" s="29" t="inlineStr">
        <is>
          <t>리노공업</t>
        </is>
      </c>
      <c r="D368" s="29" t="inlineStr">
        <is>
          <t>leeno</t>
        </is>
      </c>
      <c r="E368" s="29" t="inlineStr">
        <is>
          <t>058470</t>
        </is>
      </c>
      <c r="F368" s="29" t="inlineStr">
        <is>
          <t>2024</t>
        </is>
      </c>
      <c r="G368" s="29" t="inlineStr">
        <is>
          <t>OFS</t>
        </is>
      </c>
      <c r="H368" s="29" t="inlineStr">
        <is>
          <t>SCE</t>
        </is>
      </c>
      <c r="I368" s="29" t="inlineStr">
        <is>
          <t>자본변동표</t>
        </is>
      </c>
      <c r="J368" s="29" t="inlineStr">
        <is>
          <t>ifrs-full_DividendsPaid</t>
        </is>
      </c>
      <c r="K368" s="29" t="inlineStr">
        <is>
          <t>배당금의 지급</t>
        </is>
      </c>
      <c r="L368" s="29" t="inlineStr">
        <is>
          <t>자본 [구성요소]|이익잉여금 [구성요소]</t>
        </is>
      </c>
      <c r="M368" s="29" t="inlineStr">
        <is>
          <t>제 29 기</t>
        </is>
      </c>
      <c r="N368" s="29" t="inlineStr">
        <is>
          <t>45537360000.0</t>
        </is>
      </c>
      <c r="O368" s="29" t="inlineStr">
        <is>
          <t>45537360000.0</t>
        </is>
      </c>
      <c r="P368" s="29" t="inlineStr">
        <is>
          <t>KRW</t>
        </is>
      </c>
      <c r="Q368" s="29" t="inlineStr">
        <is>
          <t>4</t>
        </is>
      </c>
    </row>
    <row r="369" ht="24" customHeight="1">
      <c r="A369" s="24" t="inlineStr">
        <is>
          <t>OpenDART_fnlttSinglAcntAll</t>
        </is>
      </c>
      <c r="B369" s="24" t="inlineStr">
        <is>
          <t>00369657</t>
        </is>
      </c>
      <c r="C369" s="24" t="inlineStr">
        <is>
          <t>리노공업</t>
        </is>
      </c>
      <c r="D369" s="24" t="inlineStr">
        <is>
          <t>leeno</t>
        </is>
      </c>
      <c r="E369" s="24" t="inlineStr">
        <is>
          <t>058470</t>
        </is>
      </c>
      <c r="F369" s="24" t="inlineStr">
        <is>
          <t>2024</t>
        </is>
      </c>
      <c r="G369" s="24" t="inlineStr">
        <is>
          <t>OFS</t>
        </is>
      </c>
      <c r="H369" s="24" t="inlineStr">
        <is>
          <t>SCE</t>
        </is>
      </c>
      <c r="I369" s="24" t="inlineStr">
        <is>
          <t>자본변동표</t>
        </is>
      </c>
      <c r="J369" s="24" t="inlineStr">
        <is>
          <t>ifrs-full_DividendsPaid</t>
        </is>
      </c>
      <c r="K369" s="24" t="inlineStr">
        <is>
          <t>배당금의 지급</t>
        </is>
      </c>
      <c r="L369" s="24" t="inlineStr">
        <is>
          <t>자본 [구성요소]|기타자본구성요소 [구성요소]</t>
        </is>
      </c>
      <c r="M369" s="24" t="inlineStr">
        <is>
          <t>제 29 기</t>
        </is>
      </c>
      <c r="N369" s="24" t="inlineStr">
        <is>
          <t>0.0</t>
        </is>
      </c>
      <c r="O369" s="24" t="inlineStr">
        <is>
          <t>0.0</t>
        </is>
      </c>
      <c r="P369" s="24" t="inlineStr">
        <is>
          <t>KRW</t>
        </is>
      </c>
      <c r="Q369" s="24" t="inlineStr">
        <is>
          <t>4</t>
        </is>
      </c>
    </row>
    <row r="370" ht="24" customHeight="1">
      <c r="A370" s="29" t="inlineStr">
        <is>
          <t>OpenDART_fnlttSinglAcntAll</t>
        </is>
      </c>
      <c r="B370" s="29" t="inlineStr">
        <is>
          <t>00369657</t>
        </is>
      </c>
      <c r="C370" s="29" t="inlineStr">
        <is>
          <t>리노공업</t>
        </is>
      </c>
      <c r="D370" s="29" t="inlineStr">
        <is>
          <t>leeno</t>
        </is>
      </c>
      <c r="E370" s="29" t="inlineStr">
        <is>
          <t>058470</t>
        </is>
      </c>
      <c r="F370" s="29" t="inlineStr">
        <is>
          <t>2024</t>
        </is>
      </c>
      <c r="G370" s="29" t="inlineStr">
        <is>
          <t>OFS</t>
        </is>
      </c>
      <c r="H370" s="29" t="inlineStr">
        <is>
          <t>SCE</t>
        </is>
      </c>
      <c r="I370" s="29" t="inlineStr">
        <is>
          <t>자본변동표</t>
        </is>
      </c>
      <c r="J370" s="29" t="inlineStr">
        <is>
          <t>ifrs-full_DividendsPaid</t>
        </is>
      </c>
      <c r="K370" s="29" t="inlineStr">
        <is>
          <t>배당금의 지급</t>
        </is>
      </c>
      <c r="L370" s="29" t="inlineStr">
        <is>
          <t>별도재무제표 [member]</t>
        </is>
      </c>
      <c r="M370" s="29" t="inlineStr">
        <is>
          <t>제 29 기</t>
        </is>
      </c>
      <c r="N370" s="29" t="inlineStr">
        <is>
          <t>45537360000.0</t>
        </is>
      </c>
      <c r="O370" s="29" t="inlineStr">
        <is>
          <t>45537360000.0</t>
        </is>
      </c>
      <c r="P370" s="29" t="inlineStr">
        <is>
          <t>KRW</t>
        </is>
      </c>
      <c r="Q370" s="29" t="inlineStr">
        <is>
          <t>4</t>
        </is>
      </c>
    </row>
    <row r="371" ht="24" customHeight="1">
      <c r="A371" s="24" t="inlineStr">
        <is>
          <t>OpenDART_fnlttSinglAcntAll</t>
        </is>
      </c>
      <c r="B371" s="24" t="inlineStr">
        <is>
          <t>00369657</t>
        </is>
      </c>
      <c r="C371" s="24" t="inlineStr">
        <is>
          <t>리노공업</t>
        </is>
      </c>
      <c r="D371" s="24" t="inlineStr">
        <is>
          <t>leeno</t>
        </is>
      </c>
      <c r="E371" s="24" t="inlineStr">
        <is>
          <t>058470</t>
        </is>
      </c>
      <c r="F371" s="24" t="inlineStr">
        <is>
          <t>2024</t>
        </is>
      </c>
      <c r="G371" s="24" t="inlineStr">
        <is>
          <t>OFS</t>
        </is>
      </c>
      <c r="H371" s="24" t="inlineStr">
        <is>
          <t>SCE</t>
        </is>
      </c>
      <c r="I371" s="24" t="inlineStr">
        <is>
          <t>자본변동표</t>
        </is>
      </c>
      <c r="J371" s="24" t="inlineStr">
        <is>
          <t>ifrs-full_DividendsPaid</t>
        </is>
      </c>
      <c r="K371" s="24" t="inlineStr">
        <is>
          <t>배당금의 지급</t>
        </is>
      </c>
      <c r="L371" s="24" t="inlineStr">
        <is>
          <t>자본 [구성요소]|자본금 [구성요소]</t>
        </is>
      </c>
      <c r="M371" s="24" t="inlineStr">
        <is>
          <t>제 29 기</t>
        </is>
      </c>
      <c r="N371" s="24" t="inlineStr">
        <is>
          <t>0.0</t>
        </is>
      </c>
      <c r="O371" s="24" t="inlineStr">
        <is>
          <t>0.0</t>
        </is>
      </c>
      <c r="P371" s="24" t="inlineStr">
        <is>
          <t>KRW</t>
        </is>
      </c>
      <c r="Q371" s="24" t="inlineStr">
        <is>
          <t>4</t>
        </is>
      </c>
    </row>
    <row r="372" ht="24" customHeight="1">
      <c r="A372" s="29" t="inlineStr">
        <is>
          <t>OpenDART_fnlttSinglAcntAll</t>
        </is>
      </c>
      <c r="B372" s="29" t="inlineStr">
        <is>
          <t>00369657</t>
        </is>
      </c>
      <c r="C372" s="29" t="inlineStr">
        <is>
          <t>리노공업</t>
        </is>
      </c>
      <c r="D372" s="29" t="inlineStr">
        <is>
          <t>leeno</t>
        </is>
      </c>
      <c r="E372" s="29" t="inlineStr">
        <is>
          <t>058470</t>
        </is>
      </c>
      <c r="F372" s="29" t="inlineStr">
        <is>
          <t>2024</t>
        </is>
      </c>
      <c r="G372" s="29" t="inlineStr">
        <is>
          <t>OFS</t>
        </is>
      </c>
      <c r="H372" s="29" t="inlineStr">
        <is>
          <t>SCE</t>
        </is>
      </c>
      <c r="I372" s="29" t="inlineStr">
        <is>
          <t>자본변동표</t>
        </is>
      </c>
      <c r="J372" s="29" t="inlineStr">
        <is>
          <t>ifrs-full_DividendsPaid</t>
        </is>
      </c>
      <c r="K372" s="29" t="inlineStr">
        <is>
          <t>배당금의 지급</t>
        </is>
      </c>
      <c r="L372" s="29" t="inlineStr">
        <is>
          <t>자본 [구성요소]|자본잉여금 [구성요소]</t>
        </is>
      </c>
      <c r="M372" s="29" t="inlineStr">
        <is>
          <t>제 29 기</t>
        </is>
      </c>
      <c r="N372" s="29" t="inlineStr">
        <is>
          <t>0.0</t>
        </is>
      </c>
      <c r="O372" s="29" t="inlineStr">
        <is>
          <t>0.0</t>
        </is>
      </c>
      <c r="P372" s="29" t="inlineStr">
        <is>
          <t>KRW</t>
        </is>
      </c>
      <c r="Q372" s="29" t="inlineStr">
        <is>
          <t>4</t>
        </is>
      </c>
    </row>
    <row r="373" ht="24" customHeight="1">
      <c r="A373" s="24" t="inlineStr">
        <is>
          <t>OpenDART_fnlttSinglAcntAll</t>
        </is>
      </c>
      <c r="B373" s="24" t="inlineStr">
        <is>
          <t>00369657</t>
        </is>
      </c>
      <c r="C373" s="24" t="inlineStr">
        <is>
          <t>리노공업</t>
        </is>
      </c>
      <c r="D373" s="24" t="inlineStr">
        <is>
          <t>leeno</t>
        </is>
      </c>
      <c r="E373" s="24" t="inlineStr">
        <is>
          <t>058470</t>
        </is>
      </c>
      <c r="F373" s="24" t="inlineStr">
        <is>
          <t>2024</t>
        </is>
      </c>
      <c r="G373" s="24" t="inlineStr">
        <is>
          <t>OFS</t>
        </is>
      </c>
      <c r="H373" s="24" t="inlineStr">
        <is>
          <t>SCE</t>
        </is>
      </c>
      <c r="I373" s="24" t="inlineStr">
        <is>
          <t>자본변동표</t>
        </is>
      </c>
      <c r="J373" s="24" t="inlineStr">
        <is>
          <t>ifrs-full_Equity</t>
        </is>
      </c>
      <c r="K373" s="24" t="inlineStr">
        <is>
          <t>자본총계</t>
        </is>
      </c>
      <c r="L373" s="24" t="inlineStr">
        <is>
          <t>자본 [구성요소]|기타자본구성요소 [구성요소]</t>
        </is>
      </c>
      <c r="M373" s="24" t="inlineStr">
        <is>
          <t>제 29 기</t>
        </is>
      </c>
      <c r="N373" s="24" t="inlineStr">
        <is>
          <t>-2353516350.0</t>
        </is>
      </c>
      <c r="O373" s="24" t="inlineStr">
        <is>
          <t>-2353516350.0</t>
        </is>
      </c>
      <c r="P373" s="24" t="inlineStr">
        <is>
          <t>KRW</t>
        </is>
      </c>
      <c r="Q373" s="24" t="inlineStr">
        <is>
          <t>5</t>
        </is>
      </c>
    </row>
    <row r="374" ht="24" customHeight="1">
      <c r="A374" s="29" t="inlineStr">
        <is>
          <t>OpenDART_fnlttSinglAcntAll</t>
        </is>
      </c>
      <c r="B374" s="29" t="inlineStr">
        <is>
          <t>00369657</t>
        </is>
      </c>
      <c r="C374" s="29" t="inlineStr">
        <is>
          <t>리노공업</t>
        </is>
      </c>
      <c r="D374" s="29" t="inlineStr">
        <is>
          <t>leeno</t>
        </is>
      </c>
      <c r="E374" s="29" t="inlineStr">
        <is>
          <t>058470</t>
        </is>
      </c>
      <c r="F374" s="29" t="inlineStr">
        <is>
          <t>2024</t>
        </is>
      </c>
      <c r="G374" s="29" t="inlineStr">
        <is>
          <t>OFS</t>
        </is>
      </c>
      <c r="H374" s="29" t="inlineStr">
        <is>
          <t>SCE</t>
        </is>
      </c>
      <c r="I374" s="29" t="inlineStr">
        <is>
          <t>자본변동표</t>
        </is>
      </c>
      <c r="J374" s="29" t="inlineStr">
        <is>
          <t>ifrs-full_Equity</t>
        </is>
      </c>
      <c r="K374" s="29" t="inlineStr">
        <is>
          <t>자본총계</t>
        </is>
      </c>
      <c r="L374" s="29" t="inlineStr">
        <is>
          <t>별도재무제표 [member]</t>
        </is>
      </c>
      <c r="M374" s="29" t="inlineStr">
        <is>
          <t>제 29 기</t>
        </is>
      </c>
      <c r="N374" s="29" t="inlineStr">
        <is>
          <t>622629112163.0</t>
        </is>
      </c>
      <c r="O374" s="29" t="inlineStr">
        <is>
          <t>557074198066.0</t>
        </is>
      </c>
      <c r="P374" s="29" t="inlineStr">
        <is>
          <t>KRW</t>
        </is>
      </c>
      <c r="Q374" s="29" t="inlineStr">
        <is>
          <t>5</t>
        </is>
      </c>
    </row>
    <row r="375" ht="24" customHeight="1">
      <c r="A375" s="24" t="inlineStr">
        <is>
          <t>OpenDART_fnlttSinglAcntAll</t>
        </is>
      </c>
      <c r="B375" s="24" t="inlineStr">
        <is>
          <t>00369657</t>
        </is>
      </c>
      <c r="C375" s="24" t="inlineStr">
        <is>
          <t>리노공업</t>
        </is>
      </c>
      <c r="D375" s="24" t="inlineStr">
        <is>
          <t>leeno</t>
        </is>
      </c>
      <c r="E375" s="24" t="inlineStr">
        <is>
          <t>058470</t>
        </is>
      </c>
      <c r="F375" s="24" t="inlineStr">
        <is>
          <t>2024</t>
        </is>
      </c>
      <c r="G375" s="24" t="inlineStr">
        <is>
          <t>OFS</t>
        </is>
      </c>
      <c r="H375" s="24" t="inlineStr">
        <is>
          <t>SCE</t>
        </is>
      </c>
      <c r="I375" s="24" t="inlineStr">
        <is>
          <t>자본변동표</t>
        </is>
      </c>
      <c r="J375" s="24" t="inlineStr">
        <is>
          <t>ifrs-full_Equity</t>
        </is>
      </c>
      <c r="K375" s="24" t="inlineStr">
        <is>
          <t>자본총계</t>
        </is>
      </c>
      <c r="L375" s="24" t="inlineStr">
        <is>
          <t>자본 [구성요소]|이익잉여금 [구성요소]</t>
        </is>
      </c>
      <c r="M375" s="24" t="inlineStr">
        <is>
          <t>제 29 기</t>
        </is>
      </c>
      <c r="N375" s="24" t="inlineStr">
        <is>
          <t>611759633069.0</t>
        </is>
      </c>
      <c r="O375" s="24" t="inlineStr">
        <is>
          <t>546204718972.0</t>
        </is>
      </c>
      <c r="P375" s="24" t="inlineStr">
        <is>
          <t>KRW</t>
        </is>
      </c>
      <c r="Q375" s="24" t="inlineStr">
        <is>
          <t>5</t>
        </is>
      </c>
    </row>
    <row r="376" ht="24" customHeight="1">
      <c r="A376" s="29" t="inlineStr">
        <is>
          <t>OpenDART_fnlttSinglAcntAll</t>
        </is>
      </c>
      <c r="B376" s="29" t="inlineStr">
        <is>
          <t>00369657</t>
        </is>
      </c>
      <c r="C376" s="29" t="inlineStr">
        <is>
          <t>리노공업</t>
        </is>
      </c>
      <c r="D376" s="29" t="inlineStr">
        <is>
          <t>leeno</t>
        </is>
      </c>
      <c r="E376" s="29" t="inlineStr">
        <is>
          <t>058470</t>
        </is>
      </c>
      <c r="F376" s="29" t="inlineStr">
        <is>
          <t>2024</t>
        </is>
      </c>
      <c r="G376" s="29" t="inlineStr">
        <is>
          <t>OFS</t>
        </is>
      </c>
      <c r="H376" s="29" t="inlineStr">
        <is>
          <t>SCE</t>
        </is>
      </c>
      <c r="I376" s="29" t="inlineStr">
        <is>
          <t>자본변동표</t>
        </is>
      </c>
      <c r="J376" s="29" t="inlineStr">
        <is>
          <t>ifrs-full_Equity</t>
        </is>
      </c>
      <c r="K376" s="29" t="inlineStr">
        <is>
          <t>자본총계</t>
        </is>
      </c>
      <c r="L376" s="29" t="inlineStr">
        <is>
          <t>자본 [구성요소]|자본금 [구성요소]</t>
        </is>
      </c>
      <c r="M376" s="29" t="inlineStr">
        <is>
          <t>제 29 기</t>
        </is>
      </c>
      <c r="N376" s="29" t="inlineStr">
        <is>
          <t>7621185000.0</t>
        </is>
      </c>
      <c r="O376" s="29" t="inlineStr">
        <is>
          <t>7621185000.0</t>
        </is>
      </c>
      <c r="P376" s="29" t="inlineStr">
        <is>
          <t>KRW</t>
        </is>
      </c>
      <c r="Q376" s="29" t="inlineStr">
        <is>
          <t>5</t>
        </is>
      </c>
    </row>
    <row r="377" ht="24" customHeight="1">
      <c r="A377" s="24" t="inlineStr">
        <is>
          <t>OpenDART_fnlttSinglAcntAll</t>
        </is>
      </c>
      <c r="B377" s="24" t="inlineStr">
        <is>
          <t>00369657</t>
        </is>
      </c>
      <c r="C377" s="24" t="inlineStr">
        <is>
          <t>리노공업</t>
        </is>
      </c>
      <c r="D377" s="24" t="inlineStr">
        <is>
          <t>leeno</t>
        </is>
      </c>
      <c r="E377" s="24" t="inlineStr">
        <is>
          <t>058470</t>
        </is>
      </c>
      <c r="F377" s="24" t="inlineStr">
        <is>
          <t>2024</t>
        </is>
      </c>
      <c r="G377" s="24" t="inlineStr">
        <is>
          <t>OFS</t>
        </is>
      </c>
      <c r="H377" s="24" t="inlineStr">
        <is>
          <t>SCE</t>
        </is>
      </c>
      <c r="I377" s="24" t="inlineStr">
        <is>
          <t>자본변동표</t>
        </is>
      </c>
      <c r="J377" s="24" t="inlineStr">
        <is>
          <t>ifrs-full_Equity</t>
        </is>
      </c>
      <c r="K377" s="24" t="inlineStr">
        <is>
          <t>자본총계</t>
        </is>
      </c>
      <c r="L377" s="24" t="inlineStr">
        <is>
          <t>자본 [구성요소]|자본잉여금 [구성요소]</t>
        </is>
      </c>
      <c r="M377" s="24" t="inlineStr">
        <is>
          <t>제 29 기</t>
        </is>
      </c>
      <c r="N377" s="24" t="inlineStr">
        <is>
          <t>5601810444.0</t>
        </is>
      </c>
      <c r="O377" s="24" t="inlineStr">
        <is>
          <t>5601810444.0</t>
        </is>
      </c>
      <c r="P377" s="24" t="inlineStr">
        <is>
          <t>KRW</t>
        </is>
      </c>
      <c r="Q377" s="24" t="inlineStr">
        <is>
          <t>5</t>
        </is>
      </c>
    </row>
    <row r="378" ht="24" customHeight="1">
      <c r="A378" s="29" t="inlineStr">
        <is>
          <t>OpenDART_fnlttSinglAcntAll</t>
        </is>
      </c>
      <c r="B378" s="29" t="inlineStr">
        <is>
          <t>00369657</t>
        </is>
      </c>
      <c r="C378" s="29" t="inlineStr">
        <is>
          <t>리노공업</t>
        </is>
      </c>
      <c r="D378" s="29" t="inlineStr">
        <is>
          <t>leeno</t>
        </is>
      </c>
      <c r="E378" s="29" t="inlineStr">
        <is>
          <t>058470</t>
        </is>
      </c>
      <c r="F378" s="29" t="inlineStr">
        <is>
          <t>2024</t>
        </is>
      </c>
      <c r="G378" s="29" t="inlineStr">
        <is>
          <t>OFS</t>
        </is>
      </c>
      <c r="H378" s="29" t="inlineStr">
        <is>
          <t>SCE</t>
        </is>
      </c>
      <c r="I378" s="29" t="inlineStr">
        <is>
          <t>자본변동표</t>
        </is>
      </c>
      <c r="J378" s="29" t="inlineStr">
        <is>
          <t>ifrs-full_OtherComprehensiveIncomeNetOfTaxGainsLossesOnRemeasurementsOfDefinedBenefitPlans</t>
        </is>
      </c>
      <c r="K378" s="29" t="inlineStr">
        <is>
          <t>종업원급여 재측정요소</t>
        </is>
      </c>
      <c r="L378" s="29" t="inlineStr">
        <is>
          <t>자본 [구성요소]|기타자본구성요소 [구성요소]</t>
        </is>
      </c>
      <c r="M378" s="29" t="inlineStr">
        <is>
          <t>제 29 기</t>
        </is>
      </c>
      <c r="N378" s="29" t="inlineStr">
        <is>
          <t>0.0</t>
        </is>
      </c>
      <c r="O378" s="29" t="inlineStr">
        <is>
          <t>0.0</t>
        </is>
      </c>
      <c r="P378" s="29" t="inlineStr">
        <is>
          <t>KRW</t>
        </is>
      </c>
      <c r="Q378" s="29" t="inlineStr">
        <is>
          <t>6</t>
        </is>
      </c>
    </row>
    <row r="379" ht="24" customHeight="1">
      <c r="A379" s="24" t="inlineStr">
        <is>
          <t>OpenDART_fnlttSinglAcntAll</t>
        </is>
      </c>
      <c r="B379" s="24" t="inlineStr">
        <is>
          <t>00369657</t>
        </is>
      </c>
      <c r="C379" s="24" t="inlineStr">
        <is>
          <t>리노공업</t>
        </is>
      </c>
      <c r="D379" s="24" t="inlineStr">
        <is>
          <t>leeno</t>
        </is>
      </c>
      <c r="E379" s="24" t="inlineStr">
        <is>
          <t>058470</t>
        </is>
      </c>
      <c r="F379" s="24" t="inlineStr">
        <is>
          <t>2024</t>
        </is>
      </c>
      <c r="G379" s="24" t="inlineStr">
        <is>
          <t>OFS</t>
        </is>
      </c>
      <c r="H379" s="24" t="inlineStr">
        <is>
          <t>SCE</t>
        </is>
      </c>
      <c r="I379" s="24" t="inlineStr">
        <is>
          <t>자본변동표</t>
        </is>
      </c>
      <c r="J379" s="24" t="inlineStr">
        <is>
          <t>ifrs-full_OtherComprehensiveIncomeNetOfTaxGainsLossesOnRemeasurementsOfDefinedBenefitPlans</t>
        </is>
      </c>
      <c r="K379" s="24" t="inlineStr">
        <is>
          <t>종업원급여 재측정요소</t>
        </is>
      </c>
      <c r="L379" s="24" t="inlineStr">
        <is>
          <t>별도재무제표 [member]</t>
        </is>
      </c>
      <c r="M379" s="24" t="inlineStr">
        <is>
          <t>제 29 기</t>
        </is>
      </c>
      <c r="N379" s="24" t="inlineStr">
        <is>
          <t>-2186772331.0</t>
        </is>
      </c>
      <c r="O379" s="24" t="inlineStr">
        <is>
          <t>-1495040200.0</t>
        </is>
      </c>
      <c r="P379" s="24" t="inlineStr">
        <is>
          <t>KRW</t>
        </is>
      </c>
      <c r="Q379" s="24" t="inlineStr">
        <is>
          <t>6</t>
        </is>
      </c>
    </row>
    <row r="380" ht="24" customHeight="1">
      <c r="A380" s="29" t="inlineStr">
        <is>
          <t>OpenDART_fnlttSinglAcntAll</t>
        </is>
      </c>
      <c r="B380" s="29" t="inlineStr">
        <is>
          <t>00369657</t>
        </is>
      </c>
      <c r="C380" s="29" t="inlineStr">
        <is>
          <t>리노공업</t>
        </is>
      </c>
      <c r="D380" s="29" t="inlineStr">
        <is>
          <t>leeno</t>
        </is>
      </c>
      <c r="E380" s="29" t="inlineStr">
        <is>
          <t>058470</t>
        </is>
      </c>
      <c r="F380" s="29" t="inlineStr">
        <is>
          <t>2024</t>
        </is>
      </c>
      <c r="G380" s="29" t="inlineStr">
        <is>
          <t>OFS</t>
        </is>
      </c>
      <c r="H380" s="29" t="inlineStr">
        <is>
          <t>SCE</t>
        </is>
      </c>
      <c r="I380" s="29" t="inlineStr">
        <is>
          <t>자본변동표</t>
        </is>
      </c>
      <c r="J380" s="29" t="inlineStr">
        <is>
          <t>ifrs-full_OtherComprehensiveIncomeNetOfTaxGainsLossesOnRemeasurementsOfDefinedBenefitPlans</t>
        </is>
      </c>
      <c r="K380" s="29" t="inlineStr">
        <is>
          <t>종업원급여 재측정요소</t>
        </is>
      </c>
      <c r="L380" s="29" t="inlineStr">
        <is>
          <t>자본 [구성요소]|이익잉여금 [구성요소]</t>
        </is>
      </c>
      <c r="M380" s="29" t="inlineStr">
        <is>
          <t>제 29 기</t>
        </is>
      </c>
      <c r="N380" s="29" t="inlineStr">
        <is>
          <t>-2186772331.0</t>
        </is>
      </c>
      <c r="O380" s="29" t="inlineStr">
        <is>
          <t>-1495040200.0</t>
        </is>
      </c>
      <c r="P380" s="29" t="inlineStr">
        <is>
          <t>KRW</t>
        </is>
      </c>
      <c r="Q380" s="29" t="inlineStr">
        <is>
          <t>6</t>
        </is>
      </c>
    </row>
    <row r="381" ht="24" customHeight="1">
      <c r="A381" s="24" t="inlineStr">
        <is>
          <t>OpenDART_fnlttSinglAcntAll</t>
        </is>
      </c>
      <c r="B381" s="24" t="inlineStr">
        <is>
          <t>00369657</t>
        </is>
      </c>
      <c r="C381" s="24" t="inlineStr">
        <is>
          <t>리노공업</t>
        </is>
      </c>
      <c r="D381" s="24" t="inlineStr">
        <is>
          <t>leeno</t>
        </is>
      </c>
      <c r="E381" s="24" t="inlineStr">
        <is>
          <t>058470</t>
        </is>
      </c>
      <c r="F381" s="24" t="inlineStr">
        <is>
          <t>2024</t>
        </is>
      </c>
      <c r="G381" s="24" t="inlineStr">
        <is>
          <t>OFS</t>
        </is>
      </c>
      <c r="H381" s="24" t="inlineStr">
        <is>
          <t>SCE</t>
        </is>
      </c>
      <c r="I381" s="24" t="inlineStr">
        <is>
          <t>자본변동표</t>
        </is>
      </c>
      <c r="J381" s="24" t="inlineStr">
        <is>
          <t>ifrs-full_OtherComprehensiveIncomeNetOfTaxGainsLossesOnRemeasurementsOfDefinedBenefitPlans</t>
        </is>
      </c>
      <c r="K381" s="24" t="inlineStr">
        <is>
          <t>종업원급여 재측정요소</t>
        </is>
      </c>
      <c r="L381" s="24" t="inlineStr">
        <is>
          <t>자본 [구성요소]|자본잉여금 [구성요소]</t>
        </is>
      </c>
      <c r="M381" s="24" t="inlineStr">
        <is>
          <t>제 29 기</t>
        </is>
      </c>
      <c r="N381" s="24" t="inlineStr">
        <is>
          <t>0.0</t>
        </is>
      </c>
      <c r="O381" s="24" t="inlineStr">
        <is>
          <t>0.0</t>
        </is>
      </c>
      <c r="P381" s="24" t="inlineStr">
        <is>
          <t>KRW</t>
        </is>
      </c>
      <c r="Q381" s="24" t="inlineStr">
        <is>
          <t>6</t>
        </is>
      </c>
    </row>
    <row r="382" ht="24" customHeight="1">
      <c r="A382" s="29" t="inlineStr">
        <is>
          <t>OpenDART_fnlttSinglAcntAll</t>
        </is>
      </c>
      <c r="B382" s="29" t="inlineStr">
        <is>
          <t>00369657</t>
        </is>
      </c>
      <c r="C382" s="29" t="inlineStr">
        <is>
          <t>리노공업</t>
        </is>
      </c>
      <c r="D382" s="29" t="inlineStr">
        <is>
          <t>leeno</t>
        </is>
      </c>
      <c r="E382" s="29" t="inlineStr">
        <is>
          <t>058470</t>
        </is>
      </c>
      <c r="F382" s="29" t="inlineStr">
        <is>
          <t>2024</t>
        </is>
      </c>
      <c r="G382" s="29" t="inlineStr">
        <is>
          <t>OFS</t>
        </is>
      </c>
      <c r="H382" s="29" t="inlineStr">
        <is>
          <t>SCE</t>
        </is>
      </c>
      <c r="I382" s="29" t="inlineStr">
        <is>
          <t>자본변동표</t>
        </is>
      </c>
      <c r="J382" s="29" t="inlineStr">
        <is>
          <t>ifrs-full_OtherComprehensiveIncomeNetOfTaxGainsLossesOnRemeasurementsOfDefinedBenefitPlans</t>
        </is>
      </c>
      <c r="K382" s="29" t="inlineStr">
        <is>
          <t>종업원급여 재측정요소</t>
        </is>
      </c>
      <c r="L382" s="29" t="inlineStr">
        <is>
          <t>자본 [구성요소]|자본금 [구성요소]</t>
        </is>
      </c>
      <c r="M382" s="29" t="inlineStr">
        <is>
          <t>제 29 기</t>
        </is>
      </c>
      <c r="N382" s="29" t="inlineStr">
        <is>
          <t>0.0</t>
        </is>
      </c>
      <c r="O382" s="29" t="inlineStr">
        <is>
          <t>0.0</t>
        </is>
      </c>
      <c r="P382" s="29" t="inlineStr">
        <is>
          <t>KRW</t>
        </is>
      </c>
      <c r="Q382" s="29" t="inlineStr">
        <is>
          <t>6</t>
        </is>
      </c>
    </row>
    <row r="383" ht="24" customHeight="1">
      <c r="A383" s="24" t="inlineStr">
        <is>
          <t>OpenDART_fnlttSinglAcntAll</t>
        </is>
      </c>
      <c r="B383" s="24" t="inlineStr">
        <is>
          <t>00369657</t>
        </is>
      </c>
      <c r="C383" s="24" t="inlineStr">
        <is>
          <t>리노공업</t>
        </is>
      </c>
      <c r="D383" s="24" t="inlineStr">
        <is>
          <t>leeno</t>
        </is>
      </c>
      <c r="E383" s="24" t="inlineStr">
        <is>
          <t>058470</t>
        </is>
      </c>
      <c r="F383" s="24" t="inlineStr">
        <is>
          <t>2024</t>
        </is>
      </c>
      <c r="G383" s="24" t="inlineStr">
        <is>
          <t>OFS</t>
        </is>
      </c>
      <c r="H383" s="24" t="inlineStr">
        <is>
          <t>SCE</t>
        </is>
      </c>
      <c r="I383" s="24" t="inlineStr">
        <is>
          <t>자본변동표</t>
        </is>
      </c>
      <c r="J383" s="24" t="inlineStr">
        <is>
          <t>ifrs-full_ProfitLoss</t>
        </is>
      </c>
      <c r="K383" s="24" t="inlineStr">
        <is>
          <t>당기순이익</t>
        </is>
      </c>
      <c r="L383" s="24" t="inlineStr">
        <is>
          <t>별도재무제표 [member]</t>
        </is>
      </c>
      <c r="M383" s="24" t="inlineStr">
        <is>
          <t>제 29 기</t>
        </is>
      </c>
      <c r="N383" s="24" t="inlineStr">
        <is>
          <t>113279046428.0</t>
        </is>
      </c>
      <c r="O383" s="24" t="inlineStr">
        <is>
          <t>110923015440.0</t>
        </is>
      </c>
      <c r="P383" s="24" t="inlineStr">
        <is>
          <t>KRW</t>
        </is>
      </c>
      <c r="Q383" s="24" t="inlineStr">
        <is>
          <t>7</t>
        </is>
      </c>
    </row>
    <row r="384" ht="24" customHeight="1">
      <c r="A384" s="29" t="inlineStr">
        <is>
          <t>OpenDART_fnlttSinglAcntAll</t>
        </is>
      </c>
      <c r="B384" s="29" t="inlineStr">
        <is>
          <t>00369657</t>
        </is>
      </c>
      <c r="C384" s="29" t="inlineStr">
        <is>
          <t>리노공업</t>
        </is>
      </c>
      <c r="D384" s="29" t="inlineStr">
        <is>
          <t>leeno</t>
        </is>
      </c>
      <c r="E384" s="29" t="inlineStr">
        <is>
          <t>058470</t>
        </is>
      </c>
      <c r="F384" s="29" t="inlineStr">
        <is>
          <t>2024</t>
        </is>
      </c>
      <c r="G384" s="29" t="inlineStr">
        <is>
          <t>OFS</t>
        </is>
      </c>
      <c r="H384" s="29" t="inlineStr">
        <is>
          <t>SCE</t>
        </is>
      </c>
      <c r="I384" s="29" t="inlineStr">
        <is>
          <t>자본변동표</t>
        </is>
      </c>
      <c r="J384" s="29" t="inlineStr">
        <is>
          <t>ifrs-full_ProfitLoss</t>
        </is>
      </c>
      <c r="K384" s="29" t="inlineStr">
        <is>
          <t>당기순이익</t>
        </is>
      </c>
      <c r="L384" s="29" t="inlineStr">
        <is>
          <t>자본 [구성요소]|기타자본구성요소 [구성요소]</t>
        </is>
      </c>
      <c r="M384" s="29" t="inlineStr">
        <is>
          <t>제 29 기</t>
        </is>
      </c>
      <c r="N384" s="29" t="inlineStr">
        <is>
          <t>0.0</t>
        </is>
      </c>
      <c r="O384" s="29" t="inlineStr">
        <is>
          <t>0.0</t>
        </is>
      </c>
      <c r="P384" s="29" t="inlineStr">
        <is>
          <t>KRW</t>
        </is>
      </c>
      <c r="Q384" s="29" t="inlineStr">
        <is>
          <t>7</t>
        </is>
      </c>
    </row>
    <row r="385" ht="24" customHeight="1">
      <c r="A385" s="24" t="inlineStr">
        <is>
          <t>OpenDART_fnlttSinglAcntAll</t>
        </is>
      </c>
      <c r="B385" s="24" t="inlineStr">
        <is>
          <t>00369657</t>
        </is>
      </c>
      <c r="C385" s="24" t="inlineStr">
        <is>
          <t>리노공업</t>
        </is>
      </c>
      <c r="D385" s="24" t="inlineStr">
        <is>
          <t>leeno</t>
        </is>
      </c>
      <c r="E385" s="24" t="inlineStr">
        <is>
          <t>058470</t>
        </is>
      </c>
      <c r="F385" s="24" t="inlineStr">
        <is>
          <t>2024</t>
        </is>
      </c>
      <c r="G385" s="24" t="inlineStr">
        <is>
          <t>OFS</t>
        </is>
      </c>
      <c r="H385" s="24" t="inlineStr">
        <is>
          <t>SCE</t>
        </is>
      </c>
      <c r="I385" s="24" t="inlineStr">
        <is>
          <t>자본변동표</t>
        </is>
      </c>
      <c r="J385" s="24" t="inlineStr">
        <is>
          <t>ifrs-full_ProfitLoss</t>
        </is>
      </c>
      <c r="K385" s="24" t="inlineStr">
        <is>
          <t>당기순이익</t>
        </is>
      </c>
      <c r="L385" s="24" t="inlineStr">
        <is>
          <t>자본 [구성요소]|자본금 [구성요소]</t>
        </is>
      </c>
      <c r="M385" s="24" t="inlineStr">
        <is>
          <t>제 29 기</t>
        </is>
      </c>
      <c r="N385" s="24" t="inlineStr">
        <is>
          <t>0.0</t>
        </is>
      </c>
      <c r="O385" s="24" t="inlineStr">
        <is>
          <t>0.0</t>
        </is>
      </c>
      <c r="P385" s="24" t="inlineStr">
        <is>
          <t>KRW</t>
        </is>
      </c>
      <c r="Q385" s="24" t="inlineStr">
        <is>
          <t>7</t>
        </is>
      </c>
    </row>
    <row r="386" ht="24" customHeight="1">
      <c r="A386" s="29" t="inlineStr">
        <is>
          <t>OpenDART_fnlttSinglAcntAll</t>
        </is>
      </c>
      <c r="B386" s="29" t="inlineStr">
        <is>
          <t>00369657</t>
        </is>
      </c>
      <c r="C386" s="29" t="inlineStr">
        <is>
          <t>리노공업</t>
        </is>
      </c>
      <c r="D386" s="29" t="inlineStr">
        <is>
          <t>leeno</t>
        </is>
      </c>
      <c r="E386" s="29" t="inlineStr">
        <is>
          <t>058470</t>
        </is>
      </c>
      <c r="F386" s="29" t="inlineStr">
        <is>
          <t>2024</t>
        </is>
      </c>
      <c r="G386" s="29" t="inlineStr">
        <is>
          <t>OFS</t>
        </is>
      </c>
      <c r="H386" s="29" t="inlineStr">
        <is>
          <t>SCE</t>
        </is>
      </c>
      <c r="I386" s="29" t="inlineStr">
        <is>
          <t>자본변동표</t>
        </is>
      </c>
      <c r="J386" s="29" t="inlineStr">
        <is>
          <t>ifrs-full_ProfitLoss</t>
        </is>
      </c>
      <c r="K386" s="29" t="inlineStr">
        <is>
          <t>당기순이익</t>
        </is>
      </c>
      <c r="L386" s="29" t="inlineStr">
        <is>
          <t>자본 [구성요소]|이익잉여금 [구성요소]</t>
        </is>
      </c>
      <c r="M386" s="29" t="inlineStr">
        <is>
          <t>제 29 기</t>
        </is>
      </c>
      <c r="N386" s="29" t="inlineStr">
        <is>
          <t>113279046428.0</t>
        </is>
      </c>
      <c r="O386" s="29" t="inlineStr">
        <is>
          <t>110923015440.0</t>
        </is>
      </c>
      <c r="P386" s="29" t="inlineStr">
        <is>
          <t>KRW</t>
        </is>
      </c>
      <c r="Q386" s="29" t="inlineStr">
        <is>
          <t>7</t>
        </is>
      </c>
    </row>
    <row r="387" ht="24" customHeight="1">
      <c r="A387" s="24" t="inlineStr">
        <is>
          <t>OpenDART_fnlttSinglAcntAll</t>
        </is>
      </c>
      <c r="B387" s="24" t="inlineStr">
        <is>
          <t>00369657</t>
        </is>
      </c>
      <c r="C387" s="24" t="inlineStr">
        <is>
          <t>리노공업</t>
        </is>
      </c>
      <c r="D387" s="24" t="inlineStr">
        <is>
          <t>leeno</t>
        </is>
      </c>
      <c r="E387" s="24" t="inlineStr">
        <is>
          <t>058470</t>
        </is>
      </c>
      <c r="F387" s="24" t="inlineStr">
        <is>
          <t>2024</t>
        </is>
      </c>
      <c r="G387" s="24" t="inlineStr">
        <is>
          <t>OFS</t>
        </is>
      </c>
      <c r="H387" s="24" t="inlineStr">
        <is>
          <t>SCE</t>
        </is>
      </c>
      <c r="I387" s="24" t="inlineStr">
        <is>
          <t>자본변동표</t>
        </is>
      </c>
      <c r="J387" s="24" t="inlineStr">
        <is>
          <t>ifrs-full_ProfitLoss</t>
        </is>
      </c>
      <c r="K387" s="24" t="inlineStr">
        <is>
          <t>당기순이익</t>
        </is>
      </c>
      <c r="L387" s="24" t="inlineStr">
        <is>
          <t>자본 [구성요소]|자본잉여금 [구성요소]</t>
        </is>
      </c>
      <c r="M387" s="24" t="inlineStr">
        <is>
          <t>제 29 기</t>
        </is>
      </c>
      <c r="N387" s="24" t="inlineStr">
        <is>
          <t>0.0</t>
        </is>
      </c>
      <c r="O387" s="24" t="inlineStr">
        <is>
          <t>0.0</t>
        </is>
      </c>
      <c r="P387" s="24" t="inlineStr">
        <is>
          <t>KRW</t>
        </is>
      </c>
      <c r="Q387" s="24" t="inlineStr">
        <is>
          <t>7</t>
        </is>
      </c>
    </row>
    <row r="388" ht="24" customHeight="1">
      <c r="A388" s="29" t="inlineStr">
        <is>
          <t>OpenDART_fnlttSinglAcntAll</t>
        </is>
      </c>
      <c r="B388" s="29" t="inlineStr">
        <is>
          <t>00369657</t>
        </is>
      </c>
      <c r="C388" s="29" t="inlineStr">
        <is>
          <t>리노공업</t>
        </is>
      </c>
      <c r="D388" s="29" t="inlineStr">
        <is>
          <t>leeno</t>
        </is>
      </c>
      <c r="E388" s="29" t="inlineStr">
        <is>
          <t>058470</t>
        </is>
      </c>
      <c r="F388" s="29" t="inlineStr">
        <is>
          <t>2025</t>
        </is>
      </c>
      <c r="G388" s="29" t="inlineStr">
        <is>
          <t>OFS</t>
        </is>
      </c>
      <c r="H388" s="29" t="inlineStr">
        <is>
          <t>BS</t>
        </is>
      </c>
      <c r="I388" s="29" t="inlineStr">
        <is>
          <t>재무상태표</t>
        </is>
      </c>
      <c r="J388" s="29" t="inlineStr">
        <is>
          <t>ifrs-full_Assets</t>
        </is>
      </c>
      <c r="K388" s="29" t="inlineStr">
        <is>
          <t>자산총계</t>
        </is>
      </c>
      <c r="L388" s="29" t="inlineStr">
        <is>
          <t>-</t>
        </is>
      </c>
      <c r="M388" s="29" t="inlineStr">
        <is>
          <t>제 30 기</t>
        </is>
      </c>
      <c r="N388" s="29" t="inlineStr">
        <is>
          <t>791928165325.0</t>
        </is>
      </c>
      <c r="O388" s="29" t="inlineStr">
        <is>
          <t>657443780756.0</t>
        </is>
      </c>
      <c r="P388" s="29" t="inlineStr">
        <is>
          <t>KRW</t>
        </is>
      </c>
      <c r="Q388" s="29" t="inlineStr">
        <is>
          <t>7</t>
        </is>
      </c>
    </row>
    <row r="389" ht="24" customHeight="1">
      <c r="A389" s="24" t="inlineStr">
        <is>
          <t>OpenDART_fnlttSinglAcntAll</t>
        </is>
      </c>
      <c r="B389" s="24" t="inlineStr">
        <is>
          <t>00369657</t>
        </is>
      </c>
      <c r="C389" s="24" t="inlineStr">
        <is>
          <t>리노공업</t>
        </is>
      </c>
      <c r="D389" s="24" t="inlineStr">
        <is>
          <t>leeno</t>
        </is>
      </c>
      <c r="E389" s="24" t="inlineStr">
        <is>
          <t>058470</t>
        </is>
      </c>
      <c r="F389" s="24" t="inlineStr">
        <is>
          <t>2025</t>
        </is>
      </c>
      <c r="G389" s="24" t="inlineStr">
        <is>
          <t>OFS</t>
        </is>
      </c>
      <c r="H389" s="24" t="inlineStr">
        <is>
          <t>BS</t>
        </is>
      </c>
      <c r="I389" s="24" t="inlineStr">
        <is>
          <t>재무상태표</t>
        </is>
      </c>
      <c r="J389" s="24" t="inlineStr">
        <is>
          <t>ifrs-full_CurrentAssets</t>
        </is>
      </c>
      <c r="K389" s="24" t="inlineStr">
        <is>
          <t>유동자산</t>
        </is>
      </c>
      <c r="L389" s="24" t="inlineStr">
        <is>
          <t>-</t>
        </is>
      </c>
      <c r="M389" s="24" t="inlineStr">
        <is>
          <t>제 30 기</t>
        </is>
      </c>
      <c r="N389" s="24" t="inlineStr">
        <is>
          <t>532616632485.0</t>
        </is>
      </c>
      <c r="O389" s="24" t="inlineStr">
        <is>
          <t>449498090730.0</t>
        </is>
      </c>
      <c r="P389" s="24" t="inlineStr">
        <is>
          <t>KRW</t>
        </is>
      </c>
      <c r="Q389" s="24" t="inlineStr">
        <is>
          <t>8</t>
        </is>
      </c>
    </row>
    <row r="390" ht="24" customHeight="1">
      <c r="A390" s="29" t="inlineStr">
        <is>
          <t>OpenDART_fnlttSinglAcntAll</t>
        </is>
      </c>
      <c r="B390" s="29" t="inlineStr">
        <is>
          <t>00369657</t>
        </is>
      </c>
      <c r="C390" s="29" t="inlineStr">
        <is>
          <t>리노공업</t>
        </is>
      </c>
      <c r="D390" s="29" t="inlineStr">
        <is>
          <t>leeno</t>
        </is>
      </c>
      <c r="E390" s="29" t="inlineStr">
        <is>
          <t>058470</t>
        </is>
      </c>
      <c r="F390" s="29" t="inlineStr">
        <is>
          <t>2025</t>
        </is>
      </c>
      <c r="G390" s="29" t="inlineStr">
        <is>
          <t>OFS</t>
        </is>
      </c>
      <c r="H390" s="29" t="inlineStr">
        <is>
          <t>BS</t>
        </is>
      </c>
      <c r="I390" s="29" t="inlineStr">
        <is>
          <t>재무상태표</t>
        </is>
      </c>
      <c r="J390" s="29" t="inlineStr">
        <is>
          <t>ifrs-full_CashAndCashEquivalents</t>
        </is>
      </c>
      <c r="K390" s="29" t="inlineStr">
        <is>
          <t>현금및현금성자산</t>
        </is>
      </c>
      <c r="L390" s="29" t="inlineStr">
        <is>
          <t>-</t>
        </is>
      </c>
      <c r="M390" s="29" t="inlineStr">
        <is>
          <t>제 30 기</t>
        </is>
      </c>
      <c r="N390" s="29" t="inlineStr">
        <is>
          <t>85202812409.0</t>
        </is>
      </c>
      <c r="O390" s="29" t="inlineStr">
        <is>
          <t>54759251381.0</t>
        </is>
      </c>
      <c r="P390" s="29" t="inlineStr">
        <is>
          <t>KRW</t>
        </is>
      </c>
      <c r="Q390" s="29" t="inlineStr">
        <is>
          <t>9</t>
        </is>
      </c>
    </row>
    <row r="391" ht="24" customHeight="1">
      <c r="A391" s="24" t="inlineStr">
        <is>
          <t>OpenDART_fnlttSinglAcntAll</t>
        </is>
      </c>
      <c r="B391" s="24" t="inlineStr">
        <is>
          <t>00369657</t>
        </is>
      </c>
      <c r="C391" s="24" t="inlineStr">
        <is>
          <t>리노공업</t>
        </is>
      </c>
      <c r="D391" s="24" t="inlineStr">
        <is>
          <t>leeno</t>
        </is>
      </c>
      <c r="E391" s="24" t="inlineStr">
        <is>
          <t>058470</t>
        </is>
      </c>
      <c r="F391" s="24" t="inlineStr">
        <is>
          <t>2025</t>
        </is>
      </c>
      <c r="G391" s="24" t="inlineStr">
        <is>
          <t>OFS</t>
        </is>
      </c>
      <c r="H391" s="24" t="inlineStr">
        <is>
          <t>BS</t>
        </is>
      </c>
      <c r="I391" s="24" t="inlineStr">
        <is>
          <t>재무상태표</t>
        </is>
      </c>
      <c r="J391" s="24" t="inlineStr">
        <is>
          <t>ifrs-full_CurrentTradeReceivables</t>
        </is>
      </c>
      <c r="K391" s="24" t="inlineStr">
        <is>
          <t>매출채권</t>
        </is>
      </c>
      <c r="L391" s="24" t="inlineStr">
        <is>
          <t>-</t>
        </is>
      </c>
      <c r="M391" s="24" t="inlineStr">
        <is>
          <t>제 30 기</t>
        </is>
      </c>
      <c r="N391" s="24" t="inlineStr">
        <is>
          <t>52853181025.0</t>
        </is>
      </c>
      <c r="O391" s="24" t="inlineStr">
        <is>
          <t>51075599798.0</t>
        </is>
      </c>
      <c r="P391" s="24" t="inlineStr">
        <is>
          <t>KRW</t>
        </is>
      </c>
      <c r="Q391" s="24" t="inlineStr">
        <is>
          <t>10</t>
        </is>
      </c>
    </row>
    <row r="392" ht="24" customHeight="1">
      <c r="A392" s="29" t="inlineStr">
        <is>
          <t>OpenDART_fnlttSinglAcntAll</t>
        </is>
      </c>
      <c r="B392" s="29" t="inlineStr">
        <is>
          <t>00369657</t>
        </is>
      </c>
      <c r="C392" s="29" t="inlineStr">
        <is>
          <t>리노공업</t>
        </is>
      </c>
      <c r="D392" s="29" t="inlineStr">
        <is>
          <t>leeno</t>
        </is>
      </c>
      <c r="E392" s="29" t="inlineStr">
        <is>
          <t>058470</t>
        </is>
      </c>
      <c r="F392" s="29" t="inlineStr">
        <is>
          <t>2025</t>
        </is>
      </c>
      <c r="G392" s="29" t="inlineStr">
        <is>
          <t>OFS</t>
        </is>
      </c>
      <c r="H392" s="29" t="inlineStr">
        <is>
          <t>BS</t>
        </is>
      </c>
      <c r="I392" s="29" t="inlineStr">
        <is>
          <t>재무상태표</t>
        </is>
      </c>
      <c r="J392" s="29" t="inlineStr">
        <is>
          <t>ifrs-full_Inventories</t>
        </is>
      </c>
      <c r="K392" s="29" t="inlineStr">
        <is>
          <t>재고자산</t>
        </is>
      </c>
      <c r="L392" s="29" t="inlineStr">
        <is>
          <t>-</t>
        </is>
      </c>
      <c r="M392" s="29" t="inlineStr">
        <is>
          <t>제 30 기</t>
        </is>
      </c>
      <c r="N392" s="29" t="inlineStr">
        <is>
          <t>15514548353.0</t>
        </is>
      </c>
      <c r="O392" s="29" t="inlineStr">
        <is>
          <t>12959312526.0</t>
        </is>
      </c>
      <c r="P392" s="29" t="inlineStr">
        <is>
          <t>KRW</t>
        </is>
      </c>
      <c r="Q392" s="29" t="inlineStr">
        <is>
          <t>11</t>
        </is>
      </c>
    </row>
    <row r="393" ht="24" customHeight="1">
      <c r="A393" s="24" t="inlineStr">
        <is>
          <t>OpenDART_fnlttSinglAcntAll</t>
        </is>
      </c>
      <c r="B393" s="24" t="inlineStr">
        <is>
          <t>00369657</t>
        </is>
      </c>
      <c r="C393" s="24" t="inlineStr">
        <is>
          <t>리노공업</t>
        </is>
      </c>
      <c r="D393" s="24" t="inlineStr">
        <is>
          <t>leeno</t>
        </is>
      </c>
      <c r="E393" s="24" t="inlineStr">
        <is>
          <t>058470</t>
        </is>
      </c>
      <c r="F393" s="24" t="inlineStr">
        <is>
          <t>2025</t>
        </is>
      </c>
      <c r="G393" s="24" t="inlineStr">
        <is>
          <t>OFS</t>
        </is>
      </c>
      <c r="H393" s="24" t="inlineStr">
        <is>
          <t>BS</t>
        </is>
      </c>
      <c r="I393" s="24" t="inlineStr">
        <is>
          <t>재무상태표</t>
        </is>
      </c>
      <c r="J393" s="24" t="inlineStr">
        <is>
          <t>ifrs-full_OtherCurrentAssets</t>
        </is>
      </c>
      <c r="K393" s="24" t="inlineStr">
        <is>
          <t>기타자산</t>
        </is>
      </c>
      <c r="L393" s="24" t="inlineStr">
        <is>
          <t>-</t>
        </is>
      </c>
      <c r="M393" s="24" t="inlineStr">
        <is>
          <t>제 30 기</t>
        </is>
      </c>
      <c r="N393" s="24" t="inlineStr">
        <is>
          <t>1973045620.0</t>
        </is>
      </c>
      <c r="O393" s="24" t="inlineStr">
        <is>
          <t>2181704272.0</t>
        </is>
      </c>
      <c r="P393" s="24" t="inlineStr">
        <is>
          <t>KRW</t>
        </is>
      </c>
      <c r="Q393" s="24" t="inlineStr">
        <is>
          <t>12</t>
        </is>
      </c>
    </row>
    <row r="394" ht="24" customHeight="1">
      <c r="A394" s="29" t="inlineStr">
        <is>
          <t>OpenDART_fnlttSinglAcntAll</t>
        </is>
      </c>
      <c r="B394" s="29" t="inlineStr">
        <is>
          <t>00369657</t>
        </is>
      </c>
      <c r="C394" s="29" t="inlineStr">
        <is>
          <t>리노공업</t>
        </is>
      </c>
      <c r="D394" s="29" t="inlineStr">
        <is>
          <t>leeno</t>
        </is>
      </c>
      <c r="E394" s="29" t="inlineStr">
        <is>
          <t>058470</t>
        </is>
      </c>
      <c r="F394" s="29" t="inlineStr">
        <is>
          <t>2025</t>
        </is>
      </c>
      <c r="G394" s="29" t="inlineStr">
        <is>
          <t>OFS</t>
        </is>
      </c>
      <c r="H394" s="29" t="inlineStr">
        <is>
          <t>BS</t>
        </is>
      </c>
      <c r="I394" s="29" t="inlineStr">
        <is>
          <t>재무상태표</t>
        </is>
      </c>
      <c r="J394" s="29" t="inlineStr">
        <is>
          <t>ifrs-full_OtherCurrentFinancialAssets</t>
        </is>
      </c>
      <c r="K394" s="29" t="inlineStr">
        <is>
          <t>기타금융자산</t>
        </is>
      </c>
      <c r="L394" s="29" t="inlineStr">
        <is>
          <t>-</t>
        </is>
      </c>
      <c r="M394" s="29" t="inlineStr">
        <is>
          <t>제 30 기</t>
        </is>
      </c>
      <c r="N394" s="29" t="inlineStr">
        <is>
          <t>370041999620.0</t>
        </is>
      </c>
      <c r="O394" s="29" t="inlineStr">
        <is>
          <t>325041999477.0</t>
        </is>
      </c>
      <c r="P394" s="29" t="inlineStr">
        <is>
          <t>KRW</t>
        </is>
      </c>
      <c r="Q394" s="29" t="inlineStr">
        <is>
          <t>13</t>
        </is>
      </c>
    </row>
    <row r="395" ht="24" customHeight="1">
      <c r="A395" s="24" t="inlineStr">
        <is>
          <t>OpenDART_fnlttSinglAcntAll</t>
        </is>
      </c>
      <c r="B395" s="24" t="inlineStr">
        <is>
          <t>00369657</t>
        </is>
      </c>
      <c r="C395" s="24" t="inlineStr">
        <is>
          <t>리노공업</t>
        </is>
      </c>
      <c r="D395" s="24" t="inlineStr">
        <is>
          <t>leeno</t>
        </is>
      </c>
      <c r="E395" s="24" t="inlineStr">
        <is>
          <t>058470</t>
        </is>
      </c>
      <c r="F395" s="24" t="inlineStr">
        <is>
          <t>2025</t>
        </is>
      </c>
      <c r="G395" s="24" t="inlineStr">
        <is>
          <t>OFS</t>
        </is>
      </c>
      <c r="H395" s="24" t="inlineStr">
        <is>
          <t>BS</t>
        </is>
      </c>
      <c r="I395" s="24" t="inlineStr">
        <is>
          <t>재무상태표</t>
        </is>
      </c>
      <c r="J395" s="24" t="inlineStr">
        <is>
          <t>ifrs-full_OtherCurrentReceivables</t>
        </is>
      </c>
      <c r="K395" s="24" t="inlineStr">
        <is>
          <t>기타채권</t>
        </is>
      </c>
      <c r="L395" s="24" t="inlineStr">
        <is>
          <t>-</t>
        </is>
      </c>
      <c r="M395" s="24" t="inlineStr">
        <is>
          <t>제 30 기</t>
        </is>
      </c>
      <c r="N395" s="24" t="inlineStr">
        <is>
          <t>7031045458.0</t>
        </is>
      </c>
      <c r="O395" s="24" t="inlineStr">
        <is>
          <t>3480223276.0</t>
        </is>
      </c>
      <c r="P395" s="24" t="inlineStr">
        <is>
          <t>KRW</t>
        </is>
      </c>
      <c r="Q395" s="24" t="inlineStr">
        <is>
          <t>14</t>
        </is>
      </c>
    </row>
    <row r="396" ht="24" customHeight="1">
      <c r="A396" s="29" t="inlineStr">
        <is>
          <t>OpenDART_fnlttSinglAcntAll</t>
        </is>
      </c>
      <c r="B396" s="29" t="inlineStr">
        <is>
          <t>00369657</t>
        </is>
      </c>
      <c r="C396" s="29" t="inlineStr">
        <is>
          <t>리노공업</t>
        </is>
      </c>
      <c r="D396" s="29" t="inlineStr">
        <is>
          <t>leeno</t>
        </is>
      </c>
      <c r="E396" s="29" t="inlineStr">
        <is>
          <t>058470</t>
        </is>
      </c>
      <c r="F396" s="29" t="inlineStr">
        <is>
          <t>2025</t>
        </is>
      </c>
      <c r="G396" s="29" t="inlineStr">
        <is>
          <t>OFS</t>
        </is>
      </c>
      <c r="H396" s="29" t="inlineStr">
        <is>
          <t>BS</t>
        </is>
      </c>
      <c r="I396" s="29" t="inlineStr">
        <is>
          <t>재무상태표</t>
        </is>
      </c>
      <c r="J396" s="29" t="inlineStr">
        <is>
          <t>ifrs-full_NoncurrentAssets</t>
        </is>
      </c>
      <c r="K396" s="29" t="inlineStr">
        <is>
          <t>비유동자산</t>
        </is>
      </c>
      <c r="L396" s="29" t="inlineStr">
        <is>
          <t>-</t>
        </is>
      </c>
      <c r="M396" s="29" t="inlineStr">
        <is>
          <t>제 30 기</t>
        </is>
      </c>
      <c r="N396" s="29" t="inlineStr">
        <is>
          <t>259311532840.0</t>
        </is>
      </c>
      <c r="O396" s="29" t="inlineStr">
        <is>
          <t>207945690026.0</t>
        </is>
      </c>
      <c r="P396" s="29" t="inlineStr">
        <is>
          <t>KRW</t>
        </is>
      </c>
      <c r="Q396" s="29" t="inlineStr">
        <is>
          <t>15</t>
        </is>
      </c>
    </row>
    <row r="397" ht="24" customHeight="1">
      <c r="A397" s="24" t="inlineStr">
        <is>
          <t>OpenDART_fnlttSinglAcntAll</t>
        </is>
      </c>
      <c r="B397" s="24" t="inlineStr">
        <is>
          <t>00369657</t>
        </is>
      </c>
      <c r="C397" s="24" t="inlineStr">
        <is>
          <t>리노공업</t>
        </is>
      </c>
      <c r="D397" s="24" t="inlineStr">
        <is>
          <t>leeno</t>
        </is>
      </c>
      <c r="E397" s="24" t="inlineStr">
        <is>
          <t>058470</t>
        </is>
      </c>
      <c r="F397" s="24" t="inlineStr">
        <is>
          <t>2025</t>
        </is>
      </c>
      <c r="G397" s="24" t="inlineStr">
        <is>
          <t>OFS</t>
        </is>
      </c>
      <c r="H397" s="24" t="inlineStr">
        <is>
          <t>BS</t>
        </is>
      </c>
      <c r="I397" s="24" t="inlineStr">
        <is>
          <t>재무상태표</t>
        </is>
      </c>
      <c r="J397" s="24" t="inlineStr">
        <is>
          <t>ifrs-full_DeferredTaxAssets</t>
        </is>
      </c>
      <c r="K397" s="24" t="inlineStr">
        <is>
          <t>이연법인세자산</t>
        </is>
      </c>
      <c r="L397" s="24" t="inlineStr">
        <is>
          <t>-</t>
        </is>
      </c>
      <c r="M397" s="24" t="inlineStr">
        <is>
          <t>제 30 기</t>
        </is>
      </c>
      <c r="N397" s="24" t="inlineStr">
        <is>
          <t>2164394634.0</t>
        </is>
      </c>
      <c r="O397" s="24" t="inlineStr">
        <is>
          <t>1569384971.0</t>
        </is>
      </c>
      <c r="P397" s="24" t="inlineStr">
        <is>
          <t>KRW</t>
        </is>
      </c>
      <c r="Q397" s="24" t="inlineStr">
        <is>
          <t>16</t>
        </is>
      </c>
    </row>
    <row r="398" ht="24" customHeight="1">
      <c r="A398" s="29" t="inlineStr">
        <is>
          <t>OpenDART_fnlttSinglAcntAll</t>
        </is>
      </c>
      <c r="B398" s="29" t="inlineStr">
        <is>
          <t>00369657</t>
        </is>
      </c>
      <c r="C398" s="29" t="inlineStr">
        <is>
          <t>리노공업</t>
        </is>
      </c>
      <c r="D398" s="29" t="inlineStr">
        <is>
          <t>leeno</t>
        </is>
      </c>
      <c r="E398" s="29" t="inlineStr">
        <is>
          <t>058470</t>
        </is>
      </c>
      <c r="F398" s="29" t="inlineStr">
        <is>
          <t>2025</t>
        </is>
      </c>
      <c r="G398" s="29" t="inlineStr">
        <is>
          <t>OFS</t>
        </is>
      </c>
      <c r="H398" s="29" t="inlineStr">
        <is>
          <t>BS</t>
        </is>
      </c>
      <c r="I398" s="29" t="inlineStr">
        <is>
          <t>재무상태표</t>
        </is>
      </c>
      <c r="J398" s="29" t="inlineStr">
        <is>
          <t>ifrs-full_IntangibleAssetsOtherThanGoodwill</t>
        </is>
      </c>
      <c r="K398" s="29" t="inlineStr">
        <is>
          <t>무형자산</t>
        </is>
      </c>
      <c r="L398" s="29" t="inlineStr">
        <is>
          <t>-</t>
        </is>
      </c>
      <c r="M398" s="29" t="inlineStr">
        <is>
          <t>제 30 기</t>
        </is>
      </c>
      <c r="N398" s="29" t="inlineStr">
        <is>
          <t>1868932729.0</t>
        </is>
      </c>
      <c r="O398" s="29" t="inlineStr">
        <is>
          <t>1959270745.0</t>
        </is>
      </c>
      <c r="P398" s="29" t="inlineStr">
        <is>
          <t>KRW</t>
        </is>
      </c>
      <c r="Q398" s="29" t="inlineStr">
        <is>
          <t>17</t>
        </is>
      </c>
    </row>
    <row r="399" ht="24" customHeight="1">
      <c r="A399" s="24" t="inlineStr">
        <is>
          <t>OpenDART_fnlttSinglAcntAll</t>
        </is>
      </c>
      <c r="B399" s="24" t="inlineStr">
        <is>
          <t>00369657</t>
        </is>
      </c>
      <c r="C399" s="24" t="inlineStr">
        <is>
          <t>리노공업</t>
        </is>
      </c>
      <c r="D399" s="24" t="inlineStr">
        <is>
          <t>leeno</t>
        </is>
      </c>
      <c r="E399" s="24" t="inlineStr">
        <is>
          <t>058470</t>
        </is>
      </c>
      <c r="F399" s="24" t="inlineStr">
        <is>
          <t>2025</t>
        </is>
      </c>
      <c r="G399" s="24" t="inlineStr">
        <is>
          <t>OFS</t>
        </is>
      </c>
      <c r="H399" s="24" t="inlineStr">
        <is>
          <t>BS</t>
        </is>
      </c>
      <c r="I399" s="24" t="inlineStr">
        <is>
          <t>재무상태표</t>
        </is>
      </c>
      <c r="J399" s="24" t="inlineStr">
        <is>
          <t>ifrs-full_NoncurrentRecognisedAssetsDefinedBenefitPlan</t>
        </is>
      </c>
      <c r="K399" s="24" t="inlineStr">
        <is>
          <t>순확정급여자산</t>
        </is>
      </c>
      <c r="L399" s="24" t="inlineStr">
        <is>
          <t>-</t>
        </is>
      </c>
      <c r="M399" s="24" t="inlineStr">
        <is>
          <t>제 30 기</t>
        </is>
      </c>
      <c r="N399" s="24" t="inlineStr">
        <is>
          <t>3800728368.0</t>
        </is>
      </c>
      <c r="O399" s="24" t="inlineStr">
        <is>
          <t>0.0</t>
        </is>
      </c>
      <c r="P399" s="24" t="inlineStr">
        <is>
          <t>KRW</t>
        </is>
      </c>
      <c r="Q399" s="24" t="inlineStr">
        <is>
          <t>18</t>
        </is>
      </c>
    </row>
    <row r="400" ht="24" customHeight="1">
      <c r="A400" s="29" t="inlineStr">
        <is>
          <t>OpenDART_fnlttSinglAcntAll</t>
        </is>
      </c>
      <c r="B400" s="29" t="inlineStr">
        <is>
          <t>00369657</t>
        </is>
      </c>
      <c r="C400" s="29" t="inlineStr">
        <is>
          <t>리노공업</t>
        </is>
      </c>
      <c r="D400" s="29" t="inlineStr">
        <is>
          <t>leeno</t>
        </is>
      </c>
      <c r="E400" s="29" t="inlineStr">
        <is>
          <t>058470</t>
        </is>
      </c>
      <c r="F400" s="29" t="inlineStr">
        <is>
          <t>2025</t>
        </is>
      </c>
      <c r="G400" s="29" t="inlineStr">
        <is>
          <t>OFS</t>
        </is>
      </c>
      <c r="H400" s="29" t="inlineStr">
        <is>
          <t>BS</t>
        </is>
      </c>
      <c r="I400" s="29" t="inlineStr">
        <is>
          <t>재무상태표</t>
        </is>
      </c>
      <c r="J400" s="29" t="inlineStr">
        <is>
          <t>ifrs-full_OtherNoncurrentFinancialAssets</t>
        </is>
      </c>
      <c r="K400" s="29" t="inlineStr">
        <is>
          <t>기타금융자산</t>
        </is>
      </c>
      <c r="L400" s="29" t="inlineStr">
        <is>
          <t>-</t>
        </is>
      </c>
      <c r="M400" s="29" t="inlineStr">
        <is>
          <t>제 30 기</t>
        </is>
      </c>
      <c r="N400" s="29" t="inlineStr">
        <is>
          <t>23396047704.0</t>
        </is>
      </c>
      <c r="O400" s="29" t="inlineStr">
        <is>
          <t>22988728704.0</t>
        </is>
      </c>
      <c r="P400" s="29" t="inlineStr">
        <is>
          <t>KRW</t>
        </is>
      </c>
      <c r="Q400" s="29" t="inlineStr">
        <is>
          <t>19</t>
        </is>
      </c>
    </row>
    <row r="401" ht="24" customHeight="1">
      <c r="A401" s="24" t="inlineStr">
        <is>
          <t>OpenDART_fnlttSinglAcntAll</t>
        </is>
      </c>
      <c r="B401" s="24" t="inlineStr">
        <is>
          <t>00369657</t>
        </is>
      </c>
      <c r="C401" s="24" t="inlineStr">
        <is>
          <t>리노공업</t>
        </is>
      </c>
      <c r="D401" s="24" t="inlineStr">
        <is>
          <t>leeno</t>
        </is>
      </c>
      <c r="E401" s="24" t="inlineStr">
        <is>
          <t>058470</t>
        </is>
      </c>
      <c r="F401" s="24" t="inlineStr">
        <is>
          <t>2025</t>
        </is>
      </c>
      <c r="G401" s="24" t="inlineStr">
        <is>
          <t>OFS</t>
        </is>
      </c>
      <c r="H401" s="24" t="inlineStr">
        <is>
          <t>BS</t>
        </is>
      </c>
      <c r="I401" s="24" t="inlineStr">
        <is>
          <t>재무상태표</t>
        </is>
      </c>
      <c r="J401" s="24" t="inlineStr">
        <is>
          <t>ifrs-full_OtherNoncurrentReceivables</t>
        </is>
      </c>
      <c r="K401" s="24" t="inlineStr">
        <is>
          <t>기타채권</t>
        </is>
      </c>
      <c r="L401" s="24" t="inlineStr">
        <is>
          <t>-</t>
        </is>
      </c>
      <c r="M401" s="24" t="inlineStr">
        <is>
          <t>제 30 기</t>
        </is>
      </c>
      <c r="N401" s="24" t="inlineStr">
        <is>
          <t>71640326.0</t>
        </is>
      </c>
      <c r="O401" s="24" t="inlineStr">
        <is>
          <t>65625830.0</t>
        </is>
      </c>
      <c r="P401" s="24" t="inlineStr">
        <is>
          <t>KRW</t>
        </is>
      </c>
      <c r="Q401" s="24" t="inlineStr">
        <is>
          <t>20</t>
        </is>
      </c>
    </row>
    <row r="402" ht="24" customHeight="1">
      <c r="A402" s="29" t="inlineStr">
        <is>
          <t>OpenDART_fnlttSinglAcntAll</t>
        </is>
      </c>
      <c r="B402" s="29" t="inlineStr">
        <is>
          <t>00369657</t>
        </is>
      </c>
      <c r="C402" s="29" t="inlineStr">
        <is>
          <t>리노공업</t>
        </is>
      </c>
      <c r="D402" s="29" t="inlineStr">
        <is>
          <t>leeno</t>
        </is>
      </c>
      <c r="E402" s="29" t="inlineStr">
        <is>
          <t>058470</t>
        </is>
      </c>
      <c r="F402" s="29" t="inlineStr">
        <is>
          <t>2025</t>
        </is>
      </c>
      <c r="G402" s="29" t="inlineStr">
        <is>
          <t>OFS</t>
        </is>
      </c>
      <c r="H402" s="29" t="inlineStr">
        <is>
          <t>BS</t>
        </is>
      </c>
      <c r="I402" s="29" t="inlineStr">
        <is>
          <t>재무상태표</t>
        </is>
      </c>
      <c r="J402" s="29" t="inlineStr">
        <is>
          <t>ifrs-full_PropertyPlantAndEquipment</t>
        </is>
      </c>
      <c r="K402" s="29" t="inlineStr">
        <is>
          <t>유형자산</t>
        </is>
      </c>
      <c r="L402" s="29" t="inlineStr">
        <is>
          <t>-</t>
        </is>
      </c>
      <c r="M402" s="29" t="inlineStr">
        <is>
          <t>제 30 기</t>
        </is>
      </c>
      <c r="N402" s="29" t="inlineStr">
        <is>
          <t>228009789079.0</t>
        </is>
      </c>
      <c r="O402" s="29" t="inlineStr">
        <is>
          <t>181362679776.0</t>
        </is>
      </c>
      <c r="P402" s="29" t="inlineStr">
        <is>
          <t>KRW</t>
        </is>
      </c>
      <c r="Q402" s="29" t="inlineStr">
        <is>
          <t>21</t>
        </is>
      </c>
    </row>
    <row r="403" ht="24" customHeight="1">
      <c r="A403" s="24" t="inlineStr">
        <is>
          <t>OpenDART_fnlttSinglAcntAll</t>
        </is>
      </c>
      <c r="B403" s="24" t="inlineStr">
        <is>
          <t>00369657</t>
        </is>
      </c>
      <c r="C403" s="24" t="inlineStr">
        <is>
          <t>리노공업</t>
        </is>
      </c>
      <c r="D403" s="24" t="inlineStr">
        <is>
          <t>leeno</t>
        </is>
      </c>
      <c r="E403" s="24" t="inlineStr">
        <is>
          <t>058470</t>
        </is>
      </c>
      <c r="F403" s="24" t="inlineStr">
        <is>
          <t>2025</t>
        </is>
      </c>
      <c r="G403" s="24" t="inlineStr">
        <is>
          <t>OFS</t>
        </is>
      </c>
      <c r="H403" s="24" t="inlineStr">
        <is>
          <t>BS</t>
        </is>
      </c>
      <c r="I403" s="24" t="inlineStr">
        <is>
          <t>재무상태표</t>
        </is>
      </c>
      <c r="J403" s="24" t="inlineStr">
        <is>
          <t>dart_CapitalSurplus</t>
        </is>
      </c>
      <c r="K403" s="24" t="inlineStr">
        <is>
          <t>자본잉여금</t>
        </is>
      </c>
      <c r="L403" s="24" t="inlineStr">
        <is>
          <t>-</t>
        </is>
      </c>
      <c r="M403" s="24" t="inlineStr">
        <is>
          <t>제 30 기</t>
        </is>
      </c>
      <c r="N403" s="24" t="inlineStr">
        <is>
          <t>5601810444.0</t>
        </is>
      </c>
      <c r="O403" s="24" t="inlineStr">
        <is>
          <t>5601810444.0</t>
        </is>
      </c>
      <c r="P403" s="24" t="inlineStr">
        <is>
          <t>KRW</t>
        </is>
      </c>
      <c r="Q403" s="24" t="inlineStr">
        <is>
          <t>23</t>
        </is>
      </c>
    </row>
    <row r="404" ht="24" customHeight="1">
      <c r="A404" s="29" t="inlineStr">
        <is>
          <t>OpenDART_fnlttSinglAcntAll</t>
        </is>
      </c>
      <c r="B404" s="29" t="inlineStr">
        <is>
          <t>00369657</t>
        </is>
      </c>
      <c r="C404" s="29" t="inlineStr">
        <is>
          <t>리노공업</t>
        </is>
      </c>
      <c r="D404" s="29" t="inlineStr">
        <is>
          <t>leeno</t>
        </is>
      </c>
      <c r="E404" s="29" t="inlineStr">
        <is>
          <t>058470</t>
        </is>
      </c>
      <c r="F404" s="29" t="inlineStr">
        <is>
          <t>2025</t>
        </is>
      </c>
      <c r="G404" s="29" t="inlineStr">
        <is>
          <t>OFS</t>
        </is>
      </c>
      <c r="H404" s="29" t="inlineStr">
        <is>
          <t>BS</t>
        </is>
      </c>
      <c r="I404" s="29" t="inlineStr">
        <is>
          <t>재무상태표</t>
        </is>
      </c>
      <c r="J404" s="29" t="inlineStr">
        <is>
          <t>dart_OtherCapitalAdjustments</t>
        </is>
      </c>
      <c r="K404" s="29" t="inlineStr">
        <is>
          <t>자본조정</t>
        </is>
      </c>
      <c r="L404" s="29" t="inlineStr">
        <is>
          <t>-</t>
        </is>
      </c>
      <c r="M404" s="29" t="inlineStr">
        <is>
          <t>제 30 기</t>
        </is>
      </c>
      <c r="N404" s="29" t="inlineStr">
        <is>
          <t>-2353516350.0</t>
        </is>
      </c>
      <c r="O404" s="29" t="inlineStr">
        <is>
          <t>-2353516350.0</t>
        </is>
      </c>
      <c r="P404" s="29" t="inlineStr">
        <is>
          <t>KRW</t>
        </is>
      </c>
      <c r="Q404" s="29" t="inlineStr">
        <is>
          <t>24</t>
        </is>
      </c>
    </row>
    <row r="405" ht="24" customHeight="1">
      <c r="A405" s="24" t="inlineStr">
        <is>
          <t>OpenDART_fnlttSinglAcntAll</t>
        </is>
      </c>
      <c r="B405" s="24" t="inlineStr">
        <is>
          <t>00369657</t>
        </is>
      </c>
      <c r="C405" s="24" t="inlineStr">
        <is>
          <t>리노공업</t>
        </is>
      </c>
      <c r="D405" s="24" t="inlineStr">
        <is>
          <t>leeno</t>
        </is>
      </c>
      <c r="E405" s="24" t="inlineStr">
        <is>
          <t>058470</t>
        </is>
      </c>
      <c r="F405" s="24" t="inlineStr">
        <is>
          <t>2025</t>
        </is>
      </c>
      <c r="G405" s="24" t="inlineStr">
        <is>
          <t>OFS</t>
        </is>
      </c>
      <c r="H405" s="24" t="inlineStr">
        <is>
          <t>BS</t>
        </is>
      </c>
      <c r="I405" s="24" t="inlineStr">
        <is>
          <t>재무상태표</t>
        </is>
      </c>
      <c r="J405" s="24" t="inlineStr">
        <is>
          <t>ifrs-full_Equity</t>
        </is>
      </c>
      <c r="K405" s="24" t="inlineStr">
        <is>
          <t>자본총계</t>
        </is>
      </c>
      <c r="L405" s="24" t="inlineStr">
        <is>
          <t>-</t>
        </is>
      </c>
      <c r="M405" s="24" t="inlineStr">
        <is>
          <t>제 30 기</t>
        </is>
      </c>
      <c r="N405" s="24" t="inlineStr">
        <is>
          <t>731218952370.0</t>
        </is>
      </c>
      <c r="O405" s="24" t="inlineStr">
        <is>
          <t>622629112163.0</t>
        </is>
      </c>
      <c r="P405" s="24" t="inlineStr">
        <is>
          <t>KRW</t>
        </is>
      </c>
      <c r="Q405" s="24" t="inlineStr">
        <is>
          <t>25</t>
        </is>
      </c>
    </row>
    <row r="406" ht="24" customHeight="1">
      <c r="A406" s="29" t="inlineStr">
        <is>
          <t>OpenDART_fnlttSinglAcntAll</t>
        </is>
      </c>
      <c r="B406" s="29" t="inlineStr">
        <is>
          <t>00369657</t>
        </is>
      </c>
      <c r="C406" s="29" t="inlineStr">
        <is>
          <t>리노공업</t>
        </is>
      </c>
      <c r="D406" s="29" t="inlineStr">
        <is>
          <t>leeno</t>
        </is>
      </c>
      <c r="E406" s="29" t="inlineStr">
        <is>
          <t>058470</t>
        </is>
      </c>
      <c r="F406" s="29" t="inlineStr">
        <is>
          <t>2025</t>
        </is>
      </c>
      <c r="G406" s="29" t="inlineStr">
        <is>
          <t>OFS</t>
        </is>
      </c>
      <c r="H406" s="29" t="inlineStr">
        <is>
          <t>BS</t>
        </is>
      </c>
      <c r="I406" s="29" t="inlineStr">
        <is>
          <t>재무상태표</t>
        </is>
      </c>
      <c r="J406" s="29" t="inlineStr">
        <is>
          <t>ifrs-full_IssuedCapital</t>
        </is>
      </c>
      <c r="K406" s="29" t="inlineStr">
        <is>
          <t>자본금</t>
        </is>
      </c>
      <c r="L406" s="29" t="inlineStr">
        <is>
          <t>-</t>
        </is>
      </c>
      <c r="M406" s="29" t="inlineStr">
        <is>
          <t>제 30 기</t>
        </is>
      </c>
      <c r="N406" s="29" t="inlineStr">
        <is>
          <t>7621185000.0</t>
        </is>
      </c>
      <c r="O406" s="29" t="inlineStr">
        <is>
          <t>7621185000.0</t>
        </is>
      </c>
      <c r="P406" s="29" t="inlineStr">
        <is>
          <t>KRW</t>
        </is>
      </c>
      <c r="Q406" s="29" t="inlineStr">
        <is>
          <t>26</t>
        </is>
      </c>
    </row>
    <row r="407" ht="24" customHeight="1">
      <c r="A407" s="24" t="inlineStr">
        <is>
          <t>OpenDART_fnlttSinglAcntAll</t>
        </is>
      </c>
      <c r="B407" s="24" t="inlineStr">
        <is>
          <t>00369657</t>
        </is>
      </c>
      <c r="C407" s="24" t="inlineStr">
        <is>
          <t>리노공업</t>
        </is>
      </c>
      <c r="D407" s="24" t="inlineStr">
        <is>
          <t>leeno</t>
        </is>
      </c>
      <c r="E407" s="24" t="inlineStr">
        <is>
          <t>058470</t>
        </is>
      </c>
      <c r="F407" s="24" t="inlineStr">
        <is>
          <t>2025</t>
        </is>
      </c>
      <c r="G407" s="24" t="inlineStr">
        <is>
          <t>OFS</t>
        </is>
      </c>
      <c r="H407" s="24" t="inlineStr">
        <is>
          <t>BS</t>
        </is>
      </c>
      <c r="I407" s="24" t="inlineStr">
        <is>
          <t>재무상태표</t>
        </is>
      </c>
      <c r="J407" s="24" t="inlineStr">
        <is>
          <t>ifrs-full_RetainedEarnings</t>
        </is>
      </c>
      <c r="K407" s="24" t="inlineStr">
        <is>
          <t>이익잉여금</t>
        </is>
      </c>
      <c r="L407" s="24" t="inlineStr">
        <is>
          <t>-</t>
        </is>
      </c>
      <c r="M407" s="24" t="inlineStr">
        <is>
          <t>제 30 기</t>
        </is>
      </c>
      <c r="N407" s="24" t="inlineStr">
        <is>
          <t>720349473276.0</t>
        </is>
      </c>
      <c r="O407" s="24" t="inlineStr">
        <is>
          <t>611759633069.0</t>
        </is>
      </c>
      <c r="P407" s="24" t="inlineStr">
        <is>
          <t>KRW</t>
        </is>
      </c>
      <c r="Q407" s="24" t="inlineStr">
        <is>
          <t>27</t>
        </is>
      </c>
    </row>
    <row r="408" ht="24" customHeight="1">
      <c r="A408" s="29" t="inlineStr">
        <is>
          <t>OpenDART_fnlttSinglAcntAll</t>
        </is>
      </c>
      <c r="B408" s="29" t="inlineStr">
        <is>
          <t>00369657</t>
        </is>
      </c>
      <c r="C408" s="29" t="inlineStr">
        <is>
          <t>리노공업</t>
        </is>
      </c>
      <c r="D408" s="29" t="inlineStr">
        <is>
          <t>leeno</t>
        </is>
      </c>
      <c r="E408" s="29" t="inlineStr">
        <is>
          <t>058470</t>
        </is>
      </c>
      <c r="F408" s="29" t="inlineStr">
        <is>
          <t>2025</t>
        </is>
      </c>
      <c r="G408" s="29" t="inlineStr">
        <is>
          <t>OFS</t>
        </is>
      </c>
      <c r="H408" s="29" t="inlineStr">
        <is>
          <t>BS</t>
        </is>
      </c>
      <c r="I408" s="29" t="inlineStr">
        <is>
          <t>재무상태표</t>
        </is>
      </c>
      <c r="J408" s="29" t="inlineStr">
        <is>
          <t>ifrs-full_EquityAndLiabilities</t>
        </is>
      </c>
      <c r="K408" s="29" t="inlineStr">
        <is>
          <t>부채와자본총계</t>
        </is>
      </c>
      <c r="L408" s="29" t="inlineStr">
        <is>
          <t>-</t>
        </is>
      </c>
      <c r="M408" s="29" t="inlineStr">
        <is>
          <t>제 30 기</t>
        </is>
      </c>
      <c r="N408" s="29" t="inlineStr">
        <is>
          <t>791928165325.0</t>
        </is>
      </c>
      <c r="O408" s="29" t="inlineStr">
        <is>
          <t>657443780756.0</t>
        </is>
      </c>
      <c r="P408" s="29" t="inlineStr">
        <is>
          <t>KRW</t>
        </is>
      </c>
      <c r="Q408" s="29" t="inlineStr">
        <is>
          <t>28</t>
        </is>
      </c>
    </row>
    <row r="409" ht="24" customHeight="1">
      <c r="A409" s="24" t="inlineStr">
        <is>
          <t>OpenDART_fnlttSinglAcntAll</t>
        </is>
      </c>
      <c r="B409" s="24" t="inlineStr">
        <is>
          <t>00369657</t>
        </is>
      </c>
      <c r="C409" s="24" t="inlineStr">
        <is>
          <t>리노공업</t>
        </is>
      </c>
      <c r="D409" s="24" t="inlineStr">
        <is>
          <t>leeno</t>
        </is>
      </c>
      <c r="E409" s="24" t="inlineStr">
        <is>
          <t>058470</t>
        </is>
      </c>
      <c r="F409" s="24" t="inlineStr">
        <is>
          <t>2025</t>
        </is>
      </c>
      <c r="G409" s="24" t="inlineStr">
        <is>
          <t>OFS</t>
        </is>
      </c>
      <c r="H409" s="24" t="inlineStr">
        <is>
          <t>BS</t>
        </is>
      </c>
      <c r="I409" s="24" t="inlineStr">
        <is>
          <t>재무상태표</t>
        </is>
      </c>
      <c r="J409" s="24" t="inlineStr">
        <is>
          <t>ifrs-full_CurrentLiabilities</t>
        </is>
      </c>
      <c r="K409" s="24" t="inlineStr">
        <is>
          <t>유동부채</t>
        </is>
      </c>
      <c r="L409" s="24" t="inlineStr">
        <is>
          <t>-</t>
        </is>
      </c>
      <c r="M409" s="24" t="inlineStr">
        <is>
          <t>제 30 기</t>
        </is>
      </c>
      <c r="N409" s="24" t="inlineStr">
        <is>
          <t>54792158052.0</t>
        </is>
      </c>
      <c r="O409" s="24" t="inlineStr">
        <is>
          <t>30614692642.0</t>
        </is>
      </c>
      <c r="P409" s="24" t="inlineStr">
        <is>
          <t>KRW</t>
        </is>
      </c>
      <c r="Q409" s="24" t="inlineStr">
        <is>
          <t>30</t>
        </is>
      </c>
    </row>
    <row r="410" ht="24" customHeight="1">
      <c r="A410" s="29" t="inlineStr">
        <is>
          <t>OpenDART_fnlttSinglAcntAll</t>
        </is>
      </c>
      <c r="B410" s="29" t="inlineStr">
        <is>
          <t>00369657</t>
        </is>
      </c>
      <c r="C410" s="29" t="inlineStr">
        <is>
          <t>리노공업</t>
        </is>
      </c>
      <c r="D410" s="29" t="inlineStr">
        <is>
          <t>leeno</t>
        </is>
      </c>
      <c r="E410" s="29" t="inlineStr">
        <is>
          <t>058470</t>
        </is>
      </c>
      <c r="F410" s="29" t="inlineStr">
        <is>
          <t>2025</t>
        </is>
      </c>
      <c r="G410" s="29" t="inlineStr">
        <is>
          <t>OFS</t>
        </is>
      </c>
      <c r="H410" s="29" t="inlineStr">
        <is>
          <t>BS</t>
        </is>
      </c>
      <c r="I410" s="29" t="inlineStr">
        <is>
          <t>재무상태표</t>
        </is>
      </c>
      <c r="J410" s="29" t="inlineStr">
        <is>
          <t>ifrs-full_CurrentLeaseLiabilities</t>
        </is>
      </c>
      <c r="K410" s="29" t="inlineStr">
        <is>
          <t>리스부채</t>
        </is>
      </c>
      <c r="L410" s="29" t="inlineStr">
        <is>
          <t>-</t>
        </is>
      </c>
      <c r="M410" s="29" t="inlineStr">
        <is>
          <t>제 30 기</t>
        </is>
      </c>
      <c r="N410" s="29" t="inlineStr">
        <is>
          <t>66744453.0</t>
        </is>
      </c>
      <c r="O410" s="29" t="inlineStr">
        <is>
          <t>81125048.0</t>
        </is>
      </c>
      <c r="P410" s="29" t="inlineStr">
        <is>
          <t>KRW</t>
        </is>
      </c>
      <c r="Q410" s="29" t="inlineStr">
        <is>
          <t>31</t>
        </is>
      </c>
    </row>
    <row r="411" ht="24" customHeight="1">
      <c r="A411" s="24" t="inlineStr">
        <is>
          <t>OpenDART_fnlttSinglAcntAll</t>
        </is>
      </c>
      <c r="B411" s="24" t="inlineStr">
        <is>
          <t>00369657</t>
        </is>
      </c>
      <c r="C411" s="24" t="inlineStr">
        <is>
          <t>리노공업</t>
        </is>
      </c>
      <c r="D411" s="24" t="inlineStr">
        <is>
          <t>leeno</t>
        </is>
      </c>
      <c r="E411" s="24" t="inlineStr">
        <is>
          <t>058470</t>
        </is>
      </c>
      <c r="F411" s="24" t="inlineStr">
        <is>
          <t>2025</t>
        </is>
      </c>
      <c r="G411" s="24" t="inlineStr">
        <is>
          <t>OFS</t>
        </is>
      </c>
      <c r="H411" s="24" t="inlineStr">
        <is>
          <t>BS</t>
        </is>
      </c>
      <c r="I411" s="24" t="inlineStr">
        <is>
          <t>재무상태표</t>
        </is>
      </c>
      <c r="J411" s="24" t="inlineStr">
        <is>
          <t>ifrs-full_CurrentTaxLiabilities</t>
        </is>
      </c>
      <c r="K411" s="24" t="inlineStr">
        <is>
          <t>당기법인세부채</t>
        </is>
      </c>
      <c r="L411" s="24" t="inlineStr">
        <is>
          <t>-</t>
        </is>
      </c>
      <c r="M411" s="24" t="inlineStr">
        <is>
          <t>제 30 기</t>
        </is>
      </c>
      <c r="N411" s="24" t="inlineStr">
        <is>
          <t>29397346037.0</t>
        </is>
      </c>
      <c r="O411" s="24" t="inlineStr">
        <is>
          <t>18322324767.0</t>
        </is>
      </c>
      <c r="P411" s="24" t="inlineStr">
        <is>
          <t>KRW</t>
        </is>
      </c>
      <c r="Q411" s="24" t="inlineStr">
        <is>
          <t>32</t>
        </is>
      </c>
    </row>
    <row r="412" ht="24" customHeight="1">
      <c r="A412" s="29" t="inlineStr">
        <is>
          <t>OpenDART_fnlttSinglAcntAll</t>
        </is>
      </c>
      <c r="B412" s="29" t="inlineStr">
        <is>
          <t>00369657</t>
        </is>
      </c>
      <c r="C412" s="29" t="inlineStr">
        <is>
          <t>리노공업</t>
        </is>
      </c>
      <c r="D412" s="29" t="inlineStr">
        <is>
          <t>leeno</t>
        </is>
      </c>
      <c r="E412" s="29" t="inlineStr">
        <is>
          <t>058470</t>
        </is>
      </c>
      <c r="F412" s="29" t="inlineStr">
        <is>
          <t>2025</t>
        </is>
      </c>
      <c r="G412" s="29" t="inlineStr">
        <is>
          <t>OFS</t>
        </is>
      </c>
      <c r="H412" s="29" t="inlineStr">
        <is>
          <t>BS</t>
        </is>
      </c>
      <c r="I412" s="29" t="inlineStr">
        <is>
          <t>재무상태표</t>
        </is>
      </c>
      <c r="J412" s="29" t="inlineStr">
        <is>
          <t>ifrs-full_OtherCurrentLiabilities</t>
        </is>
      </c>
      <c r="K412" s="29" t="inlineStr">
        <is>
          <t>기타부채</t>
        </is>
      </c>
      <c r="L412" s="29" t="inlineStr">
        <is>
          <t>-</t>
        </is>
      </c>
      <c r="M412" s="29" t="inlineStr">
        <is>
          <t>제 30 기</t>
        </is>
      </c>
      <c r="N412" s="29" t="inlineStr">
        <is>
          <t>12261534167.0</t>
        </is>
      </c>
      <c r="O412" s="29" t="inlineStr">
        <is>
          <t>770708930.0</t>
        </is>
      </c>
      <c r="P412" s="29" t="inlineStr">
        <is>
          <t>KRW</t>
        </is>
      </c>
      <c r="Q412" s="29" t="inlineStr">
        <is>
          <t>33</t>
        </is>
      </c>
    </row>
    <row r="413" ht="24" customHeight="1">
      <c r="A413" s="24" t="inlineStr">
        <is>
          <t>OpenDART_fnlttSinglAcntAll</t>
        </is>
      </c>
      <c r="B413" s="24" t="inlineStr">
        <is>
          <t>00369657</t>
        </is>
      </c>
      <c r="C413" s="24" t="inlineStr">
        <is>
          <t>리노공업</t>
        </is>
      </c>
      <c r="D413" s="24" t="inlineStr">
        <is>
          <t>leeno</t>
        </is>
      </c>
      <c r="E413" s="24" t="inlineStr">
        <is>
          <t>058470</t>
        </is>
      </c>
      <c r="F413" s="24" t="inlineStr">
        <is>
          <t>2025</t>
        </is>
      </c>
      <c r="G413" s="24" t="inlineStr">
        <is>
          <t>OFS</t>
        </is>
      </c>
      <c r="H413" s="24" t="inlineStr">
        <is>
          <t>BS</t>
        </is>
      </c>
      <c r="I413" s="24" t="inlineStr">
        <is>
          <t>재무상태표</t>
        </is>
      </c>
      <c r="J413" s="24" t="inlineStr">
        <is>
          <t>ifrs-full_OtherCurrentPayables</t>
        </is>
      </c>
      <c r="K413" s="24" t="inlineStr">
        <is>
          <t>기타채무</t>
        </is>
      </c>
      <c r="L413" s="24" t="inlineStr">
        <is>
          <t>-</t>
        </is>
      </c>
      <c r="M413" s="24" t="inlineStr">
        <is>
          <t>제 30 기</t>
        </is>
      </c>
      <c r="N413" s="24" t="inlineStr">
        <is>
          <t>7401724723.0</t>
        </is>
      </c>
      <c r="O413" s="24" t="inlineStr">
        <is>
          <t>6798405442.0</t>
        </is>
      </c>
      <c r="P413" s="24" t="inlineStr">
        <is>
          <t>KRW</t>
        </is>
      </c>
      <c r="Q413" s="24" t="inlineStr">
        <is>
          <t>34</t>
        </is>
      </c>
    </row>
    <row r="414" ht="24" customHeight="1">
      <c r="A414" s="29" t="inlineStr">
        <is>
          <t>OpenDART_fnlttSinglAcntAll</t>
        </is>
      </c>
      <c r="B414" s="29" t="inlineStr">
        <is>
          <t>00369657</t>
        </is>
      </c>
      <c r="C414" s="29" t="inlineStr">
        <is>
          <t>리노공업</t>
        </is>
      </c>
      <c r="D414" s="29" t="inlineStr">
        <is>
          <t>leeno</t>
        </is>
      </c>
      <c r="E414" s="29" t="inlineStr">
        <is>
          <t>058470</t>
        </is>
      </c>
      <c r="F414" s="29" t="inlineStr">
        <is>
          <t>2025</t>
        </is>
      </c>
      <c r="G414" s="29" t="inlineStr">
        <is>
          <t>OFS</t>
        </is>
      </c>
      <c r="H414" s="29" t="inlineStr">
        <is>
          <t>BS</t>
        </is>
      </c>
      <c r="I414" s="29" t="inlineStr">
        <is>
          <t>재무상태표</t>
        </is>
      </c>
      <c r="J414" s="29" t="inlineStr">
        <is>
          <t>ifrs-full_TradeAndOtherCurrentPayablesToTradeSuppliers</t>
        </is>
      </c>
      <c r="K414" s="29" t="inlineStr">
        <is>
          <t>매입채무</t>
        </is>
      </c>
      <c r="L414" s="29" t="inlineStr">
        <is>
          <t>-</t>
        </is>
      </c>
      <c r="M414" s="29" t="inlineStr">
        <is>
          <t>제 30 기</t>
        </is>
      </c>
      <c r="N414" s="29" t="inlineStr">
        <is>
          <t>5664808672.0</t>
        </is>
      </c>
      <c r="O414" s="29" t="inlineStr">
        <is>
          <t>4642128455.0</t>
        </is>
      </c>
      <c r="P414" s="29" t="inlineStr">
        <is>
          <t>KRW</t>
        </is>
      </c>
      <c r="Q414" s="29" t="inlineStr">
        <is>
          <t>35</t>
        </is>
      </c>
    </row>
    <row r="415" ht="24" customHeight="1">
      <c r="A415" s="24" t="inlineStr">
        <is>
          <t>OpenDART_fnlttSinglAcntAll</t>
        </is>
      </c>
      <c r="B415" s="24" t="inlineStr">
        <is>
          <t>00369657</t>
        </is>
      </c>
      <c r="C415" s="24" t="inlineStr">
        <is>
          <t>리노공업</t>
        </is>
      </c>
      <c r="D415" s="24" t="inlineStr">
        <is>
          <t>leeno</t>
        </is>
      </c>
      <c r="E415" s="24" t="inlineStr">
        <is>
          <t>058470</t>
        </is>
      </c>
      <c r="F415" s="24" t="inlineStr">
        <is>
          <t>2025</t>
        </is>
      </c>
      <c r="G415" s="24" t="inlineStr">
        <is>
          <t>OFS</t>
        </is>
      </c>
      <c r="H415" s="24" t="inlineStr">
        <is>
          <t>BS</t>
        </is>
      </c>
      <c r="I415" s="24" t="inlineStr">
        <is>
          <t>재무상태표</t>
        </is>
      </c>
      <c r="J415" s="24" t="inlineStr">
        <is>
          <t>ifrs-full_Liabilities</t>
        </is>
      </c>
      <c r="K415" s="24" t="inlineStr">
        <is>
          <t>부채총계</t>
        </is>
      </c>
      <c r="L415" s="24" t="inlineStr">
        <is>
          <t>-</t>
        </is>
      </c>
      <c r="M415" s="24" t="inlineStr">
        <is>
          <t>제 30 기</t>
        </is>
      </c>
      <c r="N415" s="24" t="inlineStr">
        <is>
          <t>60709212955.0</t>
        </is>
      </c>
      <c r="O415" s="24" t="inlineStr">
        <is>
          <t>34814668593.0</t>
        </is>
      </c>
      <c r="P415" s="24" t="inlineStr">
        <is>
          <t>KRW</t>
        </is>
      </c>
      <c r="Q415" s="24" t="inlineStr">
        <is>
          <t>36</t>
        </is>
      </c>
    </row>
    <row r="416" ht="24" customHeight="1">
      <c r="A416" s="29" t="inlineStr">
        <is>
          <t>OpenDART_fnlttSinglAcntAll</t>
        </is>
      </c>
      <c r="B416" s="29" t="inlineStr">
        <is>
          <t>00369657</t>
        </is>
      </c>
      <c r="C416" s="29" t="inlineStr">
        <is>
          <t>리노공업</t>
        </is>
      </c>
      <c r="D416" s="29" t="inlineStr">
        <is>
          <t>leeno</t>
        </is>
      </c>
      <c r="E416" s="29" t="inlineStr">
        <is>
          <t>058470</t>
        </is>
      </c>
      <c r="F416" s="29" t="inlineStr">
        <is>
          <t>2025</t>
        </is>
      </c>
      <c r="G416" s="29" t="inlineStr">
        <is>
          <t>OFS</t>
        </is>
      </c>
      <c r="H416" s="29" t="inlineStr">
        <is>
          <t>BS</t>
        </is>
      </c>
      <c r="I416" s="29" t="inlineStr">
        <is>
          <t>재무상태표</t>
        </is>
      </c>
      <c r="J416" s="29" t="inlineStr">
        <is>
          <t>ifrs-full_NoncurrentLiabilities</t>
        </is>
      </c>
      <c r="K416" s="29" t="inlineStr">
        <is>
          <t>비유동부채</t>
        </is>
      </c>
      <c r="L416" s="29" t="inlineStr">
        <is>
          <t>-</t>
        </is>
      </c>
      <c r="M416" s="29" t="inlineStr">
        <is>
          <t>제 30 기</t>
        </is>
      </c>
      <c r="N416" s="29" t="inlineStr">
        <is>
          <t>5917054903.0</t>
        </is>
      </c>
      <c r="O416" s="29" t="inlineStr">
        <is>
          <t>4199975951.0</t>
        </is>
      </c>
      <c r="P416" s="29" t="inlineStr">
        <is>
          <t>KRW</t>
        </is>
      </c>
      <c r="Q416" s="29" t="inlineStr">
        <is>
          <t>37</t>
        </is>
      </c>
    </row>
    <row r="417" ht="24" customHeight="1">
      <c r="A417" s="24" t="inlineStr">
        <is>
          <t>OpenDART_fnlttSinglAcntAll</t>
        </is>
      </c>
      <c r="B417" s="24" t="inlineStr">
        <is>
          <t>00369657</t>
        </is>
      </c>
      <c r="C417" s="24" t="inlineStr">
        <is>
          <t>리노공업</t>
        </is>
      </c>
      <c r="D417" s="24" t="inlineStr">
        <is>
          <t>leeno</t>
        </is>
      </c>
      <c r="E417" s="24" t="inlineStr">
        <is>
          <t>058470</t>
        </is>
      </c>
      <c r="F417" s="24" t="inlineStr">
        <is>
          <t>2025</t>
        </is>
      </c>
      <c r="G417" s="24" t="inlineStr">
        <is>
          <t>OFS</t>
        </is>
      </c>
      <c r="H417" s="24" t="inlineStr">
        <is>
          <t>BS</t>
        </is>
      </c>
      <c r="I417" s="24" t="inlineStr">
        <is>
          <t>재무상태표</t>
        </is>
      </c>
      <c r="J417" s="24" t="inlineStr">
        <is>
          <t>ifrs-full_NoncurrentLeaseLiabilities</t>
        </is>
      </c>
      <c r="K417" s="24" t="inlineStr">
        <is>
          <t>리스부채</t>
        </is>
      </c>
      <c r="L417" s="24" t="inlineStr">
        <is>
          <t>-</t>
        </is>
      </c>
      <c r="M417" s="24" t="inlineStr">
        <is>
          <t>제 30 기</t>
        </is>
      </c>
      <c r="N417" s="24" t="inlineStr">
        <is>
          <t>46631569.0</t>
        </is>
      </c>
      <c r="O417" s="24" t="inlineStr">
        <is>
          <t>100646226.0</t>
        </is>
      </c>
      <c r="P417" s="24" t="inlineStr">
        <is>
          <t>KRW</t>
        </is>
      </c>
      <c r="Q417" s="24" t="inlineStr">
        <is>
          <t>38</t>
        </is>
      </c>
    </row>
    <row r="418" ht="24" customHeight="1">
      <c r="A418" s="29" t="inlineStr">
        <is>
          <t>OpenDART_fnlttSinglAcntAll</t>
        </is>
      </c>
      <c r="B418" s="29" t="inlineStr">
        <is>
          <t>00369657</t>
        </is>
      </c>
      <c r="C418" s="29" t="inlineStr">
        <is>
          <t>리노공업</t>
        </is>
      </c>
      <c r="D418" s="29" t="inlineStr">
        <is>
          <t>leeno</t>
        </is>
      </c>
      <c r="E418" s="29" t="inlineStr">
        <is>
          <t>058470</t>
        </is>
      </c>
      <c r="F418" s="29" t="inlineStr">
        <is>
          <t>2025</t>
        </is>
      </c>
      <c r="G418" s="29" t="inlineStr">
        <is>
          <t>OFS</t>
        </is>
      </c>
      <c r="H418" s="29" t="inlineStr">
        <is>
          <t>BS</t>
        </is>
      </c>
      <c r="I418" s="29" t="inlineStr">
        <is>
          <t>재무상태표</t>
        </is>
      </c>
      <c r="J418" s="29" t="inlineStr">
        <is>
          <t>ifrs-full_NoncurrentProvisionsForEmployeeBenefits</t>
        </is>
      </c>
      <c r="K418" s="29" t="inlineStr">
        <is>
          <t>기타장기종업원급여부채</t>
        </is>
      </c>
      <c r="L418" s="29" t="inlineStr">
        <is>
          <t>-</t>
        </is>
      </c>
      <c r="M418" s="29" t="inlineStr">
        <is>
          <t>제 30 기</t>
        </is>
      </c>
      <c r="N418" s="29" t="inlineStr">
        <is>
          <t>5870423334.0</t>
        </is>
      </c>
      <c r="O418" s="29" t="inlineStr">
        <is>
          <t>3910514525.0</t>
        </is>
      </c>
      <c r="P418" s="29" t="inlineStr">
        <is>
          <t>KRW</t>
        </is>
      </c>
      <c r="Q418" s="29" t="inlineStr">
        <is>
          <t>39</t>
        </is>
      </c>
    </row>
    <row r="419" ht="24" customHeight="1">
      <c r="A419" s="24" t="inlineStr">
        <is>
          <t>OpenDART_fnlttSinglAcntAll</t>
        </is>
      </c>
      <c r="B419" s="24" t="inlineStr">
        <is>
          <t>00369657</t>
        </is>
      </c>
      <c r="C419" s="24" t="inlineStr">
        <is>
          <t>리노공업</t>
        </is>
      </c>
      <c r="D419" s="24" t="inlineStr">
        <is>
          <t>leeno</t>
        </is>
      </c>
      <c r="E419" s="24" t="inlineStr">
        <is>
          <t>058470</t>
        </is>
      </c>
      <c r="F419" s="24" t="inlineStr">
        <is>
          <t>2025</t>
        </is>
      </c>
      <c r="G419" s="24" t="inlineStr">
        <is>
          <t>OFS</t>
        </is>
      </c>
      <c r="H419" s="24" t="inlineStr">
        <is>
          <t>BS</t>
        </is>
      </c>
      <c r="I419" s="24" t="inlineStr">
        <is>
          <t>재무상태표</t>
        </is>
      </c>
      <c r="J419" s="24" t="inlineStr">
        <is>
          <t>ifrs-full_NoncurrentRecognisedLiabilitiesDefinedBenefitPlan</t>
        </is>
      </c>
      <c r="K419" s="24" t="inlineStr">
        <is>
          <t>순확정급여부채</t>
        </is>
      </c>
      <c r="L419" s="24" t="inlineStr">
        <is>
          <t>-</t>
        </is>
      </c>
      <c r="M419" s="24" t="inlineStr">
        <is>
          <t>제 30 기</t>
        </is>
      </c>
      <c r="N419" s="24" t="inlineStr">
        <is>
          <t>0.0</t>
        </is>
      </c>
      <c r="O419" s="24" t="inlineStr">
        <is>
          <t>188815200.0</t>
        </is>
      </c>
      <c r="P419" s="24" t="inlineStr">
        <is>
          <t>KRW</t>
        </is>
      </c>
      <c r="Q419" s="24" t="inlineStr">
        <is>
          <t>40</t>
        </is>
      </c>
    </row>
    <row r="420" ht="24" customHeight="1">
      <c r="A420" s="29" t="inlineStr">
        <is>
          <t>OpenDART_fnlttSinglAcntAll</t>
        </is>
      </c>
      <c r="B420" s="29" t="inlineStr">
        <is>
          <t>00369657</t>
        </is>
      </c>
      <c r="C420" s="29" t="inlineStr">
        <is>
          <t>리노공업</t>
        </is>
      </c>
      <c r="D420" s="29" t="inlineStr">
        <is>
          <t>leeno</t>
        </is>
      </c>
      <c r="E420" s="29" t="inlineStr">
        <is>
          <t>058470</t>
        </is>
      </c>
      <c r="F420" s="29" t="inlineStr">
        <is>
          <t>2025</t>
        </is>
      </c>
      <c r="G420" s="29" t="inlineStr">
        <is>
          <t>OFS</t>
        </is>
      </c>
      <c r="H420" s="29" t="inlineStr">
        <is>
          <t>CIS</t>
        </is>
      </c>
      <c r="I420" s="29" t="inlineStr">
        <is>
          <t>포괄손익계산서</t>
        </is>
      </c>
      <c r="J420" s="29" t="inlineStr">
        <is>
          <t>dart_NonOperatingProfitLoss</t>
        </is>
      </c>
      <c r="K420" s="29" t="inlineStr">
        <is>
          <t>영업외이익(손실)</t>
        </is>
      </c>
      <c r="L420" s="29" t="inlineStr">
        <is>
          <t>-</t>
        </is>
      </c>
      <c r="M420" s="29" t="inlineStr">
        <is>
          <t>제 30 기</t>
        </is>
      </c>
      <c r="N420" s="29" t="inlineStr">
        <is>
          <t>18859371992.0</t>
        </is>
      </c>
      <c r="O420" s="29" t="inlineStr">
        <is>
          <t>22337738072.0</t>
        </is>
      </c>
      <c r="P420" s="29" t="inlineStr">
        <is>
          <t>KRW</t>
        </is>
      </c>
      <c r="Q420" s="29" t="inlineStr">
        <is>
          <t>6</t>
        </is>
      </c>
    </row>
    <row r="421" ht="24" customHeight="1">
      <c r="A421" s="24" t="inlineStr">
        <is>
          <t>OpenDART_fnlttSinglAcntAll</t>
        </is>
      </c>
      <c r="B421" s="24" t="inlineStr">
        <is>
          <t>00369657</t>
        </is>
      </c>
      <c r="C421" s="24" t="inlineStr">
        <is>
          <t>리노공업</t>
        </is>
      </c>
      <c r="D421" s="24" t="inlineStr">
        <is>
          <t>leeno</t>
        </is>
      </c>
      <c r="E421" s="24" t="inlineStr">
        <is>
          <t>058470</t>
        </is>
      </c>
      <c r="F421" s="24" t="inlineStr">
        <is>
          <t>2025</t>
        </is>
      </c>
      <c r="G421" s="24" t="inlineStr">
        <is>
          <t>OFS</t>
        </is>
      </c>
      <c r="H421" s="24" t="inlineStr">
        <is>
          <t>CIS</t>
        </is>
      </c>
      <c r="I421" s="24" t="inlineStr">
        <is>
          <t>포괄손익계산서</t>
        </is>
      </c>
      <c r="J421" s="24" t="inlineStr">
        <is>
          <t>dart_OtherGains</t>
        </is>
      </c>
      <c r="K421" s="24" t="inlineStr">
        <is>
          <t>기타수익</t>
        </is>
      </c>
      <c r="L421" s="24" t="inlineStr">
        <is>
          <t>-</t>
        </is>
      </c>
      <c r="M421" s="24" t="inlineStr">
        <is>
          <t>제 30 기</t>
        </is>
      </c>
      <c r="N421" s="24" t="inlineStr">
        <is>
          <t>14311907994.0</t>
        </is>
      </c>
      <c r="O421" s="24" t="inlineStr">
        <is>
          <t>13700970478.0</t>
        </is>
      </c>
      <c r="P421" s="24" t="inlineStr">
        <is>
          <t>KRW</t>
        </is>
      </c>
      <c r="Q421" s="24" t="inlineStr">
        <is>
          <t>7</t>
        </is>
      </c>
    </row>
    <row r="422" ht="24" customHeight="1">
      <c r="A422" s="29" t="inlineStr">
        <is>
          <t>OpenDART_fnlttSinglAcntAll</t>
        </is>
      </c>
      <c r="B422" s="29" t="inlineStr">
        <is>
          <t>00369657</t>
        </is>
      </c>
      <c r="C422" s="29" t="inlineStr">
        <is>
          <t>리노공업</t>
        </is>
      </c>
      <c r="D422" s="29" t="inlineStr">
        <is>
          <t>leeno</t>
        </is>
      </c>
      <c r="E422" s="29" t="inlineStr">
        <is>
          <t>058470</t>
        </is>
      </c>
      <c r="F422" s="29" t="inlineStr">
        <is>
          <t>2025</t>
        </is>
      </c>
      <c r="G422" s="29" t="inlineStr">
        <is>
          <t>OFS</t>
        </is>
      </c>
      <c r="H422" s="29" t="inlineStr">
        <is>
          <t>CIS</t>
        </is>
      </c>
      <c r="I422" s="29" t="inlineStr">
        <is>
          <t>포괄손익계산서</t>
        </is>
      </c>
      <c r="J422" s="29" t="inlineStr">
        <is>
          <t>dart_OtherLosses</t>
        </is>
      </c>
      <c r="K422" s="29" t="inlineStr">
        <is>
          <t>기타비용</t>
        </is>
      </c>
      <c r="L422" s="29" t="inlineStr">
        <is>
          <t>-</t>
        </is>
      </c>
      <c r="M422" s="29" t="inlineStr">
        <is>
          <t>제 30 기</t>
        </is>
      </c>
      <c r="N422" s="29" t="inlineStr">
        <is>
          <t>5087513678.0</t>
        </is>
      </c>
      <c r="O422" s="29" t="inlineStr">
        <is>
          <t>2312820865.0</t>
        </is>
      </c>
      <c r="P422" s="29" t="inlineStr">
        <is>
          <t>KRW</t>
        </is>
      </c>
      <c r="Q422" s="29" t="inlineStr">
        <is>
          <t>8</t>
        </is>
      </c>
    </row>
    <row r="423" ht="24" customHeight="1">
      <c r="A423" s="24" t="inlineStr">
        <is>
          <t>OpenDART_fnlttSinglAcntAll</t>
        </is>
      </c>
      <c r="B423" s="24" t="inlineStr">
        <is>
          <t>00369657</t>
        </is>
      </c>
      <c r="C423" s="24" t="inlineStr">
        <is>
          <t>리노공업</t>
        </is>
      </c>
      <c r="D423" s="24" t="inlineStr">
        <is>
          <t>leeno</t>
        </is>
      </c>
      <c r="E423" s="24" t="inlineStr">
        <is>
          <t>058470</t>
        </is>
      </c>
      <c r="F423" s="24" t="inlineStr">
        <is>
          <t>2025</t>
        </is>
      </c>
      <c r="G423" s="24" t="inlineStr">
        <is>
          <t>OFS</t>
        </is>
      </c>
      <c r="H423" s="24" t="inlineStr">
        <is>
          <t>CIS</t>
        </is>
      </c>
      <c r="I423" s="24" t="inlineStr">
        <is>
          <t>포괄손익계산서</t>
        </is>
      </c>
      <c r="J423" s="24" t="inlineStr">
        <is>
          <t>ifrs-full_FinanceCosts</t>
        </is>
      </c>
      <c r="K423" s="24" t="inlineStr">
        <is>
          <t>금융비용</t>
        </is>
      </c>
      <c r="L423" s="24" t="inlineStr">
        <is>
          <t>-</t>
        </is>
      </c>
      <c r="M423" s="24" t="inlineStr">
        <is>
          <t>제 30 기</t>
        </is>
      </c>
      <c r="N423" s="24" t="inlineStr">
        <is>
          <t>6494324.0</t>
        </is>
      </c>
      <c r="O423" s="24" t="inlineStr">
        <is>
          <t>7604344.0</t>
        </is>
      </c>
      <c r="P423" s="24" t="inlineStr">
        <is>
          <t>KRW</t>
        </is>
      </c>
      <c r="Q423" s="24" t="inlineStr">
        <is>
          <t>9</t>
        </is>
      </c>
    </row>
    <row r="424" ht="24" customHeight="1">
      <c r="A424" s="29" t="inlineStr">
        <is>
          <t>OpenDART_fnlttSinglAcntAll</t>
        </is>
      </c>
      <c r="B424" s="29" t="inlineStr">
        <is>
          <t>00369657</t>
        </is>
      </c>
      <c r="C424" s="29" t="inlineStr">
        <is>
          <t>리노공업</t>
        </is>
      </c>
      <c r="D424" s="29" t="inlineStr">
        <is>
          <t>leeno</t>
        </is>
      </c>
      <c r="E424" s="29" t="inlineStr">
        <is>
          <t>058470</t>
        </is>
      </c>
      <c r="F424" s="29" t="inlineStr">
        <is>
          <t>2025</t>
        </is>
      </c>
      <c r="G424" s="29" t="inlineStr">
        <is>
          <t>OFS</t>
        </is>
      </c>
      <c r="H424" s="29" t="inlineStr">
        <is>
          <t>CIS</t>
        </is>
      </c>
      <c r="I424" s="29" t="inlineStr">
        <is>
          <t>포괄손익계산서</t>
        </is>
      </c>
      <c r="J424" s="29" t="inlineStr">
        <is>
          <t>ifrs-full_FinanceIncome</t>
        </is>
      </c>
      <c r="K424" s="29" t="inlineStr">
        <is>
          <t>금융수익</t>
        </is>
      </c>
      <c r="L424" s="29" t="inlineStr">
        <is>
          <t>-</t>
        </is>
      </c>
      <c r="M424" s="29" t="inlineStr">
        <is>
          <t>제 30 기</t>
        </is>
      </c>
      <c r="N424" s="29" t="inlineStr">
        <is>
          <t>9641472000.0</t>
        </is>
      </c>
      <c r="O424" s="29" t="inlineStr">
        <is>
          <t>10957192803.0</t>
        </is>
      </c>
      <c r="P424" s="29" t="inlineStr">
        <is>
          <t>KRW</t>
        </is>
      </c>
      <c r="Q424" s="29" t="inlineStr">
        <is>
          <t>10</t>
        </is>
      </c>
    </row>
    <row r="425" ht="24" customHeight="1">
      <c r="A425" s="24" t="inlineStr">
        <is>
          <t>OpenDART_fnlttSinglAcntAll</t>
        </is>
      </c>
      <c r="B425" s="24" t="inlineStr">
        <is>
          <t>00369657</t>
        </is>
      </c>
      <c r="C425" s="24" t="inlineStr">
        <is>
          <t>리노공업</t>
        </is>
      </c>
      <c r="D425" s="24" t="inlineStr">
        <is>
          <t>leeno</t>
        </is>
      </c>
      <c r="E425" s="24" t="inlineStr">
        <is>
          <t>058470</t>
        </is>
      </c>
      <c r="F425" s="24" t="inlineStr">
        <is>
          <t>2025</t>
        </is>
      </c>
      <c r="G425" s="24" t="inlineStr">
        <is>
          <t>OFS</t>
        </is>
      </c>
      <c r="H425" s="24" t="inlineStr">
        <is>
          <t>CIS</t>
        </is>
      </c>
      <c r="I425" s="24" t="inlineStr">
        <is>
          <t>포괄손익계산서</t>
        </is>
      </c>
      <c r="J425" s="24" t="inlineStr">
        <is>
          <t>dart_OperatingIncomeLoss</t>
        </is>
      </c>
      <c r="K425" s="24" t="inlineStr">
        <is>
          <t>영업이익</t>
        </is>
      </c>
      <c r="L425" s="24" t="inlineStr">
        <is>
          <t>-</t>
        </is>
      </c>
      <c r="M425" s="24" t="inlineStr">
        <is>
          <t>제 30 기</t>
        </is>
      </c>
      <c r="N425" s="24" t="inlineStr">
        <is>
          <t>176997188289.0</t>
        </is>
      </c>
      <c r="O425" s="24" t="inlineStr">
        <is>
          <t>124201343872.0</t>
        </is>
      </c>
      <c r="P425" s="24" t="inlineStr">
        <is>
          <t>KRW</t>
        </is>
      </c>
      <c r="Q425" s="24" t="inlineStr">
        <is>
          <t>11</t>
        </is>
      </c>
    </row>
    <row r="426" ht="24" customHeight="1">
      <c r="A426" s="29" t="inlineStr">
        <is>
          <t>OpenDART_fnlttSinglAcntAll</t>
        </is>
      </c>
      <c r="B426" s="29" t="inlineStr">
        <is>
          <t>00369657</t>
        </is>
      </c>
      <c r="C426" s="29" t="inlineStr">
        <is>
          <t>리노공업</t>
        </is>
      </c>
      <c r="D426" s="29" t="inlineStr">
        <is>
          <t>leeno</t>
        </is>
      </c>
      <c r="E426" s="29" t="inlineStr">
        <is>
          <t>058470</t>
        </is>
      </c>
      <c r="F426" s="29" t="inlineStr">
        <is>
          <t>2025</t>
        </is>
      </c>
      <c r="G426" s="29" t="inlineStr">
        <is>
          <t>OFS</t>
        </is>
      </c>
      <c r="H426" s="29" t="inlineStr">
        <is>
          <t>CIS</t>
        </is>
      </c>
      <c r="I426" s="29" t="inlineStr">
        <is>
          <t>포괄손익계산서</t>
        </is>
      </c>
      <c r="J426" s="29" t="inlineStr">
        <is>
          <t>dart_TotalSellingGeneralAdministrativeExpenses</t>
        </is>
      </c>
      <c r="K426" s="29" t="inlineStr">
        <is>
          <t>판매비와관리비</t>
        </is>
      </c>
      <c r="L426" s="29" t="inlineStr">
        <is>
          <t>-</t>
        </is>
      </c>
      <c r="M426" s="29" t="inlineStr">
        <is>
          <t>제 30 기</t>
        </is>
      </c>
      <c r="N426" s="29" t="inlineStr">
        <is>
          <t>17403056348.0</t>
        </is>
      </c>
      <c r="O426" s="29" t="inlineStr">
        <is>
          <t>13964737445.0</t>
        </is>
      </c>
      <c r="P426" s="29" t="inlineStr">
        <is>
          <t>KRW</t>
        </is>
      </c>
      <c r="Q426" s="29" t="inlineStr">
        <is>
          <t>12</t>
        </is>
      </c>
    </row>
    <row r="427" ht="24" customHeight="1">
      <c r="A427" s="24" t="inlineStr">
        <is>
          <t>OpenDART_fnlttSinglAcntAll</t>
        </is>
      </c>
      <c r="B427" s="24" t="inlineStr">
        <is>
          <t>00369657</t>
        </is>
      </c>
      <c r="C427" s="24" t="inlineStr">
        <is>
          <t>리노공업</t>
        </is>
      </c>
      <c r="D427" s="24" t="inlineStr">
        <is>
          <t>leeno</t>
        </is>
      </c>
      <c r="E427" s="24" t="inlineStr">
        <is>
          <t>058470</t>
        </is>
      </c>
      <c r="F427" s="24" t="inlineStr">
        <is>
          <t>2025</t>
        </is>
      </c>
      <c r="G427" s="24" t="inlineStr">
        <is>
          <t>OFS</t>
        </is>
      </c>
      <c r="H427" s="24" t="inlineStr">
        <is>
          <t>CIS</t>
        </is>
      </c>
      <c r="I427" s="24" t="inlineStr">
        <is>
          <t>포괄손익계산서</t>
        </is>
      </c>
      <c r="J427" s="24" t="inlineStr">
        <is>
          <t>ifrs-full_ComprehensiveIncome</t>
        </is>
      </c>
      <c r="K427" s="24" t="inlineStr">
        <is>
          <t>포괄손익</t>
        </is>
      </c>
      <c r="L427" s="24" t="inlineStr">
        <is>
          <t>-</t>
        </is>
      </c>
      <c r="M427" s="24" t="inlineStr">
        <is>
          <t>제 30 기</t>
        </is>
      </c>
      <c r="N427" s="24" t="inlineStr">
        <is>
          <t>154127200207.0</t>
        </is>
      </c>
      <c r="O427" s="24" t="inlineStr">
        <is>
          <t>111092274097.0</t>
        </is>
      </c>
      <c r="P427" s="24" t="inlineStr">
        <is>
          <t>KRW</t>
        </is>
      </c>
      <c r="Q427" s="24" t="inlineStr">
        <is>
          <t>13</t>
        </is>
      </c>
    </row>
    <row r="428" ht="24" customHeight="1">
      <c r="A428" s="29" t="inlineStr">
        <is>
          <t>OpenDART_fnlttSinglAcntAll</t>
        </is>
      </c>
      <c r="B428" s="29" t="inlineStr">
        <is>
          <t>00369657</t>
        </is>
      </c>
      <c r="C428" s="29" t="inlineStr">
        <is>
          <t>리노공업</t>
        </is>
      </c>
      <c r="D428" s="29" t="inlineStr">
        <is>
          <t>leeno</t>
        </is>
      </c>
      <c r="E428" s="29" t="inlineStr">
        <is>
          <t>058470</t>
        </is>
      </c>
      <c r="F428" s="29" t="inlineStr">
        <is>
          <t>2025</t>
        </is>
      </c>
      <c r="G428" s="29" t="inlineStr">
        <is>
          <t>OFS</t>
        </is>
      </c>
      <c r="H428" s="29" t="inlineStr">
        <is>
          <t>CIS</t>
        </is>
      </c>
      <c r="I428" s="29" t="inlineStr">
        <is>
          <t>포괄손익계산서</t>
        </is>
      </c>
      <c r="J428" s="29" t="inlineStr">
        <is>
          <t>ifrs-full_CostOfSales</t>
        </is>
      </c>
      <c r="K428" s="29" t="inlineStr">
        <is>
          <t>매출원가</t>
        </is>
      </c>
      <c r="L428" s="29" t="inlineStr">
        <is>
          <t>-</t>
        </is>
      </c>
      <c r="M428" s="29" t="inlineStr">
        <is>
          <t>제 30 기</t>
        </is>
      </c>
      <c r="N428" s="29" t="inlineStr">
        <is>
          <t>178133839971.0</t>
        </is>
      </c>
      <c r="O428" s="29" t="inlineStr">
        <is>
          <t>140020108110.0</t>
        </is>
      </c>
      <c r="P428" s="29" t="inlineStr">
        <is>
          <t>KRW</t>
        </is>
      </c>
      <c r="Q428" s="29" t="inlineStr">
        <is>
          <t>14</t>
        </is>
      </c>
    </row>
    <row r="429" ht="24" customHeight="1">
      <c r="A429" s="24" t="inlineStr">
        <is>
          <t>OpenDART_fnlttSinglAcntAll</t>
        </is>
      </c>
      <c r="B429" s="24" t="inlineStr">
        <is>
          <t>00369657</t>
        </is>
      </c>
      <c r="C429" s="24" t="inlineStr">
        <is>
          <t>리노공업</t>
        </is>
      </c>
      <c r="D429" s="24" t="inlineStr">
        <is>
          <t>leeno</t>
        </is>
      </c>
      <c r="E429" s="24" t="inlineStr">
        <is>
          <t>058470</t>
        </is>
      </c>
      <c r="F429" s="24" t="inlineStr">
        <is>
          <t>2025</t>
        </is>
      </c>
      <c r="G429" s="24" t="inlineStr">
        <is>
          <t>OFS</t>
        </is>
      </c>
      <c r="H429" s="24" t="inlineStr">
        <is>
          <t>CIS</t>
        </is>
      </c>
      <c r="I429" s="24" t="inlineStr">
        <is>
          <t>포괄손익계산서</t>
        </is>
      </c>
      <c r="J429" s="24" t="inlineStr">
        <is>
          <t>ifrs-full_BasicEarningsLossPerShare</t>
        </is>
      </c>
      <c r="K429" s="24" t="inlineStr">
        <is>
          <t>기본주당이익</t>
        </is>
      </c>
      <c r="L429" s="24" t="inlineStr">
        <is>
          <t>-</t>
        </is>
      </c>
      <c r="M429" s="24" t="inlineStr">
        <is>
          <t>제 30 기</t>
        </is>
      </c>
      <c r="N429" s="24" t="inlineStr">
        <is>
          <t>2002.0</t>
        </is>
      </c>
      <c r="O429" s="24" t="inlineStr">
        <is>
          <t>1493.0</t>
        </is>
      </c>
      <c r="P429" s="24" t="inlineStr">
        <is>
          <t>KRW</t>
        </is>
      </c>
      <c r="Q429" s="24" t="inlineStr">
        <is>
          <t>16</t>
        </is>
      </c>
    </row>
    <row r="430" ht="24" customHeight="1">
      <c r="A430" s="29" t="inlineStr">
        <is>
          <t>OpenDART_fnlttSinglAcntAll</t>
        </is>
      </c>
      <c r="B430" s="29" t="inlineStr">
        <is>
          <t>00369657</t>
        </is>
      </c>
      <c r="C430" s="29" t="inlineStr">
        <is>
          <t>리노공업</t>
        </is>
      </c>
      <c r="D430" s="29" t="inlineStr">
        <is>
          <t>leeno</t>
        </is>
      </c>
      <c r="E430" s="29" t="inlineStr">
        <is>
          <t>058470</t>
        </is>
      </c>
      <c r="F430" s="29" t="inlineStr">
        <is>
          <t>2025</t>
        </is>
      </c>
      <c r="G430" s="29" t="inlineStr">
        <is>
          <t>OFS</t>
        </is>
      </c>
      <c r="H430" s="29" t="inlineStr">
        <is>
          <t>CIS</t>
        </is>
      </c>
      <c r="I430" s="29" t="inlineStr">
        <is>
          <t>포괄손익계산서</t>
        </is>
      </c>
      <c r="J430" s="29" t="inlineStr">
        <is>
          <t>ifrs-full_DilutedEarningsLossPerShare</t>
        </is>
      </c>
      <c r="K430" s="29" t="inlineStr">
        <is>
          <t>희석주당이익</t>
        </is>
      </c>
      <c r="L430" s="29" t="inlineStr">
        <is>
          <t>-</t>
        </is>
      </c>
      <c r="M430" s="29" t="inlineStr">
        <is>
          <t>제 30 기</t>
        </is>
      </c>
      <c r="N430" s="29" t="inlineStr">
        <is>
          <t>2002.0</t>
        </is>
      </c>
      <c r="O430" s="29" t="inlineStr">
        <is>
          <t>1493.0</t>
        </is>
      </c>
      <c r="P430" s="29" t="inlineStr">
        <is>
          <t>KRW</t>
        </is>
      </c>
      <c r="Q430" s="29" t="inlineStr">
        <is>
          <t>17</t>
        </is>
      </c>
    </row>
    <row r="431" ht="24" customHeight="1">
      <c r="A431" s="24" t="inlineStr">
        <is>
          <t>OpenDART_fnlttSinglAcntAll</t>
        </is>
      </c>
      <c r="B431" s="24" t="inlineStr">
        <is>
          <t>00369657</t>
        </is>
      </c>
      <c r="C431" s="24" t="inlineStr">
        <is>
          <t>리노공업</t>
        </is>
      </c>
      <c r="D431" s="24" t="inlineStr">
        <is>
          <t>leeno</t>
        </is>
      </c>
      <c r="E431" s="24" t="inlineStr">
        <is>
          <t>058470</t>
        </is>
      </c>
      <c r="F431" s="24" t="inlineStr">
        <is>
          <t>2025</t>
        </is>
      </c>
      <c r="G431" s="24" t="inlineStr">
        <is>
          <t>OFS</t>
        </is>
      </c>
      <c r="H431" s="24" t="inlineStr">
        <is>
          <t>CIS</t>
        </is>
      </c>
      <c r="I431" s="24" t="inlineStr">
        <is>
          <t>포괄손익계산서</t>
        </is>
      </c>
      <c r="J431" s="24" t="inlineStr">
        <is>
          <t>ifrs-full_GrossProfit</t>
        </is>
      </c>
      <c r="K431" s="24" t="inlineStr">
        <is>
          <t>매출총이익</t>
        </is>
      </c>
      <c r="L431" s="24" t="inlineStr">
        <is>
          <t>-</t>
        </is>
      </c>
      <c r="M431" s="24" t="inlineStr">
        <is>
          <t>제 30 기</t>
        </is>
      </c>
      <c r="N431" s="24" t="inlineStr">
        <is>
          <t>194400244637.0</t>
        </is>
      </c>
      <c r="O431" s="24" t="inlineStr">
        <is>
          <t>138166081317.0</t>
        </is>
      </c>
      <c r="P431" s="24" t="inlineStr">
        <is>
          <t>KRW</t>
        </is>
      </c>
      <c r="Q431" s="24" t="inlineStr">
        <is>
          <t>18</t>
        </is>
      </c>
    </row>
    <row r="432" ht="24" customHeight="1">
      <c r="A432" s="29" t="inlineStr">
        <is>
          <t>OpenDART_fnlttSinglAcntAll</t>
        </is>
      </c>
      <c r="B432" s="29" t="inlineStr">
        <is>
          <t>00369657</t>
        </is>
      </c>
      <c r="C432" s="29" t="inlineStr">
        <is>
          <t>리노공업</t>
        </is>
      </c>
      <c r="D432" s="29" t="inlineStr">
        <is>
          <t>leeno</t>
        </is>
      </c>
      <c r="E432" s="29" t="inlineStr">
        <is>
          <t>058470</t>
        </is>
      </c>
      <c r="F432" s="29" t="inlineStr">
        <is>
          <t>2025</t>
        </is>
      </c>
      <c r="G432" s="29" t="inlineStr">
        <is>
          <t>OFS</t>
        </is>
      </c>
      <c r="H432" s="29" t="inlineStr">
        <is>
          <t>CIS</t>
        </is>
      </c>
      <c r="I432" s="29" t="inlineStr">
        <is>
          <t>포괄손익계산서</t>
        </is>
      </c>
      <c r="J432" s="29" t="inlineStr">
        <is>
          <t>ifrs-full_IncomeTaxExpenseContinuingOperations</t>
        </is>
      </c>
      <c r="K432" s="29" t="inlineStr">
        <is>
          <t>법인세비용</t>
        </is>
      </c>
      <c r="L432" s="29" t="inlineStr">
        <is>
          <t>-</t>
        </is>
      </c>
      <c r="M432" s="29" t="inlineStr">
        <is>
          <t>제 30 기</t>
        </is>
      </c>
      <c r="N432" s="29" t="inlineStr">
        <is>
          <t>43895889875.0</t>
        </is>
      </c>
      <c r="O432" s="29" t="inlineStr">
        <is>
          <t>33260035516.0</t>
        </is>
      </c>
      <c r="P432" s="29" t="inlineStr">
        <is>
          <t>KRW</t>
        </is>
      </c>
      <c r="Q432" s="29" t="inlineStr">
        <is>
          <t>19</t>
        </is>
      </c>
    </row>
    <row r="433" ht="24" customHeight="1">
      <c r="A433" s="24" t="inlineStr">
        <is>
          <t>OpenDART_fnlttSinglAcntAll</t>
        </is>
      </c>
      <c r="B433" s="24" t="inlineStr">
        <is>
          <t>00369657</t>
        </is>
      </c>
      <c r="C433" s="24" t="inlineStr">
        <is>
          <t>리노공업</t>
        </is>
      </c>
      <c r="D433" s="24" t="inlineStr">
        <is>
          <t>leeno</t>
        </is>
      </c>
      <c r="E433" s="24" t="inlineStr">
        <is>
          <t>058470</t>
        </is>
      </c>
      <c r="F433" s="24" t="inlineStr">
        <is>
          <t>2025</t>
        </is>
      </c>
      <c r="G433" s="24" t="inlineStr">
        <is>
          <t>OFS</t>
        </is>
      </c>
      <c r="H433" s="24" t="inlineStr">
        <is>
          <t>CIS</t>
        </is>
      </c>
      <c r="I433" s="24" t="inlineStr">
        <is>
          <t>포괄손익계산서</t>
        </is>
      </c>
      <c r="J433" s="24" t="inlineStr">
        <is>
          <t>ifrs-full_OtherComprehensiveIncome</t>
        </is>
      </c>
      <c r="K433" s="24" t="inlineStr">
        <is>
          <t>기타포괄손익</t>
        </is>
      </c>
      <c r="L433" s="24" t="inlineStr">
        <is>
          <t>-</t>
        </is>
      </c>
      <c r="M433" s="24" t="inlineStr">
        <is>
          <t>제 30 기</t>
        </is>
      </c>
      <c r="N433" s="24" t="inlineStr">
        <is>
          <t>2166529801.0</t>
        </is>
      </c>
      <c r="O433" s="24" t="inlineStr">
        <is>
          <t>-2186772331.0</t>
        </is>
      </c>
      <c r="P433" s="24" t="inlineStr">
        <is>
          <t>KRW</t>
        </is>
      </c>
      <c r="Q433" s="24" t="inlineStr">
        <is>
          <t>20</t>
        </is>
      </c>
    </row>
    <row r="434" ht="24" customHeight="1">
      <c r="A434" s="29" t="inlineStr">
        <is>
          <t>OpenDART_fnlttSinglAcntAll</t>
        </is>
      </c>
      <c r="B434" s="29" t="inlineStr">
        <is>
          <t>00369657</t>
        </is>
      </c>
      <c r="C434" s="29" t="inlineStr">
        <is>
          <t>리노공업</t>
        </is>
      </c>
      <c r="D434" s="29" t="inlineStr">
        <is>
          <t>leeno</t>
        </is>
      </c>
      <c r="E434" s="29" t="inlineStr">
        <is>
          <t>058470</t>
        </is>
      </c>
      <c r="F434" s="29" t="inlineStr">
        <is>
          <t>2025</t>
        </is>
      </c>
      <c r="G434" s="29" t="inlineStr">
        <is>
          <t>OFS</t>
        </is>
      </c>
      <c r="H434" s="29" t="inlineStr">
        <is>
          <t>CIS</t>
        </is>
      </c>
      <c r="I434" s="29" t="inlineStr">
        <is>
          <t>포괄손익계산서</t>
        </is>
      </c>
      <c r="J434" s="29" t="inlineStr">
        <is>
          <t>ifrs-full_OtherComprehensiveIncomeThatWillNotBeReclassifiedToProfitOrLossNetOfTax</t>
        </is>
      </c>
      <c r="K434" s="29" t="inlineStr">
        <is>
          <t>후속적으로 당기손익으로 재분류되지 않는 포괄손익</t>
        </is>
      </c>
      <c r="L434" s="29" t="inlineStr">
        <is>
          <t>-</t>
        </is>
      </c>
      <c r="M434" s="29" t="inlineStr">
        <is>
          <t>제 30 기</t>
        </is>
      </c>
      <c r="N434" s="29" t="inlineStr">
        <is>
          <t>2166529801.0</t>
        </is>
      </c>
      <c r="O434" s="29" t="inlineStr">
        <is>
          <t>-2186772331.0</t>
        </is>
      </c>
      <c r="P434" s="29" t="inlineStr">
        <is>
          <t>KRW</t>
        </is>
      </c>
      <c r="Q434" s="29" t="inlineStr">
        <is>
          <t>21</t>
        </is>
      </c>
    </row>
    <row r="435" ht="24" customHeight="1">
      <c r="A435" s="24" t="inlineStr">
        <is>
          <t>OpenDART_fnlttSinglAcntAll</t>
        </is>
      </c>
      <c r="B435" s="24" t="inlineStr">
        <is>
          <t>00369657</t>
        </is>
      </c>
      <c r="C435" s="24" t="inlineStr">
        <is>
          <t>리노공업</t>
        </is>
      </c>
      <c r="D435" s="24" t="inlineStr">
        <is>
          <t>leeno</t>
        </is>
      </c>
      <c r="E435" s="24" t="inlineStr">
        <is>
          <t>058470</t>
        </is>
      </c>
      <c r="F435" s="24" t="inlineStr">
        <is>
          <t>2025</t>
        </is>
      </c>
      <c r="G435" s="24" t="inlineStr">
        <is>
          <t>OFS</t>
        </is>
      </c>
      <c r="H435" s="24" t="inlineStr">
        <is>
          <t>CIS</t>
        </is>
      </c>
      <c r="I435" s="24" t="inlineStr">
        <is>
          <t>포괄손익계산서</t>
        </is>
      </c>
      <c r="J435" s="24" t="inlineStr">
        <is>
          <t>ifrs-full_OtherComprehensiveIncomeNetOfTaxGainsLossesOnRemeasurementsOfDefinedBenefitPlans</t>
        </is>
      </c>
      <c r="K435" s="24" t="inlineStr">
        <is>
          <t>종업원급여 재측정요소</t>
        </is>
      </c>
      <c r="L435" s="24" t="inlineStr">
        <is>
          <t>-</t>
        </is>
      </c>
      <c r="M435" s="24" t="inlineStr">
        <is>
          <t>제 30 기</t>
        </is>
      </c>
      <c r="N435" s="24" t="inlineStr">
        <is>
          <t>2166529801.0</t>
        </is>
      </c>
      <c r="O435" s="24" t="inlineStr">
        <is>
          <t>-2186772331.0</t>
        </is>
      </c>
      <c r="P435" s="24" t="inlineStr">
        <is>
          <t>KRW</t>
        </is>
      </c>
      <c r="Q435" s="24" t="inlineStr">
        <is>
          <t>22</t>
        </is>
      </c>
    </row>
    <row r="436" ht="24" customHeight="1">
      <c r="A436" s="29" t="inlineStr">
        <is>
          <t>OpenDART_fnlttSinglAcntAll</t>
        </is>
      </c>
      <c r="B436" s="29" t="inlineStr">
        <is>
          <t>00369657</t>
        </is>
      </c>
      <c r="C436" s="29" t="inlineStr">
        <is>
          <t>리노공업</t>
        </is>
      </c>
      <c r="D436" s="29" t="inlineStr">
        <is>
          <t>leeno</t>
        </is>
      </c>
      <c r="E436" s="29" t="inlineStr">
        <is>
          <t>058470</t>
        </is>
      </c>
      <c r="F436" s="29" t="inlineStr">
        <is>
          <t>2025</t>
        </is>
      </c>
      <c r="G436" s="29" t="inlineStr">
        <is>
          <t>OFS</t>
        </is>
      </c>
      <c r="H436" s="29" t="inlineStr">
        <is>
          <t>CIS</t>
        </is>
      </c>
      <c r="I436" s="29" t="inlineStr">
        <is>
          <t>포괄손익계산서</t>
        </is>
      </c>
      <c r="J436" s="29" t="inlineStr">
        <is>
          <t>ifrs-full_ProfitLoss</t>
        </is>
      </c>
      <c r="K436" s="29" t="inlineStr">
        <is>
          <t>당기순이익</t>
        </is>
      </c>
      <c r="L436" s="29" t="inlineStr">
        <is>
          <t>-</t>
        </is>
      </c>
      <c r="M436" s="29" t="inlineStr">
        <is>
          <t>제 30 기</t>
        </is>
      </c>
      <c r="N436" s="29" t="inlineStr">
        <is>
          <t>151960670406.0</t>
        </is>
      </c>
      <c r="O436" s="29" t="inlineStr">
        <is>
          <t>113279046428.0</t>
        </is>
      </c>
      <c r="P436" s="29" t="inlineStr">
        <is>
          <t>KRW</t>
        </is>
      </c>
      <c r="Q436" s="29" t="inlineStr">
        <is>
          <t>23</t>
        </is>
      </c>
    </row>
    <row r="437" ht="24" customHeight="1">
      <c r="A437" s="24" t="inlineStr">
        <is>
          <t>OpenDART_fnlttSinglAcntAll</t>
        </is>
      </c>
      <c r="B437" s="24" t="inlineStr">
        <is>
          <t>00369657</t>
        </is>
      </c>
      <c r="C437" s="24" t="inlineStr">
        <is>
          <t>리노공업</t>
        </is>
      </c>
      <c r="D437" s="24" t="inlineStr">
        <is>
          <t>leeno</t>
        </is>
      </c>
      <c r="E437" s="24" t="inlineStr">
        <is>
          <t>058470</t>
        </is>
      </c>
      <c r="F437" s="24" t="inlineStr">
        <is>
          <t>2025</t>
        </is>
      </c>
      <c r="G437" s="24" t="inlineStr">
        <is>
          <t>OFS</t>
        </is>
      </c>
      <c r="H437" s="24" t="inlineStr">
        <is>
          <t>CIS</t>
        </is>
      </c>
      <c r="I437" s="24" t="inlineStr">
        <is>
          <t>포괄손익계산서</t>
        </is>
      </c>
      <c r="J437" s="24" t="inlineStr">
        <is>
          <t>ifrs-full_ProfitLossBeforeTax</t>
        </is>
      </c>
      <c r="K437" s="24" t="inlineStr">
        <is>
          <t>법인세비용차감전순이익</t>
        </is>
      </c>
      <c r="L437" s="24" t="inlineStr">
        <is>
          <t>-</t>
        </is>
      </c>
      <c r="M437" s="24" t="inlineStr">
        <is>
          <t>제 30 기</t>
        </is>
      </c>
      <c r="N437" s="24" t="inlineStr">
        <is>
          <t>195856560281.0</t>
        </is>
      </c>
      <c r="O437" s="24" t="inlineStr">
        <is>
          <t>146539081944.0</t>
        </is>
      </c>
      <c r="P437" s="24" t="inlineStr">
        <is>
          <t>KRW</t>
        </is>
      </c>
      <c r="Q437" s="24" t="inlineStr">
        <is>
          <t>24</t>
        </is>
      </c>
    </row>
    <row r="438" ht="24" customHeight="1">
      <c r="A438" s="29" t="inlineStr">
        <is>
          <t>OpenDART_fnlttSinglAcntAll</t>
        </is>
      </c>
      <c r="B438" s="29" t="inlineStr">
        <is>
          <t>00369657</t>
        </is>
      </c>
      <c r="C438" s="29" t="inlineStr">
        <is>
          <t>리노공업</t>
        </is>
      </c>
      <c r="D438" s="29" t="inlineStr">
        <is>
          <t>leeno</t>
        </is>
      </c>
      <c r="E438" s="29" t="inlineStr">
        <is>
          <t>058470</t>
        </is>
      </c>
      <c r="F438" s="29" t="inlineStr">
        <is>
          <t>2025</t>
        </is>
      </c>
      <c r="G438" s="29" t="inlineStr">
        <is>
          <t>OFS</t>
        </is>
      </c>
      <c r="H438" s="29" t="inlineStr">
        <is>
          <t>CIS</t>
        </is>
      </c>
      <c r="I438" s="29" t="inlineStr">
        <is>
          <t>포괄손익계산서</t>
        </is>
      </c>
      <c r="J438" s="29" t="inlineStr">
        <is>
          <t>ifrs-full_Revenue</t>
        </is>
      </c>
      <c r="K438" s="29" t="inlineStr">
        <is>
          <t>매출액</t>
        </is>
      </c>
      <c r="L438" s="29" t="inlineStr">
        <is>
          <t>-</t>
        </is>
      </c>
      <c r="M438" s="29" t="inlineStr">
        <is>
          <t>제 30 기</t>
        </is>
      </c>
      <c r="N438" s="29" t="inlineStr">
        <is>
          <t>372534084608.0</t>
        </is>
      </c>
      <c r="O438" s="29" t="inlineStr">
        <is>
          <t>278186189427.0</t>
        </is>
      </c>
      <c r="P438" s="29" t="inlineStr">
        <is>
          <t>KRW</t>
        </is>
      </c>
      <c r="Q438" s="29" t="inlineStr">
        <is>
          <t>25</t>
        </is>
      </c>
    </row>
    <row r="439" ht="24" customHeight="1">
      <c r="A439" s="24" t="inlineStr">
        <is>
          <t>OpenDART_fnlttSinglAcntAll</t>
        </is>
      </c>
      <c r="B439" s="24" t="inlineStr">
        <is>
          <t>00369657</t>
        </is>
      </c>
      <c r="C439" s="24" t="inlineStr">
        <is>
          <t>리노공업</t>
        </is>
      </c>
      <c r="D439" s="24" t="inlineStr">
        <is>
          <t>leeno</t>
        </is>
      </c>
      <c r="E439" s="24" t="inlineStr">
        <is>
          <t>058470</t>
        </is>
      </c>
      <c r="F439" s="24" t="inlineStr">
        <is>
          <t>2025</t>
        </is>
      </c>
      <c r="G439" s="24" t="inlineStr">
        <is>
          <t>OFS</t>
        </is>
      </c>
      <c r="H439" s="24" t="inlineStr">
        <is>
          <t>CF</t>
        </is>
      </c>
      <c r="I439" s="24" t="inlineStr">
        <is>
          <t>현금흐름표</t>
        </is>
      </c>
      <c r="J439" s="24" t="inlineStr">
        <is>
          <t>dart_CashAndCashEquivalentsAtBeginningOfPeriodCf</t>
        </is>
      </c>
      <c r="K439" s="24" t="inlineStr">
        <is>
          <t>기초현금및현금성자산</t>
        </is>
      </c>
      <c r="L439" s="24" t="inlineStr">
        <is>
          <t>-</t>
        </is>
      </c>
      <c r="M439" s="24" t="inlineStr">
        <is>
          <t>제 30 기</t>
        </is>
      </c>
      <c r="N439" s="24" t="inlineStr">
        <is>
          <t>54759251381.0</t>
        </is>
      </c>
      <c r="O439" s="24" t="inlineStr">
        <is>
          <t>34165877177.0</t>
        </is>
      </c>
      <c r="P439" s="24" t="inlineStr">
        <is>
          <t>KRW</t>
        </is>
      </c>
      <c r="Q439" s="24" t="inlineStr">
        <is>
          <t>2</t>
        </is>
      </c>
    </row>
    <row r="440" ht="24" customHeight="1">
      <c r="A440" s="29" t="inlineStr">
        <is>
          <t>OpenDART_fnlttSinglAcntAll</t>
        </is>
      </c>
      <c r="B440" s="29" t="inlineStr">
        <is>
          <t>00369657</t>
        </is>
      </c>
      <c r="C440" s="29" t="inlineStr">
        <is>
          <t>리노공업</t>
        </is>
      </c>
      <c r="D440" s="29" t="inlineStr">
        <is>
          <t>leeno</t>
        </is>
      </c>
      <c r="E440" s="29" t="inlineStr">
        <is>
          <t>058470</t>
        </is>
      </c>
      <c r="F440" s="29" t="inlineStr">
        <is>
          <t>2025</t>
        </is>
      </c>
      <c r="G440" s="29" t="inlineStr">
        <is>
          <t>OFS</t>
        </is>
      </c>
      <c r="H440" s="29" t="inlineStr">
        <is>
          <t>CF</t>
        </is>
      </c>
      <c r="I440" s="29" t="inlineStr">
        <is>
          <t>현금흐름표</t>
        </is>
      </c>
      <c r="J440" s="29" t="inlineStr">
        <is>
          <t>dart_CashAndCashEquivalentsAtEndOfPeriodCf</t>
        </is>
      </c>
      <c r="K440" s="29" t="inlineStr">
        <is>
          <t>기말현금및현금성자산</t>
        </is>
      </c>
      <c r="L440" s="29" t="inlineStr">
        <is>
          <t>-</t>
        </is>
      </c>
      <c r="M440" s="29" t="inlineStr">
        <is>
          <t>제 30 기</t>
        </is>
      </c>
      <c r="N440" s="29" t="inlineStr">
        <is>
          <t>85202812409.0</t>
        </is>
      </c>
      <c r="O440" s="29" t="inlineStr">
        <is>
          <t>54759251381.0</t>
        </is>
      </c>
      <c r="P440" s="29" t="inlineStr">
        <is>
          <t>KRW</t>
        </is>
      </c>
      <c r="Q440" s="29" t="inlineStr">
        <is>
          <t>3</t>
        </is>
      </c>
    </row>
    <row r="441" ht="24" customHeight="1">
      <c r="A441" s="24" t="inlineStr">
        <is>
          <t>OpenDART_fnlttSinglAcntAll</t>
        </is>
      </c>
      <c r="B441" s="24" t="inlineStr">
        <is>
          <t>00369657</t>
        </is>
      </c>
      <c r="C441" s="24" t="inlineStr">
        <is>
          <t>리노공업</t>
        </is>
      </c>
      <c r="D441" s="24" t="inlineStr">
        <is>
          <t>leeno</t>
        </is>
      </c>
      <c r="E441" s="24" t="inlineStr">
        <is>
          <t>058470</t>
        </is>
      </c>
      <c r="F441" s="24" t="inlineStr">
        <is>
          <t>2025</t>
        </is>
      </c>
      <c r="G441" s="24" t="inlineStr">
        <is>
          <t>OFS</t>
        </is>
      </c>
      <c r="H441" s="24" t="inlineStr">
        <is>
          <t>CF</t>
        </is>
      </c>
      <c r="I441" s="24" t="inlineStr">
        <is>
          <t>현금흐름표</t>
        </is>
      </c>
      <c r="J441" s="24" t="inlineStr">
        <is>
          <t>ifrs-full_CashFlowsFromUsedInFinancingActivities</t>
        </is>
      </c>
      <c r="K441" s="24" t="inlineStr">
        <is>
          <t>재무활동현금흐름</t>
        </is>
      </c>
      <c r="L441" s="24" t="inlineStr">
        <is>
          <t>-</t>
        </is>
      </c>
      <c r="M441" s="24" t="inlineStr">
        <is>
          <t>제 30 기</t>
        </is>
      </c>
      <c r="N441" s="24" t="inlineStr">
        <is>
          <t>-45642859676.0</t>
        </is>
      </c>
      <c r="O441" s="24" t="inlineStr">
        <is>
          <t>-45636652253.0</t>
        </is>
      </c>
      <c r="P441" s="24" t="inlineStr">
        <is>
          <t>KRW</t>
        </is>
      </c>
      <c r="Q441" s="24" t="inlineStr">
        <is>
          <t>8</t>
        </is>
      </c>
    </row>
    <row r="442" ht="24" customHeight="1">
      <c r="A442" s="29" t="inlineStr">
        <is>
          <t>OpenDART_fnlttSinglAcntAll</t>
        </is>
      </c>
      <c r="B442" s="29" t="inlineStr">
        <is>
          <t>00369657</t>
        </is>
      </c>
      <c r="C442" s="29" t="inlineStr">
        <is>
          <t>리노공업</t>
        </is>
      </c>
      <c r="D442" s="29" t="inlineStr">
        <is>
          <t>leeno</t>
        </is>
      </c>
      <c r="E442" s="29" t="inlineStr">
        <is>
          <t>058470</t>
        </is>
      </c>
      <c r="F442" s="29" t="inlineStr">
        <is>
          <t>2025</t>
        </is>
      </c>
      <c r="G442" s="29" t="inlineStr">
        <is>
          <t>OFS</t>
        </is>
      </c>
      <c r="H442" s="29" t="inlineStr">
        <is>
          <t>CF</t>
        </is>
      </c>
      <c r="I442" s="29" t="inlineStr">
        <is>
          <t>현금흐름표</t>
        </is>
      </c>
      <c r="J442" s="29" t="inlineStr">
        <is>
          <t>ifrs-full_DividendsPaidClassifiedAsFinancingActivities</t>
        </is>
      </c>
      <c r="K442" s="29" t="inlineStr">
        <is>
          <t>배당금의 지급</t>
        </is>
      </c>
      <c r="L442" s="29" t="inlineStr">
        <is>
          <t>-</t>
        </is>
      </c>
      <c r="M442" s="29" t="inlineStr">
        <is>
          <t>제 30 기</t>
        </is>
      </c>
      <c r="N442" s="29" t="inlineStr">
        <is>
          <t>45537360000.0</t>
        </is>
      </c>
      <c r="O442" s="29" t="inlineStr">
        <is>
          <t>45537360000.0</t>
        </is>
      </c>
      <c r="P442" s="29" t="inlineStr">
        <is>
          <t>KRW</t>
        </is>
      </c>
      <c r="Q442" s="29" t="inlineStr">
        <is>
          <t>9</t>
        </is>
      </c>
    </row>
    <row r="443" ht="24" customHeight="1">
      <c r="A443" s="24" t="inlineStr">
        <is>
          <t>OpenDART_fnlttSinglAcntAll</t>
        </is>
      </c>
      <c r="B443" s="24" t="inlineStr">
        <is>
          <t>00369657</t>
        </is>
      </c>
      <c r="C443" s="24" t="inlineStr">
        <is>
          <t>리노공업</t>
        </is>
      </c>
      <c r="D443" s="24" t="inlineStr">
        <is>
          <t>leeno</t>
        </is>
      </c>
      <c r="E443" s="24" t="inlineStr">
        <is>
          <t>058470</t>
        </is>
      </c>
      <c r="F443" s="24" t="inlineStr">
        <is>
          <t>2025</t>
        </is>
      </c>
      <c r="G443" s="24" t="inlineStr">
        <is>
          <t>OFS</t>
        </is>
      </c>
      <c r="H443" s="24" t="inlineStr">
        <is>
          <t>CF</t>
        </is>
      </c>
      <c r="I443" s="24" t="inlineStr">
        <is>
          <t>현금흐름표</t>
        </is>
      </c>
      <c r="J443" s="24" t="inlineStr">
        <is>
          <t>ifrs-full_PaymentsOfLeaseLiabilitiesClassifiedAsFinancingActivities</t>
        </is>
      </c>
      <c r="K443" s="24" t="inlineStr">
        <is>
          <t>재무활동으로 분류된 리스부채의 지급</t>
        </is>
      </c>
      <c r="L443" s="24" t="inlineStr">
        <is>
          <t>-</t>
        </is>
      </c>
      <c r="M443" s="24" t="inlineStr">
        <is>
          <t>제 30 기</t>
        </is>
      </c>
      <c r="N443" s="24" t="inlineStr">
        <is>
          <t>105499676.0</t>
        </is>
      </c>
      <c r="O443" s="24" t="inlineStr">
        <is>
          <t>99292253.0</t>
        </is>
      </c>
      <c r="P443" s="24" t="inlineStr">
        <is>
          <t>KRW</t>
        </is>
      </c>
      <c r="Q443" s="24" t="inlineStr">
        <is>
          <t>10</t>
        </is>
      </c>
    </row>
    <row r="444" ht="24" customHeight="1">
      <c r="A444" s="29" t="inlineStr">
        <is>
          <t>OpenDART_fnlttSinglAcntAll</t>
        </is>
      </c>
      <c r="B444" s="29" t="inlineStr">
        <is>
          <t>00369657</t>
        </is>
      </c>
      <c r="C444" s="29" t="inlineStr">
        <is>
          <t>리노공업</t>
        </is>
      </c>
      <c r="D444" s="29" t="inlineStr">
        <is>
          <t>leeno</t>
        </is>
      </c>
      <c r="E444" s="29" t="inlineStr">
        <is>
          <t>058470</t>
        </is>
      </c>
      <c r="F444" s="29" t="inlineStr">
        <is>
          <t>2025</t>
        </is>
      </c>
      <c r="G444" s="29" t="inlineStr">
        <is>
          <t>OFS</t>
        </is>
      </c>
      <c r="H444" s="29" t="inlineStr">
        <is>
          <t>CF</t>
        </is>
      </c>
      <c r="I444" s="29" t="inlineStr">
        <is>
          <t>현금흐름표</t>
        </is>
      </c>
      <c r="J444" s="29" t="inlineStr">
        <is>
          <t>ifrs-full_CashFlowsFromUsedInInvestingActivities</t>
        </is>
      </c>
      <c r="K444" s="29" t="inlineStr">
        <is>
          <t>투자활동현금흐름</t>
        </is>
      </c>
      <c r="L444" s="29" t="inlineStr">
        <is>
          <t>-</t>
        </is>
      </c>
      <c r="M444" s="29" t="inlineStr">
        <is>
          <t>제 30 기</t>
        </is>
      </c>
      <c r="N444" s="29" t="inlineStr">
        <is>
          <t>-103850828522.0</t>
        </is>
      </c>
      <c r="O444" s="29" t="inlineStr">
        <is>
          <t>-46761936241.0</t>
        </is>
      </c>
      <c r="P444" s="29" t="inlineStr">
        <is>
          <t>KRW</t>
        </is>
      </c>
      <c r="Q444" s="29" t="inlineStr">
        <is>
          <t>11</t>
        </is>
      </c>
    </row>
    <row r="445" ht="24" customHeight="1">
      <c r="A445" s="24" t="inlineStr">
        <is>
          <t>OpenDART_fnlttSinglAcntAll</t>
        </is>
      </c>
      <c r="B445" s="24" t="inlineStr">
        <is>
          <t>00369657</t>
        </is>
      </c>
      <c r="C445" s="24" t="inlineStr">
        <is>
          <t>리노공업</t>
        </is>
      </c>
      <c r="D445" s="24" t="inlineStr">
        <is>
          <t>leeno</t>
        </is>
      </c>
      <c r="E445" s="24" t="inlineStr">
        <is>
          <t>058470</t>
        </is>
      </c>
      <c r="F445" s="24" t="inlineStr">
        <is>
          <t>2025</t>
        </is>
      </c>
      <c r="G445" s="24" t="inlineStr">
        <is>
          <t>OFS</t>
        </is>
      </c>
      <c r="H445" s="24" t="inlineStr">
        <is>
          <t>CF</t>
        </is>
      </c>
      <c r="I445" s="24" t="inlineStr">
        <is>
          <t>현금흐름표</t>
        </is>
      </c>
      <c r="J445" s="24" t="inlineStr">
        <is>
          <t>dart_ProceedsFromSalesOfLongTermLoansAndReceivables</t>
        </is>
      </c>
      <c r="K445" s="24" t="inlineStr">
        <is>
          <t>기타채권(비유동)의 감소</t>
        </is>
      </c>
      <c r="L445" s="24" t="inlineStr">
        <is>
          <t>-</t>
        </is>
      </c>
      <c r="M445" s="24" t="inlineStr">
        <is>
          <t>제 30 기</t>
        </is>
      </c>
      <c r="N445" s="24" t="inlineStr">
        <is>
          <t>0.0</t>
        </is>
      </c>
      <c r="O445" s="24" t="inlineStr">
        <is>
          <t>0.0</t>
        </is>
      </c>
      <c r="P445" s="24" t="inlineStr">
        <is>
          <t>KRW</t>
        </is>
      </c>
      <c r="Q445" s="24" t="inlineStr">
        <is>
          <t>12</t>
        </is>
      </c>
    </row>
    <row r="446" ht="24" customHeight="1">
      <c r="A446" s="29" t="inlineStr">
        <is>
          <t>OpenDART_fnlttSinglAcntAll</t>
        </is>
      </c>
      <c r="B446" s="29" t="inlineStr">
        <is>
          <t>00369657</t>
        </is>
      </c>
      <c r="C446" s="29" t="inlineStr">
        <is>
          <t>리노공업</t>
        </is>
      </c>
      <c r="D446" s="29" t="inlineStr">
        <is>
          <t>leeno</t>
        </is>
      </c>
      <c r="E446" s="29" t="inlineStr">
        <is>
          <t>058470</t>
        </is>
      </c>
      <c r="F446" s="29" t="inlineStr">
        <is>
          <t>2025</t>
        </is>
      </c>
      <c r="G446" s="29" t="inlineStr">
        <is>
          <t>OFS</t>
        </is>
      </c>
      <c r="H446" s="29" t="inlineStr">
        <is>
          <t>CF</t>
        </is>
      </c>
      <c r="I446" s="29" t="inlineStr">
        <is>
          <t>현금흐름표</t>
        </is>
      </c>
      <c r="J446" s="29" t="inlineStr">
        <is>
          <t>dart_ProceedsFromSalesOfOtherCurrentFinancialAssets</t>
        </is>
      </c>
      <c r="K446" s="29" t="inlineStr">
        <is>
          <t>금융자산(유동)의 처분</t>
        </is>
      </c>
      <c r="L446" s="29" t="inlineStr">
        <is>
          <t>-</t>
        </is>
      </c>
      <c r="M446" s="29" t="inlineStr">
        <is>
          <t>제 30 기</t>
        </is>
      </c>
      <c r="N446" s="29" t="inlineStr">
        <is>
          <t>1287698155093.0</t>
        </is>
      </c>
      <c r="O446" s="29" t="inlineStr">
        <is>
          <t>1198248242370.0</t>
        </is>
      </c>
      <c r="P446" s="29" t="inlineStr">
        <is>
          <t>KRW</t>
        </is>
      </c>
      <c r="Q446" s="29" t="inlineStr">
        <is>
          <t>13</t>
        </is>
      </c>
    </row>
    <row r="447" ht="24" customHeight="1">
      <c r="A447" s="24" t="inlineStr">
        <is>
          <t>OpenDART_fnlttSinglAcntAll</t>
        </is>
      </c>
      <c r="B447" s="24" t="inlineStr">
        <is>
          <t>00369657</t>
        </is>
      </c>
      <c r="C447" s="24" t="inlineStr">
        <is>
          <t>리노공업</t>
        </is>
      </c>
      <c r="D447" s="24" t="inlineStr">
        <is>
          <t>leeno</t>
        </is>
      </c>
      <c r="E447" s="24" t="inlineStr">
        <is>
          <t>058470</t>
        </is>
      </c>
      <c r="F447" s="24" t="inlineStr">
        <is>
          <t>2025</t>
        </is>
      </c>
      <c r="G447" s="24" t="inlineStr">
        <is>
          <t>OFS</t>
        </is>
      </c>
      <c r="H447" s="24" t="inlineStr">
        <is>
          <t>CF</t>
        </is>
      </c>
      <c r="I447" s="24" t="inlineStr">
        <is>
          <t>현금흐름표</t>
        </is>
      </c>
      <c r="J447" s="24" t="inlineStr">
        <is>
          <t>dart_ProceedsFromSalesOfOtherNonCurrentFinancialAssets</t>
        </is>
      </c>
      <c r="K447" s="24" t="inlineStr">
        <is>
          <t>금융자산(비유동)의 처분</t>
        </is>
      </c>
      <c r="L447" s="24" t="inlineStr">
        <is>
          <t>-</t>
        </is>
      </c>
      <c r="M447" s="24" t="inlineStr">
        <is>
          <t>제 30 기</t>
        </is>
      </c>
      <c r="N447" s="24" t="inlineStr">
        <is>
          <t>45254500000.0</t>
        </is>
      </c>
      <c r="O447" s="24" t="inlineStr">
        <is>
          <t>40054350000.0</t>
        </is>
      </c>
      <c r="P447" s="24" t="inlineStr">
        <is>
          <t>KRW</t>
        </is>
      </c>
      <c r="Q447" s="24" t="inlineStr">
        <is>
          <t>14</t>
        </is>
      </c>
    </row>
    <row r="448" ht="24" customHeight="1">
      <c r="A448" s="29" t="inlineStr">
        <is>
          <t>OpenDART_fnlttSinglAcntAll</t>
        </is>
      </c>
      <c r="B448" s="29" t="inlineStr">
        <is>
          <t>00369657</t>
        </is>
      </c>
      <c r="C448" s="29" t="inlineStr">
        <is>
          <t>리노공업</t>
        </is>
      </c>
      <c r="D448" s="29" t="inlineStr">
        <is>
          <t>leeno</t>
        </is>
      </c>
      <c r="E448" s="29" t="inlineStr">
        <is>
          <t>058470</t>
        </is>
      </c>
      <c r="F448" s="29" t="inlineStr">
        <is>
          <t>2025</t>
        </is>
      </c>
      <c r="G448" s="29" t="inlineStr">
        <is>
          <t>OFS</t>
        </is>
      </c>
      <c r="H448" s="29" t="inlineStr">
        <is>
          <t>CF</t>
        </is>
      </c>
      <c r="I448" s="29" t="inlineStr">
        <is>
          <t>현금흐름표</t>
        </is>
      </c>
      <c r="J448" s="29" t="inlineStr">
        <is>
          <t>dart_ProceedsFromSalesOfShortTermLoansAndReceivables</t>
        </is>
      </c>
      <c r="K448" s="29" t="inlineStr">
        <is>
          <t>기타채권(유동)의 감소</t>
        </is>
      </c>
      <c r="L448" s="29" t="inlineStr">
        <is>
          <t>-</t>
        </is>
      </c>
      <c r="M448" s="29" t="inlineStr">
        <is>
          <t>제 30 기</t>
        </is>
      </c>
      <c r="N448" s="29" t="inlineStr">
        <is>
          <t>787275454.0</t>
        </is>
      </c>
      <c r="O448" s="29" t="inlineStr">
        <is>
          <t>863665954.0</t>
        </is>
      </c>
      <c r="P448" s="29" t="inlineStr">
        <is>
          <t>KRW</t>
        </is>
      </c>
      <c r="Q448" s="29" t="inlineStr">
        <is>
          <t>15</t>
        </is>
      </c>
    </row>
    <row r="449" ht="24" customHeight="1">
      <c r="A449" s="24" t="inlineStr">
        <is>
          <t>OpenDART_fnlttSinglAcntAll</t>
        </is>
      </c>
      <c r="B449" s="24" t="inlineStr">
        <is>
          <t>00369657</t>
        </is>
      </c>
      <c r="C449" s="24" t="inlineStr">
        <is>
          <t>리노공업</t>
        </is>
      </c>
      <c r="D449" s="24" t="inlineStr">
        <is>
          <t>leeno</t>
        </is>
      </c>
      <c r="E449" s="24" t="inlineStr">
        <is>
          <t>058470</t>
        </is>
      </c>
      <c r="F449" s="24" t="inlineStr">
        <is>
          <t>2025</t>
        </is>
      </c>
      <c r="G449" s="24" t="inlineStr">
        <is>
          <t>OFS</t>
        </is>
      </c>
      <c r="H449" s="24" t="inlineStr">
        <is>
          <t>CF</t>
        </is>
      </c>
      <c r="I449" s="24" t="inlineStr">
        <is>
          <t>현금흐름표</t>
        </is>
      </c>
      <c r="J449" s="24" t="inlineStr">
        <is>
          <t>dart_PurchaseOfLongTermLoansAndReceivables</t>
        </is>
      </c>
      <c r="K449" s="24" t="inlineStr">
        <is>
          <t>기타채권(비유동)의 증가</t>
        </is>
      </c>
      <c r="L449" s="24" t="inlineStr">
        <is>
          <t>-</t>
        </is>
      </c>
      <c r="M449" s="24" t="inlineStr">
        <is>
          <t>제 30 기</t>
        </is>
      </c>
      <c r="N449" s="24" t="inlineStr">
        <is>
          <t>6014496.0</t>
        </is>
      </c>
      <c r="O449" s="24" t="inlineStr">
        <is>
          <t>0.0</t>
        </is>
      </c>
      <c r="P449" s="24" t="inlineStr">
        <is>
          <t>KRW</t>
        </is>
      </c>
      <c r="Q449" s="24" t="inlineStr">
        <is>
          <t>16</t>
        </is>
      </c>
    </row>
    <row r="450" ht="24" customHeight="1">
      <c r="A450" s="29" t="inlineStr">
        <is>
          <t>OpenDART_fnlttSinglAcntAll</t>
        </is>
      </c>
      <c r="B450" s="29" t="inlineStr">
        <is>
          <t>00369657</t>
        </is>
      </c>
      <c r="C450" s="29" t="inlineStr">
        <is>
          <t>리노공업</t>
        </is>
      </c>
      <c r="D450" s="29" t="inlineStr">
        <is>
          <t>leeno</t>
        </is>
      </c>
      <c r="E450" s="29" t="inlineStr">
        <is>
          <t>058470</t>
        </is>
      </c>
      <c r="F450" s="29" t="inlineStr">
        <is>
          <t>2025</t>
        </is>
      </c>
      <c r="G450" s="29" t="inlineStr">
        <is>
          <t>OFS</t>
        </is>
      </c>
      <c r="H450" s="29" t="inlineStr">
        <is>
          <t>CF</t>
        </is>
      </c>
      <c r="I450" s="29" t="inlineStr">
        <is>
          <t>현금흐름표</t>
        </is>
      </c>
      <c r="J450" s="29" t="inlineStr">
        <is>
          <t>dart_PurchaseOfOtherCurrentFinancialAssets</t>
        </is>
      </c>
      <c r="K450" s="29" t="inlineStr">
        <is>
          <t>금융자산(유동)의 취득</t>
        </is>
      </c>
      <c r="L450" s="29" t="inlineStr">
        <is>
          <t>-</t>
        </is>
      </c>
      <c r="M450" s="29" t="inlineStr">
        <is>
          <t>제 30 기</t>
        </is>
      </c>
      <c r="N450" s="29" t="inlineStr">
        <is>
          <t>1332698155236.0</t>
        </is>
      </c>
      <c r="O450" s="29" t="inlineStr">
        <is>
          <t>1229118242370.0</t>
        </is>
      </c>
      <c r="P450" s="29" t="inlineStr">
        <is>
          <t>KRW</t>
        </is>
      </c>
      <c r="Q450" s="29" t="inlineStr">
        <is>
          <t>17</t>
        </is>
      </c>
    </row>
    <row r="451" ht="24" customHeight="1">
      <c r="A451" s="24" t="inlineStr">
        <is>
          <t>OpenDART_fnlttSinglAcntAll</t>
        </is>
      </c>
      <c r="B451" s="24" t="inlineStr">
        <is>
          <t>00369657</t>
        </is>
      </c>
      <c r="C451" s="24" t="inlineStr">
        <is>
          <t>리노공업</t>
        </is>
      </c>
      <c r="D451" s="24" t="inlineStr">
        <is>
          <t>leeno</t>
        </is>
      </c>
      <c r="E451" s="24" t="inlineStr">
        <is>
          <t>058470</t>
        </is>
      </c>
      <c r="F451" s="24" t="inlineStr">
        <is>
          <t>2025</t>
        </is>
      </c>
      <c r="G451" s="24" t="inlineStr">
        <is>
          <t>OFS</t>
        </is>
      </c>
      <c r="H451" s="24" t="inlineStr">
        <is>
          <t>CF</t>
        </is>
      </c>
      <c r="I451" s="24" t="inlineStr">
        <is>
          <t>현금흐름표</t>
        </is>
      </c>
      <c r="J451" s="24" t="inlineStr">
        <is>
          <t>dart_PurchaseOfOtherNonCurrentFinancialAssets</t>
        </is>
      </c>
      <c r="K451" s="24" t="inlineStr">
        <is>
          <t>금융자산(비유동)의 취득</t>
        </is>
      </c>
      <c r="L451" s="24" t="inlineStr">
        <is>
          <t>-</t>
        </is>
      </c>
      <c r="M451" s="24" t="inlineStr">
        <is>
          <t>제 30 기</t>
        </is>
      </c>
      <c r="N451" s="24" t="inlineStr">
        <is>
          <t>44000000000.0</t>
        </is>
      </c>
      <c r="O451" s="24" t="inlineStr">
        <is>
          <t>44001480000.0</t>
        </is>
      </c>
      <c r="P451" s="24" t="inlineStr">
        <is>
          <t>KRW</t>
        </is>
      </c>
      <c r="Q451" s="24" t="inlineStr">
        <is>
          <t>18</t>
        </is>
      </c>
    </row>
    <row r="452" ht="24" customHeight="1">
      <c r="A452" s="29" t="inlineStr">
        <is>
          <t>OpenDART_fnlttSinglAcntAll</t>
        </is>
      </c>
      <c r="B452" s="29" t="inlineStr">
        <is>
          <t>00369657</t>
        </is>
      </c>
      <c r="C452" s="29" t="inlineStr">
        <is>
          <t>리노공업</t>
        </is>
      </c>
      <c r="D452" s="29" t="inlineStr">
        <is>
          <t>leeno</t>
        </is>
      </c>
      <c r="E452" s="29" t="inlineStr">
        <is>
          <t>058470</t>
        </is>
      </c>
      <c r="F452" s="29" t="inlineStr">
        <is>
          <t>2025</t>
        </is>
      </c>
      <c r="G452" s="29" t="inlineStr">
        <is>
          <t>OFS</t>
        </is>
      </c>
      <c r="H452" s="29" t="inlineStr">
        <is>
          <t>CF</t>
        </is>
      </c>
      <c r="I452" s="29" t="inlineStr">
        <is>
          <t>현금흐름표</t>
        </is>
      </c>
      <c r="J452" s="29" t="inlineStr">
        <is>
          <t>dart_PurchaseOfShortTermLoansAndReceivables</t>
        </is>
      </c>
      <c r="K452" s="29" t="inlineStr">
        <is>
          <t>기타채권(유동)의 증가</t>
        </is>
      </c>
      <c r="L452" s="29" t="inlineStr">
        <is>
          <t>-</t>
        </is>
      </c>
      <c r="M452" s="29" t="inlineStr">
        <is>
          <t>제 30 기</t>
        </is>
      </c>
      <c r="N452" s="29" t="inlineStr">
        <is>
          <t>787275454.0</t>
        </is>
      </c>
      <c r="O452" s="29" t="inlineStr">
        <is>
          <t>863665954.0</t>
        </is>
      </c>
      <c r="P452" s="29" t="inlineStr">
        <is>
          <t>KRW</t>
        </is>
      </c>
      <c r="Q452" s="29" t="inlineStr">
        <is>
          <t>19</t>
        </is>
      </c>
    </row>
    <row r="453" ht="24" customHeight="1">
      <c r="A453" s="24" t="inlineStr">
        <is>
          <t>OpenDART_fnlttSinglAcntAll</t>
        </is>
      </c>
      <c r="B453" s="24" t="inlineStr">
        <is>
          <t>00369657</t>
        </is>
      </c>
      <c r="C453" s="24" t="inlineStr">
        <is>
          <t>리노공업</t>
        </is>
      </c>
      <c r="D453" s="24" t="inlineStr">
        <is>
          <t>leeno</t>
        </is>
      </c>
      <c r="E453" s="24" t="inlineStr">
        <is>
          <t>058470</t>
        </is>
      </c>
      <c r="F453" s="24" t="inlineStr">
        <is>
          <t>2025</t>
        </is>
      </c>
      <c r="G453" s="24" t="inlineStr">
        <is>
          <t>OFS</t>
        </is>
      </c>
      <c r="H453" s="24" t="inlineStr">
        <is>
          <t>CF</t>
        </is>
      </c>
      <c r="I453" s="24" t="inlineStr">
        <is>
          <t>현금흐름표</t>
        </is>
      </c>
      <c r="J453" s="24" t="inlineStr">
        <is>
          <t>-표준계정코드 미사용-</t>
        </is>
      </c>
      <c r="K453" s="24" t="inlineStr">
        <is>
          <t>유형자산 관련 기타채무의 감소</t>
        </is>
      </c>
      <c r="L453" s="24" t="inlineStr">
        <is>
          <t>-</t>
        </is>
      </c>
      <c r="M453" s="24" t="inlineStr">
        <is>
          <t>제 30 기</t>
        </is>
      </c>
      <c r="N453" s="24" t="inlineStr">
        <is>
          <t>85582290.0</t>
        </is>
      </c>
      <c r="O453" s="24" t="inlineStr">
        <is>
          <t>15200000.0</t>
        </is>
      </c>
      <c r="P453" s="24" t="inlineStr">
        <is>
          <t>KRW</t>
        </is>
      </c>
      <c r="Q453" s="24" t="inlineStr">
        <is>
          <t>20</t>
        </is>
      </c>
    </row>
    <row r="454" ht="24" customHeight="1">
      <c r="A454" s="29" t="inlineStr">
        <is>
          <t>OpenDART_fnlttSinglAcntAll</t>
        </is>
      </c>
      <c r="B454" s="29" t="inlineStr">
        <is>
          <t>00369657</t>
        </is>
      </c>
      <c r="C454" s="29" t="inlineStr">
        <is>
          <t>리노공업</t>
        </is>
      </c>
      <c r="D454" s="29" t="inlineStr">
        <is>
          <t>leeno</t>
        </is>
      </c>
      <c r="E454" s="29" t="inlineStr">
        <is>
          <t>058470</t>
        </is>
      </c>
      <c r="F454" s="29" t="inlineStr">
        <is>
          <t>2025</t>
        </is>
      </c>
      <c r="G454" s="29" t="inlineStr">
        <is>
          <t>OFS</t>
        </is>
      </c>
      <c r="H454" s="29" t="inlineStr">
        <is>
          <t>CF</t>
        </is>
      </c>
      <c r="I454" s="29" t="inlineStr">
        <is>
          <t>현금흐름표</t>
        </is>
      </c>
      <c r="J454" s="29" t="inlineStr">
        <is>
          <t>-표준계정코드 미사용-</t>
        </is>
      </c>
      <c r="K454" s="29" t="inlineStr">
        <is>
          <t>유형자산 관련 기타채무의 증가</t>
        </is>
      </c>
      <c r="L454" s="29" t="inlineStr">
        <is>
          <t>-</t>
        </is>
      </c>
      <c r="M454" s="29" t="inlineStr">
        <is>
          <t>제 30 기</t>
        </is>
      </c>
      <c r="N454" s="29" t="inlineStr">
        <is>
          <t>45348140.0</t>
        </is>
      </c>
      <c r="O454" s="29" t="inlineStr">
        <is>
          <t>85582290.0</t>
        </is>
      </c>
      <c r="P454" s="29" t="inlineStr">
        <is>
          <t>KRW</t>
        </is>
      </c>
      <c r="Q454" s="29" t="inlineStr">
        <is>
          <t>21</t>
        </is>
      </c>
    </row>
    <row r="455" ht="24" customHeight="1">
      <c r="A455" s="24" t="inlineStr">
        <is>
          <t>OpenDART_fnlttSinglAcntAll</t>
        </is>
      </c>
      <c r="B455" s="24" t="inlineStr">
        <is>
          <t>00369657</t>
        </is>
      </c>
      <c r="C455" s="24" t="inlineStr">
        <is>
          <t>리노공업</t>
        </is>
      </c>
      <c r="D455" s="24" t="inlineStr">
        <is>
          <t>leeno</t>
        </is>
      </c>
      <c r="E455" s="24" t="inlineStr">
        <is>
          <t>058470</t>
        </is>
      </c>
      <c r="F455" s="24" t="inlineStr">
        <is>
          <t>2025</t>
        </is>
      </c>
      <c r="G455" s="24" t="inlineStr">
        <is>
          <t>OFS</t>
        </is>
      </c>
      <c r="H455" s="24" t="inlineStr">
        <is>
          <t>CF</t>
        </is>
      </c>
      <c r="I455" s="24" t="inlineStr">
        <is>
          <t>현금흐름표</t>
        </is>
      </c>
      <c r="J455" s="24" t="inlineStr">
        <is>
          <t>ifrs-full_ProceedsFromSalesOfPropertyPlantAndEquipmentClassifiedAsInvestingActivities</t>
        </is>
      </c>
      <c r="K455" s="24" t="inlineStr">
        <is>
          <t>유형자산의 처분</t>
        </is>
      </c>
      <c r="L455" s="24" t="inlineStr">
        <is>
          <t>-</t>
        </is>
      </c>
      <c r="M455" s="24" t="inlineStr">
        <is>
          <t>제 30 기</t>
        </is>
      </c>
      <c r="N455" s="24" t="inlineStr">
        <is>
          <t>177251447.0</t>
        </is>
      </c>
      <c r="O455" s="24" t="inlineStr">
        <is>
          <t>320000.0</t>
        </is>
      </c>
      <c r="P455" s="24" t="inlineStr">
        <is>
          <t>KRW</t>
        </is>
      </c>
      <c r="Q455" s="24" t="inlineStr">
        <is>
          <t>22</t>
        </is>
      </c>
    </row>
    <row r="456" ht="24" customHeight="1">
      <c r="A456" s="29" t="inlineStr">
        <is>
          <t>OpenDART_fnlttSinglAcntAll</t>
        </is>
      </c>
      <c r="B456" s="29" t="inlineStr">
        <is>
          <t>00369657</t>
        </is>
      </c>
      <c r="C456" s="29" t="inlineStr">
        <is>
          <t>리노공업</t>
        </is>
      </c>
      <c r="D456" s="29" t="inlineStr">
        <is>
          <t>leeno</t>
        </is>
      </c>
      <c r="E456" s="29" t="inlineStr">
        <is>
          <t>058470</t>
        </is>
      </c>
      <c r="F456" s="29" t="inlineStr">
        <is>
          <t>2025</t>
        </is>
      </c>
      <c r="G456" s="29" t="inlineStr">
        <is>
          <t>OFS</t>
        </is>
      </c>
      <c r="H456" s="29" t="inlineStr">
        <is>
          <t>CF</t>
        </is>
      </c>
      <c r="I456" s="29" t="inlineStr">
        <is>
          <t>현금흐름표</t>
        </is>
      </c>
      <c r="J456" s="29" t="inlineStr">
        <is>
          <t>ifrs-full_PurchaseOfIntangibleAssetsClassifiedAsInvestingActivities</t>
        </is>
      </c>
      <c r="K456" s="29" t="inlineStr">
        <is>
          <t>무형자산의 취득</t>
        </is>
      </c>
      <c r="L456" s="29" t="inlineStr">
        <is>
          <t>-</t>
        </is>
      </c>
      <c r="M456" s="29" t="inlineStr">
        <is>
          <t>제 30 기</t>
        </is>
      </c>
      <c r="N456" s="29" t="inlineStr">
        <is>
          <t>282097350.0</t>
        </is>
      </c>
      <c r="O456" s="29" t="inlineStr">
        <is>
          <t>374960718.0</t>
        </is>
      </c>
      <c r="P456" s="29" t="inlineStr">
        <is>
          <t>KRW</t>
        </is>
      </c>
      <c r="Q456" s="29" t="inlineStr">
        <is>
          <t>23</t>
        </is>
      </c>
    </row>
    <row r="457" ht="24" customHeight="1">
      <c r="A457" s="24" t="inlineStr">
        <is>
          <t>OpenDART_fnlttSinglAcntAll</t>
        </is>
      </c>
      <c r="B457" s="24" t="inlineStr">
        <is>
          <t>00369657</t>
        </is>
      </c>
      <c r="C457" s="24" t="inlineStr">
        <is>
          <t>리노공업</t>
        </is>
      </c>
      <c r="D457" s="24" t="inlineStr">
        <is>
          <t>leeno</t>
        </is>
      </c>
      <c r="E457" s="24" t="inlineStr">
        <is>
          <t>058470</t>
        </is>
      </c>
      <c r="F457" s="24" t="inlineStr">
        <is>
          <t>2025</t>
        </is>
      </c>
      <c r="G457" s="24" t="inlineStr">
        <is>
          <t>OFS</t>
        </is>
      </c>
      <c r="H457" s="24" t="inlineStr">
        <is>
          <t>CF</t>
        </is>
      </c>
      <c r="I457" s="24" t="inlineStr">
        <is>
          <t>현금흐름표</t>
        </is>
      </c>
      <c r="J457" s="24" t="inlineStr">
        <is>
          <t>ifrs-full_PurchaseOfPropertyPlantAndEquipmentClassifiedAsInvestingActivities</t>
        </is>
      </c>
      <c r="K457" s="24" t="inlineStr">
        <is>
          <t>유형자산의 취득</t>
        </is>
      </c>
      <c r="L457" s="24" t="inlineStr">
        <is>
          <t>-</t>
        </is>
      </c>
      <c r="M457" s="24" t="inlineStr">
        <is>
          <t>제 30 기</t>
        </is>
      </c>
      <c r="N457" s="24" t="inlineStr">
        <is>
          <t>59954233830.0</t>
        </is>
      </c>
      <c r="O457" s="24" t="inlineStr">
        <is>
          <t>11640547813.0</t>
        </is>
      </c>
      <c r="P457" s="24" t="inlineStr">
        <is>
          <t>KRW</t>
        </is>
      </c>
      <c r="Q457" s="24" t="inlineStr">
        <is>
          <t>24</t>
        </is>
      </c>
    </row>
    <row r="458" ht="24" customHeight="1">
      <c r="A458" s="29" t="inlineStr">
        <is>
          <t>OpenDART_fnlttSinglAcntAll</t>
        </is>
      </c>
      <c r="B458" s="29" t="inlineStr">
        <is>
          <t>00369657</t>
        </is>
      </c>
      <c r="C458" s="29" t="inlineStr">
        <is>
          <t>리노공업</t>
        </is>
      </c>
      <c r="D458" s="29" t="inlineStr">
        <is>
          <t>leeno</t>
        </is>
      </c>
      <c r="E458" s="29" t="inlineStr">
        <is>
          <t>058470</t>
        </is>
      </c>
      <c r="F458" s="29" t="inlineStr">
        <is>
          <t>2025</t>
        </is>
      </c>
      <c r="G458" s="29" t="inlineStr">
        <is>
          <t>OFS</t>
        </is>
      </c>
      <c r="H458" s="29" t="inlineStr">
        <is>
          <t>CF</t>
        </is>
      </c>
      <c r="I458" s="29" t="inlineStr">
        <is>
          <t>현금흐름표</t>
        </is>
      </c>
      <c r="J458" s="29" t="inlineStr">
        <is>
          <t>ifrs-full_CashFlowsFromUsedInOperatingActivities</t>
        </is>
      </c>
      <c r="K458" s="29" t="inlineStr">
        <is>
          <t>영업활동현금흐름</t>
        </is>
      </c>
      <c r="L458" s="29" t="inlineStr">
        <is>
          <t>-</t>
        </is>
      </c>
      <c r="M458" s="29" t="inlineStr">
        <is>
          <t>제 30 기</t>
        </is>
      </c>
      <c r="N458" s="29" t="inlineStr">
        <is>
          <t>179468846374.0</t>
        </is>
      </c>
      <c r="O458" s="29" t="inlineStr">
        <is>
          <t>110106597065.0</t>
        </is>
      </c>
      <c r="P458" s="29" t="inlineStr">
        <is>
          <t>KRW</t>
        </is>
      </c>
      <c r="Q458" s="29" t="inlineStr">
        <is>
          <t>25</t>
        </is>
      </c>
    </row>
    <row r="459" ht="24" customHeight="1">
      <c r="A459" s="24" t="inlineStr">
        <is>
          <t>OpenDART_fnlttSinglAcntAll</t>
        </is>
      </c>
      <c r="B459" s="24" t="inlineStr">
        <is>
          <t>00369657</t>
        </is>
      </c>
      <c r="C459" s="24" t="inlineStr">
        <is>
          <t>리노공업</t>
        </is>
      </c>
      <c r="D459" s="24" t="inlineStr">
        <is>
          <t>leeno</t>
        </is>
      </c>
      <c r="E459" s="24" t="inlineStr">
        <is>
          <t>058470</t>
        </is>
      </c>
      <c r="F459" s="24" t="inlineStr">
        <is>
          <t>2025</t>
        </is>
      </c>
      <c r="G459" s="24" t="inlineStr">
        <is>
          <t>OFS</t>
        </is>
      </c>
      <c r="H459" s="24" t="inlineStr">
        <is>
          <t>CF</t>
        </is>
      </c>
      <c r="I459" s="24" t="inlineStr">
        <is>
          <t>현금흐름표</t>
        </is>
      </c>
      <c r="J459" s="24" t="inlineStr">
        <is>
          <t>ifrs-full_CashFlowsFromUsedInOperations</t>
        </is>
      </c>
      <c r="K459" s="24" t="inlineStr">
        <is>
          <t>영업에서 창출된 현금흐름</t>
        </is>
      </c>
      <c r="L459" s="24" t="inlineStr">
        <is>
          <t>-</t>
        </is>
      </c>
      <c r="M459" s="24" t="inlineStr">
        <is>
          <t>제 30 기</t>
        </is>
      </c>
      <c r="N459" s="24" t="inlineStr">
        <is>
          <t>203815075120.0</t>
        </is>
      </c>
      <c r="O459" s="24" t="inlineStr">
        <is>
          <t>126924742388.0</t>
        </is>
      </c>
      <c r="P459" s="24" t="inlineStr">
        <is>
          <t>KRW</t>
        </is>
      </c>
      <c r="Q459" s="24" t="inlineStr">
        <is>
          <t>26</t>
        </is>
      </c>
    </row>
    <row r="460" ht="24" customHeight="1">
      <c r="A460" s="29" t="inlineStr">
        <is>
          <t>OpenDART_fnlttSinglAcntAll</t>
        </is>
      </c>
      <c r="B460" s="29" t="inlineStr">
        <is>
          <t>00369657</t>
        </is>
      </c>
      <c r="C460" s="29" t="inlineStr">
        <is>
          <t>리노공업</t>
        </is>
      </c>
      <c r="D460" s="29" t="inlineStr">
        <is>
          <t>leeno</t>
        </is>
      </c>
      <c r="E460" s="29" t="inlineStr">
        <is>
          <t>058470</t>
        </is>
      </c>
      <c r="F460" s="29" t="inlineStr">
        <is>
          <t>2025</t>
        </is>
      </c>
      <c r="G460" s="29" t="inlineStr">
        <is>
          <t>OFS</t>
        </is>
      </c>
      <c r="H460" s="29" t="inlineStr">
        <is>
          <t>CF</t>
        </is>
      </c>
      <c r="I460" s="29" t="inlineStr">
        <is>
          <t>현금흐름표</t>
        </is>
      </c>
      <c r="J460" s="29" t="inlineStr">
        <is>
          <t>ifrs-full_IncomeTaxesPaidRefundClassifiedAsOperatingActivities</t>
        </is>
      </c>
      <c r="K460" s="29" t="inlineStr">
        <is>
          <t>법인세의 납부</t>
        </is>
      </c>
      <c r="L460" s="29" t="inlineStr">
        <is>
          <t>-</t>
        </is>
      </c>
      <c r="M460" s="29" t="inlineStr">
        <is>
          <t>제 30 기</t>
        </is>
      </c>
      <c r="N460" s="29" t="inlineStr">
        <is>
          <t>33943104377.0</t>
        </is>
      </c>
      <c r="O460" s="29" t="inlineStr">
        <is>
          <t>28119860183.0</t>
        </is>
      </c>
      <c r="P460" s="29" t="inlineStr">
        <is>
          <t>KRW</t>
        </is>
      </c>
      <c r="Q460" s="29" t="inlineStr">
        <is>
          <t>27</t>
        </is>
      </c>
    </row>
    <row r="461" ht="24" customHeight="1">
      <c r="A461" s="24" t="inlineStr">
        <is>
          <t>OpenDART_fnlttSinglAcntAll</t>
        </is>
      </c>
      <c r="B461" s="24" t="inlineStr">
        <is>
          <t>00369657</t>
        </is>
      </c>
      <c r="C461" s="24" t="inlineStr">
        <is>
          <t>리노공업</t>
        </is>
      </c>
      <c r="D461" s="24" t="inlineStr">
        <is>
          <t>leeno</t>
        </is>
      </c>
      <c r="E461" s="24" t="inlineStr">
        <is>
          <t>058470</t>
        </is>
      </c>
      <c r="F461" s="24" t="inlineStr">
        <is>
          <t>2025</t>
        </is>
      </c>
      <c r="G461" s="24" t="inlineStr">
        <is>
          <t>OFS</t>
        </is>
      </c>
      <c r="H461" s="24" t="inlineStr">
        <is>
          <t>CF</t>
        </is>
      </c>
      <c r="I461" s="24" t="inlineStr">
        <is>
          <t>현금흐름표</t>
        </is>
      </c>
      <c r="J461" s="24" t="inlineStr">
        <is>
          <t>ifrs-full_InterestPaidClassifiedAsOperatingActivities</t>
        </is>
      </c>
      <c r="K461" s="24" t="inlineStr">
        <is>
          <t>이자지급</t>
        </is>
      </c>
      <c r="L461" s="24" t="inlineStr">
        <is>
          <t>-</t>
        </is>
      </c>
      <c r="M461" s="24" t="inlineStr">
        <is>
          <t>제 30 기</t>
        </is>
      </c>
      <c r="N461" s="24" t="inlineStr">
        <is>
          <t>6494324.0</t>
        </is>
      </c>
      <c r="O461" s="24" t="inlineStr">
        <is>
          <t>7604344.0</t>
        </is>
      </c>
      <c r="P461" s="24" t="inlineStr">
        <is>
          <t>KRW</t>
        </is>
      </c>
      <c r="Q461" s="24" t="inlineStr">
        <is>
          <t>28</t>
        </is>
      </c>
    </row>
    <row r="462" ht="24" customHeight="1">
      <c r="A462" s="29" t="inlineStr">
        <is>
          <t>OpenDART_fnlttSinglAcntAll</t>
        </is>
      </c>
      <c r="B462" s="29" t="inlineStr">
        <is>
          <t>00369657</t>
        </is>
      </c>
      <c r="C462" s="29" t="inlineStr">
        <is>
          <t>리노공업</t>
        </is>
      </c>
      <c r="D462" s="29" t="inlineStr">
        <is>
          <t>leeno</t>
        </is>
      </c>
      <c r="E462" s="29" t="inlineStr">
        <is>
          <t>058470</t>
        </is>
      </c>
      <c r="F462" s="29" t="inlineStr">
        <is>
          <t>2025</t>
        </is>
      </c>
      <c r="G462" s="29" t="inlineStr">
        <is>
          <t>OFS</t>
        </is>
      </c>
      <c r="H462" s="29" t="inlineStr">
        <is>
          <t>CF</t>
        </is>
      </c>
      <c r="I462" s="29" t="inlineStr">
        <is>
          <t>현금흐름표</t>
        </is>
      </c>
      <c r="J462" s="29" t="inlineStr">
        <is>
          <t>ifrs-full_InterestReceivedClassifiedAsOperatingActivities</t>
        </is>
      </c>
      <c r="K462" s="29" t="inlineStr">
        <is>
          <t>이자의 수취</t>
        </is>
      </c>
      <c r="L462" s="29" t="inlineStr">
        <is>
          <t>-</t>
        </is>
      </c>
      <c r="M462" s="29" t="inlineStr">
        <is>
          <t>제 30 기</t>
        </is>
      </c>
      <c r="N462" s="29" t="inlineStr">
        <is>
          <t>9603369955.0</t>
        </is>
      </c>
      <c r="O462" s="29" t="inlineStr">
        <is>
          <t>11309319204.0</t>
        </is>
      </c>
      <c r="P462" s="29" t="inlineStr">
        <is>
          <t>KRW</t>
        </is>
      </c>
      <c r="Q462" s="29" t="inlineStr">
        <is>
          <t>29</t>
        </is>
      </c>
    </row>
    <row r="463" ht="24" customHeight="1">
      <c r="A463" s="24" t="inlineStr">
        <is>
          <t>OpenDART_fnlttSinglAcntAll</t>
        </is>
      </c>
      <c r="B463" s="24" t="inlineStr">
        <is>
          <t>00369657</t>
        </is>
      </c>
      <c r="C463" s="24" t="inlineStr">
        <is>
          <t>리노공업</t>
        </is>
      </c>
      <c r="D463" s="24" t="inlineStr">
        <is>
          <t>leeno</t>
        </is>
      </c>
      <c r="E463" s="24" t="inlineStr">
        <is>
          <t>058470</t>
        </is>
      </c>
      <c r="F463" s="24" t="inlineStr">
        <is>
          <t>2025</t>
        </is>
      </c>
      <c r="G463" s="24" t="inlineStr">
        <is>
          <t>OFS</t>
        </is>
      </c>
      <c r="H463" s="24" t="inlineStr">
        <is>
          <t>CF</t>
        </is>
      </c>
      <c r="I463" s="24" t="inlineStr">
        <is>
          <t>현금흐름표</t>
        </is>
      </c>
      <c r="J463" s="24" t="inlineStr">
        <is>
          <t>ifrs-full_EffectOfExchangeRateChangesOnCashAndCashEquivalents</t>
        </is>
      </c>
      <c r="K463" s="24" t="inlineStr">
        <is>
          <t>현금및현금성자산에 대한 환율변동효과</t>
        </is>
      </c>
      <c r="L463" s="24" t="inlineStr">
        <is>
          <t>-</t>
        </is>
      </c>
      <c r="M463" s="24" t="inlineStr">
        <is>
          <t>제 30 기</t>
        </is>
      </c>
      <c r="N463" s="24" t="inlineStr">
        <is>
          <t>468402852.0</t>
        </is>
      </c>
      <c r="O463" s="24" t="inlineStr">
        <is>
          <t>2885365633.0</t>
        </is>
      </c>
      <c r="P463" s="24" t="inlineStr">
        <is>
          <t>KRW</t>
        </is>
      </c>
      <c r="Q463" s="24" t="inlineStr">
        <is>
          <t>30</t>
        </is>
      </c>
    </row>
    <row r="464" ht="24" customHeight="1">
      <c r="A464" s="29" t="inlineStr">
        <is>
          <t>OpenDART_fnlttSinglAcntAll</t>
        </is>
      </c>
      <c r="B464" s="29" t="inlineStr">
        <is>
          <t>00369657</t>
        </is>
      </c>
      <c r="C464" s="29" t="inlineStr">
        <is>
          <t>리노공업</t>
        </is>
      </c>
      <c r="D464" s="29" t="inlineStr">
        <is>
          <t>leeno</t>
        </is>
      </c>
      <c r="E464" s="29" t="inlineStr">
        <is>
          <t>058470</t>
        </is>
      </c>
      <c r="F464" s="29" t="inlineStr">
        <is>
          <t>2025</t>
        </is>
      </c>
      <c r="G464" s="29" t="inlineStr">
        <is>
          <t>OFS</t>
        </is>
      </c>
      <c r="H464" s="29" t="inlineStr">
        <is>
          <t>CF</t>
        </is>
      </c>
      <c r="I464" s="29" t="inlineStr">
        <is>
          <t>현금흐름표</t>
        </is>
      </c>
      <c r="J464" s="29" t="inlineStr">
        <is>
          <t>ifrs-full_IncreaseDecreaseInCashAndCashEquivalentsBeforeEffectOfExchangeRateChanges</t>
        </is>
      </c>
      <c r="K464" s="29" t="inlineStr">
        <is>
          <t>현금및현금성자산의 증가(감소)</t>
        </is>
      </c>
      <c r="L464" s="29" t="inlineStr">
        <is>
          <t>-</t>
        </is>
      </c>
      <c r="M464" s="29" t="inlineStr">
        <is>
          <t>제 30 기</t>
        </is>
      </c>
      <c r="N464" s="29" t="inlineStr">
        <is>
          <t>29975158176.0</t>
        </is>
      </c>
      <c r="O464" s="29" t="inlineStr">
        <is>
          <t>17708008571.0</t>
        </is>
      </c>
      <c r="P464" s="29" t="inlineStr">
        <is>
          <t>KRW</t>
        </is>
      </c>
      <c r="Q464" s="29" t="inlineStr">
        <is>
          <t>31</t>
        </is>
      </c>
    </row>
    <row r="465" ht="24" customHeight="1">
      <c r="A465" s="24" t="inlineStr">
        <is>
          <t>OpenDART_fnlttSinglAcntAll</t>
        </is>
      </c>
      <c r="B465" s="24" t="inlineStr">
        <is>
          <t>00369657</t>
        </is>
      </c>
      <c r="C465" s="24" t="inlineStr">
        <is>
          <t>리노공업</t>
        </is>
      </c>
      <c r="D465" s="24" t="inlineStr">
        <is>
          <t>leeno</t>
        </is>
      </c>
      <c r="E465" s="24" t="inlineStr">
        <is>
          <t>058470</t>
        </is>
      </c>
      <c r="F465" s="24" t="inlineStr">
        <is>
          <t>2025</t>
        </is>
      </c>
      <c r="G465" s="24" t="inlineStr">
        <is>
          <t>OFS</t>
        </is>
      </c>
      <c r="H465" s="24" t="inlineStr">
        <is>
          <t>SCE</t>
        </is>
      </c>
      <c r="I465" s="24" t="inlineStr">
        <is>
          <t>자본변동표</t>
        </is>
      </c>
      <c r="J465" s="24" t="inlineStr">
        <is>
          <t>dart_EquityAtBeginningOfPeriod</t>
        </is>
      </c>
      <c r="K465" s="24" t="inlineStr">
        <is>
          <t>기초자본</t>
        </is>
      </c>
      <c r="L465" s="24" t="inlineStr">
        <is>
          <t>별도재무제표 [member]</t>
        </is>
      </c>
      <c r="M465" s="24" t="inlineStr">
        <is>
          <t>제 30 기</t>
        </is>
      </c>
      <c r="N465" s="24" t="inlineStr">
        <is>
          <t>622629112163.0</t>
        </is>
      </c>
      <c r="O465" s="24" t="inlineStr">
        <is>
          <t>557074198066.0</t>
        </is>
      </c>
      <c r="P465" s="24" t="inlineStr">
        <is>
          <t>KRW</t>
        </is>
      </c>
      <c r="Q465" s="24" t="inlineStr">
        <is>
          <t>3</t>
        </is>
      </c>
    </row>
    <row r="466" ht="24" customHeight="1">
      <c r="A466" s="29" t="inlineStr">
        <is>
          <t>OpenDART_fnlttSinglAcntAll</t>
        </is>
      </c>
      <c r="B466" s="29" t="inlineStr">
        <is>
          <t>00369657</t>
        </is>
      </c>
      <c r="C466" s="29" t="inlineStr">
        <is>
          <t>리노공업</t>
        </is>
      </c>
      <c r="D466" s="29" t="inlineStr">
        <is>
          <t>leeno</t>
        </is>
      </c>
      <c r="E466" s="29" t="inlineStr">
        <is>
          <t>058470</t>
        </is>
      </c>
      <c r="F466" s="29" t="inlineStr">
        <is>
          <t>2025</t>
        </is>
      </c>
      <c r="G466" s="29" t="inlineStr">
        <is>
          <t>OFS</t>
        </is>
      </c>
      <c r="H466" s="29" t="inlineStr">
        <is>
          <t>SCE</t>
        </is>
      </c>
      <c r="I466" s="29" t="inlineStr">
        <is>
          <t>자본변동표</t>
        </is>
      </c>
      <c r="J466" s="29" t="inlineStr">
        <is>
          <t>dart_EquityAtBeginningOfPeriod</t>
        </is>
      </c>
      <c r="K466" s="29" t="inlineStr">
        <is>
          <t>기초자본</t>
        </is>
      </c>
      <c r="L466" s="29" t="inlineStr">
        <is>
          <t>자본 [구성요소]|기타자본구성요소 [구성요소]</t>
        </is>
      </c>
      <c r="M466" s="29" t="inlineStr">
        <is>
          <t>제 30 기</t>
        </is>
      </c>
      <c r="N466" s="29" t="inlineStr">
        <is>
          <t>-2353516350.0</t>
        </is>
      </c>
      <c r="O466" s="29" t="inlineStr">
        <is>
          <t>-2353516350.0</t>
        </is>
      </c>
      <c r="P466" s="29" t="inlineStr">
        <is>
          <t>KRW</t>
        </is>
      </c>
      <c r="Q466" s="29" t="inlineStr">
        <is>
          <t>3</t>
        </is>
      </c>
    </row>
    <row r="467" ht="24" customHeight="1">
      <c r="A467" s="24" t="inlineStr">
        <is>
          <t>OpenDART_fnlttSinglAcntAll</t>
        </is>
      </c>
      <c r="B467" s="24" t="inlineStr">
        <is>
          <t>00369657</t>
        </is>
      </c>
      <c r="C467" s="24" t="inlineStr">
        <is>
          <t>리노공업</t>
        </is>
      </c>
      <c r="D467" s="24" t="inlineStr">
        <is>
          <t>leeno</t>
        </is>
      </c>
      <c r="E467" s="24" t="inlineStr">
        <is>
          <t>058470</t>
        </is>
      </c>
      <c r="F467" s="24" t="inlineStr">
        <is>
          <t>2025</t>
        </is>
      </c>
      <c r="G467" s="24" t="inlineStr">
        <is>
          <t>OFS</t>
        </is>
      </c>
      <c r="H467" s="24" t="inlineStr">
        <is>
          <t>SCE</t>
        </is>
      </c>
      <c r="I467" s="24" t="inlineStr">
        <is>
          <t>자본변동표</t>
        </is>
      </c>
      <c r="J467" s="24" t="inlineStr">
        <is>
          <t>dart_EquityAtBeginningOfPeriod</t>
        </is>
      </c>
      <c r="K467" s="24" t="inlineStr">
        <is>
          <t>기초자본</t>
        </is>
      </c>
      <c r="L467" s="24" t="inlineStr">
        <is>
          <t>자본 [구성요소]|이익잉여금 [구성요소]</t>
        </is>
      </c>
      <c r="M467" s="24" t="inlineStr">
        <is>
          <t>제 30 기</t>
        </is>
      </c>
      <c r="N467" s="24" t="inlineStr">
        <is>
          <t>611759633069.0</t>
        </is>
      </c>
      <c r="O467" s="24" t="inlineStr">
        <is>
          <t>546204718972.0</t>
        </is>
      </c>
      <c r="P467" s="24" t="inlineStr">
        <is>
          <t>KRW</t>
        </is>
      </c>
      <c r="Q467" s="24" t="inlineStr">
        <is>
          <t>3</t>
        </is>
      </c>
    </row>
    <row r="468" ht="24" customHeight="1">
      <c r="A468" s="29" t="inlineStr">
        <is>
          <t>OpenDART_fnlttSinglAcntAll</t>
        </is>
      </c>
      <c r="B468" s="29" t="inlineStr">
        <is>
          <t>00369657</t>
        </is>
      </c>
      <c r="C468" s="29" t="inlineStr">
        <is>
          <t>리노공업</t>
        </is>
      </c>
      <c r="D468" s="29" t="inlineStr">
        <is>
          <t>leeno</t>
        </is>
      </c>
      <c r="E468" s="29" t="inlineStr">
        <is>
          <t>058470</t>
        </is>
      </c>
      <c r="F468" s="29" t="inlineStr">
        <is>
          <t>2025</t>
        </is>
      </c>
      <c r="G468" s="29" t="inlineStr">
        <is>
          <t>OFS</t>
        </is>
      </c>
      <c r="H468" s="29" t="inlineStr">
        <is>
          <t>SCE</t>
        </is>
      </c>
      <c r="I468" s="29" t="inlineStr">
        <is>
          <t>자본변동표</t>
        </is>
      </c>
      <c r="J468" s="29" t="inlineStr">
        <is>
          <t>dart_EquityAtBeginningOfPeriod</t>
        </is>
      </c>
      <c r="K468" s="29" t="inlineStr">
        <is>
          <t>기초자본</t>
        </is>
      </c>
      <c r="L468" s="29" t="inlineStr">
        <is>
          <t>자본 [구성요소]|자본금 [구성요소]</t>
        </is>
      </c>
      <c r="M468" s="29" t="inlineStr">
        <is>
          <t>제 30 기</t>
        </is>
      </c>
      <c r="N468" s="29" t="inlineStr">
        <is>
          <t>7621185000.0</t>
        </is>
      </c>
      <c r="O468" s="29" t="inlineStr">
        <is>
          <t>7621185000.0</t>
        </is>
      </c>
      <c r="P468" s="29" t="inlineStr">
        <is>
          <t>KRW</t>
        </is>
      </c>
      <c r="Q468" s="29" t="inlineStr">
        <is>
          <t>3</t>
        </is>
      </c>
    </row>
    <row r="469" ht="24" customHeight="1">
      <c r="A469" s="24" t="inlineStr">
        <is>
          <t>OpenDART_fnlttSinglAcntAll</t>
        </is>
      </c>
      <c r="B469" s="24" t="inlineStr">
        <is>
          <t>00369657</t>
        </is>
      </c>
      <c r="C469" s="24" t="inlineStr">
        <is>
          <t>리노공업</t>
        </is>
      </c>
      <c r="D469" s="24" t="inlineStr">
        <is>
          <t>leeno</t>
        </is>
      </c>
      <c r="E469" s="24" t="inlineStr">
        <is>
          <t>058470</t>
        </is>
      </c>
      <c r="F469" s="24" t="inlineStr">
        <is>
          <t>2025</t>
        </is>
      </c>
      <c r="G469" s="24" t="inlineStr">
        <is>
          <t>OFS</t>
        </is>
      </c>
      <c r="H469" s="24" t="inlineStr">
        <is>
          <t>SCE</t>
        </is>
      </c>
      <c r="I469" s="24" t="inlineStr">
        <is>
          <t>자본변동표</t>
        </is>
      </c>
      <c r="J469" s="24" t="inlineStr">
        <is>
          <t>dart_EquityAtBeginningOfPeriod</t>
        </is>
      </c>
      <c r="K469" s="24" t="inlineStr">
        <is>
          <t>기초자본</t>
        </is>
      </c>
      <c r="L469" s="24" t="inlineStr">
        <is>
          <t>자본 [구성요소]|자본잉여금 [구성요소]</t>
        </is>
      </c>
      <c r="M469" s="24" t="inlineStr">
        <is>
          <t>제 30 기</t>
        </is>
      </c>
      <c r="N469" s="24" t="inlineStr">
        <is>
          <t>5601810444.0</t>
        </is>
      </c>
      <c r="O469" s="24" t="inlineStr">
        <is>
          <t>5601810444.0</t>
        </is>
      </c>
      <c r="P469" s="24" t="inlineStr">
        <is>
          <t>KRW</t>
        </is>
      </c>
      <c r="Q469" s="24" t="inlineStr">
        <is>
          <t>3</t>
        </is>
      </c>
    </row>
    <row r="470" ht="24" customHeight="1">
      <c r="A470" s="29" t="inlineStr">
        <is>
          <t>OpenDART_fnlttSinglAcntAll</t>
        </is>
      </c>
      <c r="B470" s="29" t="inlineStr">
        <is>
          <t>00369657</t>
        </is>
      </c>
      <c r="C470" s="29" t="inlineStr">
        <is>
          <t>리노공업</t>
        </is>
      </c>
      <c r="D470" s="29" t="inlineStr">
        <is>
          <t>leeno</t>
        </is>
      </c>
      <c r="E470" s="29" t="inlineStr">
        <is>
          <t>058470</t>
        </is>
      </c>
      <c r="F470" s="29" t="inlineStr">
        <is>
          <t>2025</t>
        </is>
      </c>
      <c r="G470" s="29" t="inlineStr">
        <is>
          <t>OFS</t>
        </is>
      </c>
      <c r="H470" s="29" t="inlineStr">
        <is>
          <t>SCE</t>
        </is>
      </c>
      <c r="I470" s="29" t="inlineStr">
        <is>
          <t>자본변동표</t>
        </is>
      </c>
      <c r="J470" s="29" t="inlineStr">
        <is>
          <t>ifrs-full_DividendsPaid</t>
        </is>
      </c>
      <c r="K470" s="29" t="inlineStr">
        <is>
          <t>배당금의 지급</t>
        </is>
      </c>
      <c r="L470" s="29" t="inlineStr">
        <is>
          <t>별도재무제표 [member]</t>
        </is>
      </c>
      <c r="M470" s="29" t="inlineStr">
        <is>
          <t>제 30 기</t>
        </is>
      </c>
      <c r="N470" s="29" t="inlineStr">
        <is>
          <t>45537360000.0</t>
        </is>
      </c>
      <c r="O470" s="29" t="inlineStr">
        <is>
          <t>45537360000.0</t>
        </is>
      </c>
      <c r="P470" s="29" t="inlineStr">
        <is>
          <t>KRW</t>
        </is>
      </c>
      <c r="Q470" s="29" t="inlineStr">
        <is>
          <t>4</t>
        </is>
      </c>
    </row>
    <row r="471" ht="24" customHeight="1">
      <c r="A471" s="24" t="inlineStr">
        <is>
          <t>OpenDART_fnlttSinglAcntAll</t>
        </is>
      </c>
      <c r="B471" s="24" t="inlineStr">
        <is>
          <t>00369657</t>
        </is>
      </c>
      <c r="C471" s="24" t="inlineStr">
        <is>
          <t>리노공업</t>
        </is>
      </c>
      <c r="D471" s="24" t="inlineStr">
        <is>
          <t>leeno</t>
        </is>
      </c>
      <c r="E471" s="24" t="inlineStr">
        <is>
          <t>058470</t>
        </is>
      </c>
      <c r="F471" s="24" t="inlineStr">
        <is>
          <t>2025</t>
        </is>
      </c>
      <c r="G471" s="24" t="inlineStr">
        <is>
          <t>OFS</t>
        </is>
      </c>
      <c r="H471" s="24" t="inlineStr">
        <is>
          <t>SCE</t>
        </is>
      </c>
      <c r="I471" s="24" t="inlineStr">
        <is>
          <t>자본변동표</t>
        </is>
      </c>
      <c r="J471" s="24" t="inlineStr">
        <is>
          <t>ifrs-full_DividendsPaid</t>
        </is>
      </c>
      <c r="K471" s="24" t="inlineStr">
        <is>
          <t>배당금의 지급</t>
        </is>
      </c>
      <c r="L471" s="24" t="inlineStr">
        <is>
          <t>자본 [구성요소]|이익잉여금 [구성요소]</t>
        </is>
      </c>
      <c r="M471" s="24" t="inlineStr">
        <is>
          <t>제 30 기</t>
        </is>
      </c>
      <c r="N471" s="24" t="inlineStr">
        <is>
          <t>45537360000.0</t>
        </is>
      </c>
      <c r="O471" s="24" t="inlineStr">
        <is>
          <t>45537360000.0</t>
        </is>
      </c>
      <c r="P471" s="24" t="inlineStr">
        <is>
          <t>KRW</t>
        </is>
      </c>
      <c r="Q471" s="24" t="inlineStr">
        <is>
          <t>4</t>
        </is>
      </c>
    </row>
    <row r="472" ht="24" customHeight="1">
      <c r="A472" s="29" t="inlineStr">
        <is>
          <t>OpenDART_fnlttSinglAcntAll</t>
        </is>
      </c>
      <c r="B472" s="29" t="inlineStr">
        <is>
          <t>00369657</t>
        </is>
      </c>
      <c r="C472" s="29" t="inlineStr">
        <is>
          <t>리노공업</t>
        </is>
      </c>
      <c r="D472" s="29" t="inlineStr">
        <is>
          <t>leeno</t>
        </is>
      </c>
      <c r="E472" s="29" t="inlineStr">
        <is>
          <t>058470</t>
        </is>
      </c>
      <c r="F472" s="29" t="inlineStr">
        <is>
          <t>2025</t>
        </is>
      </c>
      <c r="G472" s="29" t="inlineStr">
        <is>
          <t>OFS</t>
        </is>
      </c>
      <c r="H472" s="29" t="inlineStr">
        <is>
          <t>SCE</t>
        </is>
      </c>
      <c r="I472" s="29" t="inlineStr">
        <is>
          <t>자본변동표</t>
        </is>
      </c>
      <c r="J472" s="29" t="inlineStr">
        <is>
          <t>ifrs-full_Equity</t>
        </is>
      </c>
      <c r="K472" s="29" t="inlineStr">
        <is>
          <t>자본총계</t>
        </is>
      </c>
      <c r="L472" s="29" t="inlineStr">
        <is>
          <t>별도재무제표 [member]</t>
        </is>
      </c>
      <c r="M472" s="29" t="inlineStr">
        <is>
          <t>제 30 기</t>
        </is>
      </c>
      <c r="N472" s="29" t="inlineStr">
        <is>
          <t>731218952370.0</t>
        </is>
      </c>
      <c r="O472" s="29" t="inlineStr">
        <is>
          <t>622629112163.0</t>
        </is>
      </c>
      <c r="P472" s="29" t="inlineStr">
        <is>
          <t>KRW</t>
        </is>
      </c>
      <c r="Q472" s="29" t="inlineStr">
        <is>
          <t>5</t>
        </is>
      </c>
    </row>
    <row r="473" ht="24" customHeight="1">
      <c r="A473" s="24" t="inlineStr">
        <is>
          <t>OpenDART_fnlttSinglAcntAll</t>
        </is>
      </c>
      <c r="B473" s="24" t="inlineStr">
        <is>
          <t>00369657</t>
        </is>
      </c>
      <c r="C473" s="24" t="inlineStr">
        <is>
          <t>리노공업</t>
        </is>
      </c>
      <c r="D473" s="24" t="inlineStr">
        <is>
          <t>leeno</t>
        </is>
      </c>
      <c r="E473" s="24" t="inlineStr">
        <is>
          <t>058470</t>
        </is>
      </c>
      <c r="F473" s="24" t="inlineStr">
        <is>
          <t>2025</t>
        </is>
      </c>
      <c r="G473" s="24" t="inlineStr">
        <is>
          <t>OFS</t>
        </is>
      </c>
      <c r="H473" s="24" t="inlineStr">
        <is>
          <t>SCE</t>
        </is>
      </c>
      <c r="I473" s="24" t="inlineStr">
        <is>
          <t>자본변동표</t>
        </is>
      </c>
      <c r="J473" s="24" t="inlineStr">
        <is>
          <t>ifrs-full_Equity</t>
        </is>
      </c>
      <c r="K473" s="24" t="inlineStr">
        <is>
          <t>자본총계</t>
        </is>
      </c>
      <c r="L473" s="24" t="inlineStr">
        <is>
          <t>자본 [구성요소]|자본잉여금 [구성요소]</t>
        </is>
      </c>
      <c r="M473" s="24" t="inlineStr">
        <is>
          <t>제 30 기</t>
        </is>
      </c>
      <c r="N473" s="24" t="inlineStr">
        <is>
          <t>5601810444.0</t>
        </is>
      </c>
      <c r="O473" s="24" t="inlineStr">
        <is>
          <t>5601810444.0</t>
        </is>
      </c>
      <c r="P473" s="24" t="inlineStr">
        <is>
          <t>KRW</t>
        </is>
      </c>
      <c r="Q473" s="24" t="inlineStr">
        <is>
          <t>5</t>
        </is>
      </c>
    </row>
    <row r="474" ht="24" customHeight="1">
      <c r="A474" s="29" t="inlineStr">
        <is>
          <t>OpenDART_fnlttSinglAcntAll</t>
        </is>
      </c>
      <c r="B474" s="29" t="inlineStr">
        <is>
          <t>00369657</t>
        </is>
      </c>
      <c r="C474" s="29" t="inlineStr">
        <is>
          <t>리노공업</t>
        </is>
      </c>
      <c r="D474" s="29" t="inlineStr">
        <is>
          <t>leeno</t>
        </is>
      </c>
      <c r="E474" s="29" t="inlineStr">
        <is>
          <t>058470</t>
        </is>
      </c>
      <c r="F474" s="29" t="inlineStr">
        <is>
          <t>2025</t>
        </is>
      </c>
      <c r="G474" s="29" t="inlineStr">
        <is>
          <t>OFS</t>
        </is>
      </c>
      <c r="H474" s="29" t="inlineStr">
        <is>
          <t>SCE</t>
        </is>
      </c>
      <c r="I474" s="29" t="inlineStr">
        <is>
          <t>자본변동표</t>
        </is>
      </c>
      <c r="J474" s="29" t="inlineStr">
        <is>
          <t>ifrs-full_Equity</t>
        </is>
      </c>
      <c r="K474" s="29" t="inlineStr">
        <is>
          <t>자본총계</t>
        </is>
      </c>
      <c r="L474" s="29" t="inlineStr">
        <is>
          <t>자본 [구성요소]|자본금 [구성요소]</t>
        </is>
      </c>
      <c r="M474" s="29" t="inlineStr">
        <is>
          <t>제 30 기</t>
        </is>
      </c>
      <c r="N474" s="29" t="inlineStr">
        <is>
          <t>7621185000.0</t>
        </is>
      </c>
      <c r="O474" s="29" t="inlineStr">
        <is>
          <t>7621185000.0</t>
        </is>
      </c>
      <c r="P474" s="29" t="inlineStr">
        <is>
          <t>KRW</t>
        </is>
      </c>
      <c r="Q474" s="29" t="inlineStr">
        <is>
          <t>5</t>
        </is>
      </c>
    </row>
    <row r="475" ht="24" customHeight="1">
      <c r="A475" s="24" t="inlineStr">
        <is>
          <t>OpenDART_fnlttSinglAcntAll</t>
        </is>
      </c>
      <c r="B475" s="24" t="inlineStr">
        <is>
          <t>00369657</t>
        </is>
      </c>
      <c r="C475" s="24" t="inlineStr">
        <is>
          <t>리노공업</t>
        </is>
      </c>
      <c r="D475" s="24" t="inlineStr">
        <is>
          <t>leeno</t>
        </is>
      </c>
      <c r="E475" s="24" t="inlineStr">
        <is>
          <t>058470</t>
        </is>
      </c>
      <c r="F475" s="24" t="inlineStr">
        <is>
          <t>2025</t>
        </is>
      </c>
      <c r="G475" s="24" t="inlineStr">
        <is>
          <t>OFS</t>
        </is>
      </c>
      <c r="H475" s="24" t="inlineStr">
        <is>
          <t>SCE</t>
        </is>
      </c>
      <c r="I475" s="24" t="inlineStr">
        <is>
          <t>자본변동표</t>
        </is>
      </c>
      <c r="J475" s="24" t="inlineStr">
        <is>
          <t>ifrs-full_Equity</t>
        </is>
      </c>
      <c r="K475" s="24" t="inlineStr">
        <is>
          <t>자본총계</t>
        </is>
      </c>
      <c r="L475" s="24" t="inlineStr">
        <is>
          <t>자본 [구성요소]|이익잉여금 [구성요소]</t>
        </is>
      </c>
      <c r="M475" s="24" t="inlineStr">
        <is>
          <t>제 30 기</t>
        </is>
      </c>
      <c r="N475" s="24" t="inlineStr">
        <is>
          <t>720349473276.0</t>
        </is>
      </c>
      <c r="O475" s="24" t="inlineStr">
        <is>
          <t>611759633069.0</t>
        </is>
      </c>
      <c r="P475" s="24" t="inlineStr">
        <is>
          <t>KRW</t>
        </is>
      </c>
      <c r="Q475" s="24" t="inlineStr">
        <is>
          <t>5</t>
        </is>
      </c>
    </row>
    <row r="476" ht="24" customHeight="1">
      <c r="A476" s="29" t="inlineStr">
        <is>
          <t>OpenDART_fnlttSinglAcntAll</t>
        </is>
      </c>
      <c r="B476" s="29" t="inlineStr">
        <is>
          <t>00369657</t>
        </is>
      </c>
      <c r="C476" s="29" t="inlineStr">
        <is>
          <t>리노공업</t>
        </is>
      </c>
      <c r="D476" s="29" t="inlineStr">
        <is>
          <t>leeno</t>
        </is>
      </c>
      <c r="E476" s="29" t="inlineStr">
        <is>
          <t>058470</t>
        </is>
      </c>
      <c r="F476" s="29" t="inlineStr">
        <is>
          <t>2025</t>
        </is>
      </c>
      <c r="G476" s="29" t="inlineStr">
        <is>
          <t>OFS</t>
        </is>
      </c>
      <c r="H476" s="29" t="inlineStr">
        <is>
          <t>SCE</t>
        </is>
      </c>
      <c r="I476" s="29" t="inlineStr">
        <is>
          <t>자본변동표</t>
        </is>
      </c>
      <c r="J476" s="29" t="inlineStr">
        <is>
          <t>ifrs-full_Equity</t>
        </is>
      </c>
      <c r="K476" s="29" t="inlineStr">
        <is>
          <t>자본총계</t>
        </is>
      </c>
      <c r="L476" s="29" t="inlineStr">
        <is>
          <t>자본 [구성요소]|기타자본구성요소 [구성요소]</t>
        </is>
      </c>
      <c r="M476" s="29" t="inlineStr">
        <is>
          <t>제 30 기</t>
        </is>
      </c>
      <c r="N476" s="29" t="inlineStr">
        <is>
          <t>-2353516350.0</t>
        </is>
      </c>
      <c r="O476" s="29" t="inlineStr">
        <is>
          <t>-2353516350.0</t>
        </is>
      </c>
      <c r="P476" s="29" t="inlineStr">
        <is>
          <t>KRW</t>
        </is>
      </c>
      <c r="Q476" s="29" t="inlineStr">
        <is>
          <t>5</t>
        </is>
      </c>
    </row>
    <row r="477" ht="24" customHeight="1">
      <c r="A477" s="24" t="inlineStr">
        <is>
          <t>OpenDART_fnlttSinglAcntAll</t>
        </is>
      </c>
      <c r="B477" s="24" t="inlineStr">
        <is>
          <t>00369657</t>
        </is>
      </c>
      <c r="C477" s="24" t="inlineStr">
        <is>
          <t>리노공업</t>
        </is>
      </c>
      <c r="D477" s="24" t="inlineStr">
        <is>
          <t>leeno</t>
        </is>
      </c>
      <c r="E477" s="24" t="inlineStr">
        <is>
          <t>058470</t>
        </is>
      </c>
      <c r="F477" s="24" t="inlineStr">
        <is>
          <t>2025</t>
        </is>
      </c>
      <c r="G477" s="24" t="inlineStr">
        <is>
          <t>OFS</t>
        </is>
      </c>
      <c r="H477" s="24" t="inlineStr">
        <is>
          <t>SCE</t>
        </is>
      </c>
      <c r="I477" s="24" t="inlineStr">
        <is>
          <t>자본변동표</t>
        </is>
      </c>
      <c r="J477" s="24" t="inlineStr">
        <is>
          <t>ifrs-full_OtherComprehensiveIncomeNetOfTaxGainsLossesOnRemeasurementsOfDefinedBenefitPlans</t>
        </is>
      </c>
      <c r="K477" s="24" t="inlineStr">
        <is>
          <t>종업원급여 재측정요소</t>
        </is>
      </c>
      <c r="L477" s="24" t="inlineStr">
        <is>
          <t>자본 [구성요소]|이익잉여금 [구성요소]</t>
        </is>
      </c>
      <c r="M477" s="24" t="inlineStr">
        <is>
          <t>제 30 기</t>
        </is>
      </c>
      <c r="N477" s="24" t="inlineStr">
        <is>
          <t>2166529801.0</t>
        </is>
      </c>
      <c r="O477" s="24" t="inlineStr">
        <is>
          <t>-2186772331.0</t>
        </is>
      </c>
      <c r="P477" s="24" t="inlineStr">
        <is>
          <t>KRW</t>
        </is>
      </c>
      <c r="Q477" s="24" t="inlineStr">
        <is>
          <t>6</t>
        </is>
      </c>
    </row>
    <row r="478" ht="24" customHeight="1">
      <c r="A478" s="29" t="inlineStr">
        <is>
          <t>OpenDART_fnlttSinglAcntAll</t>
        </is>
      </c>
      <c r="B478" s="29" t="inlineStr">
        <is>
          <t>00369657</t>
        </is>
      </c>
      <c r="C478" s="29" t="inlineStr">
        <is>
          <t>리노공업</t>
        </is>
      </c>
      <c r="D478" s="29" t="inlineStr">
        <is>
          <t>leeno</t>
        </is>
      </c>
      <c r="E478" s="29" t="inlineStr">
        <is>
          <t>058470</t>
        </is>
      </c>
      <c r="F478" s="29" t="inlineStr">
        <is>
          <t>2025</t>
        </is>
      </c>
      <c r="G478" s="29" t="inlineStr">
        <is>
          <t>OFS</t>
        </is>
      </c>
      <c r="H478" s="29" t="inlineStr">
        <is>
          <t>SCE</t>
        </is>
      </c>
      <c r="I478" s="29" t="inlineStr">
        <is>
          <t>자본변동표</t>
        </is>
      </c>
      <c r="J478" s="29" t="inlineStr">
        <is>
          <t>ifrs-full_OtherComprehensiveIncomeNetOfTaxGainsLossesOnRemeasurementsOfDefinedBenefitPlans</t>
        </is>
      </c>
      <c r="K478" s="29" t="inlineStr">
        <is>
          <t>종업원급여 재측정요소</t>
        </is>
      </c>
      <c r="L478" s="29" t="inlineStr">
        <is>
          <t>별도재무제표 [member]</t>
        </is>
      </c>
      <c r="M478" s="29" t="inlineStr">
        <is>
          <t>제 30 기</t>
        </is>
      </c>
      <c r="N478" s="29" t="inlineStr">
        <is>
          <t>2166529801.0</t>
        </is>
      </c>
      <c r="O478" s="29" t="inlineStr">
        <is>
          <t>-2186772331.0</t>
        </is>
      </c>
      <c r="P478" s="29" t="inlineStr">
        <is>
          <t>KRW</t>
        </is>
      </c>
      <c r="Q478" s="29" t="inlineStr">
        <is>
          <t>6</t>
        </is>
      </c>
    </row>
    <row r="479" ht="24" customHeight="1">
      <c r="A479" s="24" t="inlineStr">
        <is>
          <t>OpenDART_fnlttSinglAcntAll</t>
        </is>
      </c>
      <c r="B479" s="24" t="inlineStr">
        <is>
          <t>00369657</t>
        </is>
      </c>
      <c r="C479" s="24" t="inlineStr">
        <is>
          <t>리노공업</t>
        </is>
      </c>
      <c r="D479" s="24" t="inlineStr">
        <is>
          <t>leeno</t>
        </is>
      </c>
      <c r="E479" s="24" t="inlineStr">
        <is>
          <t>058470</t>
        </is>
      </c>
      <c r="F479" s="24" t="inlineStr">
        <is>
          <t>2025</t>
        </is>
      </c>
      <c r="G479" s="24" t="inlineStr">
        <is>
          <t>OFS</t>
        </is>
      </c>
      <c r="H479" s="24" t="inlineStr">
        <is>
          <t>SCE</t>
        </is>
      </c>
      <c r="I479" s="24" t="inlineStr">
        <is>
          <t>자본변동표</t>
        </is>
      </c>
      <c r="J479" s="24" t="inlineStr">
        <is>
          <t>ifrs-full_ProfitLoss</t>
        </is>
      </c>
      <c r="K479" s="24" t="inlineStr">
        <is>
          <t>당기순이익</t>
        </is>
      </c>
      <c r="L479" s="24" t="inlineStr">
        <is>
          <t>별도재무제표 [member]</t>
        </is>
      </c>
      <c r="M479" s="24" t="inlineStr">
        <is>
          <t>제 30 기</t>
        </is>
      </c>
      <c r="N479" s="24" t="inlineStr">
        <is>
          <t>151960670406.0</t>
        </is>
      </c>
      <c r="O479" s="24" t="inlineStr">
        <is>
          <t>113279046428.0</t>
        </is>
      </c>
      <c r="P479" s="24" t="inlineStr">
        <is>
          <t>KRW</t>
        </is>
      </c>
      <c r="Q479" s="24" t="inlineStr">
        <is>
          <t>7</t>
        </is>
      </c>
    </row>
    <row r="480" ht="24" customHeight="1">
      <c r="A480" s="29" t="inlineStr">
        <is>
          <t>OpenDART_fnlttSinglAcntAll</t>
        </is>
      </c>
      <c r="B480" s="29" t="inlineStr">
        <is>
          <t>00369657</t>
        </is>
      </c>
      <c r="C480" s="29" t="inlineStr">
        <is>
          <t>리노공업</t>
        </is>
      </c>
      <c r="D480" s="29" t="inlineStr">
        <is>
          <t>leeno</t>
        </is>
      </c>
      <c r="E480" s="29" t="inlineStr">
        <is>
          <t>058470</t>
        </is>
      </c>
      <c r="F480" s="29" t="inlineStr">
        <is>
          <t>2025</t>
        </is>
      </c>
      <c r="G480" s="29" t="inlineStr">
        <is>
          <t>OFS</t>
        </is>
      </c>
      <c r="H480" s="29" t="inlineStr">
        <is>
          <t>SCE</t>
        </is>
      </c>
      <c r="I480" s="29" t="inlineStr">
        <is>
          <t>자본변동표</t>
        </is>
      </c>
      <c r="J480" s="29" t="inlineStr">
        <is>
          <t>ifrs-full_ProfitLoss</t>
        </is>
      </c>
      <c r="K480" s="29" t="inlineStr">
        <is>
          <t>당기순이익</t>
        </is>
      </c>
      <c r="L480" s="29" t="inlineStr">
        <is>
          <t>자본 [구성요소]|이익잉여금 [구성요소]</t>
        </is>
      </c>
      <c r="M480" s="29" t="inlineStr">
        <is>
          <t>제 30 기</t>
        </is>
      </c>
      <c r="N480" s="29" t="inlineStr">
        <is>
          <t>151960670406.0</t>
        </is>
      </c>
      <c r="O480" s="29" t="inlineStr">
        <is>
          <t>113279046428.0</t>
        </is>
      </c>
      <c r="P480" s="29" t="inlineStr">
        <is>
          <t>KRW</t>
        </is>
      </c>
      <c r="Q480" s="29" t="inlineStr">
        <is>
          <t>7</t>
        </is>
      </c>
    </row>
  </sheetData>
  <autoFilter ref="A2:Q480"/>
  <mergeCells count="1"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7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3" customWidth="1" min="31" max="31"/>
  </cols>
  <sheetData>
    <row r="1" ht="30" customHeight="1">
      <c r="A1" s="16" t="inlineStr">
        <is>
          <t>주가 데이터·기술적 지표</t>
        </is>
      </c>
    </row>
    <row r="2" ht="28" customHeight="1">
      <c r="A2" s="17" t="inlineStr">
        <is>
          <t>Valuation Agent 전용 주가 intake: 종가·이동평균·수익률·MDD·롤링 변동성</t>
        </is>
      </c>
    </row>
    <row r="3" ht="24" customHeight="1"/>
    <row r="4" ht="24" customHeight="1">
      <c r="A4" s="22" t="inlineStr">
        <is>
          <t>주가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데이터 행 수</t>
        </is>
      </c>
      <c r="B6" s="30" t="n">
        <v>1212</v>
      </c>
      <c r="C6" s="24" t="inlineStr">
        <is>
          <t>valuation_price_history.csv 기준</t>
        </is>
      </c>
    </row>
    <row r="7" ht="24" customHeight="1">
      <c r="A7" s="29" t="inlineStr">
        <is>
          <t>수집 시작일</t>
        </is>
      </c>
      <c r="B7" s="29" t="inlineStr">
        <is>
          <t>2021-05-20</t>
        </is>
      </c>
      <c r="C7" s="29" t="inlineStr">
        <is>
          <t>가격 데이터 시작</t>
        </is>
      </c>
    </row>
    <row r="8" ht="24" customHeight="1">
      <c r="A8" s="24" t="inlineStr">
        <is>
          <t>수집 종료일</t>
        </is>
      </c>
      <c r="B8" s="24" t="inlineStr">
        <is>
          <t>2026-05-20</t>
        </is>
      </c>
      <c r="C8" s="24" t="inlineStr">
        <is>
          <t>가격 데이터 종료</t>
        </is>
      </c>
    </row>
    <row r="9" ht="24" customHeight="1">
      <c r="A9" s="29" t="inlineStr">
        <is>
          <t>현재가</t>
        </is>
      </c>
      <c r="B9" s="31" t="n">
        <v>96800</v>
      </c>
      <c r="C9" s="29" t="inlineStr">
        <is>
          <t>최근 종가</t>
        </is>
      </c>
    </row>
    <row r="10" ht="24" customHeight="1">
      <c r="A10" s="24" t="inlineStr">
        <is>
          <t>1년 수익률</t>
        </is>
      </c>
      <c r="B10" s="30" t="n">
        <v>1.482051282051282</v>
      </c>
      <c r="C10" s="24" t="inlineStr">
        <is>
          <t>최근 약 1년</t>
        </is>
      </c>
    </row>
    <row r="11" ht="24" customHeight="1">
      <c r="A11" s="29" t="inlineStr">
        <is>
          <t>연환산 변동성</t>
        </is>
      </c>
      <c r="B11" s="31" t="n">
        <v>0.472478348893682</v>
      </c>
      <c r="C11" s="29" t="inlineStr">
        <is>
          <t>일수익률 × √252</t>
        </is>
      </c>
    </row>
    <row r="12" ht="24" customHeight="1">
      <c r="A12" s="24" t="inlineStr">
        <is>
          <t>MDD</t>
        </is>
      </c>
      <c r="B12" s="30" t="n">
        <v>-0.4959731543624161</v>
      </c>
      <c r="C12" s="24" t="inlineStr">
        <is>
          <t>기간 중 최대 낙폭</t>
        </is>
      </c>
    </row>
    <row r="13" ht="24" customHeight="1">
      <c r="A13" s="29" t="inlineStr">
        <is>
          <t>52주 고가</t>
        </is>
      </c>
      <c r="B13" s="31" t="n">
        <v>127000</v>
      </c>
      <c r="C13" s="29" t="inlineStr">
        <is>
          <t>최근 252거래일</t>
        </is>
      </c>
    </row>
    <row r="14" ht="24" customHeight="1">
      <c r="A14" s="24" t="inlineStr">
        <is>
          <t>52주 저가</t>
        </is>
      </c>
      <c r="B14" s="30" t="n">
        <v>36450</v>
      </c>
      <c r="C14" s="24" t="inlineStr">
        <is>
          <t>최근 252거래일</t>
        </is>
      </c>
    </row>
    <row r="15" ht="24" customHeight="1">
      <c r="A15" s="29" t="inlineStr">
        <is>
          <t>발행주식 수</t>
        </is>
      </c>
      <c r="B15" s="31" t="n">
        <v>76211850</v>
      </c>
      <c r="C15" s="29" t="inlineStr">
        <is>
          <t>DART stockTotqySttus</t>
        </is>
      </c>
    </row>
    <row r="16" ht="24" customHeight="1">
      <c r="A16" s="24" t="inlineStr">
        <is>
          <t>시가총액</t>
        </is>
      </c>
      <c r="B16" s="30" t="n">
        <v>7377307080000</v>
      </c>
      <c r="C16" s="24" t="inlineStr">
        <is>
          <t>현재가 × 발행주식 수</t>
        </is>
      </c>
    </row>
    <row r="17" ht="24" customHeight="1">
      <c r="A17" s="22" t="inlineStr">
        <is>
          <t>최근 주가 원천 데이터</t>
        </is>
      </c>
      <c r="B17" s="32" t="n"/>
      <c r="C17" s="32" t="n"/>
      <c r="D17" s="32" t="n"/>
      <c r="E17" s="32" t="n"/>
      <c r="F17" s="33" t="n"/>
    </row>
    <row r="18" ht="24" customHeight="1">
      <c r="A18" s="25" t="inlineStr">
        <is>
          <t>일자</t>
        </is>
      </c>
      <c r="B18" s="34" t="inlineStr">
        <is>
          <t>시가</t>
        </is>
      </c>
      <c r="C18" s="25" t="inlineStr">
        <is>
          <t>고가</t>
        </is>
      </c>
      <c r="D18" s="25" t="inlineStr">
        <is>
          <t>저가</t>
        </is>
      </c>
      <c r="E18" s="25" t="inlineStr">
        <is>
          <t>종가</t>
        </is>
      </c>
      <c r="F18" s="25" t="inlineStr">
        <is>
          <t>수정종가</t>
        </is>
      </c>
      <c r="G18" s="25" t="inlineStr">
        <is>
          <t>거래량</t>
        </is>
      </c>
      <c r="H18" s="25" t="inlineStr">
        <is>
          <t>일수익률</t>
        </is>
      </c>
      <c r="I18" s="25" t="inlineStr">
        <is>
          <t>드로다운</t>
        </is>
      </c>
      <c r="J18" s="25" t="inlineStr">
        <is>
          <t>20일선</t>
        </is>
      </c>
      <c r="K18" s="25" t="inlineStr">
        <is>
          <t>60일선</t>
        </is>
      </c>
      <c r="L18" s="25" t="inlineStr">
        <is>
          <t>120일선</t>
        </is>
      </c>
      <c r="M18" s="25" t="inlineStr">
        <is>
          <t>20일 변동성</t>
        </is>
      </c>
      <c r="N18" s="25" t="inlineStr">
        <is>
          <t>60일 변동성</t>
        </is>
      </c>
      <c r="O18" s="25" t="inlineStr">
        <is>
          <t>20일 수익률</t>
        </is>
      </c>
      <c r="P18" s="25" t="inlineStr">
        <is>
          <t>60일 수익률</t>
        </is>
      </c>
      <c r="Q18" s="25" t="inlineStr">
        <is>
          <t>120일 수익률</t>
        </is>
      </c>
      <c r="R18" s="25" t="inlineStr">
        <is>
          <t>20일선 괴리</t>
        </is>
      </c>
      <c r="S18" s="25" t="inlineStr">
        <is>
          <t>60일선 괴리</t>
        </is>
      </c>
      <c r="T18" s="25" t="inlineStr">
        <is>
          <t>120일선 괴리</t>
        </is>
      </c>
      <c r="U18" s="25" t="inlineStr">
        <is>
          <t>52주 고가</t>
        </is>
      </c>
      <c r="V18" s="25" t="inlineStr">
        <is>
          <t>52주 저가</t>
        </is>
      </c>
      <c r="W18" s="25" t="inlineStr">
        <is>
          <t>52주 고가 대비</t>
        </is>
      </c>
      <c r="X18" s="25" t="inlineStr">
        <is>
          <t>52주 저가 대비</t>
        </is>
      </c>
      <c r="Y18" s="25" t="inlineStr">
        <is>
          <t>발행주식 수</t>
        </is>
      </c>
      <c r="Z18" s="25" t="inlineStr">
        <is>
          <t>시가총액</t>
        </is>
      </c>
      <c r="AA18" s="25" t="inlineStr">
        <is>
          <t>거래대금</t>
        </is>
      </c>
      <c r="AB18" s="25" t="inlineStr">
        <is>
          <t>20일 평균 거래대금</t>
        </is>
      </c>
      <c r="AC18" s="25" t="inlineStr">
        <is>
          <t>거래회전율</t>
        </is>
      </c>
      <c r="AD18" s="25" t="inlineStr">
        <is>
          <t>출처</t>
        </is>
      </c>
      <c r="AE18" s="25" t="inlineStr">
        <is>
          <t>티커</t>
        </is>
      </c>
    </row>
    <row r="19" ht="24" customHeight="1">
      <c r="A19" s="24" t="inlineStr">
        <is>
          <t>2023-06-19</t>
        </is>
      </c>
      <c r="B19" s="30" t="n">
        <v>27060</v>
      </c>
      <c r="C19" s="30" t="n">
        <v>27780</v>
      </c>
      <c r="D19" s="30" t="n">
        <v>26800</v>
      </c>
      <c r="E19" s="30" t="n">
        <v>27340</v>
      </c>
      <c r="F19" s="30" t="n">
        <v>22223.60546875</v>
      </c>
      <c r="G19" s="30" t="n">
        <v>409250</v>
      </c>
      <c r="H19" s="35" t="n">
        <v>0.008112094395280156</v>
      </c>
      <c r="I19" s="35" t="n">
        <v>-0.3570084666039511</v>
      </c>
      <c r="J19" s="30" t="n">
        <v>26325</v>
      </c>
      <c r="K19" s="30" t="n">
        <v>26657</v>
      </c>
      <c r="L19" s="30" t="n">
        <v>29311.66666666667</v>
      </c>
      <c r="M19" s="35" t="n">
        <v>0.3239958516411416</v>
      </c>
      <c r="N19" s="35" t="n">
        <v>0.3901324753581147</v>
      </c>
      <c r="O19" s="35" t="n">
        <v>0.145850796311819</v>
      </c>
      <c r="P19" s="35" t="n">
        <v>-0.006540697674418561</v>
      </c>
      <c r="Q19" s="35" t="n">
        <v>-0.140251572327044</v>
      </c>
      <c r="R19" s="35" t="n">
        <v>0.038556505223172</v>
      </c>
      <c r="S19" s="35" t="n">
        <v>0.02562178789811309</v>
      </c>
      <c r="T19" s="35" t="n">
        <v>-0.06726559390458864</v>
      </c>
      <c r="U19" s="30" t="n">
        <v>35360</v>
      </c>
      <c r="V19" s="30" t="n">
        <v>22160</v>
      </c>
      <c r="W19" s="35" t="n">
        <v>-0.2268099547511312</v>
      </c>
      <c r="X19" s="35" t="n">
        <v>0.2337545126353791</v>
      </c>
      <c r="Y19" s="30" t="n">
        <v>76211850</v>
      </c>
      <c r="Z19" s="30" t="n">
        <v>2083631979000</v>
      </c>
      <c r="AA19" s="30" t="n">
        <v>11188895000</v>
      </c>
      <c r="AB19" s="30" t="n">
        <v>15485791980</v>
      </c>
      <c r="AC19" s="35" t="n">
        <v>0.005369899825289637</v>
      </c>
      <c r="AD19" s="24" t="inlineStr">
        <is>
          <t>yfinance_download</t>
        </is>
      </c>
      <c r="AE19" s="24" t="inlineStr">
        <is>
          <t>058470.KQ</t>
        </is>
      </c>
    </row>
    <row r="20" ht="24" customHeight="1">
      <c r="A20" s="29" t="inlineStr">
        <is>
          <t>2023-06-20</t>
        </is>
      </c>
      <c r="B20" s="31" t="n">
        <v>27580</v>
      </c>
      <c r="C20" s="31" t="n">
        <v>28540</v>
      </c>
      <c r="D20" s="31" t="n">
        <v>27340</v>
      </c>
      <c r="E20" s="31" t="n">
        <v>28420</v>
      </c>
      <c r="F20" s="31" t="n">
        <v>23101.49609375</v>
      </c>
      <c r="G20" s="31" t="n">
        <v>850210</v>
      </c>
      <c r="H20" s="36" t="n">
        <v>0.03950256035113386</v>
      </c>
      <c r="I20" s="36" t="n">
        <v>-0.3316086547507056</v>
      </c>
      <c r="J20" s="31" t="n">
        <v>26476</v>
      </c>
      <c r="K20" s="31" t="n">
        <v>26669.33333333333</v>
      </c>
      <c r="L20" s="31" t="n">
        <v>29275.16666666667</v>
      </c>
      <c r="M20" s="36" t="n">
        <v>0.2732534576808062</v>
      </c>
      <c r="N20" s="36" t="n">
        <v>0.3982306200997529</v>
      </c>
      <c r="O20" s="36" t="n">
        <v>0.1188976377952755</v>
      </c>
      <c r="P20" s="36" t="n">
        <v>0.02673410404624277</v>
      </c>
      <c r="Q20" s="36" t="n">
        <v>-0.1335365853658537</v>
      </c>
      <c r="R20" s="36" t="n">
        <v>0.07342498866898328</v>
      </c>
      <c r="S20" s="36" t="n">
        <v>0.06564343565643438</v>
      </c>
      <c r="T20" s="36" t="n">
        <v>-0.02921133383812224</v>
      </c>
      <c r="U20" s="31" t="n">
        <v>35360</v>
      </c>
      <c r="V20" s="31" t="n">
        <v>22160</v>
      </c>
      <c r="W20" s="36" t="n">
        <v>-0.1962669683257918</v>
      </c>
      <c r="X20" s="36" t="n">
        <v>0.2824909747292419</v>
      </c>
      <c r="Y20" s="31" t="n">
        <v>76211850</v>
      </c>
      <c r="Z20" s="31" t="n">
        <v>2165940777000</v>
      </c>
      <c r="AA20" s="31" t="n">
        <v>24162968200</v>
      </c>
      <c r="AB20" s="31" t="n">
        <v>15384900590</v>
      </c>
      <c r="AC20" s="36" t="n">
        <v>0.01115587667797068</v>
      </c>
      <c r="AD20" s="29" t="inlineStr">
        <is>
          <t>yfinance_download</t>
        </is>
      </c>
      <c r="AE20" s="29" t="inlineStr">
        <is>
          <t>058470.KQ</t>
        </is>
      </c>
    </row>
    <row r="21" ht="24" customHeight="1">
      <c r="A21" s="24" t="inlineStr">
        <is>
          <t>2023-06-21</t>
        </is>
      </c>
      <c r="B21" s="30" t="n">
        <v>28480</v>
      </c>
      <c r="C21" s="30" t="n">
        <v>28620</v>
      </c>
      <c r="D21" s="30" t="n">
        <v>27560</v>
      </c>
      <c r="E21" s="30" t="n">
        <v>27700</v>
      </c>
      <c r="F21" s="30" t="n">
        <v>22516.23828125</v>
      </c>
      <c r="G21" s="30" t="n">
        <v>608950</v>
      </c>
      <c r="H21" s="35" t="n">
        <v>-0.02533427163969038</v>
      </c>
      <c r="I21" s="35" t="n">
        <v>-0.3485418626528692</v>
      </c>
      <c r="J21" s="30" t="n">
        <v>26599</v>
      </c>
      <c r="K21" s="30" t="n">
        <v>26678</v>
      </c>
      <c r="L21" s="30" t="n">
        <v>29244.5</v>
      </c>
      <c r="M21" s="35" t="n">
        <v>0.2921092140053274</v>
      </c>
      <c r="N21" s="35" t="n">
        <v>0.3999730237939373</v>
      </c>
      <c r="O21" s="35" t="n">
        <v>0.09746434231378753</v>
      </c>
      <c r="P21" s="35" t="n">
        <v>0.01913171449595286</v>
      </c>
      <c r="Q21" s="35" t="n">
        <v>-0.117272147864882</v>
      </c>
      <c r="R21" s="35" t="n">
        <v>0.04139253355389294</v>
      </c>
      <c r="S21" s="35" t="n">
        <v>0.03830871879451236</v>
      </c>
      <c r="T21" s="35" t="n">
        <v>-0.05281334951871297</v>
      </c>
      <c r="U21" s="30" t="n">
        <v>35360</v>
      </c>
      <c r="V21" s="30" t="n">
        <v>22160</v>
      </c>
      <c r="W21" s="35" t="n">
        <v>-0.2166289592760181</v>
      </c>
      <c r="X21" s="35" t="n">
        <v>0.25</v>
      </c>
      <c r="Y21" s="30" t="n">
        <v>76211850</v>
      </c>
      <c r="Z21" s="30" t="n">
        <v>2111068245000</v>
      </c>
      <c r="AA21" s="30" t="n">
        <v>16867915000</v>
      </c>
      <c r="AB21" s="30" t="n">
        <v>15489149250</v>
      </c>
      <c r="AC21" s="35" t="n">
        <v>0.007990227241564139</v>
      </c>
      <c r="AD21" s="24" t="inlineStr">
        <is>
          <t>yfinance_download</t>
        </is>
      </c>
      <c r="AE21" s="24" t="inlineStr">
        <is>
          <t>058470.KQ</t>
        </is>
      </c>
    </row>
    <row r="22" ht="24" customHeight="1">
      <c r="A22" s="29" t="inlineStr">
        <is>
          <t>2023-06-22</t>
        </is>
      </c>
      <c r="B22" s="31" t="n">
        <v>27500</v>
      </c>
      <c r="C22" s="31" t="n">
        <v>28140</v>
      </c>
      <c r="D22" s="31" t="n">
        <v>27340</v>
      </c>
      <c r="E22" s="31" t="n">
        <v>27660</v>
      </c>
      <c r="F22" s="31" t="n">
        <v>22483.72265625</v>
      </c>
      <c r="G22" s="31" t="n">
        <v>327110</v>
      </c>
      <c r="H22" s="36" t="n">
        <v>-0.00144404332129966</v>
      </c>
      <c r="I22" s="36" t="n">
        <v>-0.3494825964252116</v>
      </c>
      <c r="J22" s="31" t="n">
        <v>26725</v>
      </c>
      <c r="K22" s="31" t="n">
        <v>26683.66666666667</v>
      </c>
      <c r="L22" s="31" t="n">
        <v>29200.83333333333</v>
      </c>
      <c r="M22" s="36" t="n">
        <v>0.2912406654397756</v>
      </c>
      <c r="N22" s="36" t="n">
        <v>0.3998832170560906</v>
      </c>
      <c r="O22" s="36" t="n">
        <v>0.100238663484487</v>
      </c>
      <c r="P22" s="36" t="n">
        <v>0.01244509516837478</v>
      </c>
      <c r="Q22" s="36" t="n">
        <v>-0.1592705167173253</v>
      </c>
      <c r="R22" s="36" t="n">
        <v>0.03498596819457434</v>
      </c>
      <c r="S22" s="36" t="n">
        <v>0.03658917440131915</v>
      </c>
      <c r="T22" s="36" t="n">
        <v>-0.05276675893952798</v>
      </c>
      <c r="U22" s="31" t="n">
        <v>35360</v>
      </c>
      <c r="V22" s="31" t="n">
        <v>22160</v>
      </c>
      <c r="W22" s="36" t="n">
        <v>-0.2177601809954751</v>
      </c>
      <c r="X22" s="36" t="n">
        <v>0.2481949458483754</v>
      </c>
      <c r="Y22" s="31" t="n">
        <v>76211850</v>
      </c>
      <c r="Z22" s="31" t="n">
        <v>2108019771000</v>
      </c>
      <c r="AA22" s="31" t="n">
        <v>9047862600</v>
      </c>
      <c r="AB22" s="31" t="n">
        <v>15522653415</v>
      </c>
      <c r="AC22" s="36" t="n">
        <v>0.00429211467770432</v>
      </c>
      <c r="AD22" s="29" t="inlineStr">
        <is>
          <t>yfinance_download</t>
        </is>
      </c>
      <c r="AE22" s="29" t="inlineStr">
        <is>
          <t>058470.KQ</t>
        </is>
      </c>
    </row>
    <row r="23" ht="24" customHeight="1">
      <c r="A23" s="24" t="inlineStr">
        <is>
          <t>2023-06-23</t>
        </is>
      </c>
      <c r="B23" s="30" t="n">
        <v>27820</v>
      </c>
      <c r="C23" s="30" t="n">
        <v>28000</v>
      </c>
      <c r="D23" s="30" t="n">
        <v>27360</v>
      </c>
      <c r="E23" s="30" t="n">
        <v>27680</v>
      </c>
      <c r="F23" s="30" t="n">
        <v>22499.98046875</v>
      </c>
      <c r="G23" s="30" t="n">
        <v>293225</v>
      </c>
      <c r="H23" s="35" t="n">
        <v>0.000723065798987621</v>
      </c>
      <c r="I23" s="35" t="n">
        <v>-0.3490122295390404</v>
      </c>
      <c r="J23" s="30" t="n">
        <v>26867</v>
      </c>
      <c r="K23" s="30" t="n">
        <v>26670.66666666667</v>
      </c>
      <c r="L23" s="30" t="n">
        <v>29154</v>
      </c>
      <c r="M23" s="35" t="n">
        <v>0.2849082917957791</v>
      </c>
      <c r="N23" s="35" t="n">
        <v>0.3905578959001212</v>
      </c>
      <c r="O23" s="35" t="n">
        <v>0.1143317230273753</v>
      </c>
      <c r="P23" s="35" t="n">
        <v>-0.02740688685874915</v>
      </c>
      <c r="Q23" s="35" t="n">
        <v>-0.1687687687687688</v>
      </c>
      <c r="R23" s="35" t="n">
        <v>0.03026017046934903</v>
      </c>
      <c r="S23" s="35" t="n">
        <v>0.03784432335149712</v>
      </c>
      <c r="T23" s="35" t="n">
        <v>-0.05055909995197916</v>
      </c>
      <c r="U23" s="30" t="n">
        <v>35360</v>
      </c>
      <c r="V23" s="30" t="n">
        <v>22160</v>
      </c>
      <c r="W23" s="35" t="n">
        <v>-0.2171945701357466</v>
      </c>
      <c r="X23" s="35" t="n">
        <v>0.2490974729241877</v>
      </c>
      <c r="Y23" s="30" t="n">
        <v>76211850</v>
      </c>
      <c r="Z23" s="30" t="n">
        <v>2109544008000</v>
      </c>
      <c r="AA23" s="30" t="n">
        <v>8116468000</v>
      </c>
      <c r="AB23" s="30" t="n">
        <v>15265608995</v>
      </c>
      <c r="AC23" s="35" t="n">
        <v>0.003847498781357492</v>
      </c>
      <c r="AD23" s="24" t="inlineStr">
        <is>
          <t>yfinance_download</t>
        </is>
      </c>
      <c r="AE23" s="24" t="inlineStr">
        <is>
          <t>058470.KQ</t>
        </is>
      </c>
    </row>
    <row r="24" ht="24" customHeight="1">
      <c r="A24" s="29" t="inlineStr">
        <is>
          <t>2023-06-26</t>
        </is>
      </c>
      <c r="B24" s="31" t="n">
        <v>27620</v>
      </c>
      <c r="C24" s="31" t="n">
        <v>29180</v>
      </c>
      <c r="D24" s="31" t="n">
        <v>27120</v>
      </c>
      <c r="E24" s="31" t="n">
        <v>28860</v>
      </c>
      <c r="F24" s="31" t="n">
        <v>23459.15625</v>
      </c>
      <c r="G24" s="31" t="n">
        <v>896810</v>
      </c>
      <c r="H24" s="36" t="n">
        <v>0.04263005780346818</v>
      </c>
      <c r="I24" s="36" t="n">
        <v>-0.3212605832549389</v>
      </c>
      <c r="J24" s="31" t="n">
        <v>27068</v>
      </c>
      <c r="K24" s="31" t="n">
        <v>26675</v>
      </c>
      <c r="L24" s="31" t="n">
        <v>29128.5</v>
      </c>
      <c r="M24" s="36" t="n">
        <v>0.312670119913379</v>
      </c>
      <c r="N24" s="36" t="n">
        <v>0.4001806523062619</v>
      </c>
      <c r="O24" s="36" t="n">
        <v>0.1618357487922706</v>
      </c>
      <c r="P24" s="36" t="n">
        <v>0.009090909090909038</v>
      </c>
      <c r="Q24" s="36" t="n">
        <v>-0.09586466165413532</v>
      </c>
      <c r="R24" s="36" t="n">
        <v>0.06620363528890194</v>
      </c>
      <c r="S24" s="36" t="n">
        <v>0.08191190253045932</v>
      </c>
      <c r="T24" s="36" t="n">
        <v>-0.009217776404552236</v>
      </c>
      <c r="U24" s="31" t="n">
        <v>35360</v>
      </c>
      <c r="V24" s="31" t="n">
        <v>22160</v>
      </c>
      <c r="W24" s="36" t="n">
        <v>-0.1838235294117647</v>
      </c>
      <c r="X24" s="36" t="n">
        <v>0.302346570397112</v>
      </c>
      <c r="Y24" s="31" t="n">
        <v>76211850</v>
      </c>
      <c r="Z24" s="31" t="n">
        <v>2199473991000</v>
      </c>
      <c r="AA24" s="31" t="n">
        <v>25881936600</v>
      </c>
      <c r="AB24" s="31" t="n">
        <v>15918709625</v>
      </c>
      <c r="AC24" s="36" t="n">
        <v>0.01176733014616493</v>
      </c>
      <c r="AD24" s="29" t="inlineStr">
        <is>
          <t>yfinance_download</t>
        </is>
      </c>
      <c r="AE24" s="29" t="inlineStr">
        <is>
          <t>058470.KQ</t>
        </is>
      </c>
    </row>
    <row r="25" ht="24" customHeight="1">
      <c r="A25" s="24" t="inlineStr">
        <is>
          <t>2023-06-27</t>
        </is>
      </c>
      <c r="B25" s="30" t="n">
        <v>28740</v>
      </c>
      <c r="C25" s="30" t="n">
        <v>28740</v>
      </c>
      <c r="D25" s="30" t="n">
        <v>27860</v>
      </c>
      <c r="E25" s="30" t="n">
        <v>27960</v>
      </c>
      <c r="F25" s="30" t="n">
        <v>22727.58203125</v>
      </c>
      <c r="G25" s="30" t="n">
        <v>633860</v>
      </c>
      <c r="H25" s="35" t="n">
        <v>-0.03118503118503113</v>
      </c>
      <c r="I25" s="35" t="n">
        <v>-0.3424270931326434</v>
      </c>
      <c r="J25" s="30" t="n">
        <v>27204</v>
      </c>
      <c r="K25" s="30" t="n">
        <v>26665.33333333333</v>
      </c>
      <c r="L25" s="30" t="n">
        <v>29102.33333333333</v>
      </c>
      <c r="M25" s="35" t="n">
        <v>0.3397209441988634</v>
      </c>
      <c r="N25" s="35" t="n">
        <v>0.4053833827187716</v>
      </c>
      <c r="O25" s="35" t="n">
        <v>0.1077654516640254</v>
      </c>
      <c r="P25" s="35" t="n">
        <v>-0.02032235459004905</v>
      </c>
      <c r="Q25" s="35" t="n">
        <v>-0.1009646302250804</v>
      </c>
      <c r="R25" s="35" t="n">
        <v>0.02779003087781207</v>
      </c>
      <c r="S25" s="35" t="n">
        <v>0.04855242762138112</v>
      </c>
      <c r="T25" s="35" t="n">
        <v>-0.03925229363052218</v>
      </c>
      <c r="U25" s="30" t="n">
        <v>35360</v>
      </c>
      <c r="V25" s="30" t="n">
        <v>22160</v>
      </c>
      <c r="W25" s="35" t="n">
        <v>-0.2092760180995475</v>
      </c>
      <c r="X25" s="35" t="n">
        <v>0.2617328519855595</v>
      </c>
      <c r="Y25" s="30" t="n">
        <v>76211850</v>
      </c>
      <c r="Z25" s="30" t="n">
        <v>2130883326000</v>
      </c>
      <c r="AA25" s="30" t="n">
        <v>17722725600</v>
      </c>
      <c r="AB25" s="30" t="n">
        <v>15528377075</v>
      </c>
      <c r="AC25" s="35" t="n">
        <v>0.008317079299347805</v>
      </c>
      <c r="AD25" s="24" t="inlineStr">
        <is>
          <t>yfinance_download</t>
        </is>
      </c>
      <c r="AE25" s="24" t="inlineStr">
        <is>
          <t>058470.KQ</t>
        </is>
      </c>
    </row>
    <row r="26" ht="24" customHeight="1">
      <c r="A26" s="29" t="inlineStr">
        <is>
          <t>2023-06-28</t>
        </is>
      </c>
      <c r="B26" s="31" t="n">
        <v>28140</v>
      </c>
      <c r="C26" s="31" t="n">
        <v>30000</v>
      </c>
      <c r="D26" s="31" t="n">
        <v>28140</v>
      </c>
      <c r="E26" s="31" t="n">
        <v>30000</v>
      </c>
      <c r="F26" s="31" t="n">
        <v>24385.81640625</v>
      </c>
      <c r="G26" s="31" t="n">
        <v>1615995</v>
      </c>
      <c r="H26" s="36" t="n">
        <v>0.07296137339055786</v>
      </c>
      <c r="I26" s="36" t="n">
        <v>-0.2944496707431796</v>
      </c>
      <c r="J26" s="31" t="n">
        <v>27389</v>
      </c>
      <c r="K26" s="31" t="n">
        <v>26687.33333333333</v>
      </c>
      <c r="L26" s="31" t="n">
        <v>29100.66666666667</v>
      </c>
      <c r="M26" s="36" t="n">
        <v>0.3969830821372006</v>
      </c>
      <c r="N26" s="36" t="n">
        <v>0.432029807699752</v>
      </c>
      <c r="O26" s="36" t="n">
        <v>0.1406844106463878</v>
      </c>
      <c r="P26" s="36" t="n">
        <v>0.04602510460251041</v>
      </c>
      <c r="Q26" s="36" t="n">
        <v>-0.006622516556291425</v>
      </c>
      <c r="R26" s="36" t="n">
        <v>0.09533024206798357</v>
      </c>
      <c r="S26" s="36" t="n">
        <v>0.1241288001798606</v>
      </c>
      <c r="T26" s="36" t="n">
        <v>0.03090421754369888</v>
      </c>
      <c r="U26" s="31" t="n">
        <v>35360</v>
      </c>
      <c r="V26" s="31" t="n">
        <v>22160</v>
      </c>
      <c r="W26" s="36" t="n">
        <v>-0.1515837104072398</v>
      </c>
      <c r="X26" s="36" t="n">
        <v>0.3537906137184115</v>
      </c>
      <c r="Y26" s="31" t="n">
        <v>76211850</v>
      </c>
      <c r="Z26" s="31" t="n">
        <v>2286355500000</v>
      </c>
      <c r="AA26" s="31" t="n">
        <v>48479850000</v>
      </c>
      <c r="AB26" s="31" t="n">
        <v>16044015275</v>
      </c>
      <c r="AC26" s="36" t="n">
        <v>0.02120398599430404</v>
      </c>
      <c r="AD26" s="29" t="inlineStr">
        <is>
          <t>yfinance_download</t>
        </is>
      </c>
      <c r="AE26" s="29" t="inlineStr">
        <is>
          <t>058470.KQ</t>
        </is>
      </c>
    </row>
    <row r="27" ht="24" customHeight="1">
      <c r="A27" s="24" t="inlineStr">
        <is>
          <t>2023-06-29</t>
        </is>
      </c>
      <c r="B27" s="30" t="n">
        <v>29920</v>
      </c>
      <c r="C27" s="30" t="n">
        <v>29960</v>
      </c>
      <c r="D27" s="30" t="n">
        <v>29080</v>
      </c>
      <c r="E27" s="30" t="n">
        <v>29280</v>
      </c>
      <c r="F27" s="30" t="n">
        <v>23800.556640625</v>
      </c>
      <c r="G27" s="30" t="n">
        <v>779095</v>
      </c>
      <c r="H27" s="35" t="n">
        <v>-0.02400000000000002</v>
      </c>
      <c r="I27" s="35" t="n">
        <v>-0.3113828786453434</v>
      </c>
      <c r="J27" s="30" t="n">
        <v>27556</v>
      </c>
      <c r="K27" s="30" t="n">
        <v>26697.66666666667</v>
      </c>
      <c r="L27" s="30" t="n">
        <v>29090.5</v>
      </c>
      <c r="M27" s="35" t="n">
        <v>0.4056664543738265</v>
      </c>
      <c r="N27" s="35" t="n">
        <v>0.4350767361073142</v>
      </c>
      <c r="O27" s="35" t="n">
        <v>0.1287586738627602</v>
      </c>
      <c r="P27" s="35" t="n">
        <v>0.02163293789253307</v>
      </c>
      <c r="Q27" s="35" t="n">
        <v>-0.04000000000000004</v>
      </c>
      <c r="R27" s="35" t="n">
        <v>0.06256350704020908</v>
      </c>
      <c r="S27" s="35" t="n">
        <v>0.09672505712109669</v>
      </c>
      <c r="T27" s="35" t="n">
        <v>0.006514154105292214</v>
      </c>
      <c r="U27" s="30" t="n">
        <v>35360</v>
      </c>
      <c r="V27" s="30" t="n">
        <v>22160</v>
      </c>
      <c r="W27" s="35" t="n">
        <v>-0.1719457013574661</v>
      </c>
      <c r="X27" s="35" t="n">
        <v>0.3212996389891696</v>
      </c>
      <c r="Y27" s="30" t="n">
        <v>76211850</v>
      </c>
      <c r="Z27" s="30" t="n">
        <v>2231482968000</v>
      </c>
      <c r="AA27" s="30" t="n">
        <v>22811901600</v>
      </c>
      <c r="AB27" s="30" t="n">
        <v>16409678795</v>
      </c>
      <c r="AC27" s="35" t="n">
        <v>0.01022275407302145</v>
      </c>
      <c r="AD27" s="24" t="inlineStr">
        <is>
          <t>yfinance_download</t>
        </is>
      </c>
      <c r="AE27" s="24" t="inlineStr">
        <is>
          <t>058470.KQ</t>
        </is>
      </c>
    </row>
    <row r="28" ht="24" customHeight="1">
      <c r="A28" s="29" t="inlineStr">
        <is>
          <t>2023-06-30</t>
        </is>
      </c>
      <c r="B28" s="31" t="n">
        <v>29120</v>
      </c>
      <c r="C28" s="31" t="n">
        <v>29860</v>
      </c>
      <c r="D28" s="31" t="n">
        <v>28580</v>
      </c>
      <c r="E28" s="31" t="n">
        <v>29400</v>
      </c>
      <c r="F28" s="31" t="n">
        <v>23898.099609375</v>
      </c>
      <c r="G28" s="31" t="n">
        <v>639760</v>
      </c>
      <c r="H28" s="36" t="n">
        <v>0.004098360655737654</v>
      </c>
      <c r="I28" s="36" t="n">
        <v>-0.308560677328316</v>
      </c>
      <c r="J28" s="31" t="n">
        <v>27716</v>
      </c>
      <c r="K28" s="31" t="n">
        <v>26715</v>
      </c>
      <c r="L28" s="31" t="n">
        <v>29075.5</v>
      </c>
      <c r="M28" s="36" t="n">
        <v>0.4055055422080933</v>
      </c>
      <c r="N28" s="36" t="n">
        <v>0.4344992891219315</v>
      </c>
      <c r="O28" s="36" t="n">
        <v>0.1221374045801527</v>
      </c>
      <c r="P28" s="36" t="n">
        <v>0.03667136812411842</v>
      </c>
      <c r="Q28" s="36" t="n">
        <v>-0.05769230769230771</v>
      </c>
      <c r="R28" s="36" t="n">
        <v>0.06075912830134222</v>
      </c>
      <c r="S28" s="36" t="n">
        <v>0.1005053340819764</v>
      </c>
      <c r="T28" s="36" t="n">
        <v>0.01116059912985157</v>
      </c>
      <c r="U28" s="31" t="n">
        <v>35360</v>
      </c>
      <c r="V28" s="31" t="n">
        <v>22160</v>
      </c>
      <c r="W28" s="36" t="n">
        <v>-0.168552036199095</v>
      </c>
      <c r="X28" s="36" t="n">
        <v>0.3267148014440433</v>
      </c>
      <c r="Y28" s="31" t="n">
        <v>76211850</v>
      </c>
      <c r="Z28" s="31" t="n">
        <v>2240628390000</v>
      </c>
      <c r="AA28" s="31" t="n">
        <v>18808944000</v>
      </c>
      <c r="AB28" s="31" t="n">
        <v>16989175145</v>
      </c>
      <c r="AC28" s="36" t="n">
        <v>0.008394495081801583</v>
      </c>
      <c r="AD28" s="29" t="inlineStr">
        <is>
          <t>yfinance_download</t>
        </is>
      </c>
      <c r="AE28" s="29" t="inlineStr">
        <is>
          <t>058470.KQ</t>
        </is>
      </c>
    </row>
    <row r="29" ht="24" customHeight="1">
      <c r="A29" s="24" t="inlineStr">
        <is>
          <t>2023-07-03</t>
        </is>
      </c>
      <c r="B29" s="30" t="n">
        <v>29960</v>
      </c>
      <c r="C29" s="30" t="n">
        <v>31520</v>
      </c>
      <c r="D29" s="30" t="n">
        <v>29800</v>
      </c>
      <c r="E29" s="30" t="n">
        <v>30680</v>
      </c>
      <c r="F29" s="30" t="n">
        <v>24938.560546875</v>
      </c>
      <c r="G29" s="30" t="n">
        <v>1053800</v>
      </c>
      <c r="H29" s="35" t="n">
        <v>0.0435374149659864</v>
      </c>
      <c r="I29" s="35" t="n">
        <v>-0.2784571966133584</v>
      </c>
      <c r="J29" s="30" t="n">
        <v>27944</v>
      </c>
      <c r="K29" s="30" t="n">
        <v>26765</v>
      </c>
      <c r="L29" s="30" t="n">
        <v>29071.83333333333</v>
      </c>
      <c r="M29" s="35" t="n">
        <v>0.4248472654943479</v>
      </c>
      <c r="N29" s="35" t="n">
        <v>0.4399373158548497</v>
      </c>
      <c r="O29" s="35" t="n">
        <v>0.1745788667687596</v>
      </c>
      <c r="P29" s="35" t="n">
        <v>0.1083815028901733</v>
      </c>
      <c r="Q29" s="35" t="n">
        <v>-0.01413881748071977</v>
      </c>
      <c r="R29" s="35" t="n">
        <v>0.09791010592613802</v>
      </c>
      <c r="S29" s="35" t="n">
        <v>0.1462731178778256</v>
      </c>
      <c r="T29" s="35" t="n">
        <v>0.05531700213838131</v>
      </c>
      <c r="U29" s="30" t="n">
        <v>35360</v>
      </c>
      <c r="V29" s="30" t="n">
        <v>22160</v>
      </c>
      <c r="W29" s="35" t="n">
        <v>-0.1323529411764706</v>
      </c>
      <c r="X29" s="35" t="n">
        <v>0.3844765342960288</v>
      </c>
      <c r="Y29" s="30" t="n">
        <v>76211850</v>
      </c>
      <c r="Z29" s="30" t="n">
        <v>2338179558000</v>
      </c>
      <c r="AA29" s="30" t="n">
        <v>32330584000</v>
      </c>
      <c r="AB29" s="30" t="n">
        <v>17987620255</v>
      </c>
      <c r="AC29" s="35" t="n">
        <v>0.01382724602538844</v>
      </c>
      <c r="AD29" s="24" t="inlineStr">
        <is>
          <t>yfinance_download</t>
        </is>
      </c>
      <c r="AE29" s="24" t="inlineStr">
        <is>
          <t>058470.KQ</t>
        </is>
      </c>
    </row>
    <row r="30" ht="24" customHeight="1">
      <c r="A30" s="29" t="inlineStr">
        <is>
          <t>2023-07-04</t>
        </is>
      </c>
      <c r="B30" s="31" t="n">
        <v>30700</v>
      </c>
      <c r="C30" s="31" t="n">
        <v>31320</v>
      </c>
      <c r="D30" s="31" t="n">
        <v>30280</v>
      </c>
      <c r="E30" s="31" t="n">
        <v>31000</v>
      </c>
      <c r="F30" s="31" t="n">
        <v>25198.677734375</v>
      </c>
      <c r="G30" s="31" t="n">
        <v>497870</v>
      </c>
      <c r="H30" s="36" t="n">
        <v>0.0104302477183833</v>
      </c>
      <c r="I30" s="36" t="n">
        <v>-0.270931326434619</v>
      </c>
      <c r="J30" s="31" t="n">
        <v>28185</v>
      </c>
      <c r="K30" s="31" t="n">
        <v>26825</v>
      </c>
      <c r="L30" s="31" t="n">
        <v>29062.66666666667</v>
      </c>
      <c r="M30" s="36" t="n">
        <v>0.4242752608455216</v>
      </c>
      <c r="N30" s="36" t="n">
        <v>0.4395159314734778</v>
      </c>
      <c r="O30" s="36" t="n">
        <v>0.1841100076394193</v>
      </c>
      <c r="P30" s="36" t="n">
        <v>0.1313868613138687</v>
      </c>
      <c r="Q30" s="36" t="n">
        <v>-0.03426791277258567</v>
      </c>
      <c r="R30" s="36" t="n">
        <v>0.09987582047188215</v>
      </c>
      <c r="S30" s="36" t="n">
        <v>0.1556383970177073</v>
      </c>
      <c r="T30" s="36" t="n">
        <v>0.0666605496169197</v>
      </c>
      <c r="U30" s="31" t="n">
        <v>35360</v>
      </c>
      <c r="V30" s="31" t="n">
        <v>22160</v>
      </c>
      <c r="W30" s="36" t="n">
        <v>-0.1233031674208145</v>
      </c>
      <c r="X30" s="36" t="n">
        <v>0.3989169675090252</v>
      </c>
      <c r="Y30" s="31" t="n">
        <v>76211850</v>
      </c>
      <c r="Z30" s="31" t="n">
        <v>2362567350000</v>
      </c>
      <c r="AA30" s="31" t="n">
        <v>15433970000</v>
      </c>
      <c r="AB30" s="31" t="n">
        <v>18319429305</v>
      </c>
      <c r="AC30" s="36" t="n">
        <v>0.00653271112038351</v>
      </c>
      <c r="AD30" s="29" t="inlineStr">
        <is>
          <t>yfinance_download</t>
        </is>
      </c>
      <c r="AE30" s="29" t="inlineStr">
        <is>
          <t>058470.KQ</t>
        </is>
      </c>
    </row>
    <row r="31" ht="24" customHeight="1">
      <c r="A31" s="24" t="inlineStr">
        <is>
          <t>2023-07-05</t>
        </is>
      </c>
      <c r="B31" s="30" t="n">
        <v>30700</v>
      </c>
      <c r="C31" s="30" t="n">
        <v>31600</v>
      </c>
      <c r="D31" s="30" t="n">
        <v>30680</v>
      </c>
      <c r="E31" s="30" t="n">
        <v>31200</v>
      </c>
      <c r="F31" s="30" t="n">
        <v>25361.25</v>
      </c>
      <c r="G31" s="30" t="n">
        <v>517130</v>
      </c>
      <c r="H31" s="35" t="n">
        <v>0.006451612903225712</v>
      </c>
      <c r="I31" s="35" t="n">
        <v>-0.2662276575729069</v>
      </c>
      <c r="J31" s="30" t="n">
        <v>28414</v>
      </c>
      <c r="K31" s="30" t="n">
        <v>26901.33333333333</v>
      </c>
      <c r="L31" s="30" t="n">
        <v>29052.66666666667</v>
      </c>
      <c r="M31" s="35" t="n">
        <v>0.4232803921602928</v>
      </c>
      <c r="N31" s="35" t="n">
        <v>0.4348288450876341</v>
      </c>
      <c r="O31" s="35" t="n">
        <v>0.1720510894064613</v>
      </c>
      <c r="P31" s="35" t="n">
        <v>0.1720510894064613</v>
      </c>
      <c r="Q31" s="35" t="n">
        <v>-0.03703703703703709</v>
      </c>
      <c r="R31" s="35" t="n">
        <v>0.09805025691560498</v>
      </c>
      <c r="S31" s="35" t="n">
        <v>0.1597938144329898</v>
      </c>
      <c r="T31" s="35" t="n">
        <v>0.07391174648339782</v>
      </c>
      <c r="U31" s="30" t="n">
        <v>35360</v>
      </c>
      <c r="V31" s="30" t="n">
        <v>22160</v>
      </c>
      <c r="W31" s="35" t="n">
        <v>-0.1176470588235294</v>
      </c>
      <c r="X31" s="35" t="n">
        <v>0.407942238267148</v>
      </c>
      <c r="Y31" s="30" t="n">
        <v>76211850</v>
      </c>
      <c r="Z31" s="30" t="n">
        <v>2377809720000</v>
      </c>
      <c r="AA31" s="30" t="n">
        <v>16134456000</v>
      </c>
      <c r="AB31" s="30" t="n">
        <v>18232312400</v>
      </c>
      <c r="AC31" s="35" t="n">
        <v>0.006785427725478387</v>
      </c>
      <c r="AD31" s="24" t="inlineStr">
        <is>
          <t>yfinance_download</t>
        </is>
      </c>
      <c r="AE31" s="24" t="inlineStr">
        <is>
          <t>058470.KQ</t>
        </is>
      </c>
    </row>
    <row r="32" ht="24" customHeight="1">
      <c r="A32" s="29" t="inlineStr">
        <is>
          <t>2023-07-06</t>
        </is>
      </c>
      <c r="B32" s="31" t="n">
        <v>30840</v>
      </c>
      <c r="C32" s="31" t="n">
        <v>30840</v>
      </c>
      <c r="D32" s="31" t="n">
        <v>29760</v>
      </c>
      <c r="E32" s="31" t="n">
        <v>29980</v>
      </c>
      <c r="F32" s="31" t="n">
        <v>24369.55859375</v>
      </c>
      <c r="G32" s="31" t="n">
        <v>704350</v>
      </c>
      <c r="H32" s="36" t="n">
        <v>-0.03910256410256407</v>
      </c>
      <c r="I32" s="36" t="n">
        <v>-0.2949200376293509</v>
      </c>
      <c r="J32" s="31" t="n">
        <v>28594</v>
      </c>
      <c r="K32" s="31" t="n">
        <v>26939.33333333333</v>
      </c>
      <c r="L32" s="31" t="n">
        <v>29034.16666666667</v>
      </c>
      <c r="M32" s="36" t="n">
        <v>0.4520973427167701</v>
      </c>
      <c r="N32" s="36" t="n">
        <v>0.4360978228936154</v>
      </c>
      <c r="O32" s="36" t="n">
        <v>0.1364670204700531</v>
      </c>
      <c r="P32" s="36" t="n">
        <v>0.08231046931407948</v>
      </c>
      <c r="Q32" s="36" t="n">
        <v>-0.06894409937888202</v>
      </c>
      <c r="R32" s="36" t="n">
        <v>0.04847170735119266</v>
      </c>
      <c r="S32" s="36" t="n">
        <v>0.1128708950976267</v>
      </c>
      <c r="T32" s="36" t="n">
        <v>0.03257656209638071</v>
      </c>
      <c r="U32" s="31" t="n">
        <v>35360</v>
      </c>
      <c r="V32" s="31" t="n">
        <v>22160</v>
      </c>
      <c r="W32" s="36" t="n">
        <v>-0.1521493212669683</v>
      </c>
      <c r="X32" s="36" t="n">
        <v>0.3528880866425992</v>
      </c>
      <c r="Y32" s="31" t="n">
        <v>76211850</v>
      </c>
      <c r="Z32" s="31" t="n">
        <v>2284831263000</v>
      </c>
      <c r="AA32" s="31" t="n">
        <v>21116413000</v>
      </c>
      <c r="AB32" s="31" t="n">
        <v>18658251195</v>
      </c>
      <c r="AC32" s="36" t="n">
        <v>0.009242001079884559</v>
      </c>
      <c r="AD32" s="29" t="inlineStr">
        <is>
          <t>yfinance_download</t>
        </is>
      </c>
      <c r="AE32" s="29" t="inlineStr">
        <is>
          <t>058470.KQ</t>
        </is>
      </c>
    </row>
    <row r="33" ht="24" customHeight="1">
      <c r="A33" s="24" t="inlineStr">
        <is>
          <t>2023-07-07</t>
        </is>
      </c>
      <c r="B33" s="30" t="n">
        <v>29620</v>
      </c>
      <c r="C33" s="30" t="n">
        <v>30180</v>
      </c>
      <c r="D33" s="30" t="n">
        <v>29300</v>
      </c>
      <c r="E33" s="30" t="n">
        <v>29620</v>
      </c>
      <c r="F33" s="30" t="n">
        <v>24076.9296875</v>
      </c>
      <c r="G33" s="30" t="n">
        <v>349255</v>
      </c>
      <c r="H33" s="35" t="n">
        <v>-0.01200800533689128</v>
      </c>
      <c r="I33" s="35" t="n">
        <v>-0.3033866415804327</v>
      </c>
      <c r="J33" s="30" t="n">
        <v>28712</v>
      </c>
      <c r="K33" s="30" t="n">
        <v>26974.66666666667</v>
      </c>
      <c r="L33" s="30" t="n">
        <v>29011.83333333333</v>
      </c>
      <c r="M33" s="35" t="n">
        <v>0.4453751287763094</v>
      </c>
      <c r="N33" s="35" t="n">
        <v>0.4366258983590549</v>
      </c>
      <c r="O33" s="35" t="n">
        <v>0.08657373440939109</v>
      </c>
      <c r="P33" s="35" t="n">
        <v>0.0770909090909091</v>
      </c>
      <c r="Q33" s="35" t="n">
        <v>-0.08297213622291022</v>
      </c>
      <c r="R33" s="35" t="n">
        <v>0.03162440791306764</v>
      </c>
      <c r="S33" s="35" t="n">
        <v>0.09806732242597982</v>
      </c>
      <c r="T33" s="35" t="n">
        <v>0.02096271061808119</v>
      </c>
      <c r="U33" s="30" t="n">
        <v>35360</v>
      </c>
      <c r="V33" s="30" t="n">
        <v>22160</v>
      </c>
      <c r="W33" s="35" t="n">
        <v>-0.1623303167420814</v>
      </c>
      <c r="X33" s="35" t="n">
        <v>0.3366425992779782</v>
      </c>
      <c r="Y33" s="30" t="n">
        <v>76211850</v>
      </c>
      <c r="Z33" s="30" t="n">
        <v>2257394997000</v>
      </c>
      <c r="AA33" s="30" t="n">
        <v>10344933100</v>
      </c>
      <c r="AB33" s="30" t="n">
        <v>18259773115</v>
      </c>
      <c r="AC33" s="35" t="n">
        <v>0.004582686288287189</v>
      </c>
      <c r="AD33" s="24" t="inlineStr">
        <is>
          <t>yfinance_download</t>
        </is>
      </c>
      <c r="AE33" s="24" t="inlineStr">
        <is>
          <t>058470.KQ</t>
        </is>
      </c>
    </row>
    <row r="34" ht="24" customHeight="1">
      <c r="A34" s="29" t="inlineStr">
        <is>
          <t>2023-07-10</t>
        </is>
      </c>
      <c r="B34" s="31" t="n">
        <v>29320</v>
      </c>
      <c r="C34" s="31" t="n">
        <v>29520</v>
      </c>
      <c r="D34" s="31" t="n">
        <v>28800</v>
      </c>
      <c r="E34" s="31" t="n">
        <v>29060</v>
      </c>
      <c r="F34" s="31" t="n">
        <v>23621.728515625</v>
      </c>
      <c r="G34" s="31" t="n">
        <v>460605</v>
      </c>
      <c r="H34" s="36" t="n">
        <v>-0.01890614449696149</v>
      </c>
      <c r="I34" s="36" t="n">
        <v>-0.3165569143932268</v>
      </c>
      <c r="J34" s="31" t="n">
        <v>28795</v>
      </c>
      <c r="K34" s="31" t="n">
        <v>26992</v>
      </c>
      <c r="L34" s="31" t="n">
        <v>28984.66666666667</v>
      </c>
      <c r="M34" s="36" t="n">
        <v>0.4530499952393289</v>
      </c>
      <c r="N34" s="36" t="n">
        <v>0.4371056826188227</v>
      </c>
      <c r="O34" s="36" t="n">
        <v>0.06058394160583935</v>
      </c>
      <c r="P34" s="36" t="n">
        <v>0.03711634546752318</v>
      </c>
      <c r="Q34" s="36" t="n">
        <v>-0.1008663366336634</v>
      </c>
      <c r="R34" s="36" t="n">
        <v>0.009202986629623267</v>
      </c>
      <c r="S34" s="36" t="n">
        <v>0.07661529342027262</v>
      </c>
      <c r="T34" s="36" t="n">
        <v>0.002599075373185711</v>
      </c>
      <c r="U34" s="31" t="n">
        <v>35360</v>
      </c>
      <c r="V34" s="31" t="n">
        <v>22160</v>
      </c>
      <c r="W34" s="36" t="n">
        <v>-0.1781674208144797</v>
      </c>
      <c r="X34" s="36" t="n">
        <v>0.3113718411552346</v>
      </c>
      <c r="Y34" s="31" t="n">
        <v>76211850</v>
      </c>
      <c r="Z34" s="31" t="n">
        <v>2214716361000</v>
      </c>
      <c r="AA34" s="31" t="n">
        <v>13385181300</v>
      </c>
      <c r="AB34" s="31" t="n">
        <v>18240737330</v>
      </c>
      <c r="AC34" s="36" t="n">
        <v>0.006043745165614009</v>
      </c>
      <c r="AD34" s="29" t="inlineStr">
        <is>
          <t>yfinance_download</t>
        </is>
      </c>
      <c r="AE34" s="29" t="inlineStr">
        <is>
          <t>058470.KQ</t>
        </is>
      </c>
    </row>
    <row r="35" ht="24" customHeight="1">
      <c r="A35" s="24" t="inlineStr">
        <is>
          <t>2023-07-11</t>
        </is>
      </c>
      <c r="B35" s="30" t="n">
        <v>29300</v>
      </c>
      <c r="C35" s="30" t="n">
        <v>29900</v>
      </c>
      <c r="D35" s="30" t="n">
        <v>29240</v>
      </c>
      <c r="E35" s="30" t="n">
        <v>29800</v>
      </c>
      <c r="F35" s="30" t="n">
        <v>24223.2421875</v>
      </c>
      <c r="G35" s="30" t="n">
        <v>260355</v>
      </c>
      <c r="H35" s="35" t="n">
        <v>0.02546455609084664</v>
      </c>
      <c r="I35" s="35" t="n">
        <v>-0.2991533396048918</v>
      </c>
      <c r="J35" s="30" t="n">
        <v>28889</v>
      </c>
      <c r="K35" s="30" t="n">
        <v>27030.66666666667</v>
      </c>
      <c r="L35" s="30" t="n">
        <v>28966.83333333333</v>
      </c>
      <c r="M35" s="35" t="n">
        <v>0.4565934701593193</v>
      </c>
      <c r="N35" s="35" t="n">
        <v>0.4378654075266724</v>
      </c>
      <c r="O35" s="35" t="n">
        <v>0.06733524355300857</v>
      </c>
      <c r="P35" s="35" t="n">
        <v>0.08442503639010179</v>
      </c>
      <c r="Q35" s="35" t="n">
        <v>-0.06700062617407643</v>
      </c>
      <c r="R35" s="35" t="n">
        <v>0.03153449409809972</v>
      </c>
      <c r="S35" s="35" t="n">
        <v>0.1024515365264145</v>
      </c>
      <c r="T35" s="35" t="n">
        <v>0.02876278042128644</v>
      </c>
      <c r="U35" s="30" t="n">
        <v>35360</v>
      </c>
      <c r="V35" s="30" t="n">
        <v>22160</v>
      </c>
      <c r="W35" s="35" t="n">
        <v>-0.1572398190045249</v>
      </c>
      <c r="X35" s="35" t="n">
        <v>0.3447653429602888</v>
      </c>
      <c r="Y35" s="30" t="n">
        <v>76211850</v>
      </c>
      <c r="Z35" s="30" t="n">
        <v>2271113130000</v>
      </c>
      <c r="AA35" s="30" t="n">
        <v>7758579000</v>
      </c>
      <c r="AB35" s="30" t="n">
        <v>17814944860</v>
      </c>
      <c r="AC35" s="35" t="n">
        <v>0.003416201023856526</v>
      </c>
      <c r="AD35" s="24" t="inlineStr">
        <is>
          <t>yfinance_download</t>
        </is>
      </c>
      <c r="AE35" s="24" t="inlineStr">
        <is>
          <t>058470.KQ</t>
        </is>
      </c>
    </row>
    <row r="36" ht="24" customHeight="1">
      <c r="A36" s="29" t="inlineStr">
        <is>
          <t>2023-07-12</t>
        </is>
      </c>
      <c r="B36" s="31" t="n">
        <v>29420</v>
      </c>
      <c r="C36" s="31" t="n">
        <v>30680</v>
      </c>
      <c r="D36" s="31" t="n">
        <v>29180</v>
      </c>
      <c r="E36" s="31" t="n">
        <v>30520</v>
      </c>
      <c r="F36" s="31" t="n">
        <v>24808.50390625</v>
      </c>
      <c r="G36" s="31" t="n">
        <v>479150</v>
      </c>
      <c r="H36" s="36" t="n">
        <v>0.02416107382550337</v>
      </c>
      <c r="I36" s="36" t="n">
        <v>-0.2822201317027281</v>
      </c>
      <c r="J36" s="31" t="n">
        <v>29034</v>
      </c>
      <c r="K36" s="31" t="n">
        <v>27078.66666666667</v>
      </c>
      <c r="L36" s="31" t="n">
        <v>28954.5</v>
      </c>
      <c r="M36" s="36" t="n">
        <v>0.4588039009453254</v>
      </c>
      <c r="N36" s="36" t="n">
        <v>0.4402042185196844</v>
      </c>
      <c r="O36" s="36" t="n">
        <v>0.1049963794351918</v>
      </c>
      <c r="P36" s="36" t="n">
        <v>0.1041968162083937</v>
      </c>
      <c r="Q36" s="36" t="n">
        <v>-0.04625000000000001</v>
      </c>
      <c r="R36" s="36" t="n">
        <v>0.05118137356203079</v>
      </c>
      <c r="S36" s="36" t="n">
        <v>0.1270865133684573</v>
      </c>
      <c r="T36" s="36" t="n">
        <v>0.05406758880312212</v>
      </c>
      <c r="U36" s="31" t="n">
        <v>35360</v>
      </c>
      <c r="V36" s="31" t="n">
        <v>22160</v>
      </c>
      <c r="W36" s="36" t="n">
        <v>-0.1368778280542986</v>
      </c>
      <c r="X36" s="36" t="n">
        <v>0.3772563176895307</v>
      </c>
      <c r="Y36" s="31" t="n">
        <v>76211850</v>
      </c>
      <c r="Z36" s="31" t="n">
        <v>2325985662000</v>
      </c>
      <c r="AA36" s="31" t="n">
        <v>14623658000</v>
      </c>
      <c r="AB36" s="31" t="n">
        <v>17873249320</v>
      </c>
      <c r="AC36" s="36" t="n">
        <v>0.006287080027581013</v>
      </c>
      <c r="AD36" s="29" t="inlineStr">
        <is>
          <t>yfinance_download</t>
        </is>
      </c>
      <c r="AE36" s="29" t="inlineStr">
        <is>
          <t>058470.KQ</t>
        </is>
      </c>
    </row>
    <row r="37" ht="24" customHeight="1">
      <c r="A37" s="24" t="inlineStr">
        <is>
          <t>2023-07-13</t>
        </is>
      </c>
      <c r="B37" s="30" t="n">
        <v>30920</v>
      </c>
      <c r="C37" s="30" t="n">
        <v>31580</v>
      </c>
      <c r="D37" s="30" t="n">
        <v>30560</v>
      </c>
      <c r="E37" s="30" t="n">
        <v>30940</v>
      </c>
      <c r="F37" s="30" t="n">
        <v>25149.904296875</v>
      </c>
      <c r="G37" s="30" t="n">
        <v>714240</v>
      </c>
      <c r="H37" s="35" t="n">
        <v>0.01376146788990829</v>
      </c>
      <c r="I37" s="35" t="n">
        <v>-0.2723424270931326</v>
      </c>
      <c r="J37" s="30" t="n">
        <v>29211</v>
      </c>
      <c r="K37" s="30" t="n">
        <v>27135.66666666667</v>
      </c>
      <c r="L37" s="30" t="n">
        <v>28945.16666666667</v>
      </c>
      <c r="M37" s="35" t="n">
        <v>0.4568902618221118</v>
      </c>
      <c r="N37" s="35" t="n">
        <v>0.4406472970975097</v>
      </c>
      <c r="O37" s="35" t="n">
        <v>0.1291970802919709</v>
      </c>
      <c r="P37" s="35" t="n">
        <v>0.1242732558139534</v>
      </c>
      <c r="Q37" s="35" t="n">
        <v>-0.03493449781659386</v>
      </c>
      <c r="R37" s="35" t="n">
        <v>0.05919003115264787</v>
      </c>
      <c r="S37" s="35" t="n">
        <v>0.1401967889739211</v>
      </c>
      <c r="T37" s="35" t="n">
        <v>0.06891766616188066</v>
      </c>
      <c r="U37" s="30" t="n">
        <v>35360</v>
      </c>
      <c r="V37" s="30" t="n">
        <v>22160</v>
      </c>
      <c r="W37" s="35" t="n">
        <v>-0.125</v>
      </c>
      <c r="X37" s="35" t="n">
        <v>0.3962093862815885</v>
      </c>
      <c r="Y37" s="30" t="n">
        <v>76211850</v>
      </c>
      <c r="Z37" s="30" t="n">
        <v>2357994639000</v>
      </c>
      <c r="AA37" s="30" t="n">
        <v>22098585600</v>
      </c>
      <c r="AB37" s="30" t="n">
        <v>18228754350</v>
      </c>
      <c r="AC37" s="35" t="n">
        <v>0.009371770925387587</v>
      </c>
      <c r="AD37" s="24" t="inlineStr">
        <is>
          <t>yfinance_download</t>
        </is>
      </c>
      <c r="AE37" s="24" t="inlineStr">
        <is>
          <t>058470.KQ</t>
        </is>
      </c>
    </row>
    <row r="38" ht="24" customHeight="1">
      <c r="A38" s="29" t="inlineStr">
        <is>
          <t>2023-07-14</t>
        </is>
      </c>
      <c r="B38" s="31" t="n">
        <v>31860</v>
      </c>
      <c r="C38" s="31" t="n">
        <v>33720</v>
      </c>
      <c r="D38" s="31" t="n">
        <v>31220</v>
      </c>
      <c r="E38" s="31" t="n">
        <v>31400</v>
      </c>
      <c r="F38" s="31" t="n">
        <v>25523.822265625</v>
      </c>
      <c r="G38" s="31" t="n">
        <v>1821795</v>
      </c>
      <c r="H38" s="36" t="n">
        <v>0.0148674854557207</v>
      </c>
      <c r="I38" s="36" t="n">
        <v>-0.2615239887111948</v>
      </c>
      <c r="J38" s="31" t="n">
        <v>29425</v>
      </c>
      <c r="K38" s="31" t="n">
        <v>27207</v>
      </c>
      <c r="L38" s="31" t="n">
        <v>28938</v>
      </c>
      <c r="M38" s="36" t="n">
        <v>0.4533924997748724</v>
      </c>
      <c r="N38" s="36" t="n">
        <v>0.439958278435149</v>
      </c>
      <c r="O38" s="36" t="n">
        <v>0.1578171091445428</v>
      </c>
      <c r="P38" s="36" t="n">
        <v>0.1578171091445428</v>
      </c>
      <c r="Q38" s="36" t="n">
        <v>-0.02665840049597024</v>
      </c>
      <c r="R38" s="36" t="n">
        <v>0.06711979609175867</v>
      </c>
      <c r="S38" s="36" t="n">
        <v>0.1541147498805455</v>
      </c>
      <c r="T38" s="36" t="n">
        <v>0.08507844356900951</v>
      </c>
      <c r="U38" s="31" t="n">
        <v>35360</v>
      </c>
      <c r="V38" s="31" t="n">
        <v>22160</v>
      </c>
      <c r="W38" s="36" t="n">
        <v>-0.1119909502262444</v>
      </c>
      <c r="X38" s="36" t="n">
        <v>0.4169675090252707</v>
      </c>
      <c r="Y38" s="31" t="n">
        <v>76211850</v>
      </c>
      <c r="Z38" s="31" t="n">
        <v>2393052090000</v>
      </c>
      <c r="AA38" s="31" t="n">
        <v>57204363000</v>
      </c>
      <c r="AB38" s="31" t="n">
        <v>20676009480</v>
      </c>
      <c r="AC38" s="36" t="n">
        <v>0.02390435345684431</v>
      </c>
      <c r="AD38" s="29" t="inlineStr">
        <is>
          <t>yfinance_download</t>
        </is>
      </c>
      <c r="AE38" s="29" t="inlineStr">
        <is>
          <t>058470.KQ</t>
        </is>
      </c>
    </row>
    <row r="39" ht="24" customHeight="1">
      <c r="A39" s="24" t="inlineStr">
        <is>
          <t>2023-07-17</t>
        </is>
      </c>
      <c r="B39" s="30" t="n">
        <v>31360</v>
      </c>
      <c r="C39" s="30" t="n">
        <v>32840</v>
      </c>
      <c r="D39" s="30" t="n">
        <v>31000</v>
      </c>
      <c r="E39" s="30" t="n">
        <v>32020</v>
      </c>
      <c r="F39" s="30" t="n">
        <v>26027.794921875</v>
      </c>
      <c r="G39" s="30" t="n">
        <v>788150</v>
      </c>
      <c r="H39" s="35" t="n">
        <v>0.01974522292993641</v>
      </c>
      <c r="I39" s="35" t="n">
        <v>-0.2469426152398871</v>
      </c>
      <c r="J39" s="30" t="n">
        <v>29659</v>
      </c>
      <c r="K39" s="30" t="n">
        <v>27284</v>
      </c>
      <c r="L39" s="30" t="n">
        <v>28935.16666666667</v>
      </c>
      <c r="M39" s="35" t="n">
        <v>0.4553964748568105</v>
      </c>
      <c r="N39" s="35" t="n">
        <v>0.4410662038135739</v>
      </c>
      <c r="O39" s="35" t="n">
        <v>0.1711777615215802</v>
      </c>
      <c r="P39" s="35" t="n">
        <v>0.1686131386861314</v>
      </c>
      <c r="Q39" s="35" t="n">
        <v>-0.01050679851668723</v>
      </c>
      <c r="R39" s="35" t="n">
        <v>0.07960484170066429</v>
      </c>
      <c r="S39" s="35" t="n">
        <v>0.173581586277672</v>
      </c>
      <c r="T39" s="35" t="n">
        <v>0.1066119082316213</v>
      </c>
      <c r="U39" s="30" t="n">
        <v>35360</v>
      </c>
      <c r="V39" s="30" t="n">
        <v>22160</v>
      </c>
      <c r="W39" s="35" t="n">
        <v>-0.09445701357466063</v>
      </c>
      <c r="X39" s="35" t="n">
        <v>0.4449458483754514</v>
      </c>
      <c r="Y39" s="30" t="n">
        <v>76211850</v>
      </c>
      <c r="Z39" s="30" t="n">
        <v>2440303437000</v>
      </c>
      <c r="AA39" s="30" t="n">
        <v>25236563000</v>
      </c>
      <c r="AB39" s="30" t="n">
        <v>21378392880</v>
      </c>
      <c r="AC39" s="35" t="n">
        <v>0.01034156761710941</v>
      </c>
      <c r="AD39" s="24" t="inlineStr">
        <is>
          <t>yfinance_download</t>
        </is>
      </c>
      <c r="AE39" s="24" t="inlineStr">
        <is>
          <t>058470.KQ</t>
        </is>
      </c>
    </row>
    <row r="40" ht="24" customHeight="1">
      <c r="A40" s="29" t="inlineStr">
        <is>
          <t>2023-07-18</t>
        </is>
      </c>
      <c r="B40" s="31" t="n">
        <v>32600</v>
      </c>
      <c r="C40" s="31" t="n">
        <v>32740</v>
      </c>
      <c r="D40" s="31" t="n">
        <v>31540</v>
      </c>
      <c r="E40" s="31" t="n">
        <v>32660</v>
      </c>
      <c r="F40" s="31" t="n">
        <v>26548.02734375</v>
      </c>
      <c r="G40" s="31" t="n">
        <v>738575</v>
      </c>
      <c r="H40" s="36" t="n">
        <v>0.01998750780762015</v>
      </c>
      <c r="I40" s="36" t="n">
        <v>-0.2318908748824082</v>
      </c>
      <c r="J40" s="31" t="n">
        <v>29871</v>
      </c>
      <c r="K40" s="31" t="n">
        <v>27366.66666666667</v>
      </c>
      <c r="L40" s="31" t="n">
        <v>28938.5</v>
      </c>
      <c r="M40" s="36" t="n">
        <v>0.4427654901490916</v>
      </c>
      <c r="N40" s="36" t="n">
        <v>0.4421509852402197</v>
      </c>
      <c r="O40" s="36" t="n">
        <v>0.1491907107670654</v>
      </c>
      <c r="P40" s="36" t="n">
        <v>0.1790613718411553</v>
      </c>
      <c r="Q40" s="36" t="n">
        <v>0.01239925604463732</v>
      </c>
      <c r="R40" s="36" t="n">
        <v>0.09336814971042151</v>
      </c>
      <c r="S40" s="36" t="n">
        <v>0.1934226552984164</v>
      </c>
      <c r="T40" s="36" t="n">
        <v>0.1286003075487672</v>
      </c>
      <c r="U40" s="31" t="n">
        <v>35360</v>
      </c>
      <c r="V40" s="31" t="n">
        <v>22160</v>
      </c>
      <c r="W40" s="36" t="n">
        <v>-0.07635746606334837</v>
      </c>
      <c r="X40" s="36" t="n">
        <v>0.4738267148014441</v>
      </c>
      <c r="Y40" s="31" t="n">
        <v>76211850</v>
      </c>
      <c r="Z40" s="31" t="n">
        <v>2489079021000</v>
      </c>
      <c r="AA40" s="31" t="n">
        <v>24121859500</v>
      </c>
      <c r="AB40" s="31" t="n">
        <v>21376337445</v>
      </c>
      <c r="AC40" s="36" t="n">
        <v>0.009691078224711774</v>
      </c>
      <c r="AD40" s="29" t="inlineStr">
        <is>
          <t>yfinance_download</t>
        </is>
      </c>
      <c r="AE40" s="29" t="inlineStr">
        <is>
          <t>058470.KQ</t>
        </is>
      </c>
    </row>
    <row r="41" ht="24" customHeight="1">
      <c r="A41" s="24" t="inlineStr">
        <is>
          <t>2023-07-19</t>
        </is>
      </c>
      <c r="B41" s="30" t="n">
        <v>32860</v>
      </c>
      <c r="C41" s="30" t="n">
        <v>32920</v>
      </c>
      <c r="D41" s="30" t="n">
        <v>30960</v>
      </c>
      <c r="E41" s="30" t="n">
        <v>32100</v>
      </c>
      <c r="F41" s="30" t="n">
        <v>26092.822265625</v>
      </c>
      <c r="G41" s="30" t="n">
        <v>671525</v>
      </c>
      <c r="H41" s="35" t="n">
        <v>-0.01714635639926521</v>
      </c>
      <c r="I41" s="35" t="n">
        <v>-0.2450611476952023</v>
      </c>
      <c r="J41" s="30" t="n">
        <v>30091</v>
      </c>
      <c r="K41" s="30" t="n">
        <v>27452.66666666667</v>
      </c>
      <c r="L41" s="30" t="n">
        <v>28924.16666666667</v>
      </c>
      <c r="M41" s="35" t="n">
        <v>0.4356476608294524</v>
      </c>
      <c r="N41" s="35" t="n">
        <v>0.4396076152116515</v>
      </c>
      <c r="O41" s="35" t="n">
        <v>0.1588447653429603</v>
      </c>
      <c r="P41" s="35" t="n">
        <v>0.1915367483296213</v>
      </c>
      <c r="Q41" s="35" t="n">
        <v>-0.05085748078060315</v>
      </c>
      <c r="R41" s="35" t="n">
        <v>0.06676414874879533</v>
      </c>
      <c r="S41" s="35" t="n">
        <v>0.1692853153306297</v>
      </c>
      <c r="T41" s="35" t="n">
        <v>0.1097986113111873</v>
      </c>
      <c r="U41" s="30" t="n">
        <v>35360</v>
      </c>
      <c r="V41" s="30" t="n">
        <v>22160</v>
      </c>
      <c r="W41" s="35" t="n">
        <v>-0.09219457013574661</v>
      </c>
      <c r="X41" s="35" t="n">
        <v>0.4485559566787003</v>
      </c>
      <c r="Y41" s="30" t="n">
        <v>76211850</v>
      </c>
      <c r="Z41" s="30" t="n">
        <v>2446400385000</v>
      </c>
      <c r="AA41" s="30" t="n">
        <v>21555952500</v>
      </c>
      <c r="AB41" s="30" t="n">
        <v>21610739320</v>
      </c>
      <c r="AC41" s="35" t="n">
        <v>0.008811293781741291</v>
      </c>
      <c r="AD41" s="24" t="inlineStr">
        <is>
          <t>yfinance_download</t>
        </is>
      </c>
      <c r="AE41" s="24" t="inlineStr">
        <is>
          <t>058470.KQ</t>
        </is>
      </c>
    </row>
    <row r="42" ht="24" customHeight="1">
      <c r="A42" s="29" t="inlineStr">
        <is>
          <t>2023-07-20</t>
        </is>
      </c>
      <c r="B42" s="31" t="n">
        <v>31920</v>
      </c>
      <c r="C42" s="31" t="n">
        <v>32100</v>
      </c>
      <c r="D42" s="31" t="n">
        <v>31160</v>
      </c>
      <c r="E42" s="31" t="n">
        <v>31940</v>
      </c>
      <c r="F42" s="31" t="n">
        <v>25962.765625</v>
      </c>
      <c r="G42" s="31" t="n">
        <v>417405</v>
      </c>
      <c r="H42" s="36" t="n">
        <v>-0.004984423676012484</v>
      </c>
      <c r="I42" s="36" t="n">
        <v>-0.248824082784572</v>
      </c>
      <c r="J42" s="31" t="n">
        <v>30305</v>
      </c>
      <c r="K42" s="31" t="n">
        <v>27523.66666666667</v>
      </c>
      <c r="L42" s="31" t="n">
        <v>28905.66666666667</v>
      </c>
      <c r="M42" s="36" t="n">
        <v>0.436818483063228</v>
      </c>
      <c r="N42" s="36" t="n">
        <v>0.4370124591951518</v>
      </c>
      <c r="O42" s="36" t="n">
        <v>0.1547360809833696</v>
      </c>
      <c r="P42" s="36" t="n">
        <v>0.1539017341040463</v>
      </c>
      <c r="Q42" s="36" t="n">
        <v>-0.06498829039812648</v>
      </c>
      <c r="R42" s="36" t="n">
        <v>0.05395149315294501</v>
      </c>
      <c r="S42" s="36" t="n">
        <v>0.1604558501168691</v>
      </c>
      <c r="T42" s="36" t="n">
        <v>0.1049736499187011</v>
      </c>
      <c r="U42" s="31" t="n">
        <v>35360</v>
      </c>
      <c r="V42" s="31" t="n">
        <v>22160</v>
      </c>
      <c r="W42" s="36" t="n">
        <v>-0.09671945701357465</v>
      </c>
      <c r="X42" s="36" t="n">
        <v>0.4413357400722022</v>
      </c>
      <c r="Y42" s="31" t="n">
        <v>76211850</v>
      </c>
      <c r="Z42" s="31" t="n">
        <v>2434206489000</v>
      </c>
      <c r="AA42" s="31" t="n">
        <v>13331915700</v>
      </c>
      <c r="AB42" s="31" t="n">
        <v>21824941975</v>
      </c>
      <c r="AC42" s="36" t="n">
        <v>0.005476904182223631</v>
      </c>
      <c r="AD42" s="29" t="inlineStr">
        <is>
          <t>yfinance_download</t>
        </is>
      </c>
      <c r="AE42" s="29" t="inlineStr">
        <is>
          <t>058470.KQ</t>
        </is>
      </c>
    </row>
    <row r="43" ht="24" customHeight="1">
      <c r="A43" s="24" t="inlineStr">
        <is>
          <t>2023-07-21</t>
        </is>
      </c>
      <c r="B43" s="30" t="n">
        <v>31100</v>
      </c>
      <c r="C43" s="30" t="n">
        <v>32760</v>
      </c>
      <c r="D43" s="30" t="n">
        <v>30600</v>
      </c>
      <c r="E43" s="30" t="n">
        <v>32320</v>
      </c>
      <c r="F43" s="30" t="n">
        <v>26271.65234375</v>
      </c>
      <c r="G43" s="30" t="n">
        <v>721325</v>
      </c>
      <c r="H43" s="35" t="n">
        <v>0.01189730745147144</v>
      </c>
      <c r="I43" s="35" t="n">
        <v>-0.2398871119473189</v>
      </c>
      <c r="J43" s="30" t="n">
        <v>30537</v>
      </c>
      <c r="K43" s="30" t="n">
        <v>27611</v>
      </c>
      <c r="L43" s="30" t="n">
        <v>28893.5</v>
      </c>
      <c r="M43" s="35" t="n">
        <v>0.4362944779081338</v>
      </c>
      <c r="N43" s="35" t="n">
        <v>0.4344010267938315</v>
      </c>
      <c r="O43" s="35" t="n">
        <v>0.1676300578034682</v>
      </c>
      <c r="P43" s="35" t="n">
        <v>0.1935007385524372</v>
      </c>
      <c r="Q43" s="35" t="n">
        <v>-0.04322084073416221</v>
      </c>
      <c r="R43" s="35" t="n">
        <v>0.05838818482496633</v>
      </c>
      <c r="S43" s="35" t="n">
        <v>0.1705479700119517</v>
      </c>
      <c r="T43" s="35" t="n">
        <v>0.11859068648658</v>
      </c>
      <c r="U43" s="30" t="n">
        <v>35360</v>
      </c>
      <c r="V43" s="30" t="n">
        <v>22160</v>
      </c>
      <c r="W43" s="35" t="n">
        <v>-0.08597285067873306</v>
      </c>
      <c r="X43" s="35" t="n">
        <v>0.4584837545126355</v>
      </c>
      <c r="Y43" s="30" t="n">
        <v>76211850</v>
      </c>
      <c r="Z43" s="30" t="n">
        <v>2463166992000</v>
      </c>
      <c r="AA43" s="30" t="n">
        <v>23313224000</v>
      </c>
      <c r="AB43" s="30" t="n">
        <v>22584779775</v>
      </c>
      <c r="AC43" s="35" t="n">
        <v>0.009464735470927422</v>
      </c>
      <c r="AD43" s="24" t="inlineStr">
        <is>
          <t>yfinance_download</t>
        </is>
      </c>
      <c r="AE43" s="24" t="inlineStr">
        <is>
          <t>058470.KQ</t>
        </is>
      </c>
    </row>
    <row r="44" ht="24" customHeight="1">
      <c r="A44" s="29" t="inlineStr">
        <is>
          <t>2023-07-24</t>
        </is>
      </c>
      <c r="B44" s="31" t="n">
        <v>32240</v>
      </c>
      <c r="C44" s="31" t="n">
        <v>32520</v>
      </c>
      <c r="D44" s="31" t="n">
        <v>31600</v>
      </c>
      <c r="E44" s="31" t="n">
        <v>32340</v>
      </c>
      <c r="F44" s="31" t="n">
        <v>26287.908203125</v>
      </c>
      <c r="G44" s="31" t="n">
        <v>502015</v>
      </c>
      <c r="H44" s="36" t="n">
        <v>0.0006188118811880639</v>
      </c>
      <c r="I44" s="36" t="n">
        <v>-0.2394167450611477</v>
      </c>
      <c r="J44" s="31" t="n">
        <v>30711</v>
      </c>
      <c r="K44" s="31" t="n">
        <v>27710.33333333333</v>
      </c>
      <c r="L44" s="31" t="n">
        <v>28874.66666666667</v>
      </c>
      <c r="M44" s="36" t="n">
        <v>0.4173099519454827</v>
      </c>
      <c r="N44" s="36" t="n">
        <v>0.4301747273556269</v>
      </c>
      <c r="O44" s="36" t="n">
        <v>0.1205821205821205</v>
      </c>
      <c r="P44" s="36" t="n">
        <v>0.2259287338893101</v>
      </c>
      <c r="Q44" s="36" t="n">
        <v>-0.0653179190751445</v>
      </c>
      <c r="R44" s="36" t="n">
        <v>0.05304288365732157</v>
      </c>
      <c r="S44" s="36" t="n">
        <v>0.1670736548339369</v>
      </c>
      <c r="T44" s="36" t="n">
        <v>0.1200129294421868</v>
      </c>
      <c r="U44" s="31" t="n">
        <v>35360</v>
      </c>
      <c r="V44" s="31" t="n">
        <v>22160</v>
      </c>
      <c r="W44" s="36" t="n">
        <v>-0.08540723981900455</v>
      </c>
      <c r="X44" s="36" t="n">
        <v>0.4593862815884477</v>
      </c>
      <c r="Y44" s="31" t="n">
        <v>76211850</v>
      </c>
      <c r="Z44" s="31" t="n">
        <v>2464691229000</v>
      </c>
      <c r="AA44" s="31" t="n">
        <v>16235165100</v>
      </c>
      <c r="AB44" s="31" t="n">
        <v>22102441200</v>
      </c>
      <c r="AC44" s="36" t="n">
        <v>0.006587098987887055</v>
      </c>
      <c r="AD44" s="29" t="inlineStr">
        <is>
          <t>yfinance_download</t>
        </is>
      </c>
      <c r="AE44" s="29" t="inlineStr">
        <is>
          <t>058470.KQ</t>
        </is>
      </c>
    </row>
    <row r="45" ht="24" customHeight="1">
      <c r="A45" s="24" t="inlineStr">
        <is>
          <t>2023-07-25</t>
        </is>
      </c>
      <c r="B45" s="30" t="n">
        <v>32560</v>
      </c>
      <c r="C45" s="30" t="n">
        <v>33400</v>
      </c>
      <c r="D45" s="30" t="n">
        <v>32020</v>
      </c>
      <c r="E45" s="30" t="n">
        <v>32980</v>
      </c>
      <c r="F45" s="30" t="n">
        <v>26808.140625</v>
      </c>
      <c r="G45" s="30" t="n">
        <v>745115</v>
      </c>
      <c r="H45" s="35" t="n">
        <v>0.01978973407544826</v>
      </c>
      <c r="I45" s="35" t="n">
        <v>-0.2243650047036688</v>
      </c>
      <c r="J45" s="30" t="n">
        <v>30962</v>
      </c>
      <c r="K45" s="30" t="n">
        <v>27818.33333333333</v>
      </c>
      <c r="L45" s="30" t="n">
        <v>28865.33333333333</v>
      </c>
      <c r="M45" s="35" t="n">
        <v>0.3956807393497235</v>
      </c>
      <c r="N45" s="35" t="n">
        <v>0.431425319973884</v>
      </c>
      <c r="O45" s="35" t="n">
        <v>0.1795422031473533</v>
      </c>
      <c r="P45" s="35" t="n">
        <v>0.2445283018867925</v>
      </c>
      <c r="Q45" s="35" t="n">
        <v>-0.03284457478005864</v>
      </c>
      <c r="R45" s="35" t="n">
        <v>0.06517666817389056</v>
      </c>
      <c r="S45" s="35" t="n">
        <v>0.185549098316458</v>
      </c>
      <c r="T45" s="35" t="n">
        <v>0.1425469998614255</v>
      </c>
      <c r="U45" s="30" t="n">
        <v>35360</v>
      </c>
      <c r="V45" s="30" t="n">
        <v>22160</v>
      </c>
      <c r="W45" s="35" t="n">
        <v>-0.06730769230769229</v>
      </c>
      <c r="X45" s="35" t="n">
        <v>0.4882671480144405</v>
      </c>
      <c r="Y45" s="30" t="n">
        <v>76211850</v>
      </c>
      <c r="Z45" s="30" t="n">
        <v>2513466813000</v>
      </c>
      <c r="AA45" s="30" t="n">
        <v>24573892700</v>
      </c>
      <c r="AB45" s="30" t="n">
        <v>22444999555</v>
      </c>
      <c r="AC45" s="35" t="n">
        <v>0.009776891651363929</v>
      </c>
      <c r="AD45" s="24" t="inlineStr">
        <is>
          <t>yfinance_download</t>
        </is>
      </c>
      <c r="AE45" s="24" t="inlineStr">
        <is>
          <t>058470.KQ</t>
        </is>
      </c>
    </row>
    <row r="46" ht="24" customHeight="1">
      <c r="A46" s="29" t="inlineStr">
        <is>
          <t>2023-07-26</t>
        </is>
      </c>
      <c r="B46" s="31" t="n">
        <v>33420</v>
      </c>
      <c r="C46" s="31" t="n">
        <v>33420</v>
      </c>
      <c r="D46" s="31" t="n">
        <v>32160</v>
      </c>
      <c r="E46" s="31" t="n">
        <v>32500</v>
      </c>
      <c r="F46" s="31" t="n">
        <v>26417.966796875</v>
      </c>
      <c r="G46" s="31" t="n">
        <v>760425</v>
      </c>
      <c r="H46" s="36" t="n">
        <v>-0.01455427531837472</v>
      </c>
      <c r="I46" s="36" t="n">
        <v>-0.235653809971778</v>
      </c>
      <c r="J46" s="31" t="n">
        <v>31087</v>
      </c>
      <c r="K46" s="31" t="n">
        <v>27917.66666666667</v>
      </c>
      <c r="L46" s="31" t="n">
        <v>28848.16666666667</v>
      </c>
      <c r="M46" s="36" t="n">
        <v>0.3218852124841201</v>
      </c>
      <c r="N46" s="36" t="n">
        <v>0.433077475690462</v>
      </c>
      <c r="O46" s="36" t="n">
        <v>0.08333333333333326</v>
      </c>
      <c r="P46" s="36" t="n">
        <v>0.2245666917859834</v>
      </c>
      <c r="Q46" s="36" t="n">
        <v>-0.05960648148148151</v>
      </c>
      <c r="R46" s="36" t="n">
        <v>0.04545308328240094</v>
      </c>
      <c r="S46" s="36" t="n">
        <v>0.1641374040332884</v>
      </c>
      <c r="T46" s="36" t="n">
        <v>0.126588055855658</v>
      </c>
      <c r="U46" s="31" t="n">
        <v>35360</v>
      </c>
      <c r="V46" s="31" t="n">
        <v>22160</v>
      </c>
      <c r="W46" s="36" t="n">
        <v>-0.08088235294117652</v>
      </c>
      <c r="X46" s="36" t="n">
        <v>0.4666064981949458</v>
      </c>
      <c r="Y46" s="31" t="n">
        <v>76211850</v>
      </c>
      <c r="Z46" s="31" t="n">
        <v>2476885125000</v>
      </c>
      <c r="AA46" s="31" t="n">
        <v>24713812500</v>
      </c>
      <c r="AB46" s="31" t="n">
        <v>21256697680</v>
      </c>
      <c r="AC46" s="36" t="n">
        <v>0.009977779046171954</v>
      </c>
      <c r="AD46" s="29" t="inlineStr">
        <is>
          <t>yfinance_download</t>
        </is>
      </c>
      <c r="AE46" s="29" t="inlineStr">
        <is>
          <t>058470.KQ</t>
        </is>
      </c>
    </row>
    <row r="47" ht="24" customHeight="1">
      <c r="A47" s="24" t="inlineStr">
        <is>
          <t>2023-07-27</t>
        </is>
      </c>
      <c r="B47" s="30" t="n">
        <v>32560</v>
      </c>
      <c r="C47" s="30" t="n">
        <v>33980</v>
      </c>
      <c r="D47" s="30" t="n">
        <v>31840</v>
      </c>
      <c r="E47" s="30" t="n">
        <v>33880</v>
      </c>
      <c r="F47" s="30" t="n">
        <v>27539.71484375</v>
      </c>
      <c r="G47" s="30" t="n">
        <v>957655</v>
      </c>
      <c r="H47" s="35" t="n">
        <v>0.04246153846153855</v>
      </c>
      <c r="I47" s="35" t="n">
        <v>-0.2031984948259643</v>
      </c>
      <c r="J47" s="30" t="n">
        <v>31317</v>
      </c>
      <c r="K47" s="30" t="n">
        <v>28037</v>
      </c>
      <c r="L47" s="30" t="n">
        <v>28845.16666666667</v>
      </c>
      <c r="M47" s="35" t="n">
        <v>0.3309688269218412</v>
      </c>
      <c r="N47" s="35" t="n">
        <v>0.4402569993512752</v>
      </c>
      <c r="O47" s="35" t="n">
        <v>0.1571038251366119</v>
      </c>
      <c r="P47" s="35" t="n">
        <v>0.2679640718562875</v>
      </c>
      <c r="Q47" s="35" t="n">
        <v>-0.01051401869158874</v>
      </c>
      <c r="R47" s="35" t="n">
        <v>0.08184053389532853</v>
      </c>
      <c r="S47" s="35" t="n">
        <v>0.2084031815101473</v>
      </c>
      <c r="T47" s="35" t="n">
        <v>0.1745468622703976</v>
      </c>
      <c r="U47" s="30" t="n">
        <v>35360</v>
      </c>
      <c r="V47" s="30" t="n">
        <v>22160</v>
      </c>
      <c r="W47" s="35" t="n">
        <v>-0.04185520361990946</v>
      </c>
      <c r="X47" s="35" t="n">
        <v>0.5288808664259927</v>
      </c>
      <c r="Y47" s="30" t="n">
        <v>76211850</v>
      </c>
      <c r="Z47" s="30" t="n">
        <v>2582057478000</v>
      </c>
      <c r="AA47" s="30" t="n">
        <v>32445351400</v>
      </c>
      <c r="AB47" s="30" t="n">
        <v>21738370170</v>
      </c>
      <c r="AC47" s="35" t="n">
        <v>0.01256569680436835</v>
      </c>
      <c r="AD47" s="24" t="inlineStr">
        <is>
          <t>yfinance_download</t>
        </is>
      </c>
      <c r="AE47" s="24" t="inlineStr">
        <is>
          <t>058470.KQ</t>
        </is>
      </c>
    </row>
    <row r="48" ht="24" customHeight="1">
      <c r="A48" s="29" t="inlineStr">
        <is>
          <t>2023-07-28</t>
        </is>
      </c>
      <c r="B48" s="31" t="n">
        <v>33940</v>
      </c>
      <c r="C48" s="31" t="n">
        <v>34580</v>
      </c>
      <c r="D48" s="31" t="n">
        <v>33020</v>
      </c>
      <c r="E48" s="31" t="n">
        <v>34580</v>
      </c>
      <c r="F48" s="31" t="n">
        <v>28108.716796875</v>
      </c>
      <c r="G48" s="31" t="n">
        <v>941730</v>
      </c>
      <c r="H48" s="36" t="n">
        <v>0.02066115702479343</v>
      </c>
      <c r="I48" s="36" t="n">
        <v>-0.1867356538099718</v>
      </c>
      <c r="J48" s="31" t="n">
        <v>31576</v>
      </c>
      <c r="K48" s="31" t="n">
        <v>28175.66666666667</v>
      </c>
      <c r="L48" s="31" t="n">
        <v>28851.5</v>
      </c>
      <c r="M48" s="36" t="n">
        <v>0.3339009293505296</v>
      </c>
      <c r="N48" s="36" t="n">
        <v>0.4391753883595861</v>
      </c>
      <c r="O48" s="36" t="n">
        <v>0.1761904761904762</v>
      </c>
      <c r="P48" s="36" t="n">
        <v>0.3168316831683169</v>
      </c>
      <c r="Q48" s="36" t="n">
        <v>0.02247191011235961</v>
      </c>
      <c r="R48" s="36" t="n">
        <v>0.09513554598429197</v>
      </c>
      <c r="S48" s="36" t="n">
        <v>0.2273001526139575</v>
      </c>
      <c r="T48" s="36" t="n">
        <v>0.1985512018439248</v>
      </c>
      <c r="U48" s="31" t="n">
        <v>35360</v>
      </c>
      <c r="V48" s="31" t="n">
        <v>22160</v>
      </c>
      <c r="W48" s="36" t="n">
        <v>-0.0220588235294118</v>
      </c>
      <c r="X48" s="36" t="n">
        <v>0.5604693140794224</v>
      </c>
      <c r="Y48" s="31" t="n">
        <v>76211850</v>
      </c>
      <c r="Z48" s="31" t="n">
        <v>2635405773000</v>
      </c>
      <c r="AA48" s="31" t="n">
        <v>32565023400</v>
      </c>
      <c r="AB48" s="31" t="n">
        <v>22426174140</v>
      </c>
      <c r="AC48" s="36" t="n">
        <v>0.01235673979833845</v>
      </c>
      <c r="AD48" s="29" t="inlineStr">
        <is>
          <t>yfinance_download</t>
        </is>
      </c>
      <c r="AE48" s="29" t="inlineStr">
        <is>
          <t>058470.KQ</t>
        </is>
      </c>
    </row>
    <row r="49" ht="24" customHeight="1">
      <c r="A49" s="24" t="inlineStr">
        <is>
          <t>2023-07-31</t>
        </is>
      </c>
      <c r="B49" s="30" t="n">
        <v>34720</v>
      </c>
      <c r="C49" s="30" t="n">
        <v>34740</v>
      </c>
      <c r="D49" s="30" t="n">
        <v>33360</v>
      </c>
      <c r="E49" s="30" t="n">
        <v>33720</v>
      </c>
      <c r="F49" s="30" t="n">
        <v>27409.658203125</v>
      </c>
      <c r="G49" s="30" t="n">
        <v>914245</v>
      </c>
      <c r="H49" s="35" t="n">
        <v>-0.02486986697513016</v>
      </c>
      <c r="I49" s="35" t="n">
        <v>-0.2069614299153339</v>
      </c>
      <c r="J49" s="30" t="n">
        <v>31728</v>
      </c>
      <c r="K49" s="30" t="n">
        <v>28293.33333333333</v>
      </c>
      <c r="L49" s="30" t="n">
        <v>28853.83333333333</v>
      </c>
      <c r="M49" s="35" t="n">
        <v>0.326517223036854</v>
      </c>
      <c r="N49" s="35" t="n">
        <v>0.4428506451585962</v>
      </c>
      <c r="O49" s="35" t="n">
        <v>0.09908735332464147</v>
      </c>
      <c r="P49" s="35" t="n">
        <v>0.2648162040510127</v>
      </c>
      <c r="Q49" s="35" t="n">
        <v>0.00837320574162681</v>
      </c>
      <c r="R49" s="35" t="n">
        <v>0.06278366111951583</v>
      </c>
      <c r="S49" s="35" t="n">
        <v>0.1918001885014138</v>
      </c>
      <c r="T49" s="35" t="n">
        <v>0.1686488796982493</v>
      </c>
      <c r="U49" s="30" t="n">
        <v>35360</v>
      </c>
      <c r="V49" s="30" t="n">
        <v>22160</v>
      </c>
      <c r="W49" s="35" t="n">
        <v>-0.0463800904977375</v>
      </c>
      <c r="X49" s="35" t="n">
        <v>0.5216606498194947</v>
      </c>
      <c r="Y49" s="30" t="n">
        <v>76211850</v>
      </c>
      <c r="Z49" s="30" t="n">
        <v>2569863582000</v>
      </c>
      <c r="AA49" s="30" t="n">
        <v>30828341400</v>
      </c>
      <c r="AB49" s="30" t="n">
        <v>22351062010</v>
      </c>
      <c r="AC49" s="35" t="n">
        <v>0.01199610034397538</v>
      </c>
      <c r="AD49" s="24" t="inlineStr">
        <is>
          <t>yfinance_download</t>
        </is>
      </c>
      <c r="AE49" s="24" t="inlineStr">
        <is>
          <t>058470.KQ</t>
        </is>
      </c>
    </row>
    <row r="50" ht="24" customHeight="1">
      <c r="A50" s="29" t="inlineStr">
        <is>
          <t>2023-08-01</t>
        </is>
      </c>
      <c r="B50" s="31" t="n">
        <v>33880</v>
      </c>
      <c r="C50" s="31" t="n">
        <v>34400</v>
      </c>
      <c r="D50" s="31" t="n">
        <v>33280</v>
      </c>
      <c r="E50" s="31" t="n">
        <v>34000</v>
      </c>
      <c r="F50" s="31" t="n">
        <v>27637.2578125</v>
      </c>
      <c r="G50" s="31" t="n">
        <v>538700</v>
      </c>
      <c r="H50" s="36" t="n">
        <v>0.008303677342823335</v>
      </c>
      <c r="I50" s="36" t="n">
        <v>-0.2003762935089369</v>
      </c>
      <c r="J50" s="31" t="n">
        <v>31878</v>
      </c>
      <c r="K50" s="31" t="n">
        <v>28422.66666666667</v>
      </c>
      <c r="L50" s="31" t="n">
        <v>28853</v>
      </c>
      <c r="M50" s="36" t="n">
        <v>0.3261296738564511</v>
      </c>
      <c r="N50" s="36" t="n">
        <v>0.4409356211532789</v>
      </c>
      <c r="O50" s="36" t="n">
        <v>0.09677419354838701</v>
      </c>
      <c r="P50" s="36" t="n">
        <v>0.2957317073170731</v>
      </c>
      <c r="Q50" s="36" t="n">
        <v>-0.002932551319648091</v>
      </c>
      <c r="R50" s="36" t="n">
        <v>0.06656628395758823</v>
      </c>
      <c r="S50" s="36" t="n">
        <v>0.1962283623399164</v>
      </c>
      <c r="T50" s="36" t="n">
        <v>0.178386996152913</v>
      </c>
      <c r="U50" s="31" t="n">
        <v>35360</v>
      </c>
      <c r="V50" s="31" t="n">
        <v>22160</v>
      </c>
      <c r="W50" s="36" t="n">
        <v>-0.03846153846153844</v>
      </c>
      <c r="X50" s="36" t="n">
        <v>0.5342960288808665</v>
      </c>
      <c r="Y50" s="31" t="n">
        <v>76211850</v>
      </c>
      <c r="Z50" s="31" t="n">
        <v>2591202900000</v>
      </c>
      <c r="AA50" s="31" t="n">
        <v>18315800000</v>
      </c>
      <c r="AB50" s="31" t="n">
        <v>22495153510</v>
      </c>
      <c r="AC50" s="36" t="n">
        <v>0.007068454577601777</v>
      </c>
      <c r="AD50" s="29" t="inlineStr">
        <is>
          <t>yfinance_download</t>
        </is>
      </c>
      <c r="AE50" s="29" t="inlineStr">
        <is>
          <t>058470.KQ</t>
        </is>
      </c>
    </row>
    <row r="51" ht="24" customHeight="1">
      <c r="A51" s="24" t="inlineStr">
        <is>
          <t>2023-08-02</t>
        </is>
      </c>
      <c r="B51" s="30" t="n">
        <v>33260</v>
      </c>
      <c r="C51" s="30" t="n">
        <v>33700</v>
      </c>
      <c r="D51" s="30" t="n">
        <v>32200</v>
      </c>
      <c r="E51" s="30" t="n">
        <v>33060</v>
      </c>
      <c r="F51" s="30" t="n">
        <v>26873.169921875</v>
      </c>
      <c r="G51" s="30" t="n">
        <v>641260</v>
      </c>
      <c r="H51" s="35" t="n">
        <v>-0.02764705882352936</v>
      </c>
      <c r="I51" s="35" t="n">
        <v>-0.2224835371589841</v>
      </c>
      <c r="J51" s="30" t="n">
        <v>31971</v>
      </c>
      <c r="K51" s="30" t="n">
        <v>28533.66666666667</v>
      </c>
      <c r="L51" s="30" t="n">
        <v>28843.16666666667</v>
      </c>
      <c r="M51" s="35" t="n">
        <v>0.3457514112491201</v>
      </c>
      <c r="N51" s="35" t="n">
        <v>0.4458778187399193</v>
      </c>
      <c r="O51" s="35" t="n">
        <v>0.05961538461538463</v>
      </c>
      <c r="P51" s="35" t="n">
        <v>0.2522727272727272</v>
      </c>
      <c r="Q51" s="35" t="n">
        <v>-0.0344626168224299</v>
      </c>
      <c r="R51" s="35" t="n">
        <v>0.03406211879515819</v>
      </c>
      <c r="S51" s="35" t="n">
        <v>0.1586313244004158</v>
      </c>
      <c r="T51" s="35" t="n">
        <v>0.1461986952426628</v>
      </c>
      <c r="U51" s="30" t="n">
        <v>35360</v>
      </c>
      <c r="V51" s="30" t="n">
        <v>22160</v>
      </c>
      <c r="W51" s="35" t="n">
        <v>-0.06504524886877827</v>
      </c>
      <c r="X51" s="35" t="n">
        <v>0.4918772563176896</v>
      </c>
      <c r="Y51" s="30" t="n">
        <v>76211850</v>
      </c>
      <c r="Z51" s="30" t="n">
        <v>2519563761000</v>
      </c>
      <c r="AA51" s="30" t="n">
        <v>21200055600</v>
      </c>
      <c r="AB51" s="30" t="n">
        <v>22748433490</v>
      </c>
      <c r="AC51" s="35" t="n">
        <v>0.008414177060391527</v>
      </c>
      <c r="AD51" s="24" t="inlineStr">
        <is>
          <t>yfinance_download</t>
        </is>
      </c>
      <c r="AE51" s="24" t="inlineStr">
        <is>
          <t>058470.KQ</t>
        </is>
      </c>
    </row>
    <row r="52" ht="24" customHeight="1">
      <c r="A52" s="29" t="inlineStr">
        <is>
          <t>2023-08-03</t>
        </is>
      </c>
      <c r="B52" s="31" t="n">
        <v>32640</v>
      </c>
      <c r="C52" s="31" t="n">
        <v>33000</v>
      </c>
      <c r="D52" s="31" t="n">
        <v>32080</v>
      </c>
      <c r="E52" s="31" t="n">
        <v>32700</v>
      </c>
      <c r="F52" s="31" t="n">
        <v>26580.541015625</v>
      </c>
      <c r="G52" s="31" t="n">
        <v>569095</v>
      </c>
      <c r="H52" s="36" t="n">
        <v>-0.01088929219600721</v>
      </c>
      <c r="I52" s="36" t="n">
        <v>-0.2309501411100658</v>
      </c>
      <c r="J52" s="31" t="n">
        <v>32107</v>
      </c>
      <c r="K52" s="31" t="n">
        <v>28639.33333333333</v>
      </c>
      <c r="L52" s="31" t="n">
        <v>28829.16666666667</v>
      </c>
      <c r="M52" s="36" t="n">
        <v>0.3130025593453662</v>
      </c>
      <c r="N52" s="36" t="n">
        <v>0.4467993156245321</v>
      </c>
      <c r="O52" s="36" t="n">
        <v>0.09072715143428955</v>
      </c>
      <c r="P52" s="36" t="n">
        <v>0.24051593323217</v>
      </c>
      <c r="Q52" s="36" t="n">
        <v>-0.0488656195462478</v>
      </c>
      <c r="R52" s="36" t="n">
        <v>0.01846949263400499</v>
      </c>
      <c r="S52" s="36" t="n">
        <v>0.1417863544309692</v>
      </c>
      <c r="T52" s="36" t="n">
        <v>0.1342679577973696</v>
      </c>
      <c r="U52" s="31" t="n">
        <v>35360</v>
      </c>
      <c r="V52" s="31" t="n">
        <v>22160</v>
      </c>
      <c r="W52" s="36" t="n">
        <v>-0.07522624434389136</v>
      </c>
      <c r="X52" s="36" t="n">
        <v>0.4756317689530687</v>
      </c>
      <c r="Y52" s="31" t="n">
        <v>76211850</v>
      </c>
      <c r="Z52" s="31" t="n">
        <v>2492127495000</v>
      </c>
      <c r="AA52" s="31" t="n">
        <v>18609406500</v>
      </c>
      <c r="AB52" s="31" t="n">
        <v>22623083165</v>
      </c>
      <c r="AC52" s="36" t="n">
        <v>0.007467277070429336</v>
      </c>
      <c r="AD52" s="29" t="inlineStr">
        <is>
          <t>yfinance_download</t>
        </is>
      </c>
      <c r="AE52" s="29" t="inlineStr">
        <is>
          <t>058470.KQ</t>
        </is>
      </c>
    </row>
    <row r="53" ht="24" customHeight="1">
      <c r="A53" s="24" t="inlineStr">
        <is>
          <t>2023-08-04</t>
        </is>
      </c>
      <c r="B53" s="30" t="n">
        <v>32620</v>
      </c>
      <c r="C53" s="30" t="n">
        <v>33420</v>
      </c>
      <c r="D53" s="30" t="n">
        <v>32320</v>
      </c>
      <c r="E53" s="30" t="n">
        <v>33040</v>
      </c>
      <c r="F53" s="30" t="n">
        <v>26856.9140625</v>
      </c>
      <c r="G53" s="30" t="n">
        <v>339400</v>
      </c>
      <c r="H53" s="35" t="n">
        <v>0.01039755351681948</v>
      </c>
      <c r="I53" s="35" t="n">
        <v>-0.2229539040451552</v>
      </c>
      <c r="J53" s="30" t="n">
        <v>32278</v>
      </c>
      <c r="K53" s="30" t="n">
        <v>28756</v>
      </c>
      <c r="L53" s="30" t="n">
        <v>28818.16666666667</v>
      </c>
      <c r="M53" s="35" t="n">
        <v>0.307348951350928</v>
      </c>
      <c r="N53" s="35" t="n">
        <v>0.4457097674925111</v>
      </c>
      <c r="O53" s="35" t="n">
        <v>0.1154625253207293</v>
      </c>
      <c r="P53" s="35" t="n">
        <v>0.2688172043010753</v>
      </c>
      <c r="Q53" s="35" t="n">
        <v>-0.03841676367869618</v>
      </c>
      <c r="R53" s="35" t="n">
        <v>0.02360741062023664</v>
      </c>
      <c r="S53" s="35" t="n">
        <v>0.1489776046738072</v>
      </c>
      <c r="T53" s="35" t="n">
        <v>0.1464990254989618</v>
      </c>
      <c r="U53" s="30" t="n">
        <v>35360</v>
      </c>
      <c r="V53" s="30" t="n">
        <v>22160</v>
      </c>
      <c r="W53" s="35" t="n">
        <v>-0.06561085972850678</v>
      </c>
      <c r="X53" s="35" t="n">
        <v>0.4909747292418774</v>
      </c>
      <c r="Y53" s="30" t="n">
        <v>76211850</v>
      </c>
      <c r="Z53" s="30" t="n">
        <v>2518039524000</v>
      </c>
      <c r="AA53" s="30" t="n">
        <v>11213776000</v>
      </c>
      <c r="AB53" s="30" t="n">
        <v>22666525310</v>
      </c>
      <c r="AC53" s="35" t="n">
        <v>0.004453375688951259</v>
      </c>
      <c r="AD53" s="24" t="inlineStr">
        <is>
          <t>yfinance_download</t>
        </is>
      </c>
      <c r="AE53" s="24" t="inlineStr">
        <is>
          <t>058470.KQ</t>
        </is>
      </c>
    </row>
    <row r="54" ht="24" customHeight="1">
      <c r="A54" s="29" t="inlineStr">
        <is>
          <t>2023-08-07</t>
        </is>
      </c>
      <c r="B54" s="31" t="n">
        <v>32560</v>
      </c>
      <c r="C54" s="31" t="n">
        <v>32980</v>
      </c>
      <c r="D54" s="31" t="n">
        <v>32300</v>
      </c>
      <c r="E54" s="31" t="n">
        <v>32620</v>
      </c>
      <c r="F54" s="31" t="n">
        <v>26515.509765625</v>
      </c>
      <c r="G54" s="31" t="n">
        <v>270400</v>
      </c>
      <c r="H54" s="36" t="n">
        <v>-0.01271186440677963</v>
      </c>
      <c r="I54" s="36" t="n">
        <v>-0.2328316086547507</v>
      </c>
      <c r="J54" s="31" t="n">
        <v>32456</v>
      </c>
      <c r="K54" s="31" t="n">
        <v>28864</v>
      </c>
      <c r="L54" s="31" t="n">
        <v>28803.66666666667</v>
      </c>
      <c r="M54" s="36" t="n">
        <v>0.3015144942000108</v>
      </c>
      <c r="N54" s="36" t="n">
        <v>0.4470821827696939</v>
      </c>
      <c r="O54" s="36" t="n">
        <v>0.1225051617343427</v>
      </c>
      <c r="P54" s="36" t="n">
        <v>0.2478959449120122</v>
      </c>
      <c r="Q54" s="36" t="n">
        <v>-0.05064027939464488</v>
      </c>
      <c r="R54" s="36" t="n">
        <v>0.005052994823761425</v>
      </c>
      <c r="S54" s="36" t="n">
        <v>0.1301274944567627</v>
      </c>
      <c r="T54" s="36" t="n">
        <v>0.1324947055351748</v>
      </c>
      <c r="U54" s="31" t="n">
        <v>35360</v>
      </c>
      <c r="V54" s="31" t="n">
        <v>22160</v>
      </c>
      <c r="W54" s="36" t="n">
        <v>-0.07748868778280538</v>
      </c>
      <c r="X54" s="36" t="n">
        <v>0.4720216606498195</v>
      </c>
      <c r="Y54" s="31" t="n">
        <v>76211850</v>
      </c>
      <c r="Z54" s="31" t="n">
        <v>2486030547000</v>
      </c>
      <c r="AA54" s="31" t="n">
        <v>8820448000</v>
      </c>
      <c r="AB54" s="31" t="n">
        <v>22438288645</v>
      </c>
      <c r="AC54" s="36" t="n">
        <v>0.003548004673813849</v>
      </c>
      <c r="AD54" s="29" t="inlineStr">
        <is>
          <t>yfinance_download</t>
        </is>
      </c>
      <c r="AE54" s="29" t="inlineStr">
        <is>
          <t>058470.KQ</t>
        </is>
      </c>
    </row>
    <row r="55" ht="24" customHeight="1">
      <c r="A55" s="24" t="inlineStr">
        <is>
          <t>2023-08-08</t>
        </is>
      </c>
      <c r="B55" s="30" t="n">
        <v>32980</v>
      </c>
      <c r="C55" s="30" t="n">
        <v>33180</v>
      </c>
      <c r="D55" s="30" t="n">
        <v>31680</v>
      </c>
      <c r="E55" s="30" t="n">
        <v>31980</v>
      </c>
      <c r="F55" s="30" t="n">
        <v>25995.28125</v>
      </c>
      <c r="G55" s="30" t="n">
        <v>476740</v>
      </c>
      <c r="H55" s="35" t="n">
        <v>-0.01961986511342739</v>
      </c>
      <c r="I55" s="35" t="n">
        <v>-0.2478833490122295</v>
      </c>
      <c r="J55" s="30" t="n">
        <v>32565</v>
      </c>
      <c r="K55" s="30" t="n">
        <v>28967</v>
      </c>
      <c r="L55" s="30" t="n">
        <v>28784.16666666667</v>
      </c>
      <c r="M55" s="35" t="n">
        <v>0.3052911216662386</v>
      </c>
      <c r="N55" s="35" t="n">
        <v>0.448366003896676</v>
      </c>
      <c r="O55" s="35" t="n">
        <v>0.07315436241610729</v>
      </c>
      <c r="P55" s="35" t="n">
        <v>0.2395348837209301</v>
      </c>
      <c r="Q55" s="35" t="n">
        <v>-0.06818181818181823</v>
      </c>
      <c r="R55" s="35" t="n">
        <v>-0.01796407185628746</v>
      </c>
      <c r="S55" s="35" t="n">
        <v>0.1040149135222839</v>
      </c>
      <c r="T55" s="35" t="n">
        <v>0.1110274745954083</v>
      </c>
      <c r="U55" s="30" t="n">
        <v>35360</v>
      </c>
      <c r="V55" s="30" t="n">
        <v>22160</v>
      </c>
      <c r="W55" s="35" t="n">
        <v>-0.09558823529411764</v>
      </c>
      <c r="X55" s="35" t="n">
        <v>0.4431407942238268</v>
      </c>
      <c r="Y55" s="30" t="n">
        <v>76211850</v>
      </c>
      <c r="Z55" s="30" t="n">
        <v>2437254963000</v>
      </c>
      <c r="AA55" s="30" t="n">
        <v>15246145200</v>
      </c>
      <c r="AB55" s="30" t="n">
        <v>22812666955</v>
      </c>
      <c r="AC55" s="35" t="n">
        <v>0.006255457648646504</v>
      </c>
      <c r="AD55" s="24" t="inlineStr">
        <is>
          <t>yfinance_download</t>
        </is>
      </c>
      <c r="AE55" s="24" t="inlineStr">
        <is>
          <t>058470.KQ</t>
        </is>
      </c>
    </row>
    <row r="56" ht="24" customHeight="1">
      <c r="A56" s="29" t="inlineStr">
        <is>
          <t>2023-08-09</t>
        </is>
      </c>
      <c r="B56" s="31" t="n">
        <v>32060</v>
      </c>
      <c r="C56" s="31" t="n">
        <v>32580</v>
      </c>
      <c r="D56" s="31" t="n">
        <v>31700</v>
      </c>
      <c r="E56" s="31" t="n">
        <v>32120</v>
      </c>
      <c r="F56" s="31" t="n">
        <v>26109.080078125</v>
      </c>
      <c r="G56" s="31" t="n">
        <v>350120</v>
      </c>
      <c r="H56" s="36" t="n">
        <v>0.004377736085053208</v>
      </c>
      <c r="I56" s="36" t="n">
        <v>-0.2445907808090311</v>
      </c>
      <c r="J56" s="31" t="n">
        <v>32645</v>
      </c>
      <c r="K56" s="31" t="n">
        <v>29119.66666666667</v>
      </c>
      <c r="L56" s="31" t="n">
        <v>28765.83333333333</v>
      </c>
      <c r="M56" s="36" t="n">
        <v>0.295639209579622</v>
      </c>
      <c r="N56" s="36" t="n">
        <v>0.3801764492751165</v>
      </c>
      <c r="O56" s="36" t="n">
        <v>0.05242463958060295</v>
      </c>
      <c r="P56" s="36" t="n">
        <v>0.3989547038327526</v>
      </c>
      <c r="Q56" s="36" t="n">
        <v>-0.0641025641025641</v>
      </c>
      <c r="R56" s="36" t="n">
        <v>-0.01608209526726911</v>
      </c>
      <c r="S56" s="36" t="n">
        <v>0.1030346043338408</v>
      </c>
      <c r="T56" s="36" t="n">
        <v>0.1166024508241839</v>
      </c>
      <c r="U56" s="31" t="n">
        <v>35360</v>
      </c>
      <c r="V56" s="31" t="n">
        <v>22160</v>
      </c>
      <c r="W56" s="36" t="n">
        <v>-0.09162895927601811</v>
      </c>
      <c r="X56" s="36" t="n">
        <v>0.4494584837545126</v>
      </c>
      <c r="Y56" s="31" t="n">
        <v>76211850</v>
      </c>
      <c r="Z56" s="31" t="n">
        <v>2447924622000</v>
      </c>
      <c r="AA56" s="31" t="n">
        <v>11245854400</v>
      </c>
      <c r="AB56" s="31" t="n">
        <v>22643776775</v>
      </c>
      <c r="AC56" s="36" t="n">
        <v>0.004594036229274056</v>
      </c>
      <c r="AD56" s="29" t="inlineStr">
        <is>
          <t>yfinance_download</t>
        </is>
      </c>
      <c r="AE56" s="29" t="inlineStr">
        <is>
          <t>058470.KQ</t>
        </is>
      </c>
    </row>
    <row r="57" ht="24" customHeight="1">
      <c r="A57" s="24" t="inlineStr">
        <is>
          <t>2023-08-10</t>
        </is>
      </c>
      <c r="B57" s="30" t="n">
        <v>31600</v>
      </c>
      <c r="C57" s="30" t="n">
        <v>31640</v>
      </c>
      <c r="D57" s="30" t="n">
        <v>30760</v>
      </c>
      <c r="E57" s="30" t="n">
        <v>31480</v>
      </c>
      <c r="F57" s="30" t="n">
        <v>25588.849609375</v>
      </c>
      <c r="G57" s="30" t="n">
        <v>518630</v>
      </c>
      <c r="H57" s="35" t="n">
        <v>-0.01992528019925277</v>
      </c>
      <c r="I57" s="35" t="n">
        <v>-0.2596425211665099</v>
      </c>
      <c r="J57" s="30" t="n">
        <v>32672</v>
      </c>
      <c r="K57" s="30" t="n">
        <v>29275</v>
      </c>
      <c r="L57" s="30" t="n">
        <v>28736.5</v>
      </c>
      <c r="M57" s="35" t="n">
        <v>0.3030454666495483</v>
      </c>
      <c r="N57" s="35" t="n">
        <v>0.3745371671150394</v>
      </c>
      <c r="O57" s="35" t="n">
        <v>0.01745313510019386</v>
      </c>
      <c r="P57" s="35" t="n">
        <v>0.4205776173285198</v>
      </c>
      <c r="Q57" s="35" t="n">
        <v>-0.1005714285714285</v>
      </c>
      <c r="R57" s="35" t="n">
        <v>-0.03648383937316357</v>
      </c>
      <c r="S57" s="35" t="n">
        <v>0.07532023911187014</v>
      </c>
      <c r="T57" s="35" t="n">
        <v>0.09547091677831321</v>
      </c>
      <c r="U57" s="30" t="n">
        <v>35360</v>
      </c>
      <c r="V57" s="30" t="n">
        <v>22160</v>
      </c>
      <c r="W57" s="35" t="n">
        <v>-0.1097285067873304</v>
      </c>
      <c r="X57" s="35" t="n">
        <v>0.4205776173285198</v>
      </c>
      <c r="Y57" s="30" t="n">
        <v>76211850</v>
      </c>
      <c r="Z57" s="30" t="n">
        <v>2399149038000</v>
      </c>
      <c r="AA57" s="30" t="n">
        <v>16326472400</v>
      </c>
      <c r="AB57" s="30" t="n">
        <v>22355171115</v>
      </c>
      <c r="AC57" s="35" t="n">
        <v>0.006805109704068331</v>
      </c>
      <c r="AD57" s="24" t="inlineStr">
        <is>
          <t>yfinance_download</t>
        </is>
      </c>
      <c r="AE57" s="24" t="inlineStr">
        <is>
          <t>058470.KQ</t>
        </is>
      </c>
    </row>
    <row r="58" ht="24" customHeight="1">
      <c r="A58" s="29" t="inlineStr">
        <is>
          <t>2023-08-11</t>
        </is>
      </c>
      <c r="B58" s="31" t="n">
        <v>31000</v>
      </c>
      <c r="C58" s="31" t="n">
        <v>31600</v>
      </c>
      <c r="D58" s="31" t="n">
        <v>30780</v>
      </c>
      <c r="E58" s="31" t="n">
        <v>30980</v>
      </c>
      <c r="F58" s="31" t="n">
        <v>25182.421875</v>
      </c>
      <c r="G58" s="31" t="n">
        <v>316425</v>
      </c>
      <c r="H58" s="36" t="n">
        <v>-0.01588310038119445</v>
      </c>
      <c r="I58" s="36" t="n">
        <v>-0.2714016933207902</v>
      </c>
      <c r="J58" s="31" t="n">
        <v>32651</v>
      </c>
      <c r="K58" s="31" t="n">
        <v>29409</v>
      </c>
      <c r="L58" s="31" t="n">
        <v>28713</v>
      </c>
      <c r="M58" s="36" t="n">
        <v>0.3040894046380733</v>
      </c>
      <c r="N58" s="36" t="n">
        <v>0.3722317311505213</v>
      </c>
      <c r="O58" s="36" t="n">
        <v>-0.01337579617834395</v>
      </c>
      <c r="P58" s="36" t="n">
        <v>0.3504795117698343</v>
      </c>
      <c r="Q58" s="36" t="n">
        <v>-0.08343195266272185</v>
      </c>
      <c r="R58" s="36" t="n">
        <v>-0.05117760558635265</v>
      </c>
      <c r="S58" s="36" t="n">
        <v>0.05341902138801058</v>
      </c>
      <c r="T58" s="36" t="n">
        <v>0.07895378400027853</v>
      </c>
      <c r="U58" s="31" t="n">
        <v>35360</v>
      </c>
      <c r="V58" s="31" t="n">
        <v>22160</v>
      </c>
      <c r="W58" s="36" t="n">
        <v>-0.123868778280543</v>
      </c>
      <c r="X58" s="36" t="n">
        <v>0.3980144404332131</v>
      </c>
      <c r="Y58" s="31" t="n">
        <v>76211850</v>
      </c>
      <c r="Z58" s="31" t="n">
        <v>2361043113000</v>
      </c>
      <c r="AA58" s="31" t="n">
        <v>9802846500</v>
      </c>
      <c r="AB58" s="31" t="n">
        <v>19985095290</v>
      </c>
      <c r="AC58" s="36" t="n">
        <v>0.004151913383548621</v>
      </c>
      <c r="AD58" s="29" t="inlineStr">
        <is>
          <t>yfinance_download</t>
        </is>
      </c>
      <c r="AE58" s="29" t="inlineStr">
        <is>
          <t>058470.KQ</t>
        </is>
      </c>
    </row>
    <row r="59" ht="24" customHeight="1">
      <c r="A59" s="24" t="inlineStr">
        <is>
          <t>2023-08-14</t>
        </is>
      </c>
      <c r="B59" s="30" t="n">
        <v>30680</v>
      </c>
      <c r="C59" s="30" t="n">
        <v>32400</v>
      </c>
      <c r="D59" s="30" t="n">
        <v>30200</v>
      </c>
      <c r="E59" s="30" t="n">
        <v>31960</v>
      </c>
      <c r="F59" s="30" t="n">
        <v>25979.0234375</v>
      </c>
      <c r="G59" s="30" t="n">
        <v>615935</v>
      </c>
      <c r="H59" s="35" t="n">
        <v>0.03163331181407369</v>
      </c>
      <c r="I59" s="35" t="n">
        <v>-0.2483537158984007</v>
      </c>
      <c r="J59" s="30" t="n">
        <v>32648</v>
      </c>
      <c r="K59" s="30" t="n">
        <v>29544</v>
      </c>
      <c r="L59" s="30" t="n">
        <v>28696</v>
      </c>
      <c r="M59" s="35" t="n">
        <v>0.3172305415776021</v>
      </c>
      <c r="N59" s="35" t="n">
        <v>0.3692401089331366</v>
      </c>
      <c r="O59" s="35" t="n">
        <v>-0.00187382885696441</v>
      </c>
      <c r="P59" s="35" t="n">
        <v>0.3394803017602683</v>
      </c>
      <c r="Q59" s="35" t="n">
        <v>-0.06000000000000005</v>
      </c>
      <c r="R59" s="35" t="n">
        <v>-0.02107326635628526</v>
      </c>
      <c r="S59" s="35" t="n">
        <v>0.08177633360411596</v>
      </c>
      <c r="T59" s="35" t="n">
        <v>0.113744075829384</v>
      </c>
      <c r="U59" s="30" t="n">
        <v>35360</v>
      </c>
      <c r="V59" s="30" t="n">
        <v>22160</v>
      </c>
      <c r="W59" s="35" t="n">
        <v>-0.09615384615384615</v>
      </c>
      <c r="X59" s="35" t="n">
        <v>0.4422382671480145</v>
      </c>
      <c r="Y59" s="30" t="n">
        <v>76211850</v>
      </c>
      <c r="Z59" s="30" t="n">
        <v>2435730726000</v>
      </c>
      <c r="AA59" s="30" t="n">
        <v>19685282600</v>
      </c>
      <c r="AB59" s="30" t="n">
        <v>19707531270</v>
      </c>
      <c r="AC59" s="35" t="n">
        <v>0.008081879655197978</v>
      </c>
      <c r="AD59" s="24" t="inlineStr">
        <is>
          <t>yfinance_download</t>
        </is>
      </c>
      <c r="AE59" s="24" t="inlineStr">
        <is>
          <t>058470.KQ</t>
        </is>
      </c>
    </row>
    <row r="60" ht="24" customHeight="1">
      <c r="A60" s="29" t="inlineStr">
        <is>
          <t>2023-08-16</t>
        </is>
      </c>
      <c r="B60" s="31" t="n">
        <v>32340</v>
      </c>
      <c r="C60" s="31" t="n">
        <v>32580</v>
      </c>
      <c r="D60" s="31" t="n">
        <v>31680</v>
      </c>
      <c r="E60" s="31" t="n">
        <v>32020</v>
      </c>
      <c r="F60" s="31" t="n">
        <v>26027.794921875</v>
      </c>
      <c r="G60" s="31" t="n">
        <v>577025</v>
      </c>
      <c r="H60" s="36" t="n">
        <v>0.001877346683354153</v>
      </c>
      <c r="I60" s="36" t="n">
        <v>-0.2469426152398871</v>
      </c>
      <c r="J60" s="31" t="n">
        <v>32616</v>
      </c>
      <c r="K60" s="31" t="n">
        <v>29654.33333333333</v>
      </c>
      <c r="L60" s="31" t="n">
        <v>28684</v>
      </c>
      <c r="M60" s="36" t="n">
        <v>0.3085634246526665</v>
      </c>
      <c r="N60" s="36" t="n">
        <v>0.3479011106964749</v>
      </c>
      <c r="O60" s="36" t="n">
        <v>-0.01959583588487446</v>
      </c>
      <c r="P60" s="36" t="n">
        <v>0.2606299212598424</v>
      </c>
      <c r="Q60" s="36" t="n">
        <v>-0.0430364614465033</v>
      </c>
      <c r="R60" s="36" t="n">
        <v>-0.01827324012754472</v>
      </c>
      <c r="S60" s="36" t="n">
        <v>0.07977473781234901</v>
      </c>
      <c r="T60" s="36" t="n">
        <v>0.1163017710221725</v>
      </c>
      <c r="U60" s="31" t="n">
        <v>35360</v>
      </c>
      <c r="V60" s="31" t="n">
        <v>22160</v>
      </c>
      <c r="W60" s="36" t="n">
        <v>-0.09445701357466063</v>
      </c>
      <c r="X60" s="36" t="n">
        <v>0.4449458483754514</v>
      </c>
      <c r="Y60" s="31" t="n">
        <v>76211850</v>
      </c>
      <c r="Z60" s="31" t="n">
        <v>2440303437000</v>
      </c>
      <c r="AA60" s="31" t="n">
        <v>18476340500</v>
      </c>
      <c r="AB60" s="31" t="n">
        <v>19425255320</v>
      </c>
      <c r="AC60" s="36" t="n">
        <v>0.007571329130574838</v>
      </c>
      <c r="AD60" s="29" t="inlineStr">
        <is>
          <t>yfinance_download</t>
        </is>
      </c>
      <c r="AE60" s="29" t="inlineStr">
        <is>
          <t>058470.KQ</t>
        </is>
      </c>
    </row>
    <row r="61" ht="24" customHeight="1">
      <c r="A61" s="24" t="inlineStr">
        <is>
          <t>2023-08-17</t>
        </is>
      </c>
      <c r="B61" s="30" t="n">
        <v>31680</v>
      </c>
      <c r="C61" s="30" t="n">
        <v>32080</v>
      </c>
      <c r="D61" s="30" t="n">
        <v>31280</v>
      </c>
      <c r="E61" s="30" t="n">
        <v>31860</v>
      </c>
      <c r="F61" s="30" t="n">
        <v>25897.73828125</v>
      </c>
      <c r="G61" s="30" t="n">
        <v>387700</v>
      </c>
      <c r="H61" s="35" t="n">
        <v>-0.004996876951905094</v>
      </c>
      <c r="I61" s="35" t="n">
        <v>-0.2507055503292568</v>
      </c>
      <c r="J61" s="30" t="n">
        <v>32604</v>
      </c>
      <c r="K61" s="30" t="n">
        <v>29764.66666666667</v>
      </c>
      <c r="L61" s="30" t="n">
        <v>28678.16666666667</v>
      </c>
      <c r="M61" s="35" t="n">
        <v>0.3029960196079284</v>
      </c>
      <c r="N61" s="35" t="n">
        <v>0.3477450269498641</v>
      </c>
      <c r="O61" s="35" t="n">
        <v>-0.00747663551401867</v>
      </c>
      <c r="P61" s="35" t="n">
        <v>0.2622820919175912</v>
      </c>
      <c r="Q61" s="35" t="n">
        <v>-0.02149877149877155</v>
      </c>
      <c r="R61" s="35" t="n">
        <v>-0.02281928597718075</v>
      </c>
      <c r="S61" s="35" t="n">
        <v>0.07039666718928483</v>
      </c>
      <c r="T61" s="35" t="n">
        <v>0.1109496771643934</v>
      </c>
      <c r="U61" s="30" t="n">
        <v>35360</v>
      </c>
      <c r="V61" s="30" t="n">
        <v>22160</v>
      </c>
      <c r="W61" s="35" t="n">
        <v>-0.09898190045248867</v>
      </c>
      <c r="X61" s="35" t="n">
        <v>0.4377256317689531</v>
      </c>
      <c r="Y61" s="30" t="n">
        <v>76211850</v>
      </c>
      <c r="Z61" s="30" t="n">
        <v>2428109541000</v>
      </c>
      <c r="AA61" s="30" t="n">
        <v>12352122000</v>
      </c>
      <c r="AB61" s="30" t="n">
        <v>18965063795</v>
      </c>
      <c r="AC61" s="35" t="n">
        <v>0.005087135399547446</v>
      </c>
      <c r="AD61" s="24" t="inlineStr">
        <is>
          <t>yfinance_download</t>
        </is>
      </c>
      <c r="AE61" s="24" t="inlineStr">
        <is>
          <t>058470.KQ</t>
        </is>
      </c>
    </row>
    <row r="62" ht="24" customHeight="1">
      <c r="A62" s="29" t="inlineStr">
        <is>
          <t>2023-08-18</t>
        </is>
      </c>
      <c r="B62" s="31" t="n">
        <v>31220</v>
      </c>
      <c r="C62" s="31" t="n">
        <v>33800</v>
      </c>
      <c r="D62" s="31" t="n">
        <v>30580</v>
      </c>
      <c r="E62" s="31" t="n">
        <v>33160</v>
      </c>
      <c r="F62" s="31" t="n">
        <v>26954.455078125</v>
      </c>
      <c r="G62" s="31" t="n">
        <v>578260</v>
      </c>
      <c r="H62" s="36" t="n">
        <v>0.04080351537978655</v>
      </c>
      <c r="I62" s="36" t="n">
        <v>-0.220131702728128</v>
      </c>
      <c r="J62" s="31" t="n">
        <v>32665</v>
      </c>
      <c r="K62" s="31" t="n">
        <v>29898.33333333333</v>
      </c>
      <c r="L62" s="31" t="n">
        <v>28682</v>
      </c>
      <c r="M62" s="36" t="n">
        <v>0.3352845253170268</v>
      </c>
      <c r="N62" s="36" t="n">
        <v>0.3553189922057408</v>
      </c>
      <c r="O62" s="36" t="n">
        <v>0.03819661865998758</v>
      </c>
      <c r="P62" s="36" t="n">
        <v>0.319013524264121</v>
      </c>
      <c r="Q62" s="36" t="n">
        <v>0.01406727828746179</v>
      </c>
      <c r="R62" s="36" t="n">
        <v>0.01515383437930518</v>
      </c>
      <c r="S62" s="36" t="n">
        <v>0.1090919226266793</v>
      </c>
      <c r="T62" s="36" t="n">
        <v>0.1561257931803919</v>
      </c>
      <c r="U62" s="31" t="n">
        <v>35360</v>
      </c>
      <c r="V62" s="31" t="n">
        <v>22160</v>
      </c>
      <c r="W62" s="36" t="n">
        <v>-0.06221719457013575</v>
      </c>
      <c r="X62" s="36" t="n">
        <v>0.4963898916967509</v>
      </c>
      <c r="Y62" s="31" t="n">
        <v>76211850</v>
      </c>
      <c r="Z62" s="31" t="n">
        <v>2527184946000</v>
      </c>
      <c r="AA62" s="31" t="n">
        <v>19175101600</v>
      </c>
      <c r="AB62" s="31" t="n">
        <v>19257223090</v>
      </c>
      <c r="AC62" s="36" t="n">
        <v>0.007587533959613892</v>
      </c>
      <c r="AD62" s="29" t="inlineStr">
        <is>
          <t>yfinance_download</t>
        </is>
      </c>
      <c r="AE62" s="29" t="inlineStr">
        <is>
          <t>058470.KQ</t>
        </is>
      </c>
    </row>
    <row r="63" ht="24" customHeight="1">
      <c r="A63" s="24" t="inlineStr">
        <is>
          <t>2023-08-21</t>
        </is>
      </c>
      <c r="B63" s="30" t="n">
        <v>33600</v>
      </c>
      <c r="C63" s="30" t="n">
        <v>33640</v>
      </c>
      <c r="D63" s="30" t="n">
        <v>32260</v>
      </c>
      <c r="E63" s="30" t="n">
        <v>32400</v>
      </c>
      <c r="F63" s="30" t="n">
        <v>26336.681640625</v>
      </c>
      <c r="G63" s="30" t="n">
        <v>341810</v>
      </c>
      <c r="H63" s="35" t="n">
        <v>-0.02291917973461999</v>
      </c>
      <c r="I63" s="35" t="n">
        <v>-0.2380056444026341</v>
      </c>
      <c r="J63" s="30" t="n">
        <v>32669</v>
      </c>
      <c r="K63" s="30" t="n">
        <v>30024.33333333333</v>
      </c>
      <c r="L63" s="30" t="n">
        <v>28684.5</v>
      </c>
      <c r="M63" s="35" t="n">
        <v>0.3444244613547164</v>
      </c>
      <c r="N63" s="35" t="n">
        <v>0.3582391654971896</v>
      </c>
      <c r="O63" s="35" t="n">
        <v>0.002475247524752477</v>
      </c>
      <c r="P63" s="35" t="n">
        <v>0.3043478260869565</v>
      </c>
      <c r="Q63" s="35" t="n">
        <v>0.009345794392523255</v>
      </c>
      <c r="R63" s="35" t="n">
        <v>-0.008234105727141894</v>
      </c>
      <c r="S63" s="35" t="n">
        <v>0.079124709957479</v>
      </c>
      <c r="T63" s="35" t="n">
        <v>0.1295298854782199</v>
      </c>
      <c r="U63" s="30" t="n">
        <v>35360</v>
      </c>
      <c r="V63" s="30" t="n">
        <v>22160</v>
      </c>
      <c r="W63" s="35" t="n">
        <v>-0.08371040723981904</v>
      </c>
      <c r="X63" s="35" t="n">
        <v>0.4620938628158844</v>
      </c>
      <c r="Y63" s="30" t="n">
        <v>76211850</v>
      </c>
      <c r="Z63" s="30" t="n">
        <v>2469263940000</v>
      </c>
      <c r="AA63" s="30" t="n">
        <v>11074644000</v>
      </c>
      <c r="AB63" s="30" t="n">
        <v>18645294090</v>
      </c>
      <c r="AC63" s="35" t="n">
        <v>0.004484998067885769</v>
      </c>
      <c r="AD63" s="24" t="inlineStr">
        <is>
          <t>yfinance_download</t>
        </is>
      </c>
      <c r="AE63" s="24" t="inlineStr">
        <is>
          <t>058470.KQ</t>
        </is>
      </c>
    </row>
    <row r="64" ht="24" customHeight="1">
      <c r="A64" s="29" t="inlineStr">
        <is>
          <t>2023-08-22</t>
        </is>
      </c>
      <c r="B64" s="31" t="n">
        <v>32580</v>
      </c>
      <c r="C64" s="31" t="n">
        <v>33040</v>
      </c>
      <c r="D64" s="31" t="n">
        <v>32060</v>
      </c>
      <c r="E64" s="31" t="n">
        <v>32620</v>
      </c>
      <c r="F64" s="31" t="n">
        <v>26515.509765625</v>
      </c>
      <c r="G64" s="31" t="n">
        <v>370680</v>
      </c>
      <c r="H64" s="36" t="n">
        <v>0.006790123456790198</v>
      </c>
      <c r="I64" s="36" t="n">
        <v>-0.2328316086547507</v>
      </c>
      <c r="J64" s="31" t="n">
        <v>32683</v>
      </c>
      <c r="K64" s="31" t="n">
        <v>30154</v>
      </c>
      <c r="L64" s="31" t="n">
        <v>28689.83333333333</v>
      </c>
      <c r="M64" s="36" t="n">
        <v>0.3451852286233146</v>
      </c>
      <c r="N64" s="36" t="n">
        <v>0.3581300835499504</v>
      </c>
      <c r="O64" s="36" t="n">
        <v>0.008658008658008587</v>
      </c>
      <c r="P64" s="36" t="n">
        <v>0.3132045088566828</v>
      </c>
      <c r="Q64" s="36" t="n">
        <v>0.02001250781738584</v>
      </c>
      <c r="R64" s="36" t="n">
        <v>-0.001927607624759076</v>
      </c>
      <c r="S64" s="36" t="n">
        <v>0.08178019499900513</v>
      </c>
      <c r="T64" s="36" t="n">
        <v>0.1369881316842785</v>
      </c>
      <c r="U64" s="31" t="n">
        <v>35360</v>
      </c>
      <c r="V64" s="31" t="n">
        <v>22160</v>
      </c>
      <c r="W64" s="36" t="n">
        <v>-0.07748868778280538</v>
      </c>
      <c r="X64" s="36" t="n">
        <v>0.4720216606498195</v>
      </c>
      <c r="Y64" s="31" t="n">
        <v>76211850</v>
      </c>
      <c r="Z64" s="31" t="n">
        <v>2486030547000</v>
      </c>
      <c r="AA64" s="31" t="n">
        <v>12091581600</v>
      </c>
      <c r="AB64" s="31" t="n">
        <v>18438114915</v>
      </c>
      <c r="AC64" s="36" t="n">
        <v>0.004863810549146885</v>
      </c>
      <c r="AD64" s="29" t="inlineStr">
        <is>
          <t>yfinance_download</t>
        </is>
      </c>
      <c r="AE64" s="29" t="inlineStr">
        <is>
          <t>058470.KQ</t>
        </is>
      </c>
    </row>
    <row r="65" ht="24" customHeight="1">
      <c r="A65" s="24" t="inlineStr">
        <is>
          <t>2023-08-23</t>
        </is>
      </c>
      <c r="B65" s="30" t="n">
        <v>32240</v>
      </c>
      <c r="C65" s="30" t="n">
        <v>33880</v>
      </c>
      <c r="D65" s="30" t="n">
        <v>32240</v>
      </c>
      <c r="E65" s="30" t="n">
        <v>33200</v>
      </c>
      <c r="F65" s="30" t="n">
        <v>26986.96875</v>
      </c>
      <c r="G65" s="30" t="n">
        <v>430310</v>
      </c>
      <c r="H65" s="35" t="n">
        <v>0.01778050275904364</v>
      </c>
      <c r="I65" s="35" t="n">
        <v>-0.2191909689557855</v>
      </c>
      <c r="J65" s="30" t="n">
        <v>32694</v>
      </c>
      <c r="K65" s="30" t="n">
        <v>30286.66666666667</v>
      </c>
      <c r="L65" s="30" t="n">
        <v>28696</v>
      </c>
      <c r="M65" s="35" t="n">
        <v>0.343778735447528</v>
      </c>
      <c r="N65" s="35" t="n">
        <v>0.3583726505700654</v>
      </c>
      <c r="O65" s="35" t="n">
        <v>0.006670709520921747</v>
      </c>
      <c r="P65" s="35" t="n">
        <v>0.3153724247226624</v>
      </c>
      <c r="Q65" s="35" t="n">
        <v>0.02279728897104127</v>
      </c>
      <c r="R65" s="35" t="n">
        <v>0.0154768459044472</v>
      </c>
      <c r="S65" s="35" t="n">
        <v>0.09619194364957062</v>
      </c>
      <c r="T65" s="35" t="n">
        <v>0.1569556732645665</v>
      </c>
      <c r="U65" s="30" t="n">
        <v>35360</v>
      </c>
      <c r="V65" s="30" t="n">
        <v>22160</v>
      </c>
      <c r="W65" s="35" t="n">
        <v>-0.06108597285067874</v>
      </c>
      <c r="X65" s="35" t="n">
        <v>0.4981949458483754</v>
      </c>
      <c r="Y65" s="30" t="n">
        <v>76211850</v>
      </c>
      <c r="Z65" s="30" t="n">
        <v>2530233420000</v>
      </c>
      <c r="AA65" s="30" t="n">
        <v>14286292000</v>
      </c>
      <c r="AB65" s="30" t="n">
        <v>17923734880</v>
      </c>
      <c r="AC65" s="35" t="n">
        <v>0.005646234804692446</v>
      </c>
      <c r="AD65" s="24" t="inlineStr">
        <is>
          <t>yfinance_download</t>
        </is>
      </c>
      <c r="AE65" s="24" t="inlineStr">
        <is>
          <t>058470.KQ</t>
        </is>
      </c>
    </row>
    <row r="66" ht="24" customHeight="1">
      <c r="A66" s="29" t="inlineStr">
        <is>
          <t>2023-08-24</t>
        </is>
      </c>
      <c r="B66" s="31" t="n">
        <v>33960</v>
      </c>
      <c r="C66" s="31" t="n">
        <v>35000</v>
      </c>
      <c r="D66" s="31" t="n">
        <v>33680</v>
      </c>
      <c r="E66" s="31" t="n">
        <v>33840</v>
      </c>
      <c r="F66" s="31" t="n">
        <v>27507.201171875</v>
      </c>
      <c r="G66" s="31" t="n">
        <v>567115</v>
      </c>
      <c r="H66" s="36" t="n">
        <v>0.01927710843373487</v>
      </c>
      <c r="I66" s="36" t="n">
        <v>-0.2041392285983067</v>
      </c>
      <c r="J66" s="31" t="n">
        <v>32761</v>
      </c>
      <c r="K66" s="31" t="n">
        <v>30412.33333333333</v>
      </c>
      <c r="L66" s="31" t="n">
        <v>28706.16666666667</v>
      </c>
      <c r="M66" s="36" t="n">
        <v>0.3450322683066381</v>
      </c>
      <c r="N66" s="36" t="n">
        <v>0.3512619627478118</v>
      </c>
      <c r="O66" s="36" t="n">
        <v>0.04123076923076918</v>
      </c>
      <c r="P66" s="36" t="n">
        <v>0.2866920152091255</v>
      </c>
      <c r="Q66" s="36" t="n">
        <v>0.03740036787247081</v>
      </c>
      <c r="R66" s="36" t="n">
        <v>0.03293550257928635</v>
      </c>
      <c r="S66" s="36" t="n">
        <v>0.112706467770751</v>
      </c>
      <c r="T66" s="36" t="n">
        <v>0.178840783339236</v>
      </c>
      <c r="U66" s="31" t="n">
        <v>35360</v>
      </c>
      <c r="V66" s="31" t="n">
        <v>22160</v>
      </c>
      <c r="W66" s="36" t="n">
        <v>-0.04298642533936647</v>
      </c>
      <c r="X66" s="36" t="n">
        <v>0.5270758122743682</v>
      </c>
      <c r="Y66" s="31" t="n">
        <v>76211850</v>
      </c>
      <c r="Z66" s="31" t="n">
        <v>2579009004000</v>
      </c>
      <c r="AA66" s="31" t="n">
        <v>19191171600</v>
      </c>
      <c r="AB66" s="31" t="n">
        <v>17647602835</v>
      </c>
      <c r="AC66" s="36" t="n">
        <v>0.007441296858690611</v>
      </c>
      <c r="AD66" s="29" t="inlineStr">
        <is>
          <t>yfinance_download</t>
        </is>
      </c>
      <c r="AE66" s="29" t="inlineStr">
        <is>
          <t>058470.KQ</t>
        </is>
      </c>
    </row>
    <row r="67" ht="24" customHeight="1">
      <c r="A67" s="24" t="inlineStr">
        <is>
          <t>2023-08-25</t>
        </is>
      </c>
      <c r="B67" s="30" t="n">
        <v>33320</v>
      </c>
      <c r="C67" s="30" t="n">
        <v>33560</v>
      </c>
      <c r="D67" s="30" t="n">
        <v>32900</v>
      </c>
      <c r="E67" s="30" t="n">
        <v>33080</v>
      </c>
      <c r="F67" s="30" t="n">
        <v>26889.427734375</v>
      </c>
      <c r="G67" s="30" t="n">
        <v>305430</v>
      </c>
      <c r="H67" s="35" t="n">
        <v>-0.02245862884160754</v>
      </c>
      <c r="I67" s="35" t="n">
        <v>-0.2220131702728128</v>
      </c>
      <c r="J67" s="30" t="n">
        <v>32721</v>
      </c>
      <c r="K67" s="30" t="n">
        <v>30531.33333333333</v>
      </c>
      <c r="L67" s="30" t="n">
        <v>28710.33333333333</v>
      </c>
      <c r="M67" s="35" t="n">
        <v>0.3207726125401669</v>
      </c>
      <c r="N67" s="35" t="n">
        <v>0.353647861975966</v>
      </c>
      <c r="O67" s="35" t="n">
        <v>-0.02361275088547821</v>
      </c>
      <c r="P67" s="35" t="n">
        <v>0.2752505782575174</v>
      </c>
      <c r="Q67" s="35" t="n">
        <v>0.01534683855125851</v>
      </c>
      <c r="R67" s="35" t="n">
        <v>0.01097154732434835</v>
      </c>
      <c r="S67" s="35" t="n">
        <v>0.08347708365176754</v>
      </c>
      <c r="T67" s="35" t="n">
        <v>0.1521983954673696</v>
      </c>
      <c r="U67" s="30" t="n">
        <v>35360</v>
      </c>
      <c r="V67" s="30" t="n">
        <v>22160</v>
      </c>
      <c r="W67" s="35" t="n">
        <v>-0.06447963800904977</v>
      </c>
      <c r="X67" s="35" t="n">
        <v>0.4927797833935017</v>
      </c>
      <c r="Y67" s="30" t="n">
        <v>76211850</v>
      </c>
      <c r="Z67" s="30" t="n">
        <v>2521087998000</v>
      </c>
      <c r="AA67" s="30" t="n">
        <v>10103624400</v>
      </c>
      <c r="AB67" s="30" t="n">
        <v>16530516485</v>
      </c>
      <c r="AC67" s="35" t="n">
        <v>0.004007644480484334</v>
      </c>
      <c r="AD67" s="24" t="inlineStr">
        <is>
          <t>yfinance_download</t>
        </is>
      </c>
      <c r="AE67" s="24" t="inlineStr">
        <is>
          <t>058470.KQ</t>
        </is>
      </c>
    </row>
    <row r="68" ht="24" customHeight="1">
      <c r="A68" s="29" t="inlineStr">
        <is>
          <t>2023-08-28</t>
        </is>
      </c>
      <c r="B68" s="31" t="n">
        <v>33540</v>
      </c>
      <c r="C68" s="31" t="n">
        <v>33740</v>
      </c>
      <c r="D68" s="31" t="n">
        <v>32700</v>
      </c>
      <c r="E68" s="31" t="n">
        <v>32860</v>
      </c>
      <c r="F68" s="31" t="n">
        <v>26710.59765625</v>
      </c>
      <c r="G68" s="31" t="n">
        <v>245200</v>
      </c>
      <c r="H68" s="36" t="n">
        <v>-0.006650544135429315</v>
      </c>
      <c r="I68" s="36" t="n">
        <v>-0.2271872060206962</v>
      </c>
      <c r="J68" s="31" t="n">
        <v>32635</v>
      </c>
      <c r="K68" s="31" t="n">
        <v>30642.33333333333</v>
      </c>
      <c r="L68" s="31" t="n">
        <v>28735.16666666667</v>
      </c>
      <c r="M68" s="36" t="n">
        <v>0.3108054661382307</v>
      </c>
      <c r="N68" s="36" t="n">
        <v>0.3541462664707514</v>
      </c>
      <c r="O68" s="36" t="n">
        <v>-0.04973973395026021</v>
      </c>
      <c r="P68" s="36" t="n">
        <v>0.2541984732824427</v>
      </c>
      <c r="Q68" s="36" t="n">
        <v>0.0997322623828647</v>
      </c>
      <c r="R68" s="36" t="n">
        <v>0.00689443848628768</v>
      </c>
      <c r="S68" s="36" t="n">
        <v>0.07237264351061179</v>
      </c>
      <c r="T68" s="36" t="n">
        <v>0.1435465254537123</v>
      </c>
      <c r="U68" s="31" t="n">
        <v>35360</v>
      </c>
      <c r="V68" s="31" t="n">
        <v>22160</v>
      </c>
      <c r="W68" s="36" t="n">
        <v>-0.07070135746606332</v>
      </c>
      <c r="X68" s="36" t="n">
        <v>0.4828519855595668</v>
      </c>
      <c r="Y68" s="31" t="n">
        <v>76211850</v>
      </c>
      <c r="Z68" s="31" t="n">
        <v>2504321391000</v>
      </c>
      <c r="AA68" s="31" t="n">
        <v>8057272000</v>
      </c>
      <c r="AB68" s="31" t="n">
        <v>15305128915</v>
      </c>
      <c r="AC68" s="36" t="n">
        <v>0.003217347433502795</v>
      </c>
      <c r="AD68" s="29" t="inlineStr">
        <is>
          <t>yfinance_download</t>
        </is>
      </c>
      <c r="AE68" s="29" t="inlineStr">
        <is>
          <t>058470.KQ</t>
        </is>
      </c>
    </row>
    <row r="69" ht="24" customHeight="1">
      <c r="A69" s="24" t="inlineStr">
        <is>
          <t>2023-08-29</t>
        </is>
      </c>
      <c r="B69" s="30" t="n">
        <v>33000</v>
      </c>
      <c r="C69" s="30" t="n">
        <v>33900</v>
      </c>
      <c r="D69" s="30" t="n">
        <v>32880</v>
      </c>
      <c r="E69" s="30" t="n">
        <v>33600</v>
      </c>
      <c r="F69" s="30" t="n">
        <v>27312.11328125</v>
      </c>
      <c r="G69" s="30" t="n">
        <v>402380</v>
      </c>
      <c r="H69" s="35" t="n">
        <v>0.02251978088861839</v>
      </c>
      <c r="I69" s="35" t="n">
        <v>-0.2097836312323612</v>
      </c>
      <c r="J69" s="30" t="n">
        <v>32629</v>
      </c>
      <c r="K69" s="30" t="n">
        <v>30767</v>
      </c>
      <c r="L69" s="30" t="n">
        <v>28768.83333333333</v>
      </c>
      <c r="M69" s="35" t="n">
        <v>0.3108191159900332</v>
      </c>
      <c r="N69" s="35" t="n">
        <v>0.3558373344563159</v>
      </c>
      <c r="O69" s="35" t="n">
        <v>-0.003558718861209953</v>
      </c>
      <c r="P69" s="35" t="n">
        <v>0.2863705972434916</v>
      </c>
      <c r="Q69" s="35" t="n">
        <v>0.1366711772665765</v>
      </c>
      <c r="R69" s="35" t="n">
        <v>0.02975880351834248</v>
      </c>
      <c r="S69" s="35" t="n">
        <v>0.09207917574024127</v>
      </c>
      <c r="T69" s="35" t="n">
        <v>0.1679305730159375</v>
      </c>
      <c r="U69" s="30" t="n">
        <v>35360</v>
      </c>
      <c r="V69" s="30" t="n">
        <v>22160</v>
      </c>
      <c r="W69" s="35" t="n">
        <v>-0.04977375565610864</v>
      </c>
      <c r="X69" s="35" t="n">
        <v>0.5162454873646209</v>
      </c>
      <c r="Y69" s="30" t="n">
        <v>76211850</v>
      </c>
      <c r="Z69" s="30" t="n">
        <v>2560718160000</v>
      </c>
      <c r="AA69" s="30" t="n">
        <v>13519968000</v>
      </c>
      <c r="AB69" s="30" t="n">
        <v>14439710245</v>
      </c>
      <c r="AC69" s="35" t="n">
        <v>0.005279756363347695</v>
      </c>
      <c r="AD69" s="24" t="inlineStr">
        <is>
          <t>yfinance_download</t>
        </is>
      </c>
      <c r="AE69" s="24" t="inlineStr">
        <is>
          <t>058470.KQ</t>
        </is>
      </c>
    </row>
    <row r="70" ht="24" customHeight="1">
      <c r="A70" s="29" t="inlineStr">
        <is>
          <t>2023-08-30</t>
        </is>
      </c>
      <c r="B70" s="31" t="n">
        <v>34000</v>
      </c>
      <c r="C70" s="31" t="n">
        <v>34020</v>
      </c>
      <c r="D70" s="31" t="n">
        <v>33480</v>
      </c>
      <c r="E70" s="31" t="n">
        <v>33620</v>
      </c>
      <c r="F70" s="31" t="n">
        <v>27328.373046875</v>
      </c>
      <c r="G70" s="31" t="n">
        <v>224190</v>
      </c>
      <c r="H70" s="36" t="n">
        <v>0.0005952380952380931</v>
      </c>
      <c r="I70" s="36" t="n">
        <v>-0.20931326434619</v>
      </c>
      <c r="J70" s="31" t="n">
        <v>32610</v>
      </c>
      <c r="K70" s="31" t="n">
        <v>30891</v>
      </c>
      <c r="L70" s="31" t="n">
        <v>28815.33333333333</v>
      </c>
      <c r="M70" s="36" t="n">
        <v>0.3092893650603555</v>
      </c>
      <c r="N70" s="36" t="n">
        <v>0.3558984069737793</v>
      </c>
      <c r="O70" s="36" t="n">
        <v>-0.01117647058823534</v>
      </c>
      <c r="P70" s="36" t="n">
        <v>0.2841864018334606</v>
      </c>
      <c r="Q70" s="36" t="n">
        <v>0.1990014265335236</v>
      </c>
      <c r="R70" s="36" t="n">
        <v>0.03097209444955529</v>
      </c>
      <c r="S70" s="36" t="n">
        <v>0.08834288304036764</v>
      </c>
      <c r="T70" s="36" t="n">
        <v>0.166739930129792</v>
      </c>
      <c r="U70" s="31" t="n">
        <v>35360</v>
      </c>
      <c r="V70" s="31" t="n">
        <v>22160</v>
      </c>
      <c r="W70" s="36" t="n">
        <v>-0.04920814479638014</v>
      </c>
      <c r="X70" s="36" t="n">
        <v>0.5171480144404332</v>
      </c>
      <c r="Y70" s="31" t="n">
        <v>76211850</v>
      </c>
      <c r="Z70" s="31" t="n">
        <v>2562242397000</v>
      </c>
      <c r="AA70" s="31" t="n">
        <v>7537267800</v>
      </c>
      <c r="AB70" s="31" t="n">
        <v>13900783635</v>
      </c>
      <c r="AC70" s="36" t="n">
        <v>0.002941668520052984</v>
      </c>
      <c r="AD70" s="29" t="inlineStr">
        <is>
          <t>yfinance_download</t>
        </is>
      </c>
      <c r="AE70" s="29" t="inlineStr">
        <is>
          <t>058470.KQ</t>
        </is>
      </c>
    </row>
    <row r="71" ht="24" customHeight="1">
      <c r="A71" s="24" t="inlineStr">
        <is>
          <t>2023-08-31</t>
        </is>
      </c>
      <c r="B71" s="30" t="n">
        <v>33620</v>
      </c>
      <c r="C71" s="30" t="n">
        <v>33700</v>
      </c>
      <c r="D71" s="30" t="n">
        <v>33040</v>
      </c>
      <c r="E71" s="30" t="n">
        <v>33620</v>
      </c>
      <c r="F71" s="30" t="n">
        <v>27328.373046875</v>
      </c>
      <c r="G71" s="30" t="n">
        <v>240080</v>
      </c>
      <c r="H71" s="35" t="n">
        <v>0</v>
      </c>
      <c r="I71" s="35" t="n">
        <v>-0.20931326434619</v>
      </c>
      <c r="J71" s="30" t="n">
        <v>32638</v>
      </c>
      <c r="K71" s="30" t="n">
        <v>31007.66666666667</v>
      </c>
      <c r="L71" s="30" t="n">
        <v>28856.33333333333</v>
      </c>
      <c r="M71" s="35" t="n">
        <v>0.2920542604034047</v>
      </c>
      <c r="N71" s="35" t="n">
        <v>0.3550661313842526</v>
      </c>
      <c r="O71" s="35" t="n">
        <v>0.01693889897156686</v>
      </c>
      <c r="P71" s="35" t="n">
        <v>0.2629601803155521</v>
      </c>
      <c r="Q71" s="35" t="n">
        <v>0.1714285714285715</v>
      </c>
      <c r="R71" s="35" t="n">
        <v>0.03008762791837727</v>
      </c>
      <c r="S71" s="35" t="n">
        <v>0.08424798168194969</v>
      </c>
      <c r="T71" s="35" t="n">
        <v>0.1650821887742726</v>
      </c>
      <c r="U71" s="30" t="n">
        <v>35360</v>
      </c>
      <c r="V71" s="30" t="n">
        <v>22160</v>
      </c>
      <c r="W71" s="35" t="n">
        <v>-0.04920814479638014</v>
      </c>
      <c r="X71" s="35" t="n">
        <v>0.5171480144404332</v>
      </c>
      <c r="Y71" s="30" t="n">
        <v>76211850</v>
      </c>
      <c r="Z71" s="30" t="n">
        <v>2562242397000</v>
      </c>
      <c r="AA71" s="30" t="n">
        <v>8071489600</v>
      </c>
      <c r="AB71" s="30" t="n">
        <v>13244355335</v>
      </c>
      <c r="AC71" s="35" t="n">
        <v>0.003150166279915787</v>
      </c>
      <c r="AD71" s="24" t="inlineStr">
        <is>
          <t>yfinance_download</t>
        </is>
      </c>
      <c r="AE71" s="24" t="inlineStr">
        <is>
          <t>058470.KQ</t>
        </is>
      </c>
    </row>
    <row r="72" ht="24" customHeight="1">
      <c r="A72" s="29" t="inlineStr">
        <is>
          <t>2023-09-01</t>
        </is>
      </c>
      <c r="B72" s="31" t="n">
        <v>33620</v>
      </c>
      <c r="C72" s="31" t="n">
        <v>34340</v>
      </c>
      <c r="D72" s="31" t="n">
        <v>33220</v>
      </c>
      <c r="E72" s="31" t="n">
        <v>33880</v>
      </c>
      <c r="F72" s="31" t="n">
        <v>27539.71484375</v>
      </c>
      <c r="G72" s="31" t="n">
        <v>447585</v>
      </c>
      <c r="H72" s="36" t="n">
        <v>0.007733491969066142</v>
      </c>
      <c r="I72" s="36" t="n">
        <v>-0.2031984948259643</v>
      </c>
      <c r="J72" s="31" t="n">
        <v>32697</v>
      </c>
      <c r="K72" s="31" t="n">
        <v>31132.66666666667</v>
      </c>
      <c r="L72" s="31" t="n">
        <v>28902.83333333333</v>
      </c>
      <c r="M72" s="36" t="n">
        <v>0.2894689885489248</v>
      </c>
      <c r="N72" s="36" t="n">
        <v>0.3540729411823896</v>
      </c>
      <c r="O72" s="36" t="n">
        <v>0.03608562691131501</v>
      </c>
      <c r="P72" s="36" t="n">
        <v>0.2843062926459439</v>
      </c>
      <c r="Q72" s="36" t="n">
        <v>0.197173144876325</v>
      </c>
      <c r="R72" s="36" t="n">
        <v>0.03618068935988017</v>
      </c>
      <c r="S72" s="36" t="n">
        <v>0.08824600098503166</v>
      </c>
      <c r="T72" s="36" t="n">
        <v>0.1722034171966993</v>
      </c>
      <c r="U72" s="31" t="n">
        <v>35360</v>
      </c>
      <c r="V72" s="31" t="n">
        <v>22160</v>
      </c>
      <c r="W72" s="36" t="n">
        <v>-0.04185520361990946</v>
      </c>
      <c r="X72" s="36" t="n">
        <v>0.5288808664259927</v>
      </c>
      <c r="Y72" s="31" t="n">
        <v>76211850</v>
      </c>
      <c r="Z72" s="31" t="n">
        <v>2582057478000</v>
      </c>
      <c r="AA72" s="31" t="n">
        <v>15164179800</v>
      </c>
      <c r="AB72" s="31" t="n">
        <v>13072094000</v>
      </c>
      <c r="AC72" s="36" t="n">
        <v>0.005872905591453297</v>
      </c>
      <c r="AD72" s="29" t="inlineStr">
        <is>
          <t>yfinance_download</t>
        </is>
      </c>
      <c r="AE72" s="29" t="inlineStr">
        <is>
          <t>058470.KQ</t>
        </is>
      </c>
    </row>
    <row r="73" ht="24" customHeight="1">
      <c r="A73" s="24" t="inlineStr">
        <is>
          <t>2023-09-04</t>
        </is>
      </c>
      <c r="B73" s="30" t="n">
        <v>34160</v>
      </c>
      <c r="C73" s="30" t="n">
        <v>34160</v>
      </c>
      <c r="D73" s="30" t="n">
        <v>33200</v>
      </c>
      <c r="E73" s="30" t="n">
        <v>33980</v>
      </c>
      <c r="F73" s="30" t="n">
        <v>27621</v>
      </c>
      <c r="G73" s="30" t="n">
        <v>252015</v>
      </c>
      <c r="H73" s="35" t="n">
        <v>0.002951593860684776</v>
      </c>
      <c r="I73" s="35" t="n">
        <v>-0.2008466603951082</v>
      </c>
      <c r="J73" s="30" t="n">
        <v>32744</v>
      </c>
      <c r="K73" s="30" t="n">
        <v>31244.66666666667</v>
      </c>
      <c r="L73" s="30" t="n">
        <v>28951.5</v>
      </c>
      <c r="M73" s="35" t="n">
        <v>0.2877822272808947</v>
      </c>
      <c r="N73" s="35" t="n">
        <v>0.3489045977764098</v>
      </c>
      <c r="O73" s="35" t="n">
        <v>0.02845036319612593</v>
      </c>
      <c r="P73" s="35" t="n">
        <v>0.2465150403521643</v>
      </c>
      <c r="Q73" s="35" t="n">
        <v>0.2075337597725657</v>
      </c>
      <c r="R73" s="35" t="n">
        <v>0.03774737356462254</v>
      </c>
      <c r="S73" s="35" t="n">
        <v>0.08754560778372844</v>
      </c>
      <c r="T73" s="35" t="n">
        <v>0.1736870283059599</v>
      </c>
      <c r="U73" s="30" t="n">
        <v>35360</v>
      </c>
      <c r="V73" s="30" t="n">
        <v>22160</v>
      </c>
      <c r="W73" s="35" t="n">
        <v>-0.03902714932126694</v>
      </c>
      <c r="X73" s="35" t="n">
        <v>0.5333935018050542</v>
      </c>
      <c r="Y73" s="30" t="n">
        <v>76211850</v>
      </c>
      <c r="Z73" s="30" t="n">
        <v>2589678663000</v>
      </c>
      <c r="AA73" s="30" t="n">
        <v>8563469700</v>
      </c>
      <c r="AB73" s="30" t="n">
        <v>12939578685</v>
      </c>
      <c r="AC73" s="35" t="n">
        <v>0.003306769222896439</v>
      </c>
      <c r="AD73" s="24" t="inlineStr">
        <is>
          <t>yfinance_download</t>
        </is>
      </c>
      <c r="AE73" s="24" t="inlineStr">
        <is>
          <t>058470.KQ</t>
        </is>
      </c>
    </row>
    <row r="74" ht="24" customHeight="1">
      <c r="A74" s="29" t="inlineStr">
        <is>
          <t>2023-09-05</t>
        </is>
      </c>
      <c r="B74" s="31" t="n">
        <v>34020</v>
      </c>
      <c r="C74" s="31" t="n">
        <v>34500</v>
      </c>
      <c r="D74" s="31" t="n">
        <v>33600</v>
      </c>
      <c r="E74" s="31" t="n">
        <v>33680</v>
      </c>
      <c r="F74" s="31" t="n">
        <v>27377.142578125</v>
      </c>
      <c r="G74" s="31" t="n">
        <v>287815</v>
      </c>
      <c r="H74" s="36" t="n">
        <v>-0.008828722778104758</v>
      </c>
      <c r="I74" s="36" t="n">
        <v>-0.2079021636876763</v>
      </c>
      <c r="J74" s="31" t="n">
        <v>32797</v>
      </c>
      <c r="K74" s="31" t="n">
        <v>31349.33333333333</v>
      </c>
      <c r="L74" s="31" t="n">
        <v>29006.33333333333</v>
      </c>
      <c r="M74" s="36" t="n">
        <v>0.2855497420550412</v>
      </c>
      <c r="N74" s="36" t="n">
        <v>0.3498681561620034</v>
      </c>
      <c r="O74" s="36" t="n">
        <v>0.03249540159411413</v>
      </c>
      <c r="P74" s="36" t="n">
        <v>0.2291970802919707</v>
      </c>
      <c r="Q74" s="36" t="n">
        <v>0.2428044280442805</v>
      </c>
      <c r="R74" s="36" t="n">
        <v>0.02692319419459088</v>
      </c>
      <c r="S74" s="36" t="n">
        <v>0.07434501531133053</v>
      </c>
      <c r="T74" s="36" t="n">
        <v>0.1611257311621601</v>
      </c>
      <c r="U74" s="31" t="n">
        <v>35360</v>
      </c>
      <c r="V74" s="31" t="n">
        <v>22160</v>
      </c>
      <c r="W74" s="36" t="n">
        <v>-0.04751131221719462</v>
      </c>
      <c r="X74" s="36" t="n">
        <v>0.5198555956678701</v>
      </c>
      <c r="Y74" s="31" t="n">
        <v>76211850</v>
      </c>
      <c r="Z74" s="31" t="n">
        <v>2566815108000</v>
      </c>
      <c r="AA74" s="31" t="n">
        <v>9693609200</v>
      </c>
      <c r="AB74" s="31" t="n">
        <v>12983236745</v>
      </c>
      <c r="AC74" s="36" t="n">
        <v>0.003776512445243096</v>
      </c>
      <c r="AD74" s="29" t="inlineStr">
        <is>
          <t>yfinance_download</t>
        </is>
      </c>
      <c r="AE74" s="29" t="inlineStr">
        <is>
          <t>058470.KQ</t>
        </is>
      </c>
    </row>
    <row r="75" ht="24" customHeight="1">
      <c r="A75" s="24" t="inlineStr">
        <is>
          <t>2023-09-06</t>
        </is>
      </c>
      <c r="B75" s="30" t="n">
        <v>33600</v>
      </c>
      <c r="C75" s="30" t="n">
        <v>33620</v>
      </c>
      <c r="D75" s="30" t="n">
        <v>32900</v>
      </c>
      <c r="E75" s="30" t="n">
        <v>33400</v>
      </c>
      <c r="F75" s="30" t="n">
        <v>27149.541015625</v>
      </c>
      <c r="G75" s="30" t="n">
        <v>293415</v>
      </c>
      <c r="H75" s="35" t="n">
        <v>-0.008313539192399078</v>
      </c>
      <c r="I75" s="35" t="n">
        <v>-0.2144873000940734</v>
      </c>
      <c r="J75" s="30" t="n">
        <v>32868</v>
      </c>
      <c r="K75" s="30" t="n">
        <v>31440.66666666667</v>
      </c>
      <c r="L75" s="30" t="n">
        <v>29058.16666666667</v>
      </c>
      <c r="M75" s="35" t="n">
        <v>0.2770186659218218</v>
      </c>
      <c r="N75" s="35" t="n">
        <v>0.3492418043730188</v>
      </c>
      <c r="O75" s="35" t="n">
        <v>0.04440275171982488</v>
      </c>
      <c r="P75" s="35" t="n">
        <v>0.1962750716332378</v>
      </c>
      <c r="Q75" s="35" t="n">
        <v>0.2288447387785135</v>
      </c>
      <c r="R75" s="35" t="n">
        <v>0.01618595594499217</v>
      </c>
      <c r="S75" s="35" t="n">
        <v>0.06231844108479456</v>
      </c>
      <c r="T75" s="35" t="n">
        <v>0.149418694687093</v>
      </c>
      <c r="U75" s="30" t="n">
        <v>35360</v>
      </c>
      <c r="V75" s="30" t="n">
        <v>22160</v>
      </c>
      <c r="W75" s="35" t="n">
        <v>-0.05542986425339369</v>
      </c>
      <c r="X75" s="35" t="n">
        <v>0.5072202166064983</v>
      </c>
      <c r="Y75" s="30" t="n">
        <v>76211850</v>
      </c>
      <c r="Z75" s="30" t="n">
        <v>2545475790000</v>
      </c>
      <c r="AA75" s="30" t="n">
        <v>9800061000</v>
      </c>
      <c r="AB75" s="30" t="n">
        <v>12710932535</v>
      </c>
      <c r="AC75" s="35" t="n">
        <v>0.003849991831978885</v>
      </c>
      <c r="AD75" s="24" t="inlineStr">
        <is>
          <t>yfinance_download</t>
        </is>
      </c>
      <c r="AE75" s="24" t="inlineStr">
        <is>
          <t>058470.KQ</t>
        </is>
      </c>
    </row>
    <row r="76" ht="24" customHeight="1">
      <c r="A76" s="29" t="inlineStr">
        <is>
          <t>2023-09-07</t>
        </is>
      </c>
      <c r="B76" s="31" t="n">
        <v>33120</v>
      </c>
      <c r="C76" s="31" t="n">
        <v>33900</v>
      </c>
      <c r="D76" s="31" t="n">
        <v>32840</v>
      </c>
      <c r="E76" s="31" t="n">
        <v>33760</v>
      </c>
      <c r="F76" s="31" t="n">
        <v>27442.171875</v>
      </c>
      <c r="G76" s="31" t="n">
        <v>342565</v>
      </c>
      <c r="H76" s="36" t="n">
        <v>0.01077844311377252</v>
      </c>
      <c r="I76" s="36" t="n">
        <v>-0.2060206961429916</v>
      </c>
      <c r="J76" s="31" t="n">
        <v>32950</v>
      </c>
      <c r="K76" s="31" t="n">
        <v>31543</v>
      </c>
      <c r="L76" s="31" t="n">
        <v>29112.33333333333</v>
      </c>
      <c r="M76" s="36" t="n">
        <v>0.2785771619551445</v>
      </c>
      <c r="N76" s="36" t="n">
        <v>0.3483485196748173</v>
      </c>
      <c r="O76" s="36" t="n">
        <v>0.05105853051058529</v>
      </c>
      <c r="P76" s="36" t="n">
        <v>0.2223026792179581</v>
      </c>
      <c r="Q76" s="36" t="n">
        <v>0.2384446074834923</v>
      </c>
      <c r="R76" s="36" t="n">
        <v>0.0245827010622155</v>
      </c>
      <c r="S76" s="36" t="n">
        <v>0.07028500776717506</v>
      </c>
      <c r="T76" s="36" t="n">
        <v>0.1596459690623677</v>
      </c>
      <c r="U76" s="31" t="n">
        <v>35360</v>
      </c>
      <c r="V76" s="31" t="n">
        <v>22160</v>
      </c>
      <c r="W76" s="36" t="n">
        <v>-0.04524886877828049</v>
      </c>
      <c r="X76" s="36" t="n">
        <v>0.523465703971119</v>
      </c>
      <c r="Y76" s="31" t="n">
        <v>76211850</v>
      </c>
      <c r="Z76" s="31" t="n">
        <v>2572912056000</v>
      </c>
      <c r="AA76" s="31" t="n">
        <v>11564994400</v>
      </c>
      <c r="AB76" s="31" t="n">
        <v>12726889535</v>
      </c>
      <c r="AC76" s="36" t="n">
        <v>0.00449490466377604</v>
      </c>
      <c r="AD76" s="29" t="inlineStr">
        <is>
          <t>yfinance_download</t>
        </is>
      </c>
      <c r="AE76" s="29" t="inlineStr">
        <is>
          <t>058470.KQ</t>
        </is>
      </c>
    </row>
    <row r="77" ht="24" customHeight="1">
      <c r="A77" s="24" t="inlineStr">
        <is>
          <t>2023-09-08</t>
        </is>
      </c>
      <c r="B77" s="30" t="n">
        <v>33860</v>
      </c>
      <c r="C77" s="30" t="n">
        <v>33860</v>
      </c>
      <c r="D77" s="30" t="n">
        <v>31800</v>
      </c>
      <c r="E77" s="30" t="n">
        <v>32140</v>
      </c>
      <c r="F77" s="30" t="n">
        <v>26125.3359375</v>
      </c>
      <c r="G77" s="30" t="n">
        <v>487075</v>
      </c>
      <c r="H77" s="35" t="n">
        <v>-0.04798578199052128</v>
      </c>
      <c r="I77" s="35" t="n">
        <v>-0.2441204139228599</v>
      </c>
      <c r="J77" s="30" t="n">
        <v>32983</v>
      </c>
      <c r="K77" s="30" t="n">
        <v>31622</v>
      </c>
      <c r="L77" s="30" t="n">
        <v>29145</v>
      </c>
      <c r="M77" s="35" t="n">
        <v>0.3229881313883901</v>
      </c>
      <c r="N77" s="35" t="n">
        <v>0.3633488512138457</v>
      </c>
      <c r="O77" s="35" t="n">
        <v>0.0209656925031767</v>
      </c>
      <c r="P77" s="35" t="n">
        <v>0.172992700729927</v>
      </c>
      <c r="Q77" s="35" t="n">
        <v>0.1389085754783841</v>
      </c>
      <c r="R77" s="35" t="n">
        <v>-0.02555862110784346</v>
      </c>
      <c r="S77" s="35" t="n">
        <v>0.01638100056922398</v>
      </c>
      <c r="T77" s="35" t="n">
        <v>0.1027620518099159</v>
      </c>
      <c r="U77" s="30" t="n">
        <v>35360</v>
      </c>
      <c r="V77" s="30" t="n">
        <v>22160</v>
      </c>
      <c r="W77" s="35" t="n">
        <v>-0.0910633484162896</v>
      </c>
      <c r="X77" s="35" t="n">
        <v>0.4503610108303249</v>
      </c>
      <c r="Y77" s="30" t="n">
        <v>76211850</v>
      </c>
      <c r="Z77" s="30" t="n">
        <v>2449448859000</v>
      </c>
      <c r="AA77" s="30" t="n">
        <v>15654590500</v>
      </c>
      <c r="AB77" s="30" t="n">
        <v>12693295440</v>
      </c>
      <c r="AC77" s="35" t="n">
        <v>0.006391066481131216</v>
      </c>
      <c r="AD77" s="24" t="inlineStr">
        <is>
          <t>yfinance_download</t>
        </is>
      </c>
      <c r="AE77" s="24" t="inlineStr">
        <is>
          <t>058470.KQ</t>
        </is>
      </c>
    </row>
    <row r="78" ht="24" customHeight="1">
      <c r="A78" s="29" t="inlineStr">
        <is>
          <t>2023-09-11</t>
        </is>
      </c>
      <c r="B78" s="31" t="n">
        <v>32000</v>
      </c>
      <c r="C78" s="31" t="n">
        <v>32000</v>
      </c>
      <c r="D78" s="31" t="n">
        <v>30660</v>
      </c>
      <c r="E78" s="31" t="n">
        <v>31120</v>
      </c>
      <c r="F78" s="31" t="n">
        <v>25296.220703125</v>
      </c>
      <c r="G78" s="31" t="n">
        <v>647150</v>
      </c>
      <c r="H78" s="36" t="n">
        <v>-0.0317361543248289</v>
      </c>
      <c r="I78" s="36" t="n">
        <v>-0.2681091251175918</v>
      </c>
      <c r="J78" s="31" t="n">
        <v>32990</v>
      </c>
      <c r="K78" s="31" t="n">
        <v>31688.66666666667</v>
      </c>
      <c r="L78" s="31" t="n">
        <v>29174.33333333333</v>
      </c>
      <c r="M78" s="36" t="n">
        <v>0.3386540996018775</v>
      </c>
      <c r="N78" s="36" t="n">
        <v>0.3692988972862033</v>
      </c>
      <c r="O78" s="36" t="n">
        <v>0.004519044544867734</v>
      </c>
      <c r="P78" s="36" t="n">
        <v>0.1474926253687316</v>
      </c>
      <c r="Q78" s="36" t="n">
        <v>0.127536231884058</v>
      </c>
      <c r="R78" s="36" t="n">
        <v>-0.05668384358896639</v>
      </c>
      <c r="S78" s="36" t="n">
        <v>-0.01794542738728888</v>
      </c>
      <c r="T78" s="36" t="n">
        <v>0.06669104121202429</v>
      </c>
      <c r="U78" s="31" t="n">
        <v>35360</v>
      </c>
      <c r="V78" s="31" t="n">
        <v>22160</v>
      </c>
      <c r="W78" s="36" t="n">
        <v>-0.1199095022624435</v>
      </c>
      <c r="X78" s="36" t="n">
        <v>0.4043321299638989</v>
      </c>
      <c r="Y78" s="31" t="n">
        <v>76211850</v>
      </c>
      <c r="Z78" s="31" t="n">
        <v>2371712772000</v>
      </c>
      <c r="AA78" s="31" t="n">
        <v>20139308000</v>
      </c>
      <c r="AB78" s="31" t="n">
        <v>13210118515</v>
      </c>
      <c r="AC78" s="36" t="n">
        <v>0.008491461629654706</v>
      </c>
      <c r="AD78" s="29" t="inlineStr">
        <is>
          <t>yfinance_download</t>
        </is>
      </c>
      <c r="AE78" s="29" t="inlineStr">
        <is>
          <t>058470.KQ</t>
        </is>
      </c>
    </row>
    <row r="79" ht="24" customHeight="1">
      <c r="A79" s="24" t="inlineStr">
        <is>
          <t>2023-09-12</t>
        </is>
      </c>
      <c r="B79" s="30" t="n">
        <v>31420</v>
      </c>
      <c r="C79" s="30" t="n">
        <v>31580</v>
      </c>
      <c r="D79" s="30" t="n">
        <v>30820</v>
      </c>
      <c r="E79" s="30" t="n">
        <v>31320</v>
      </c>
      <c r="F79" s="30" t="n">
        <v>25458.79296875</v>
      </c>
      <c r="G79" s="30" t="n">
        <v>341435</v>
      </c>
      <c r="H79" s="35" t="n">
        <v>0.006426735218509005</v>
      </c>
      <c r="I79" s="35" t="n">
        <v>-0.2634054562558796</v>
      </c>
      <c r="J79" s="30" t="n">
        <v>32958</v>
      </c>
      <c r="K79" s="30" t="n">
        <v>31755</v>
      </c>
      <c r="L79" s="30" t="n">
        <v>29206</v>
      </c>
      <c r="M79" s="35" t="n">
        <v>0.3191190445893961</v>
      </c>
      <c r="N79" s="35" t="n">
        <v>0.3692068086297752</v>
      </c>
      <c r="O79" s="35" t="n">
        <v>-0.02002503128911137</v>
      </c>
      <c r="P79" s="35" t="n">
        <v>0.1455742501828823</v>
      </c>
      <c r="Q79" s="35" t="n">
        <v>0.1380813953488371</v>
      </c>
      <c r="R79" s="35" t="n">
        <v>-0.04969961769524844</v>
      </c>
      <c r="S79" s="35" t="n">
        <v>-0.01369863013698636</v>
      </c>
      <c r="T79" s="35" t="n">
        <v>0.07238238718071632</v>
      </c>
      <c r="U79" s="30" t="n">
        <v>35360</v>
      </c>
      <c r="V79" s="30" t="n">
        <v>22160</v>
      </c>
      <c r="W79" s="35" t="n">
        <v>-0.1142533936651584</v>
      </c>
      <c r="X79" s="35" t="n">
        <v>0.4133574007220218</v>
      </c>
      <c r="Y79" s="30" t="n">
        <v>76211850</v>
      </c>
      <c r="Z79" s="30" t="n">
        <v>2386955142000</v>
      </c>
      <c r="AA79" s="30" t="n">
        <v>10693744200</v>
      </c>
      <c r="AB79" s="30" t="n">
        <v>12760541595</v>
      </c>
      <c r="AC79" s="35" t="n">
        <v>0.004480077573238282</v>
      </c>
      <c r="AD79" s="24" t="inlineStr">
        <is>
          <t>yfinance_download</t>
        </is>
      </c>
      <c r="AE79" s="24" t="inlineStr">
        <is>
          <t>058470.KQ</t>
        </is>
      </c>
    </row>
    <row r="80" ht="24" customHeight="1">
      <c r="A80" s="29" t="inlineStr">
        <is>
          <t>2023-09-13</t>
        </is>
      </c>
      <c r="B80" s="31" t="n">
        <v>31300</v>
      </c>
      <c r="C80" s="31" t="n">
        <v>32000</v>
      </c>
      <c r="D80" s="31" t="n">
        <v>30340</v>
      </c>
      <c r="E80" s="31" t="n">
        <v>31100</v>
      </c>
      <c r="F80" s="31" t="n">
        <v>25279.962890625</v>
      </c>
      <c r="G80" s="31" t="n">
        <v>414805</v>
      </c>
      <c r="H80" s="36" t="n">
        <v>-0.007024265644955285</v>
      </c>
      <c r="I80" s="36" t="n">
        <v>-0.268579492003763</v>
      </c>
      <c r="J80" s="31" t="n">
        <v>32912</v>
      </c>
      <c r="K80" s="31" t="n">
        <v>31799.66666666667</v>
      </c>
      <c r="L80" s="31" t="n">
        <v>29234.5</v>
      </c>
      <c r="M80" s="36" t="n">
        <v>0.3196857531306703</v>
      </c>
      <c r="N80" s="36" t="n">
        <v>0.3615404654764537</v>
      </c>
      <c r="O80" s="36" t="n">
        <v>-0.02873204247345407</v>
      </c>
      <c r="P80" s="36" t="n">
        <v>0.09429978888106971</v>
      </c>
      <c r="Q80" s="36" t="n">
        <v>0.1235549132947977</v>
      </c>
      <c r="R80" s="36" t="n">
        <v>-0.05505590666018478</v>
      </c>
      <c r="S80" s="36" t="n">
        <v>-0.02200232706841798</v>
      </c>
      <c r="T80" s="36" t="n">
        <v>0.06381159246780355</v>
      </c>
      <c r="U80" s="31" t="n">
        <v>35360</v>
      </c>
      <c r="V80" s="31" t="n">
        <v>22160</v>
      </c>
      <c r="W80" s="36" t="n">
        <v>-0.120475113122172</v>
      </c>
      <c r="X80" s="36" t="n">
        <v>0.4034296028880866</v>
      </c>
      <c r="Y80" s="31" t="n">
        <v>76211850</v>
      </c>
      <c r="Z80" s="31" t="n">
        <v>2370188535000</v>
      </c>
      <c r="AA80" s="31" t="n">
        <v>12900435500</v>
      </c>
      <c r="AB80" s="31" t="n">
        <v>12481746345</v>
      </c>
      <c r="AC80" s="36" t="n">
        <v>0.005442788752667728</v>
      </c>
      <c r="AD80" s="29" t="inlineStr">
        <is>
          <t>yfinance_download</t>
        </is>
      </c>
      <c r="AE80" s="29" t="inlineStr">
        <is>
          <t>058470.KQ</t>
        </is>
      </c>
    </row>
    <row r="81" ht="24" customHeight="1">
      <c r="A81" s="24" t="inlineStr">
        <is>
          <t>2023-09-14</t>
        </is>
      </c>
      <c r="B81" s="30" t="n">
        <v>31100</v>
      </c>
      <c r="C81" s="30" t="n">
        <v>31800</v>
      </c>
      <c r="D81" s="30" t="n">
        <v>31100</v>
      </c>
      <c r="E81" s="30" t="n">
        <v>31620</v>
      </c>
      <c r="F81" s="30" t="n">
        <v>25702.650390625</v>
      </c>
      <c r="G81" s="30" t="n">
        <v>533045</v>
      </c>
      <c r="H81" s="35" t="n">
        <v>0.0167202572347267</v>
      </c>
      <c r="I81" s="35" t="n">
        <v>-0.2563499529633114</v>
      </c>
      <c r="J81" s="30" t="n">
        <v>32900</v>
      </c>
      <c r="K81" s="30" t="n">
        <v>31865</v>
      </c>
      <c r="L81" s="30" t="n">
        <v>29271.5</v>
      </c>
      <c r="M81" s="35" t="n">
        <v>0.325561808367797</v>
      </c>
      <c r="N81" s="35" t="n">
        <v>0.358339848710389</v>
      </c>
      <c r="O81" s="35" t="n">
        <v>-0.007532956685499026</v>
      </c>
      <c r="P81" s="35" t="n">
        <v>0.1415162454873646</v>
      </c>
      <c r="Q81" s="35" t="n">
        <v>0.1633554083885209</v>
      </c>
      <c r="R81" s="35" t="n">
        <v>-0.0389057750759878</v>
      </c>
      <c r="S81" s="35" t="n">
        <v>-0.007688686646791121</v>
      </c>
      <c r="T81" s="35" t="n">
        <v>0.08023162461780231</v>
      </c>
      <c r="U81" s="30" t="n">
        <v>35360</v>
      </c>
      <c r="V81" s="30" t="n">
        <v>22160</v>
      </c>
      <c r="W81" s="35" t="n">
        <v>-0.1057692307692307</v>
      </c>
      <c r="X81" s="35" t="n">
        <v>0.4268953068592058</v>
      </c>
      <c r="Y81" s="30" t="n">
        <v>76211850</v>
      </c>
      <c r="Z81" s="30" t="n">
        <v>2409818697000</v>
      </c>
      <c r="AA81" s="30" t="n">
        <v>16854882900</v>
      </c>
      <c r="AB81" s="30" t="n">
        <v>12706884390</v>
      </c>
      <c r="AC81" s="35" t="n">
        <v>0.00699425351831769</v>
      </c>
      <c r="AD81" s="24" t="inlineStr">
        <is>
          <t>yfinance_download</t>
        </is>
      </c>
      <c r="AE81" s="24" t="inlineStr">
        <is>
          <t>058470.KQ</t>
        </is>
      </c>
    </row>
    <row r="82" ht="24" customHeight="1">
      <c r="A82" s="29" t="inlineStr">
        <is>
          <t>2023-09-15</t>
        </is>
      </c>
      <c r="B82" s="31" t="n">
        <v>31620</v>
      </c>
      <c r="C82" s="31" t="n">
        <v>31780</v>
      </c>
      <c r="D82" s="31" t="n">
        <v>31240</v>
      </c>
      <c r="E82" s="31" t="n">
        <v>31440</v>
      </c>
      <c r="F82" s="31" t="n">
        <v>25556.3359375</v>
      </c>
      <c r="G82" s="31" t="n">
        <v>277080</v>
      </c>
      <c r="H82" s="36" t="n">
        <v>-0.005692599620493399</v>
      </c>
      <c r="I82" s="36" t="n">
        <v>-0.2605832549388523</v>
      </c>
      <c r="J82" s="31" t="n">
        <v>32814</v>
      </c>
      <c r="K82" s="31" t="n">
        <v>31928</v>
      </c>
      <c r="L82" s="31" t="n">
        <v>29305.83333333333</v>
      </c>
      <c r="M82" s="36" t="n">
        <v>0.287551948605927</v>
      </c>
      <c r="N82" s="36" t="n">
        <v>0.358643053586498</v>
      </c>
      <c r="O82" s="36" t="n">
        <v>-0.05186972255729794</v>
      </c>
      <c r="P82" s="36" t="n">
        <v>0.1366594360086768</v>
      </c>
      <c r="Q82" s="36" t="n">
        <v>0.1508052708638361</v>
      </c>
      <c r="R82" s="36" t="n">
        <v>-0.04187237154872925</v>
      </c>
      <c r="S82" s="36" t="n">
        <v>-0.0152843898772238</v>
      </c>
      <c r="T82" s="36" t="n">
        <v>0.07282395427531507</v>
      </c>
      <c r="U82" s="31" t="n">
        <v>35360</v>
      </c>
      <c r="V82" s="31" t="n">
        <v>22160</v>
      </c>
      <c r="W82" s="36" t="n">
        <v>-0.1108597285067874</v>
      </c>
      <c r="X82" s="36" t="n">
        <v>0.4187725631768953</v>
      </c>
      <c r="Y82" s="31" t="n">
        <v>76211850</v>
      </c>
      <c r="Z82" s="31" t="n">
        <v>2396100564000</v>
      </c>
      <c r="AA82" s="31" t="n">
        <v>8711395200</v>
      </c>
      <c r="AB82" s="31" t="n">
        <v>12183699070</v>
      </c>
      <c r="AC82" s="36" t="n">
        <v>0.003635655085134398</v>
      </c>
      <c r="AD82" s="29" t="inlineStr">
        <is>
          <t>yfinance_download</t>
        </is>
      </c>
      <c r="AE82" s="29" t="inlineStr">
        <is>
          <t>058470.KQ</t>
        </is>
      </c>
    </row>
    <row r="83" ht="24" customHeight="1">
      <c r="A83" s="24" t="inlineStr">
        <is>
          <t>2023-09-18</t>
        </is>
      </c>
      <c r="B83" s="30" t="n">
        <v>30920</v>
      </c>
      <c r="C83" s="30" t="n">
        <v>31200</v>
      </c>
      <c r="D83" s="30" t="n">
        <v>30540</v>
      </c>
      <c r="E83" s="30" t="n">
        <v>31120</v>
      </c>
      <c r="F83" s="30" t="n">
        <v>25296.220703125</v>
      </c>
      <c r="G83" s="30" t="n">
        <v>251290</v>
      </c>
      <c r="H83" s="35" t="n">
        <v>-0.01017811704834604</v>
      </c>
      <c r="I83" s="35" t="n">
        <v>-0.2681091251175918</v>
      </c>
      <c r="J83" s="30" t="n">
        <v>32750</v>
      </c>
      <c r="K83" s="30" t="n">
        <v>31985.33333333333</v>
      </c>
      <c r="L83" s="30" t="n">
        <v>29328</v>
      </c>
      <c r="M83" s="35" t="n">
        <v>0.2789820964958486</v>
      </c>
      <c r="N83" s="35" t="n">
        <v>0.3595536526933191</v>
      </c>
      <c r="O83" s="35" t="n">
        <v>-0.03950617283950619</v>
      </c>
      <c r="P83" s="35" t="n">
        <v>0.1242774566473988</v>
      </c>
      <c r="Q83" s="35" t="n">
        <v>0.09346451159522129</v>
      </c>
      <c r="R83" s="35" t="n">
        <v>-0.04977099236641225</v>
      </c>
      <c r="S83" s="35" t="n">
        <v>-0.02705406644712161</v>
      </c>
      <c r="T83" s="35" t="n">
        <v>0.06110201854882713</v>
      </c>
      <c r="U83" s="30" t="n">
        <v>35360</v>
      </c>
      <c r="V83" s="30" t="n">
        <v>22160</v>
      </c>
      <c r="W83" s="35" t="n">
        <v>-0.1199095022624435</v>
      </c>
      <c r="X83" s="35" t="n">
        <v>0.4043321299638989</v>
      </c>
      <c r="Y83" s="30" t="n">
        <v>76211850</v>
      </c>
      <c r="Z83" s="30" t="n">
        <v>2371712772000</v>
      </c>
      <c r="AA83" s="30" t="n">
        <v>7820144800</v>
      </c>
      <c r="AB83" s="30" t="n">
        <v>12020974110</v>
      </c>
      <c r="AC83" s="35" t="n">
        <v>0.003297256266577966</v>
      </c>
      <c r="AD83" s="24" t="inlineStr">
        <is>
          <t>yfinance_download</t>
        </is>
      </c>
      <c r="AE83" s="24" t="inlineStr">
        <is>
          <t>058470.KQ</t>
        </is>
      </c>
    </row>
    <row r="84" ht="24" customHeight="1">
      <c r="A84" s="29" t="inlineStr">
        <is>
          <t>2023-09-19</t>
        </is>
      </c>
      <c r="B84" s="31" t="n">
        <v>31060</v>
      </c>
      <c r="C84" s="31" t="n">
        <v>31340</v>
      </c>
      <c r="D84" s="31" t="n">
        <v>30660</v>
      </c>
      <c r="E84" s="31" t="n">
        <v>31000</v>
      </c>
      <c r="F84" s="31" t="n">
        <v>25198.677734375</v>
      </c>
      <c r="G84" s="31" t="n">
        <v>200405</v>
      </c>
      <c r="H84" s="36" t="n">
        <v>-0.003856041131105381</v>
      </c>
      <c r="I84" s="36" t="n">
        <v>-0.270931326434619</v>
      </c>
      <c r="J84" s="31" t="n">
        <v>32669</v>
      </c>
      <c r="K84" s="31" t="n">
        <v>32021</v>
      </c>
      <c r="L84" s="31" t="n">
        <v>29348</v>
      </c>
      <c r="M84" s="36" t="n">
        <v>0.2771550768636449</v>
      </c>
      <c r="N84" s="36" t="n">
        <v>0.3497167741215443</v>
      </c>
      <c r="O84" s="36" t="n">
        <v>-0.04966278356836296</v>
      </c>
      <c r="P84" s="36" t="n">
        <v>0.07415107415107425</v>
      </c>
      <c r="Q84" s="36" t="n">
        <v>0.08391608391608396</v>
      </c>
      <c r="R84" s="36" t="n">
        <v>-0.05108818757843825</v>
      </c>
      <c r="S84" s="36" t="n">
        <v>-0.03188532525530119</v>
      </c>
      <c r="T84" s="36" t="n">
        <v>0.05629003679978184</v>
      </c>
      <c r="U84" s="31" t="n">
        <v>35360</v>
      </c>
      <c r="V84" s="31" t="n">
        <v>22160</v>
      </c>
      <c r="W84" s="36" t="n">
        <v>-0.1233031674208145</v>
      </c>
      <c r="X84" s="36" t="n">
        <v>0.3989169675090252</v>
      </c>
      <c r="Y84" s="31" t="n">
        <v>76211850</v>
      </c>
      <c r="Z84" s="31" t="n">
        <v>2362567350000</v>
      </c>
      <c r="AA84" s="31" t="n">
        <v>6212555000</v>
      </c>
      <c r="AB84" s="31" t="n">
        <v>11727022780</v>
      </c>
      <c r="AC84" s="36" t="n">
        <v>0.002629577946211777</v>
      </c>
      <c r="AD84" s="29" t="inlineStr">
        <is>
          <t>yfinance_download</t>
        </is>
      </c>
      <c r="AE84" s="29" t="inlineStr">
        <is>
          <t>058470.KQ</t>
        </is>
      </c>
    </row>
    <row r="85" ht="24" customHeight="1">
      <c r="A85" s="24" t="inlineStr">
        <is>
          <t>2023-09-20</t>
        </is>
      </c>
      <c r="B85" s="30" t="n">
        <v>31260</v>
      </c>
      <c r="C85" s="30" t="n">
        <v>31260</v>
      </c>
      <c r="D85" s="30" t="n">
        <v>30520</v>
      </c>
      <c r="E85" s="30" t="n">
        <v>30780</v>
      </c>
      <c r="F85" s="30" t="n">
        <v>25019.84765625</v>
      </c>
      <c r="G85" s="30" t="n">
        <v>230345</v>
      </c>
      <c r="H85" s="35" t="n">
        <v>-0.007096774193548372</v>
      </c>
      <c r="I85" s="35" t="n">
        <v>-0.2761053621825024</v>
      </c>
      <c r="J85" s="30" t="n">
        <v>32548</v>
      </c>
      <c r="K85" s="30" t="n">
        <v>32068</v>
      </c>
      <c r="L85" s="30" t="n">
        <v>29366.66666666667</v>
      </c>
      <c r="M85" s="35" t="n">
        <v>0.2670160767785461</v>
      </c>
      <c r="N85" s="35" t="n">
        <v>0.3435515479978397</v>
      </c>
      <c r="O85" s="35" t="n">
        <v>-0.07289156626506021</v>
      </c>
      <c r="P85" s="35" t="n">
        <v>0.1008583690987124</v>
      </c>
      <c r="Q85" s="35" t="n">
        <v>0.07848633496846524</v>
      </c>
      <c r="R85" s="35" t="n">
        <v>-0.05431977387243458</v>
      </c>
      <c r="S85" s="35" t="n">
        <v>-0.04016465011849824</v>
      </c>
      <c r="T85" s="35" t="n">
        <v>0.04812712826333709</v>
      </c>
      <c r="U85" s="30" t="n">
        <v>35360</v>
      </c>
      <c r="V85" s="30" t="n">
        <v>22160</v>
      </c>
      <c r="W85" s="35" t="n">
        <v>-0.129524886877828</v>
      </c>
      <c r="X85" s="35" t="n">
        <v>0.3889891696750902</v>
      </c>
      <c r="Y85" s="30" t="n">
        <v>76211850</v>
      </c>
      <c r="Z85" s="30" t="n">
        <v>2345800743000</v>
      </c>
      <c r="AA85" s="30" t="n">
        <v>7090019100</v>
      </c>
      <c r="AB85" s="30" t="n">
        <v>11367209135</v>
      </c>
      <c r="AC85" s="35" t="n">
        <v>0.003022430238867053</v>
      </c>
      <c r="AD85" s="24" t="inlineStr">
        <is>
          <t>yfinance_download</t>
        </is>
      </c>
      <c r="AE85" s="24" t="inlineStr">
        <is>
          <t>058470.KQ</t>
        </is>
      </c>
    </row>
    <row r="86" ht="24" customHeight="1">
      <c r="A86" s="29" t="inlineStr">
        <is>
          <t>2023-09-21</t>
        </is>
      </c>
      <c r="B86" s="31" t="n">
        <v>30380</v>
      </c>
      <c r="C86" s="31" t="n">
        <v>30420</v>
      </c>
      <c r="D86" s="31" t="n">
        <v>29400</v>
      </c>
      <c r="E86" s="31" t="n">
        <v>29820</v>
      </c>
      <c r="F86" s="31" t="n">
        <v>24239.501953125</v>
      </c>
      <c r="G86" s="31" t="n">
        <v>472485</v>
      </c>
      <c r="H86" s="36" t="n">
        <v>-0.03118908382066277</v>
      </c>
      <c r="I86" s="36" t="n">
        <v>-0.2986829727187206</v>
      </c>
      <c r="J86" s="31" t="n">
        <v>32347</v>
      </c>
      <c r="K86" s="31" t="n">
        <v>32065</v>
      </c>
      <c r="L86" s="31" t="n">
        <v>29376.16666666667</v>
      </c>
      <c r="M86" s="36" t="n">
        <v>0.2696437691685077</v>
      </c>
      <c r="N86" s="36" t="n">
        <v>0.3167057155601863</v>
      </c>
      <c r="O86" s="36" t="n">
        <v>-0.1187943262411347</v>
      </c>
      <c r="P86" s="36" t="n">
        <v>-0.006000000000000005</v>
      </c>
      <c r="Q86" s="36" t="n">
        <v>0.03974895397489542</v>
      </c>
      <c r="R86" s="36" t="n">
        <v>-0.07812161869725165</v>
      </c>
      <c r="S86" s="36" t="n">
        <v>-0.07001403399345085</v>
      </c>
      <c r="T86" s="36" t="n">
        <v>0.01510861979949718</v>
      </c>
      <c r="U86" s="31" t="n">
        <v>35360</v>
      </c>
      <c r="V86" s="31" t="n">
        <v>22160</v>
      </c>
      <c r="W86" s="36" t="n">
        <v>-0.1566742081447964</v>
      </c>
      <c r="X86" s="36" t="n">
        <v>0.3456678700361011</v>
      </c>
      <c r="Y86" s="31" t="n">
        <v>76211850</v>
      </c>
      <c r="Z86" s="31" t="n">
        <v>2272637367000</v>
      </c>
      <c r="AA86" s="31" t="n">
        <v>14089502700</v>
      </c>
      <c r="AB86" s="31" t="n">
        <v>11112125690</v>
      </c>
      <c r="AC86" s="36" t="n">
        <v>0.006199626436046363</v>
      </c>
      <c r="AD86" s="29" t="inlineStr">
        <is>
          <t>yfinance_download</t>
        </is>
      </c>
      <c r="AE86" s="29" t="inlineStr">
        <is>
          <t>058470.KQ</t>
        </is>
      </c>
    </row>
    <row r="87" ht="24" customHeight="1">
      <c r="A87" s="24" t="inlineStr">
        <is>
          <t>2023-09-22</t>
        </is>
      </c>
      <c r="B87" s="30" t="n">
        <v>29300</v>
      </c>
      <c r="C87" s="30" t="n">
        <v>29860</v>
      </c>
      <c r="D87" s="30" t="n">
        <v>29120</v>
      </c>
      <c r="E87" s="30" t="n">
        <v>29860</v>
      </c>
      <c r="F87" s="30" t="n">
        <v>24272.015625</v>
      </c>
      <c r="G87" s="30" t="n">
        <v>236635</v>
      </c>
      <c r="H87" s="35" t="n">
        <v>0.001341381623071847</v>
      </c>
      <c r="I87" s="35" t="n">
        <v>-0.2977422389463782</v>
      </c>
      <c r="J87" s="30" t="n">
        <v>32186</v>
      </c>
      <c r="K87" s="30" t="n">
        <v>32074.66666666667</v>
      </c>
      <c r="L87" s="30" t="n">
        <v>29386.16666666667</v>
      </c>
      <c r="M87" s="35" t="n">
        <v>0.2637381822225853</v>
      </c>
      <c r="N87" s="35" t="n">
        <v>0.3127037254792632</v>
      </c>
      <c r="O87" s="35" t="n">
        <v>-0.0973397823458283</v>
      </c>
      <c r="P87" s="35" t="n">
        <v>0.01980874316939896</v>
      </c>
      <c r="Q87" s="35" t="n">
        <v>0.04187020237264472</v>
      </c>
      <c r="R87" s="35" t="n">
        <v>-0.07226744547318709</v>
      </c>
      <c r="S87" s="35" t="n">
        <v>-0.06904722314599276</v>
      </c>
      <c r="T87" s="35" t="n">
        <v>0.01612436690733166</v>
      </c>
      <c r="U87" s="30" t="n">
        <v>35360</v>
      </c>
      <c r="V87" s="30" t="n">
        <v>22160</v>
      </c>
      <c r="W87" s="35" t="n">
        <v>-0.1555429864253394</v>
      </c>
      <c r="X87" s="35" t="n">
        <v>0.3474729241877257</v>
      </c>
      <c r="Y87" s="30" t="n">
        <v>76211850</v>
      </c>
      <c r="Z87" s="30" t="n">
        <v>2275685841000</v>
      </c>
      <c r="AA87" s="30" t="n">
        <v>7065921100</v>
      </c>
      <c r="AB87" s="30" t="n">
        <v>10960240525</v>
      </c>
      <c r="AC87" s="35" t="n">
        <v>0.003104963335754217</v>
      </c>
      <c r="AD87" s="24" t="inlineStr">
        <is>
          <t>yfinance_download</t>
        </is>
      </c>
      <c r="AE87" s="24" t="inlineStr">
        <is>
          <t>058470.KQ</t>
        </is>
      </c>
    </row>
    <row r="88" ht="24" customHeight="1">
      <c r="A88" s="29" t="inlineStr">
        <is>
          <t>2023-09-25</t>
        </is>
      </c>
      <c r="B88" s="31" t="n">
        <v>29840</v>
      </c>
      <c r="C88" s="31" t="n">
        <v>30040</v>
      </c>
      <c r="D88" s="31" t="n">
        <v>29380</v>
      </c>
      <c r="E88" s="31" t="n">
        <v>30040</v>
      </c>
      <c r="F88" s="31" t="n">
        <v>24418.330078125</v>
      </c>
      <c r="G88" s="31" t="n">
        <v>149655</v>
      </c>
      <c r="H88" s="36" t="n">
        <v>0.00602813127930335</v>
      </c>
      <c r="I88" s="36" t="n">
        <v>-0.2935089369708372</v>
      </c>
      <c r="J88" s="31" t="n">
        <v>32045</v>
      </c>
      <c r="K88" s="31" t="n">
        <v>32085.33333333333</v>
      </c>
      <c r="L88" s="31" t="n">
        <v>29400.16666666667</v>
      </c>
      <c r="M88" s="36" t="n">
        <v>0.2664948216174133</v>
      </c>
      <c r="N88" s="36" t="n">
        <v>0.3128230905703509</v>
      </c>
      <c r="O88" s="36" t="n">
        <v>-0.0858186244674376</v>
      </c>
      <c r="P88" s="36" t="n">
        <v>0.02176870748299309</v>
      </c>
      <c r="Q88" s="36" t="n">
        <v>0.05923836389280668</v>
      </c>
      <c r="R88" s="36" t="n">
        <v>-0.0625682633796224</v>
      </c>
      <c r="S88" s="36" t="n">
        <v>-0.06374667553191482</v>
      </c>
      <c r="T88" s="36" t="n">
        <v>0.02176291517621776</v>
      </c>
      <c r="U88" s="31" t="n">
        <v>35360</v>
      </c>
      <c r="V88" s="31" t="n">
        <v>22160</v>
      </c>
      <c r="W88" s="36" t="n">
        <v>-0.1504524886877828</v>
      </c>
      <c r="X88" s="36" t="n">
        <v>0.355595667870036</v>
      </c>
      <c r="Y88" s="31" t="n">
        <v>76211850</v>
      </c>
      <c r="Z88" s="31" t="n">
        <v>2289403974000</v>
      </c>
      <c r="AA88" s="31" t="n">
        <v>4495636200</v>
      </c>
      <c r="AB88" s="31" t="n">
        <v>10782158735</v>
      </c>
      <c r="AC88" s="36" t="n">
        <v>0.001963671003918682</v>
      </c>
      <c r="AD88" s="29" t="inlineStr">
        <is>
          <t>yfinance_download</t>
        </is>
      </c>
      <c r="AE88" s="29" t="inlineStr">
        <is>
          <t>058470.KQ</t>
        </is>
      </c>
    </row>
    <row r="89" ht="24" customHeight="1">
      <c r="A89" s="24" t="inlineStr">
        <is>
          <t>2023-09-26</t>
        </is>
      </c>
      <c r="B89" s="30" t="n">
        <v>30040</v>
      </c>
      <c r="C89" s="30" t="n">
        <v>30260</v>
      </c>
      <c r="D89" s="30" t="n">
        <v>29120</v>
      </c>
      <c r="E89" s="30" t="n">
        <v>29360</v>
      </c>
      <c r="F89" s="30" t="n">
        <v>23865.5859375</v>
      </c>
      <c r="G89" s="30" t="n">
        <v>170140</v>
      </c>
      <c r="H89" s="35" t="n">
        <v>-0.0226364846870839</v>
      </c>
      <c r="I89" s="35" t="n">
        <v>-0.3095014111006585</v>
      </c>
      <c r="J89" s="30" t="n">
        <v>31833</v>
      </c>
      <c r="K89" s="30" t="n">
        <v>32063.33333333333</v>
      </c>
      <c r="L89" s="30" t="n">
        <v>29414.16666666667</v>
      </c>
      <c r="M89" s="35" t="n">
        <v>0.2540437121652496</v>
      </c>
      <c r="N89" s="35" t="n">
        <v>0.3032325414494184</v>
      </c>
      <c r="O89" s="35" t="n">
        <v>-0.1261904761904762</v>
      </c>
      <c r="P89" s="35" t="n">
        <v>-0.0430247718383312</v>
      </c>
      <c r="Q89" s="35" t="n">
        <v>0.06069364161849711</v>
      </c>
      <c r="R89" s="35" t="n">
        <v>-0.07768667734740675</v>
      </c>
      <c r="S89" s="35" t="n">
        <v>-0.08431229857573552</v>
      </c>
      <c r="T89" s="35" t="n">
        <v>-0.001841516276170796</v>
      </c>
      <c r="U89" s="30" t="n">
        <v>35360</v>
      </c>
      <c r="V89" s="30" t="n">
        <v>22160</v>
      </c>
      <c r="W89" s="35" t="n">
        <v>-0.169683257918552</v>
      </c>
      <c r="X89" s="35" t="n">
        <v>0.3249097472924187</v>
      </c>
      <c r="Y89" s="30" t="n">
        <v>76211850</v>
      </c>
      <c r="Z89" s="30" t="n">
        <v>2237579916000</v>
      </c>
      <c r="AA89" s="30" t="n">
        <v>4995310400</v>
      </c>
      <c r="AB89" s="30" t="n">
        <v>10355925855</v>
      </c>
      <c r="AC89" s="35" t="n">
        <v>0.002232461224862013</v>
      </c>
      <c r="AD89" s="24" t="inlineStr">
        <is>
          <t>yfinance_download</t>
        </is>
      </c>
      <c r="AE89" s="24" t="inlineStr">
        <is>
          <t>058470.KQ</t>
        </is>
      </c>
    </row>
    <row r="90" ht="24" customHeight="1">
      <c r="A90" s="29" t="inlineStr">
        <is>
          <t>2023-09-27</t>
        </is>
      </c>
      <c r="B90" s="31" t="n">
        <v>29260</v>
      </c>
      <c r="C90" s="31" t="n">
        <v>30920</v>
      </c>
      <c r="D90" s="31" t="n">
        <v>29060</v>
      </c>
      <c r="E90" s="31" t="n">
        <v>30760</v>
      </c>
      <c r="F90" s="31" t="n">
        <v>25003.58984375</v>
      </c>
      <c r="G90" s="31" t="n">
        <v>350935</v>
      </c>
      <c r="H90" s="36" t="n">
        <v>0.04768392370572205</v>
      </c>
      <c r="I90" s="36" t="n">
        <v>-0.2765757290686736</v>
      </c>
      <c r="J90" s="31" t="n">
        <v>31690</v>
      </c>
      <c r="K90" s="31" t="n">
        <v>32059.33333333333</v>
      </c>
      <c r="L90" s="31" t="n">
        <v>29442.16666666667</v>
      </c>
      <c r="M90" s="36" t="n">
        <v>0.3185308246222368</v>
      </c>
      <c r="N90" s="36" t="n">
        <v>0.3182359562836682</v>
      </c>
      <c r="O90" s="36" t="n">
        <v>-0.08506841165972634</v>
      </c>
      <c r="P90" s="36" t="n">
        <v>-0.007741935483870921</v>
      </c>
      <c r="Q90" s="36" t="n">
        <v>0.1226277372262774</v>
      </c>
      <c r="R90" s="36" t="n">
        <v>-0.02934679709687593</v>
      </c>
      <c r="S90" s="36" t="n">
        <v>-0.04052901911039941</v>
      </c>
      <c r="T90" s="36" t="n">
        <v>0.04476006634475493</v>
      </c>
      <c r="U90" s="31" t="n">
        <v>35360</v>
      </c>
      <c r="V90" s="31" t="n">
        <v>22160</v>
      </c>
      <c r="W90" s="36" t="n">
        <v>-0.1300904977375565</v>
      </c>
      <c r="X90" s="36" t="n">
        <v>0.3880866425992779</v>
      </c>
      <c r="Y90" s="31" t="n">
        <v>76211850</v>
      </c>
      <c r="Z90" s="31" t="n">
        <v>2344276506000</v>
      </c>
      <c r="AA90" s="31" t="n">
        <v>10794760600</v>
      </c>
      <c r="AB90" s="31" t="n">
        <v>10518800495</v>
      </c>
      <c r="AC90" s="36" t="n">
        <v>0.004604730104307926</v>
      </c>
      <c r="AD90" s="29" t="inlineStr">
        <is>
          <t>yfinance_download</t>
        </is>
      </c>
      <c r="AE90" s="29" t="inlineStr">
        <is>
          <t>058470.KQ</t>
        </is>
      </c>
    </row>
    <row r="91" ht="24" customHeight="1">
      <c r="A91" s="24" t="inlineStr">
        <is>
          <t>2023-10-04</t>
        </is>
      </c>
      <c r="B91" s="30" t="n">
        <v>30200</v>
      </c>
      <c r="C91" s="30" t="n">
        <v>30880</v>
      </c>
      <c r="D91" s="30" t="n">
        <v>29820</v>
      </c>
      <c r="E91" s="30" t="n">
        <v>30640</v>
      </c>
      <c r="F91" s="30" t="n">
        <v>24906.046875</v>
      </c>
      <c r="G91" s="30" t="n">
        <v>385935</v>
      </c>
      <c r="H91" s="35" t="n">
        <v>-0.003901170351105376</v>
      </c>
      <c r="I91" s="35" t="n">
        <v>-0.2793979303857008</v>
      </c>
      <c r="J91" s="30" t="n">
        <v>31541</v>
      </c>
      <c r="K91" s="30" t="n">
        <v>32050</v>
      </c>
      <c r="L91" s="30" t="n">
        <v>29475.66666666667</v>
      </c>
      <c r="M91" s="35" t="n">
        <v>0.3181422569096569</v>
      </c>
      <c r="N91" s="35" t="n">
        <v>0.3180561670775206</v>
      </c>
      <c r="O91" s="35" t="n">
        <v>-0.08863771564544909</v>
      </c>
      <c r="P91" s="35" t="n">
        <v>-0.017948717948718</v>
      </c>
      <c r="Q91" s="35" t="n">
        <v>0.1510142749812171</v>
      </c>
      <c r="R91" s="35" t="n">
        <v>-0.02856599346881838</v>
      </c>
      <c r="S91" s="35" t="n">
        <v>-0.04399375975038999</v>
      </c>
      <c r="T91" s="35" t="n">
        <v>0.03950150971988187</v>
      </c>
      <c r="U91" s="30" t="n">
        <v>35360</v>
      </c>
      <c r="V91" s="30" t="n">
        <v>22160</v>
      </c>
      <c r="W91" s="35" t="n">
        <v>-0.1334841628959276</v>
      </c>
      <c r="X91" s="35" t="n">
        <v>0.3826714801444044</v>
      </c>
      <c r="Y91" s="30" t="n">
        <v>76211850</v>
      </c>
      <c r="Z91" s="30" t="n">
        <v>2335131084000</v>
      </c>
      <c r="AA91" s="30" t="n">
        <v>11825048400</v>
      </c>
      <c r="AB91" s="30" t="n">
        <v>10706478435</v>
      </c>
      <c r="AC91" s="35" t="n">
        <v>0.005063976271406612</v>
      </c>
      <c r="AD91" s="24" t="inlineStr">
        <is>
          <t>yfinance_download</t>
        </is>
      </c>
      <c r="AE91" s="24" t="inlineStr">
        <is>
          <t>058470.KQ</t>
        </is>
      </c>
    </row>
    <row r="92" ht="24" customHeight="1">
      <c r="A92" s="29" t="inlineStr">
        <is>
          <t>2023-10-05</t>
        </is>
      </c>
      <c r="B92" s="31" t="n">
        <v>31040</v>
      </c>
      <c r="C92" s="31" t="n">
        <v>31040</v>
      </c>
      <c r="D92" s="31" t="n">
        <v>29920</v>
      </c>
      <c r="E92" s="31" t="n">
        <v>29980</v>
      </c>
      <c r="F92" s="31" t="n">
        <v>24369.55859375</v>
      </c>
      <c r="G92" s="31" t="n">
        <v>229260</v>
      </c>
      <c r="H92" s="36" t="n">
        <v>-0.02154046997389036</v>
      </c>
      <c r="I92" s="36" t="n">
        <v>-0.2949200376293509</v>
      </c>
      <c r="J92" s="31" t="n">
        <v>31346</v>
      </c>
      <c r="K92" s="31" t="n">
        <v>32050</v>
      </c>
      <c r="L92" s="31" t="n">
        <v>29494.66666666667</v>
      </c>
      <c r="M92" s="36" t="n">
        <v>0.3202501302986361</v>
      </c>
      <c r="N92" s="36" t="n">
        <v>0.3108127562282429</v>
      </c>
      <c r="O92" s="36" t="n">
        <v>-0.115112160566706</v>
      </c>
      <c r="P92" s="36" t="n">
        <v>0</v>
      </c>
      <c r="Q92" s="36" t="n">
        <v>0.08231046931407948</v>
      </c>
      <c r="R92" s="36" t="n">
        <v>-0.04357812799081218</v>
      </c>
      <c r="S92" s="36" t="n">
        <v>-0.06458658346333856</v>
      </c>
      <c r="T92" s="36" t="n">
        <v>0.01645495230776173</v>
      </c>
      <c r="U92" s="31" t="n">
        <v>35360</v>
      </c>
      <c r="V92" s="31" t="n">
        <v>22160</v>
      </c>
      <c r="W92" s="36" t="n">
        <v>-0.1521493212669683</v>
      </c>
      <c r="X92" s="36" t="n">
        <v>0.3528880866425992</v>
      </c>
      <c r="Y92" s="31" t="n">
        <v>76211850</v>
      </c>
      <c r="Z92" s="31" t="n">
        <v>2284831263000</v>
      </c>
      <c r="AA92" s="31" t="n">
        <v>6873214800</v>
      </c>
      <c r="AB92" s="31" t="n">
        <v>10291930185</v>
      </c>
      <c r="AC92" s="36" t="n">
        <v>0.003008193607686994</v>
      </c>
      <c r="AD92" s="29" t="inlineStr">
        <is>
          <t>yfinance_download</t>
        </is>
      </c>
      <c r="AE92" s="29" t="inlineStr">
        <is>
          <t>058470.KQ</t>
        </is>
      </c>
    </row>
    <row r="93" ht="24" customHeight="1">
      <c r="A93" s="24" t="inlineStr">
        <is>
          <t>2023-10-06</t>
        </is>
      </c>
      <c r="B93" s="30" t="n">
        <v>30300</v>
      </c>
      <c r="C93" s="30" t="n">
        <v>31100</v>
      </c>
      <c r="D93" s="30" t="n">
        <v>30300</v>
      </c>
      <c r="E93" s="30" t="n">
        <v>30940</v>
      </c>
      <c r="F93" s="30" t="n">
        <v>25149.904296875</v>
      </c>
      <c r="G93" s="30" t="n">
        <v>206875</v>
      </c>
      <c r="H93" s="35" t="n">
        <v>0.03202134756504327</v>
      </c>
      <c r="I93" s="35" t="n">
        <v>-0.2723424270931326</v>
      </c>
      <c r="J93" s="30" t="n">
        <v>31194</v>
      </c>
      <c r="K93" s="30" t="n">
        <v>32072</v>
      </c>
      <c r="L93" s="30" t="n">
        <v>29523.33333333333</v>
      </c>
      <c r="M93" s="35" t="n">
        <v>0.3464610304948374</v>
      </c>
      <c r="N93" s="35" t="n">
        <v>0.3164798310742184</v>
      </c>
      <c r="O93" s="35" t="n">
        <v>-0.08946439081812829</v>
      </c>
      <c r="P93" s="35" t="n">
        <v>0.04456448345712349</v>
      </c>
      <c r="Q93" s="35" t="n">
        <v>0.1250909090909091</v>
      </c>
      <c r="R93" s="35" t="n">
        <v>-0.008142591524010978</v>
      </c>
      <c r="S93" s="35" t="n">
        <v>-0.03529558493389873</v>
      </c>
      <c r="T93" s="35" t="n">
        <v>0.04798464491362764</v>
      </c>
      <c r="U93" s="30" t="n">
        <v>35360</v>
      </c>
      <c r="V93" s="30" t="n">
        <v>22160</v>
      </c>
      <c r="W93" s="35" t="n">
        <v>-0.125</v>
      </c>
      <c r="X93" s="35" t="n">
        <v>0.3962093862815885</v>
      </c>
      <c r="Y93" s="30" t="n">
        <v>76211850</v>
      </c>
      <c r="Z93" s="30" t="n">
        <v>2357994639000</v>
      </c>
      <c r="AA93" s="30" t="n">
        <v>6400712500</v>
      </c>
      <c r="AB93" s="30" t="n">
        <v>10183792325</v>
      </c>
      <c r="AC93" s="35" t="n">
        <v>0.002714472880529734</v>
      </c>
      <c r="AD93" s="24" t="inlineStr">
        <is>
          <t>yfinance_download</t>
        </is>
      </c>
      <c r="AE93" s="24" t="inlineStr">
        <is>
          <t>058470.KQ</t>
        </is>
      </c>
    </row>
    <row r="94" ht="24" customHeight="1">
      <c r="A94" s="29" t="inlineStr">
        <is>
          <t>2023-10-10</t>
        </is>
      </c>
      <c r="B94" s="31" t="n">
        <v>31360</v>
      </c>
      <c r="C94" s="31" t="n">
        <v>31580</v>
      </c>
      <c r="D94" s="31" t="n">
        <v>30020</v>
      </c>
      <c r="E94" s="31" t="n">
        <v>30480</v>
      </c>
      <c r="F94" s="31" t="n">
        <v>24775.98828125</v>
      </c>
      <c r="G94" s="31" t="n">
        <v>268640</v>
      </c>
      <c r="H94" s="36" t="n">
        <v>-0.0148674854557207</v>
      </c>
      <c r="I94" s="36" t="n">
        <v>-0.2831608654750706</v>
      </c>
      <c r="J94" s="31" t="n">
        <v>31034</v>
      </c>
      <c r="K94" s="31" t="n">
        <v>32095.66666666667</v>
      </c>
      <c r="L94" s="31" t="n">
        <v>29543.83333333333</v>
      </c>
      <c r="M94" s="36" t="n">
        <v>0.3481325960801795</v>
      </c>
      <c r="N94" s="36" t="n">
        <v>0.3155058253883957</v>
      </c>
      <c r="O94" s="36" t="n">
        <v>-0.09501187648456055</v>
      </c>
      <c r="P94" s="36" t="n">
        <v>0.04886441844459743</v>
      </c>
      <c r="Q94" s="36" t="n">
        <v>0.08779443254817987</v>
      </c>
      <c r="R94" s="36" t="n">
        <v>-0.01785138879938131</v>
      </c>
      <c r="S94" s="36" t="n">
        <v>-0.05033909042757589</v>
      </c>
      <c r="T94" s="36" t="n">
        <v>0.03168737976904379</v>
      </c>
      <c r="U94" s="31" t="n">
        <v>35360</v>
      </c>
      <c r="V94" s="31" t="n">
        <v>22160</v>
      </c>
      <c r="W94" s="36" t="n">
        <v>-0.1380090497737556</v>
      </c>
      <c r="X94" s="36" t="n">
        <v>0.3754512635379061</v>
      </c>
      <c r="Y94" s="31" t="n">
        <v>76211850</v>
      </c>
      <c r="Z94" s="31" t="n">
        <v>2322937188000</v>
      </c>
      <c r="AA94" s="31" t="n">
        <v>8188147200</v>
      </c>
      <c r="AB94" s="31" t="n">
        <v>10108519225</v>
      </c>
      <c r="AC94" s="36" t="n">
        <v>0.003524911152268315</v>
      </c>
      <c r="AD94" s="29" t="inlineStr">
        <is>
          <t>yfinance_download</t>
        </is>
      </c>
      <c r="AE94" s="29" t="inlineStr">
        <is>
          <t>058470.KQ</t>
        </is>
      </c>
    </row>
    <row r="95" ht="24" customHeight="1">
      <c r="A95" s="24" t="inlineStr">
        <is>
          <t>2023-10-11</t>
        </is>
      </c>
      <c r="B95" s="30" t="n">
        <v>30720</v>
      </c>
      <c r="C95" s="30" t="n">
        <v>31180</v>
      </c>
      <c r="D95" s="30" t="n">
        <v>30640</v>
      </c>
      <c r="E95" s="30" t="n">
        <v>30880</v>
      </c>
      <c r="F95" s="30" t="n">
        <v>25101.134765625</v>
      </c>
      <c r="G95" s="30" t="n">
        <v>223370</v>
      </c>
      <c r="H95" s="35" t="n">
        <v>0.0131233595800524</v>
      </c>
      <c r="I95" s="35" t="n">
        <v>-0.2737535277516463</v>
      </c>
      <c r="J95" s="30" t="n">
        <v>30908</v>
      </c>
      <c r="K95" s="30" t="n">
        <v>32113.66666666667</v>
      </c>
      <c r="L95" s="30" t="n">
        <v>29572.16666666667</v>
      </c>
      <c r="M95" s="35" t="n">
        <v>0.3534977271786482</v>
      </c>
      <c r="N95" s="35" t="n">
        <v>0.312415336572647</v>
      </c>
      <c r="O95" s="35" t="n">
        <v>-0.07544910179640718</v>
      </c>
      <c r="P95" s="35" t="n">
        <v>0.03624161073825505</v>
      </c>
      <c r="Q95" s="35" t="n">
        <v>0.1237263464337701</v>
      </c>
      <c r="R95" s="35" t="n">
        <v>-0.0009059143263879799</v>
      </c>
      <c r="S95" s="35" t="n">
        <v>-0.03841562782200725</v>
      </c>
      <c r="T95" s="35" t="n">
        <v>0.04422514413891432</v>
      </c>
      <c r="U95" s="30" t="n">
        <v>35360</v>
      </c>
      <c r="V95" s="30" t="n">
        <v>22160</v>
      </c>
      <c r="W95" s="35" t="n">
        <v>-0.1266968325791855</v>
      </c>
      <c r="X95" s="35" t="n">
        <v>0.3935018050541517</v>
      </c>
      <c r="Y95" s="30" t="n">
        <v>76211850</v>
      </c>
      <c r="Z95" s="30" t="n">
        <v>2353421928000</v>
      </c>
      <c r="AA95" s="30" t="n">
        <v>6897665600</v>
      </c>
      <c r="AB95" s="30" t="n">
        <v>9963399455</v>
      </c>
      <c r="AC95" s="35" t="n">
        <v>0.002930909038423815</v>
      </c>
      <c r="AD95" s="24" t="inlineStr">
        <is>
          <t>yfinance_download</t>
        </is>
      </c>
      <c r="AE95" s="24" t="inlineStr">
        <is>
          <t>058470.KQ</t>
        </is>
      </c>
    </row>
    <row r="96" ht="24" customHeight="1">
      <c r="A96" s="29" t="inlineStr">
        <is>
          <t>2023-10-12</t>
        </is>
      </c>
      <c r="B96" s="31" t="n">
        <v>31200</v>
      </c>
      <c r="C96" s="31" t="n">
        <v>31700</v>
      </c>
      <c r="D96" s="31" t="n">
        <v>30880</v>
      </c>
      <c r="E96" s="31" t="n">
        <v>31600</v>
      </c>
      <c r="F96" s="31" t="n">
        <v>25686.39453125</v>
      </c>
      <c r="G96" s="31" t="n">
        <v>202945</v>
      </c>
      <c r="H96" s="36" t="n">
        <v>0.02331606217616589</v>
      </c>
      <c r="I96" s="36" t="n">
        <v>-0.2568203198494826</v>
      </c>
      <c r="J96" s="31" t="n">
        <v>30800</v>
      </c>
      <c r="K96" s="31" t="n">
        <v>32131.66666666667</v>
      </c>
      <c r="L96" s="31" t="n">
        <v>29605.16666666667</v>
      </c>
      <c r="M96" s="36" t="n">
        <v>0.362973120016508</v>
      </c>
      <c r="N96" s="36" t="n">
        <v>0.3121499528038622</v>
      </c>
      <c r="O96" s="36" t="n">
        <v>-0.06398104265402849</v>
      </c>
      <c r="P96" s="36" t="n">
        <v>0.03538663171690692</v>
      </c>
      <c r="Q96" s="36" t="n">
        <v>0.1432706222865412</v>
      </c>
      <c r="R96" s="36" t="n">
        <v>0.02597402597402598</v>
      </c>
      <c r="S96" s="36" t="n">
        <v>-0.01654650137455271</v>
      </c>
      <c r="T96" s="36" t="n">
        <v>0.06738125665002159</v>
      </c>
      <c r="U96" s="31" t="n">
        <v>35360</v>
      </c>
      <c r="V96" s="31" t="n">
        <v>22160</v>
      </c>
      <c r="W96" s="36" t="n">
        <v>-0.1063348416289592</v>
      </c>
      <c r="X96" s="36" t="n">
        <v>0.4259927797833936</v>
      </c>
      <c r="Y96" s="31" t="n">
        <v>76211850</v>
      </c>
      <c r="Z96" s="31" t="n">
        <v>2408294460000</v>
      </c>
      <c r="AA96" s="31" t="n">
        <v>6413062000</v>
      </c>
      <c r="AB96" s="31" t="n">
        <v>9705802835</v>
      </c>
      <c r="AC96" s="36" t="n">
        <v>0.002662906096624082</v>
      </c>
      <c r="AD96" s="29" t="inlineStr">
        <is>
          <t>yfinance_download</t>
        </is>
      </c>
      <c r="AE96" s="29" t="inlineStr">
        <is>
          <t>058470.KQ</t>
        </is>
      </c>
    </row>
    <row r="97" ht="24" customHeight="1">
      <c r="A97" s="24" t="inlineStr">
        <is>
          <t>2023-10-13</t>
        </is>
      </c>
      <c r="B97" s="30" t="n">
        <v>31300</v>
      </c>
      <c r="C97" s="30" t="n">
        <v>31820</v>
      </c>
      <c r="D97" s="30" t="n">
        <v>31180</v>
      </c>
      <c r="E97" s="30" t="n">
        <v>31460</v>
      </c>
      <c r="F97" s="30" t="n">
        <v>25572.591796875</v>
      </c>
      <c r="G97" s="30" t="n">
        <v>235325</v>
      </c>
      <c r="H97" s="35" t="n">
        <v>-0.004430379746835467</v>
      </c>
      <c r="I97" s="35" t="n">
        <v>-0.2601128880526811</v>
      </c>
      <c r="J97" s="30" t="n">
        <v>30766</v>
      </c>
      <c r="K97" s="30" t="n">
        <v>32140.33333333333</v>
      </c>
      <c r="L97" s="30" t="n">
        <v>29638</v>
      </c>
      <c r="M97" s="35" t="n">
        <v>0.322083689494179</v>
      </c>
      <c r="N97" s="35" t="n">
        <v>0.311140766767691</v>
      </c>
      <c r="O97" s="35" t="n">
        <v>-0.02115743621655253</v>
      </c>
      <c r="P97" s="35" t="n">
        <v>0.01680672268907557</v>
      </c>
      <c r="Q97" s="35" t="n">
        <v>0.1431686046511629</v>
      </c>
      <c r="R97" s="35" t="n">
        <v>0.02255736852369505</v>
      </c>
      <c r="S97" s="35" t="n">
        <v>-0.02116758797357421</v>
      </c>
      <c r="T97" s="35" t="n">
        <v>0.06147513327484977</v>
      </c>
      <c r="U97" s="30" t="n">
        <v>35360</v>
      </c>
      <c r="V97" s="30" t="n">
        <v>22160</v>
      </c>
      <c r="W97" s="35" t="n">
        <v>-0.1102941176470589</v>
      </c>
      <c r="X97" s="35" t="n">
        <v>0.4196750902527075</v>
      </c>
      <c r="Y97" s="30" t="n">
        <v>76211850</v>
      </c>
      <c r="Z97" s="30" t="n">
        <v>2397624801000</v>
      </c>
      <c r="AA97" s="30" t="n">
        <v>7403324500</v>
      </c>
      <c r="AB97" s="30" t="n">
        <v>9293239535</v>
      </c>
      <c r="AC97" s="35" t="n">
        <v>0.003087774407785666</v>
      </c>
      <c r="AD97" s="24" t="inlineStr">
        <is>
          <t>yfinance_download</t>
        </is>
      </c>
      <c r="AE97" s="24" t="inlineStr">
        <is>
          <t>058470.KQ</t>
        </is>
      </c>
    </row>
    <row r="98" ht="24" customHeight="1">
      <c r="A98" s="29" t="inlineStr">
        <is>
          <t>2023-10-16</t>
        </is>
      </c>
      <c r="B98" s="31" t="n">
        <v>31380</v>
      </c>
      <c r="C98" s="31" t="n">
        <v>31980</v>
      </c>
      <c r="D98" s="31" t="n">
        <v>30540</v>
      </c>
      <c r="E98" s="31" t="n">
        <v>31360</v>
      </c>
      <c r="F98" s="31" t="n">
        <v>25491.306640625</v>
      </c>
      <c r="G98" s="31" t="n">
        <v>279650</v>
      </c>
      <c r="H98" s="36" t="n">
        <v>-0.003178639542275929</v>
      </c>
      <c r="I98" s="36" t="n">
        <v>-0.2624647224835371</v>
      </c>
      <c r="J98" s="31" t="n">
        <v>30778</v>
      </c>
      <c r="K98" s="31" t="n">
        <v>32139.66666666667</v>
      </c>
      <c r="L98" s="31" t="n">
        <v>29673.33333333333</v>
      </c>
      <c r="M98" s="36" t="n">
        <v>0.3010565140264729</v>
      </c>
      <c r="N98" s="36" t="n">
        <v>0.309768162082089</v>
      </c>
      <c r="O98" s="36" t="n">
        <v>0.007712082262210762</v>
      </c>
      <c r="P98" s="36" t="n">
        <v>-0.001273885350318471</v>
      </c>
      <c r="Q98" s="36" t="n">
        <v>0.1563421828908556</v>
      </c>
      <c r="R98" s="36" t="n">
        <v>0.01890961076093323</v>
      </c>
      <c r="S98" s="36" t="n">
        <v>-0.02425870419730558</v>
      </c>
      <c r="T98" s="36" t="n">
        <v>0.05684115929004729</v>
      </c>
      <c r="U98" s="31" t="n">
        <v>35360</v>
      </c>
      <c r="V98" s="31" t="n">
        <v>22160</v>
      </c>
      <c r="W98" s="36" t="n">
        <v>-0.1131221719457014</v>
      </c>
      <c r="X98" s="36" t="n">
        <v>0.4151624548736461</v>
      </c>
      <c r="Y98" s="31" t="n">
        <v>76211850</v>
      </c>
      <c r="Z98" s="31" t="n">
        <v>2390003616000</v>
      </c>
      <c r="AA98" s="31" t="n">
        <v>8769824000</v>
      </c>
      <c r="AB98" s="31" t="n">
        <v>8724765335</v>
      </c>
      <c r="AC98" s="36" t="n">
        <v>0.003669376875118502</v>
      </c>
      <c r="AD98" s="29" t="inlineStr">
        <is>
          <t>yfinance_download</t>
        </is>
      </c>
      <c r="AE98" s="29" t="inlineStr">
        <is>
          <t>058470.KQ</t>
        </is>
      </c>
    </row>
    <row r="99" ht="24" customHeight="1">
      <c r="A99" s="24" t="inlineStr">
        <is>
          <t>2023-10-17</t>
        </is>
      </c>
      <c r="B99" s="30" t="n">
        <v>31500</v>
      </c>
      <c r="C99" s="30" t="n">
        <v>31800</v>
      </c>
      <c r="D99" s="30" t="n">
        <v>30740</v>
      </c>
      <c r="E99" s="30" t="n">
        <v>31780</v>
      </c>
      <c r="F99" s="30" t="n">
        <v>25832.708984375</v>
      </c>
      <c r="G99" s="30" t="n">
        <v>199890</v>
      </c>
      <c r="H99" s="35" t="n">
        <v>0.01339285714285721</v>
      </c>
      <c r="I99" s="35" t="n">
        <v>-0.2525870178739417</v>
      </c>
      <c r="J99" s="30" t="n">
        <v>30801</v>
      </c>
      <c r="K99" s="30" t="n">
        <v>32135.66666666667</v>
      </c>
      <c r="L99" s="30" t="n">
        <v>29709.83333333333</v>
      </c>
      <c r="M99" s="35" t="n">
        <v>0.3038614073833598</v>
      </c>
      <c r="N99" s="35" t="n">
        <v>0.3083233936310012</v>
      </c>
      <c r="O99" s="35" t="n">
        <v>0.0146871008939975</v>
      </c>
      <c r="P99" s="35" t="n">
        <v>-0.007495315427857641</v>
      </c>
      <c r="Q99" s="35" t="n">
        <v>0.1598540145985401</v>
      </c>
      <c r="R99" s="35" t="n">
        <v>0.03178468231550924</v>
      </c>
      <c r="S99" s="35" t="n">
        <v>-0.01106766106195611</v>
      </c>
      <c r="T99" s="35" t="n">
        <v>0.06967951127292316</v>
      </c>
      <c r="U99" s="30" t="n">
        <v>35360</v>
      </c>
      <c r="V99" s="30" t="n">
        <v>22160</v>
      </c>
      <c r="W99" s="35" t="n">
        <v>-0.1012443438914027</v>
      </c>
      <c r="X99" s="35" t="n">
        <v>0.4341155234657039</v>
      </c>
      <c r="Y99" s="30" t="n">
        <v>76211850</v>
      </c>
      <c r="Z99" s="30" t="n">
        <v>2422012593000</v>
      </c>
      <c r="AA99" s="30" t="n">
        <v>6352504200</v>
      </c>
      <c r="AB99" s="30" t="n">
        <v>8507703335</v>
      </c>
      <c r="AC99" s="35" t="n">
        <v>0.002622820466895896</v>
      </c>
      <c r="AD99" s="24" t="inlineStr">
        <is>
          <t>yfinance_download</t>
        </is>
      </c>
      <c r="AE99" s="24" t="inlineStr">
        <is>
          <t>058470.KQ</t>
        </is>
      </c>
    </row>
    <row r="100" ht="24" customHeight="1">
      <c r="A100" s="29" t="inlineStr">
        <is>
          <t>2023-10-18</t>
        </is>
      </c>
      <c r="B100" s="31" t="n">
        <v>31460</v>
      </c>
      <c r="C100" s="31" t="n">
        <v>31700</v>
      </c>
      <c r="D100" s="31" t="n">
        <v>31040</v>
      </c>
      <c r="E100" s="31" t="n">
        <v>31540</v>
      </c>
      <c r="F100" s="31" t="n">
        <v>25637.62109375</v>
      </c>
      <c r="G100" s="31" t="n">
        <v>366690</v>
      </c>
      <c r="H100" s="36" t="n">
        <v>-0.007551919446192601</v>
      </c>
      <c r="I100" s="36" t="n">
        <v>-0.2582314205079962</v>
      </c>
      <c r="J100" s="31" t="n">
        <v>30823</v>
      </c>
      <c r="K100" s="31" t="n">
        <v>32117</v>
      </c>
      <c r="L100" s="31" t="n">
        <v>29741.83333333333</v>
      </c>
      <c r="M100" s="36" t="n">
        <v>0.3040496697744714</v>
      </c>
      <c r="N100" s="36" t="n">
        <v>0.3058767770627619</v>
      </c>
      <c r="O100" s="36" t="n">
        <v>0.01414790996784565</v>
      </c>
      <c r="P100" s="36" t="n">
        <v>-0.0342927127985303</v>
      </c>
      <c r="Q100" s="36" t="n">
        <v>0.1386281588447653</v>
      </c>
      <c r="R100" s="36" t="n">
        <v>0.02326184991726965</v>
      </c>
      <c r="S100" s="36" t="n">
        <v>-0.01796556340878663</v>
      </c>
      <c r="T100" s="36" t="n">
        <v>0.06045917366672082</v>
      </c>
      <c r="U100" s="31" t="n">
        <v>35360</v>
      </c>
      <c r="V100" s="31" t="n">
        <v>22160</v>
      </c>
      <c r="W100" s="36" t="n">
        <v>-0.1080316742081447</v>
      </c>
      <c r="X100" s="36" t="n">
        <v>0.4232851985559567</v>
      </c>
      <c r="Y100" s="31" t="n">
        <v>76211850</v>
      </c>
      <c r="Z100" s="31" t="n">
        <v>2403721749000</v>
      </c>
      <c r="AA100" s="31" t="n">
        <v>11565402600</v>
      </c>
      <c r="AB100" s="31" t="n">
        <v>8440951690</v>
      </c>
      <c r="AC100" s="36" t="n">
        <v>0.004811456486097635</v>
      </c>
      <c r="AD100" s="29" t="inlineStr">
        <is>
          <t>yfinance_download</t>
        </is>
      </c>
      <c r="AE100" s="29" t="inlineStr">
        <is>
          <t>058470.KQ</t>
        </is>
      </c>
    </row>
    <row r="101" ht="24" customHeight="1">
      <c r="A101" s="24" t="inlineStr">
        <is>
          <t>2023-10-19</t>
        </is>
      </c>
      <c r="B101" s="30" t="n">
        <v>30740</v>
      </c>
      <c r="C101" s="30" t="n">
        <v>31160</v>
      </c>
      <c r="D101" s="30" t="n">
        <v>30720</v>
      </c>
      <c r="E101" s="30" t="n">
        <v>31120</v>
      </c>
      <c r="F101" s="30" t="n">
        <v>25296.220703125</v>
      </c>
      <c r="G101" s="30" t="n">
        <v>195740</v>
      </c>
      <c r="H101" s="35" t="n">
        <v>-0.01331642358909324</v>
      </c>
      <c r="I101" s="35" t="n">
        <v>-0.2681091251175918</v>
      </c>
      <c r="J101" s="30" t="n">
        <v>30798</v>
      </c>
      <c r="K101" s="30" t="n">
        <v>32100.66666666667</v>
      </c>
      <c r="L101" s="30" t="n">
        <v>29776.66666666667</v>
      </c>
      <c r="M101" s="35" t="n">
        <v>0.3019757734886017</v>
      </c>
      <c r="N101" s="35" t="n">
        <v>0.3050808148756</v>
      </c>
      <c r="O101" s="35" t="n">
        <v>-0.01581277672359271</v>
      </c>
      <c r="P101" s="35" t="n">
        <v>-0.03052959501557628</v>
      </c>
      <c r="Q101" s="35" t="n">
        <v>0.1551596139569413</v>
      </c>
      <c r="R101" s="35" t="n">
        <v>0.01045522436521851</v>
      </c>
      <c r="S101" s="35" t="n">
        <v>-0.03054972897759134</v>
      </c>
      <c r="T101" s="35" t="n">
        <v>0.04511362364267324</v>
      </c>
      <c r="U101" s="30" t="n">
        <v>35360</v>
      </c>
      <c r="V101" s="30" t="n">
        <v>22160</v>
      </c>
      <c r="W101" s="35" t="n">
        <v>-0.1199095022624435</v>
      </c>
      <c r="X101" s="35" t="n">
        <v>0.4043321299638989</v>
      </c>
      <c r="Y101" s="30" t="n">
        <v>76211850</v>
      </c>
      <c r="Z101" s="30" t="n">
        <v>2371712772000</v>
      </c>
      <c r="AA101" s="30" t="n">
        <v>6091428800</v>
      </c>
      <c r="AB101" s="30" t="n">
        <v>7902778985</v>
      </c>
      <c r="AC101" s="35" t="n">
        <v>0.002568366992797052</v>
      </c>
      <c r="AD101" s="24" t="inlineStr">
        <is>
          <t>yfinance_download</t>
        </is>
      </c>
      <c r="AE101" s="24" t="inlineStr">
        <is>
          <t>058470.KQ</t>
        </is>
      </c>
    </row>
    <row r="102" ht="24" customHeight="1">
      <c r="A102" s="29" t="inlineStr">
        <is>
          <t>2023-10-20</t>
        </is>
      </c>
      <c r="B102" s="31" t="n">
        <v>30280</v>
      </c>
      <c r="C102" s="31" t="n">
        <v>32000</v>
      </c>
      <c r="D102" s="31" t="n">
        <v>30240</v>
      </c>
      <c r="E102" s="31" t="n">
        <v>30940</v>
      </c>
      <c r="F102" s="31" t="n">
        <v>25149.904296875</v>
      </c>
      <c r="G102" s="31" t="n">
        <v>360650</v>
      </c>
      <c r="H102" s="36" t="n">
        <v>-0.005784061696658127</v>
      </c>
      <c r="I102" s="36" t="n">
        <v>-0.2723424270931326</v>
      </c>
      <c r="J102" s="31" t="n">
        <v>30773</v>
      </c>
      <c r="K102" s="31" t="n">
        <v>32084</v>
      </c>
      <c r="L102" s="31" t="n">
        <v>29803.83333333333</v>
      </c>
      <c r="M102" s="36" t="n">
        <v>0.301996298790437</v>
      </c>
      <c r="N102" s="36" t="n">
        <v>0.3051372556897518</v>
      </c>
      <c r="O102" s="36" t="n">
        <v>-0.01590330788804073</v>
      </c>
      <c r="P102" s="36" t="n">
        <v>-0.03130870381966189</v>
      </c>
      <c r="Q102" s="36" t="n">
        <v>0.1177745664739884</v>
      </c>
      <c r="R102" s="36" t="n">
        <v>0.005426835212686498</v>
      </c>
      <c r="S102" s="36" t="n">
        <v>-0.03565640194489461</v>
      </c>
      <c r="T102" s="36" t="n">
        <v>0.038121494438635</v>
      </c>
      <c r="U102" s="31" t="n">
        <v>35360</v>
      </c>
      <c r="V102" s="31" t="n">
        <v>22160</v>
      </c>
      <c r="W102" s="36" t="n">
        <v>-0.125</v>
      </c>
      <c r="X102" s="36" t="n">
        <v>0.3962093862815885</v>
      </c>
      <c r="Y102" s="31" t="n">
        <v>76211850</v>
      </c>
      <c r="Z102" s="31" t="n">
        <v>2357994639000</v>
      </c>
      <c r="AA102" s="31" t="n">
        <v>11158511000</v>
      </c>
      <c r="AB102" s="31" t="n">
        <v>8025134775</v>
      </c>
      <c r="AC102" s="36" t="n">
        <v>0.004732203718975462</v>
      </c>
      <c r="AD102" s="29" t="inlineStr">
        <is>
          <t>yfinance_download</t>
        </is>
      </c>
      <c r="AE102" s="29" t="inlineStr">
        <is>
          <t>058470.KQ</t>
        </is>
      </c>
    </row>
    <row r="103" ht="24" customHeight="1">
      <c r="A103" s="24" t="inlineStr">
        <is>
          <t>2023-10-23</t>
        </is>
      </c>
      <c r="B103" s="30" t="n">
        <v>30600</v>
      </c>
      <c r="C103" s="30" t="n">
        <v>31280</v>
      </c>
      <c r="D103" s="30" t="n">
        <v>30420</v>
      </c>
      <c r="E103" s="30" t="n">
        <v>30760</v>
      </c>
      <c r="F103" s="30" t="n">
        <v>25003.58984375</v>
      </c>
      <c r="G103" s="30" t="n">
        <v>248010</v>
      </c>
      <c r="H103" s="35" t="n">
        <v>-0.005817711700064621</v>
      </c>
      <c r="I103" s="35" t="n">
        <v>-0.2765757290686736</v>
      </c>
      <c r="J103" s="30" t="n">
        <v>30755</v>
      </c>
      <c r="K103" s="30" t="n">
        <v>32058</v>
      </c>
      <c r="L103" s="30" t="n">
        <v>29834.5</v>
      </c>
      <c r="M103" s="35" t="n">
        <v>0.3005612382622736</v>
      </c>
      <c r="N103" s="35" t="n">
        <v>0.304259107188056</v>
      </c>
      <c r="O103" s="35" t="n">
        <v>-0.01156812339331614</v>
      </c>
      <c r="P103" s="35" t="n">
        <v>-0.04826732673267331</v>
      </c>
      <c r="Q103" s="35" t="n">
        <v>0.1358936484490398</v>
      </c>
      <c r="R103" s="35" t="n">
        <v>0.0001625751910259154</v>
      </c>
      <c r="S103" s="35" t="n">
        <v>-0.04048911348181417</v>
      </c>
      <c r="T103" s="35" t="n">
        <v>0.03102113325177225</v>
      </c>
      <c r="U103" s="30" t="n">
        <v>35360</v>
      </c>
      <c r="V103" s="30" t="n">
        <v>22160</v>
      </c>
      <c r="W103" s="35" t="n">
        <v>-0.1300904977375565</v>
      </c>
      <c r="X103" s="35" t="n">
        <v>0.3880866425992779</v>
      </c>
      <c r="Y103" s="30" t="n">
        <v>76211850</v>
      </c>
      <c r="Z103" s="30" t="n">
        <v>2344276506000</v>
      </c>
      <c r="AA103" s="30" t="n">
        <v>7628787600</v>
      </c>
      <c r="AB103" s="30" t="n">
        <v>8015566915</v>
      </c>
      <c r="AC103" s="35" t="n">
        <v>0.00325421834006129</v>
      </c>
      <c r="AD103" s="24" t="inlineStr">
        <is>
          <t>yfinance_download</t>
        </is>
      </c>
      <c r="AE103" s="24" t="inlineStr">
        <is>
          <t>058470.KQ</t>
        </is>
      </c>
    </row>
    <row r="104" ht="24" customHeight="1">
      <c r="A104" s="29" t="inlineStr">
        <is>
          <t>2023-10-24</t>
        </is>
      </c>
      <c r="B104" s="31" t="n">
        <v>30980</v>
      </c>
      <c r="C104" s="31" t="n">
        <v>31120</v>
      </c>
      <c r="D104" s="31" t="n">
        <v>30240</v>
      </c>
      <c r="E104" s="31" t="n">
        <v>30880</v>
      </c>
      <c r="F104" s="31" t="n">
        <v>25101.134765625</v>
      </c>
      <c r="G104" s="31" t="n">
        <v>405260</v>
      </c>
      <c r="H104" s="36" t="n">
        <v>0.003901170351105376</v>
      </c>
      <c r="I104" s="36" t="n">
        <v>-0.2737535277516463</v>
      </c>
      <c r="J104" s="31" t="n">
        <v>30749</v>
      </c>
      <c r="K104" s="31" t="n">
        <v>32033.66666666667</v>
      </c>
      <c r="L104" s="31" t="n">
        <v>29872</v>
      </c>
      <c r="M104" s="36" t="n">
        <v>0.300643933583928</v>
      </c>
      <c r="N104" s="36" t="n">
        <v>0.3043916325719785</v>
      </c>
      <c r="O104" s="36" t="n">
        <v>-0.003870967741935516</v>
      </c>
      <c r="P104" s="36" t="n">
        <v>-0.04514533085961658</v>
      </c>
      <c r="Q104" s="36" t="n">
        <v>0.1705837755875663</v>
      </c>
      <c r="R104" s="36" t="n">
        <v>0.004260301148004908</v>
      </c>
      <c r="S104" s="36" t="n">
        <v>-0.03601419340069301</v>
      </c>
      <c r="T104" s="36" t="n">
        <v>0.0337439742903054</v>
      </c>
      <c r="U104" s="31" t="n">
        <v>35360</v>
      </c>
      <c r="V104" s="31" t="n">
        <v>22160</v>
      </c>
      <c r="W104" s="36" t="n">
        <v>-0.1266968325791855</v>
      </c>
      <c r="X104" s="36" t="n">
        <v>0.3935018050541517</v>
      </c>
      <c r="Y104" s="31" t="n">
        <v>76211850</v>
      </c>
      <c r="Z104" s="31" t="n">
        <v>2353421928000</v>
      </c>
      <c r="AA104" s="31" t="n">
        <v>12514428800</v>
      </c>
      <c r="AB104" s="31" t="n">
        <v>8330660605</v>
      </c>
      <c r="AC104" s="36" t="n">
        <v>0.005317545762240386</v>
      </c>
      <c r="AD104" s="29" t="inlineStr">
        <is>
          <t>yfinance_download</t>
        </is>
      </c>
      <c r="AE104" s="29" t="inlineStr">
        <is>
          <t>058470.KQ</t>
        </is>
      </c>
    </row>
    <row r="105" ht="24" customHeight="1">
      <c r="A105" s="24" t="inlineStr">
        <is>
          <t>2023-10-25</t>
        </is>
      </c>
      <c r="B105" s="30" t="n">
        <v>30880</v>
      </c>
      <c r="C105" s="30" t="n">
        <v>30880</v>
      </c>
      <c r="D105" s="30" t="n">
        <v>29640</v>
      </c>
      <c r="E105" s="30" t="n">
        <v>30760</v>
      </c>
      <c r="F105" s="30" t="n">
        <v>25003.58984375</v>
      </c>
      <c r="G105" s="30" t="n">
        <v>304965</v>
      </c>
      <c r="H105" s="35" t="n">
        <v>-0.003886010362694314</v>
      </c>
      <c r="I105" s="35" t="n">
        <v>-0.2765757290686736</v>
      </c>
      <c r="J105" s="30" t="n">
        <v>30748</v>
      </c>
      <c r="K105" s="30" t="n">
        <v>31996.66666666667</v>
      </c>
      <c r="L105" s="30" t="n">
        <v>29907.5</v>
      </c>
      <c r="M105" s="35" t="n">
        <v>0.299857261402361</v>
      </c>
      <c r="N105" s="35" t="n">
        <v>0.3014745697563466</v>
      </c>
      <c r="O105" s="35" t="n">
        <v>-0.0006497725795971965</v>
      </c>
      <c r="P105" s="35" t="n">
        <v>-0.06731352334748331</v>
      </c>
      <c r="Q105" s="35" t="n">
        <v>0.1607547169811321</v>
      </c>
      <c r="R105" s="35" t="n">
        <v>0.0003902692858070989</v>
      </c>
      <c r="S105" s="35" t="n">
        <v>-0.03864985936035004</v>
      </c>
      <c r="T105" s="35" t="n">
        <v>0.02850455571344979</v>
      </c>
      <c r="U105" s="30" t="n">
        <v>35360</v>
      </c>
      <c r="V105" s="30" t="n">
        <v>22160</v>
      </c>
      <c r="W105" s="35" t="n">
        <v>-0.1300904977375565</v>
      </c>
      <c r="X105" s="35" t="n">
        <v>0.3880866425992779</v>
      </c>
      <c r="Y105" s="30" t="n">
        <v>76211850</v>
      </c>
      <c r="Z105" s="30" t="n">
        <v>2344276506000</v>
      </c>
      <c r="AA105" s="30" t="n">
        <v>9380723400</v>
      </c>
      <c r="AB105" s="30" t="n">
        <v>8445195820</v>
      </c>
      <c r="AC105" s="35" t="n">
        <v>0.004001543067121451</v>
      </c>
      <c r="AD105" s="24" t="inlineStr">
        <is>
          <t>yfinance_download</t>
        </is>
      </c>
      <c r="AE105" s="24" t="inlineStr">
        <is>
          <t>058470.KQ</t>
        </is>
      </c>
    </row>
    <row r="106" ht="24" customHeight="1">
      <c r="A106" s="29" t="inlineStr">
        <is>
          <t>2023-10-26</t>
        </is>
      </c>
      <c r="B106" s="31" t="n">
        <v>30000</v>
      </c>
      <c r="C106" s="31" t="n">
        <v>30600</v>
      </c>
      <c r="D106" s="31" t="n">
        <v>29920</v>
      </c>
      <c r="E106" s="31" t="n">
        <v>30080</v>
      </c>
      <c r="F106" s="31" t="n">
        <v>24450.84375</v>
      </c>
      <c r="G106" s="31" t="n">
        <v>212310</v>
      </c>
      <c r="H106" s="36" t="n">
        <v>-0.02210663198959684</v>
      </c>
      <c r="I106" s="36" t="n">
        <v>-0.2925682031984949</v>
      </c>
      <c r="J106" s="31" t="n">
        <v>30761</v>
      </c>
      <c r="K106" s="31" t="n">
        <v>31956.33333333333</v>
      </c>
      <c r="L106" s="31" t="n">
        <v>29937</v>
      </c>
      <c r="M106" s="36" t="n">
        <v>0.2888025947455778</v>
      </c>
      <c r="N106" s="36" t="n">
        <v>0.3033182533110332</v>
      </c>
      <c r="O106" s="36" t="n">
        <v>0.00871898054996656</v>
      </c>
      <c r="P106" s="36" t="n">
        <v>-0.07446153846153847</v>
      </c>
      <c r="Q106" s="36" t="n">
        <v>0.1333835719668426</v>
      </c>
      <c r="R106" s="36" t="n">
        <v>-0.02213842202789251</v>
      </c>
      <c r="S106" s="36" t="n">
        <v>-0.05871553891247427</v>
      </c>
      <c r="T106" s="36" t="n">
        <v>0.004776697731903701</v>
      </c>
      <c r="U106" s="31" t="n">
        <v>35360</v>
      </c>
      <c r="V106" s="31" t="n">
        <v>22160</v>
      </c>
      <c r="W106" s="36" t="n">
        <v>-0.1493212669683258</v>
      </c>
      <c r="X106" s="36" t="n">
        <v>0.3574007220216606</v>
      </c>
      <c r="Y106" s="31" t="n">
        <v>76211850</v>
      </c>
      <c r="Z106" s="31" t="n">
        <v>2292452448000</v>
      </c>
      <c r="AA106" s="31" t="n">
        <v>6386284800</v>
      </c>
      <c r="AB106" s="31" t="n">
        <v>8060034925</v>
      </c>
      <c r="AC106" s="36" t="n">
        <v>0.00278578724962063</v>
      </c>
      <c r="AD106" s="29" t="inlineStr">
        <is>
          <t>yfinance_download</t>
        </is>
      </c>
      <c r="AE106" s="29" t="inlineStr">
        <is>
          <t>058470.KQ</t>
        </is>
      </c>
    </row>
    <row r="107" ht="24" customHeight="1">
      <c r="A107" s="24" t="inlineStr">
        <is>
          <t>2023-10-27</t>
        </is>
      </c>
      <c r="B107" s="30" t="n">
        <v>30720</v>
      </c>
      <c r="C107" s="30" t="n">
        <v>30940</v>
      </c>
      <c r="D107" s="30" t="n">
        <v>29720</v>
      </c>
      <c r="E107" s="30" t="n">
        <v>29860</v>
      </c>
      <c r="F107" s="30" t="n">
        <v>24272.015625</v>
      </c>
      <c r="G107" s="30" t="n">
        <v>274395</v>
      </c>
      <c r="H107" s="35" t="n">
        <v>-0.00731382978723405</v>
      </c>
      <c r="I107" s="35" t="n">
        <v>-0.2977422389463782</v>
      </c>
      <c r="J107" s="30" t="n">
        <v>30761</v>
      </c>
      <c r="K107" s="30" t="n">
        <v>31889.33333333333</v>
      </c>
      <c r="L107" s="30" t="n">
        <v>29963.16666666667</v>
      </c>
      <c r="M107" s="35" t="n">
        <v>0.2901348360663673</v>
      </c>
      <c r="N107" s="35" t="n">
        <v>0.2896226402294765</v>
      </c>
      <c r="O107" s="35" t="n">
        <v>0</v>
      </c>
      <c r="P107" s="35" t="n">
        <v>-0.1186540731995277</v>
      </c>
      <c r="Q107" s="35" t="n">
        <v>0.1175149700598803</v>
      </c>
      <c r="R107" s="35" t="n">
        <v>-0.02929033516465651</v>
      </c>
      <c r="S107" s="35" t="n">
        <v>-0.06363674373876316</v>
      </c>
      <c r="T107" s="35" t="n">
        <v>-0.003443116270532176</v>
      </c>
      <c r="U107" s="30" t="n">
        <v>35360</v>
      </c>
      <c r="V107" s="30" t="n">
        <v>22160</v>
      </c>
      <c r="W107" s="35" t="n">
        <v>-0.1555429864253394</v>
      </c>
      <c r="X107" s="35" t="n">
        <v>0.3474729241877257</v>
      </c>
      <c r="Y107" s="30" t="n">
        <v>76211850</v>
      </c>
      <c r="Z107" s="30" t="n">
        <v>2275685841000</v>
      </c>
      <c r="AA107" s="30" t="n">
        <v>8193434700</v>
      </c>
      <c r="AB107" s="30" t="n">
        <v>8116410605</v>
      </c>
      <c r="AC107" s="35" t="n">
        <v>0.003600424343458399</v>
      </c>
      <c r="AD107" s="24" t="inlineStr">
        <is>
          <t>yfinance_download</t>
        </is>
      </c>
      <c r="AE107" s="24" t="inlineStr">
        <is>
          <t>058470.KQ</t>
        </is>
      </c>
    </row>
    <row r="108" ht="24" customHeight="1">
      <c r="A108" s="29" t="inlineStr">
        <is>
          <t>2023-10-30</t>
        </is>
      </c>
      <c r="B108" s="31" t="n">
        <v>29800</v>
      </c>
      <c r="C108" s="31" t="n">
        <v>30200</v>
      </c>
      <c r="D108" s="31" t="n">
        <v>29300</v>
      </c>
      <c r="E108" s="31" t="n">
        <v>29440</v>
      </c>
      <c r="F108" s="31" t="n">
        <v>23930.615234375</v>
      </c>
      <c r="G108" s="31" t="n">
        <v>175815</v>
      </c>
      <c r="H108" s="36" t="n">
        <v>-0.01406563965170793</v>
      </c>
      <c r="I108" s="36" t="n">
        <v>-0.3076199435559737</v>
      </c>
      <c r="J108" s="31" t="n">
        <v>30731</v>
      </c>
      <c r="K108" s="31" t="n">
        <v>31803.66666666667</v>
      </c>
      <c r="L108" s="31" t="n">
        <v>29989.66666666667</v>
      </c>
      <c r="M108" s="36" t="n">
        <v>0.293489496551033</v>
      </c>
      <c r="N108" s="36" t="n">
        <v>0.286778324177973</v>
      </c>
      <c r="O108" s="36" t="n">
        <v>-0.01997336884154466</v>
      </c>
      <c r="P108" s="36" t="n">
        <v>-0.1486408328513592</v>
      </c>
      <c r="Q108" s="36" t="n">
        <v>0.1210967250571211</v>
      </c>
      <c r="R108" s="36" t="n">
        <v>-0.04200969704858282</v>
      </c>
      <c r="S108" s="36" t="n">
        <v>-0.07432057100334344</v>
      </c>
      <c r="T108" s="36" t="n">
        <v>-0.01832853538441026</v>
      </c>
      <c r="U108" s="31" t="n">
        <v>35360</v>
      </c>
      <c r="V108" s="31" t="n">
        <v>22160</v>
      </c>
      <c r="W108" s="36" t="n">
        <v>-0.167420814479638</v>
      </c>
      <c r="X108" s="36" t="n">
        <v>0.3285198555956679</v>
      </c>
      <c r="Y108" s="31" t="n">
        <v>76211850</v>
      </c>
      <c r="Z108" s="31" t="n">
        <v>2243676864000</v>
      </c>
      <c r="AA108" s="31" t="n">
        <v>5175993600</v>
      </c>
      <c r="AB108" s="31" t="n">
        <v>8150428475</v>
      </c>
      <c r="AC108" s="36" t="n">
        <v>0.0023069247105273</v>
      </c>
      <c r="AD108" s="29" t="inlineStr">
        <is>
          <t>yfinance_download</t>
        </is>
      </c>
      <c r="AE108" s="29" t="inlineStr">
        <is>
          <t>058470.KQ</t>
        </is>
      </c>
    </row>
    <row r="109" ht="24" customHeight="1">
      <c r="A109" s="24" t="inlineStr">
        <is>
          <t>2023-10-31</t>
        </is>
      </c>
      <c r="B109" s="30" t="n">
        <v>29360</v>
      </c>
      <c r="C109" s="30" t="n">
        <v>29360</v>
      </c>
      <c r="D109" s="30" t="n">
        <v>27120</v>
      </c>
      <c r="E109" s="30" t="n">
        <v>27500</v>
      </c>
      <c r="F109" s="30" t="n">
        <v>22353.666015625</v>
      </c>
      <c r="G109" s="30" t="n">
        <v>563905</v>
      </c>
      <c r="H109" s="35" t="n">
        <v>-0.06589673913043481</v>
      </c>
      <c r="I109" s="35" t="n">
        <v>-0.3532455315145814</v>
      </c>
      <c r="J109" s="30" t="n">
        <v>30638</v>
      </c>
      <c r="K109" s="30" t="n">
        <v>31700</v>
      </c>
      <c r="L109" s="30" t="n">
        <v>29996.66666666667</v>
      </c>
      <c r="M109" s="35" t="n">
        <v>0.3670415631578344</v>
      </c>
      <c r="N109" s="35" t="n">
        <v>0.3116805519956949</v>
      </c>
      <c r="O109" s="35" t="n">
        <v>-0.06335149863760214</v>
      </c>
      <c r="P109" s="35" t="n">
        <v>-0.1844602609727165</v>
      </c>
      <c r="Q109" s="35" t="n">
        <v>0.03150787696924229</v>
      </c>
      <c r="R109" s="35" t="n">
        <v>-0.1024218291011163</v>
      </c>
      <c r="S109" s="35" t="n">
        <v>-0.1324921135646687</v>
      </c>
      <c r="T109" s="35" t="n">
        <v>-0.08323147016335153</v>
      </c>
      <c r="U109" s="30" t="n">
        <v>35360</v>
      </c>
      <c r="V109" s="30" t="n">
        <v>22160</v>
      </c>
      <c r="W109" s="35" t="n">
        <v>-0.2222850678733032</v>
      </c>
      <c r="X109" s="35" t="n">
        <v>0.2409747292418774</v>
      </c>
      <c r="Y109" s="30" t="n">
        <v>76211850</v>
      </c>
      <c r="Z109" s="30" t="n">
        <v>2095825875000</v>
      </c>
      <c r="AA109" s="30" t="n">
        <v>15507387500</v>
      </c>
      <c r="AB109" s="30" t="n">
        <v>8676032330</v>
      </c>
      <c r="AC109" s="35" t="n">
        <v>0.007399177424508131</v>
      </c>
      <c r="AD109" s="24" t="inlineStr">
        <is>
          <t>yfinance_download</t>
        </is>
      </c>
      <c r="AE109" s="24" t="inlineStr">
        <is>
          <t>058470.KQ</t>
        </is>
      </c>
    </row>
    <row r="110" ht="24" customHeight="1">
      <c r="A110" s="29" t="inlineStr">
        <is>
          <t>2023-11-01</t>
        </is>
      </c>
      <c r="B110" s="31" t="n">
        <v>27920</v>
      </c>
      <c r="C110" s="31" t="n">
        <v>28560</v>
      </c>
      <c r="D110" s="31" t="n">
        <v>27600</v>
      </c>
      <c r="E110" s="31" t="n">
        <v>27820</v>
      </c>
      <c r="F110" s="31" t="n">
        <v>22613.779296875</v>
      </c>
      <c r="G110" s="31" t="n">
        <v>172320</v>
      </c>
      <c r="H110" s="36" t="n">
        <v>0.01163636363636367</v>
      </c>
      <c r="I110" s="36" t="n">
        <v>-0.345719661335842</v>
      </c>
      <c r="J110" s="31" t="n">
        <v>30491</v>
      </c>
      <c r="K110" s="31" t="n">
        <v>31597</v>
      </c>
      <c r="L110" s="31" t="n">
        <v>30009.83333333333</v>
      </c>
      <c r="M110" s="36" t="n">
        <v>0.3203395395476942</v>
      </c>
      <c r="N110" s="36" t="n">
        <v>0.3122802772370095</v>
      </c>
      <c r="O110" s="36" t="n">
        <v>-0.09557867360208061</v>
      </c>
      <c r="P110" s="36" t="n">
        <v>-0.1817647058823529</v>
      </c>
      <c r="Q110" s="36" t="n">
        <v>0.06021341463414642</v>
      </c>
      <c r="R110" s="36" t="n">
        <v>-0.08759961955987017</v>
      </c>
      <c r="S110" s="36" t="n">
        <v>-0.1195366648732474</v>
      </c>
      <c r="T110" s="36" t="n">
        <v>-0.07297052632748147</v>
      </c>
      <c r="U110" s="31" t="n">
        <v>35360</v>
      </c>
      <c r="V110" s="31" t="n">
        <v>22160</v>
      </c>
      <c r="W110" s="36" t="n">
        <v>-0.2132352941176471</v>
      </c>
      <c r="X110" s="36" t="n">
        <v>0.2554151624548737</v>
      </c>
      <c r="Y110" s="31" t="n">
        <v>76211850</v>
      </c>
      <c r="Z110" s="31" t="n">
        <v>2120213667000</v>
      </c>
      <c r="AA110" s="31" t="n">
        <v>4793942400</v>
      </c>
      <c r="AB110" s="31" t="n">
        <v>8375991420</v>
      </c>
      <c r="AC110" s="36" t="n">
        <v>0.002261065700412731</v>
      </c>
      <c r="AD110" s="29" t="inlineStr">
        <is>
          <t>yfinance_download</t>
        </is>
      </c>
      <c r="AE110" s="29" t="inlineStr">
        <is>
          <t>058470.KQ</t>
        </is>
      </c>
    </row>
    <row r="111" ht="24" customHeight="1">
      <c r="A111" s="24" t="inlineStr">
        <is>
          <t>2023-11-02</t>
        </is>
      </c>
      <c r="B111" s="30" t="n">
        <v>28880</v>
      </c>
      <c r="C111" s="30" t="n">
        <v>29560</v>
      </c>
      <c r="D111" s="30" t="n">
        <v>28800</v>
      </c>
      <c r="E111" s="30" t="n">
        <v>29380</v>
      </c>
      <c r="F111" s="30" t="n">
        <v>23881.84375</v>
      </c>
      <c r="G111" s="30" t="n">
        <v>441705</v>
      </c>
      <c r="H111" s="35" t="n">
        <v>0.05607476635514019</v>
      </c>
      <c r="I111" s="35" t="n">
        <v>-0.3090310442144873</v>
      </c>
      <c r="J111" s="30" t="n">
        <v>30428</v>
      </c>
      <c r="K111" s="30" t="n">
        <v>31535.66666666667</v>
      </c>
      <c r="L111" s="30" t="n">
        <v>30034.66666666667</v>
      </c>
      <c r="M111" s="35" t="n">
        <v>0.3865128516587819</v>
      </c>
      <c r="N111" s="35" t="n">
        <v>0.3308108530562367</v>
      </c>
      <c r="O111" s="35" t="n">
        <v>-0.04112271540469969</v>
      </c>
      <c r="P111" s="35" t="n">
        <v>-0.1113127646702964</v>
      </c>
      <c r="Q111" s="35" t="n">
        <v>0.1128787878787878</v>
      </c>
      <c r="R111" s="35" t="n">
        <v>-0.03444196135138688</v>
      </c>
      <c r="S111" s="35" t="n">
        <v>-0.06835646410942109</v>
      </c>
      <c r="T111" s="35" t="n">
        <v>-0.02179703453786741</v>
      </c>
      <c r="U111" s="30" t="n">
        <v>35360</v>
      </c>
      <c r="V111" s="30" t="n">
        <v>22160</v>
      </c>
      <c r="W111" s="35" t="n">
        <v>-0.1691176470588235</v>
      </c>
      <c r="X111" s="35" t="n">
        <v>0.325812274368231</v>
      </c>
      <c r="Y111" s="30" t="n">
        <v>76211850</v>
      </c>
      <c r="Z111" s="30" t="n">
        <v>2239104153000</v>
      </c>
      <c r="AA111" s="30" t="n">
        <v>12977292900</v>
      </c>
      <c r="AB111" s="30" t="n">
        <v>8433603645</v>
      </c>
      <c r="AC111" s="35" t="n">
        <v>0.005795752235380719</v>
      </c>
      <c r="AD111" s="24" t="inlineStr">
        <is>
          <t>yfinance_download</t>
        </is>
      </c>
      <c r="AE111" s="24" t="inlineStr">
        <is>
          <t>058470.KQ</t>
        </is>
      </c>
    </row>
    <row r="112" ht="24" customHeight="1">
      <c r="A112" s="29" t="inlineStr">
        <is>
          <t>2023-11-03</t>
        </is>
      </c>
      <c r="B112" s="31" t="n">
        <v>29420</v>
      </c>
      <c r="C112" s="31" t="n">
        <v>29580</v>
      </c>
      <c r="D112" s="31" t="n">
        <v>28740</v>
      </c>
      <c r="E112" s="31" t="n">
        <v>29000</v>
      </c>
      <c r="F112" s="31" t="n">
        <v>23572.955078125</v>
      </c>
      <c r="G112" s="31" t="n">
        <v>281990</v>
      </c>
      <c r="H112" s="36" t="n">
        <v>-0.01293396868618113</v>
      </c>
      <c r="I112" s="36" t="n">
        <v>-0.3179680150517403</v>
      </c>
      <c r="J112" s="31" t="n">
        <v>30379</v>
      </c>
      <c r="K112" s="31" t="n">
        <v>31474</v>
      </c>
      <c r="L112" s="31" t="n">
        <v>30056.66666666667</v>
      </c>
      <c r="M112" s="36" t="n">
        <v>0.3818665676142202</v>
      </c>
      <c r="N112" s="36" t="n">
        <v>0.33107852590633</v>
      </c>
      <c r="O112" s="36" t="n">
        <v>-0.03268845897264838</v>
      </c>
      <c r="P112" s="36" t="n">
        <v>-0.1131498470948012</v>
      </c>
      <c r="Q112" s="36" t="n">
        <v>0.1001517450682854</v>
      </c>
      <c r="R112" s="36" t="n">
        <v>-0.0453931992494816</v>
      </c>
      <c r="S112" s="36" t="n">
        <v>-0.07860456249602843</v>
      </c>
      <c r="T112" s="36" t="n">
        <v>-0.03515581679050683</v>
      </c>
      <c r="U112" s="31" t="n">
        <v>35360</v>
      </c>
      <c r="V112" s="31" t="n">
        <v>22160</v>
      </c>
      <c r="W112" s="36" t="n">
        <v>-0.1798642533936652</v>
      </c>
      <c r="X112" s="36" t="n">
        <v>0.3086642599277978</v>
      </c>
      <c r="Y112" s="31" t="n">
        <v>76211850</v>
      </c>
      <c r="Z112" s="31" t="n">
        <v>2210143650000</v>
      </c>
      <c r="AA112" s="31" t="n">
        <v>8177710000</v>
      </c>
      <c r="AB112" s="31" t="n">
        <v>8498828405</v>
      </c>
      <c r="AC112" s="36" t="n">
        <v>0.003700080761718814</v>
      </c>
      <c r="AD112" s="29" t="inlineStr">
        <is>
          <t>yfinance_download</t>
        </is>
      </c>
      <c r="AE112" s="29" t="inlineStr">
        <is>
          <t>058470.KQ</t>
        </is>
      </c>
    </row>
    <row r="113" ht="24" customHeight="1">
      <c r="A113" s="24" t="inlineStr">
        <is>
          <t>2023-11-06</t>
        </is>
      </c>
      <c r="B113" s="30" t="n">
        <v>29400</v>
      </c>
      <c r="C113" s="30" t="n">
        <v>29580</v>
      </c>
      <c r="D113" s="30" t="n">
        <v>29040</v>
      </c>
      <c r="E113" s="30" t="n">
        <v>29500</v>
      </c>
      <c r="F113" s="30" t="n">
        <v>23979.384765625</v>
      </c>
      <c r="G113" s="30" t="n">
        <v>393665</v>
      </c>
      <c r="H113" s="35" t="n">
        <v>0.01724137931034475</v>
      </c>
      <c r="I113" s="35" t="n">
        <v>-0.30620884289746</v>
      </c>
      <c r="J113" s="30" t="n">
        <v>30307</v>
      </c>
      <c r="K113" s="30" t="n">
        <v>31415</v>
      </c>
      <c r="L113" s="30" t="n">
        <v>30085.5</v>
      </c>
      <c r="M113" s="35" t="n">
        <v>0.3680728288272828</v>
      </c>
      <c r="N113" s="35" t="n">
        <v>0.3324484079837813</v>
      </c>
      <c r="O113" s="35" t="n">
        <v>-0.04654169360051708</v>
      </c>
      <c r="P113" s="35" t="n">
        <v>-0.1071428571428571</v>
      </c>
      <c r="Q113" s="35" t="n">
        <v>0.1328725038402458</v>
      </c>
      <c r="R113" s="35" t="n">
        <v>-0.02662751179595468</v>
      </c>
      <c r="S113" s="35" t="n">
        <v>-0.06095814101543851</v>
      </c>
      <c r="T113" s="35" t="n">
        <v>-0.01946120224028192</v>
      </c>
      <c r="U113" s="30" t="n">
        <v>35360</v>
      </c>
      <c r="V113" s="30" t="n">
        <v>22160</v>
      </c>
      <c r="W113" s="35" t="n">
        <v>-0.1657239819004525</v>
      </c>
      <c r="X113" s="35" t="n">
        <v>0.3312274368231047</v>
      </c>
      <c r="Y113" s="30" t="n">
        <v>76211850</v>
      </c>
      <c r="Z113" s="30" t="n">
        <v>2248249575000</v>
      </c>
      <c r="AA113" s="30" t="n">
        <v>11613117500</v>
      </c>
      <c r="AB113" s="30" t="n">
        <v>8759448655</v>
      </c>
      <c r="AC113" s="35" t="n">
        <v>0.005165404067740122</v>
      </c>
      <c r="AD113" s="24" t="inlineStr">
        <is>
          <t>yfinance_download</t>
        </is>
      </c>
      <c r="AE113" s="24" t="inlineStr">
        <is>
          <t>058470.KQ</t>
        </is>
      </c>
    </row>
    <row r="114" ht="24" customHeight="1">
      <c r="A114" s="29" t="inlineStr">
        <is>
          <t>2023-11-07</t>
        </is>
      </c>
      <c r="B114" s="31" t="n">
        <v>29600</v>
      </c>
      <c r="C114" s="31" t="n">
        <v>29680</v>
      </c>
      <c r="D114" s="31" t="n">
        <v>28680</v>
      </c>
      <c r="E114" s="31" t="n">
        <v>29020</v>
      </c>
      <c r="F114" s="31" t="n">
        <v>23589.2109375</v>
      </c>
      <c r="G114" s="31" t="n">
        <v>318660</v>
      </c>
      <c r="H114" s="36" t="n">
        <v>-0.01627118644067793</v>
      </c>
      <c r="I114" s="36" t="n">
        <v>-0.3174976481655691</v>
      </c>
      <c r="J114" s="31" t="n">
        <v>30234</v>
      </c>
      <c r="K114" s="31" t="n">
        <v>31355</v>
      </c>
      <c r="L114" s="31" t="n">
        <v>30109.5</v>
      </c>
      <c r="M114" s="36" t="n">
        <v>0.3687505507737908</v>
      </c>
      <c r="N114" s="36" t="n">
        <v>0.3330328014423984</v>
      </c>
      <c r="O114" s="36" t="n">
        <v>-0.04790026246719159</v>
      </c>
      <c r="P114" s="36" t="n">
        <v>-0.1103617412630288</v>
      </c>
      <c r="Q114" s="36" t="n">
        <v>0.11017597551645</v>
      </c>
      <c r="R114" s="36" t="n">
        <v>-0.04015346960375732</v>
      </c>
      <c r="S114" s="36" t="n">
        <v>-0.0744697815340456</v>
      </c>
      <c r="T114" s="36" t="n">
        <v>-0.03618459290257225</v>
      </c>
      <c r="U114" s="31" t="n">
        <v>35360</v>
      </c>
      <c r="V114" s="31" t="n">
        <v>22160</v>
      </c>
      <c r="W114" s="36" t="n">
        <v>-0.1792986425339367</v>
      </c>
      <c r="X114" s="36" t="n">
        <v>0.3095667870036101</v>
      </c>
      <c r="Y114" s="31" t="n">
        <v>76211850</v>
      </c>
      <c r="Z114" s="31" t="n">
        <v>2211667887000</v>
      </c>
      <c r="AA114" s="31" t="n">
        <v>9247513200</v>
      </c>
      <c r="AB114" s="31" t="n">
        <v>8812416955</v>
      </c>
      <c r="AC114" s="36" t="n">
        <v>0.004181239531647637</v>
      </c>
      <c r="AD114" s="29" t="inlineStr">
        <is>
          <t>yfinance_download</t>
        </is>
      </c>
      <c r="AE114" s="29" t="inlineStr">
        <is>
          <t>058470.KQ</t>
        </is>
      </c>
    </row>
    <row r="115" ht="24" customHeight="1">
      <c r="A115" s="24" t="inlineStr">
        <is>
          <t>2023-11-08</t>
        </is>
      </c>
      <c r="B115" s="30" t="n">
        <v>29140</v>
      </c>
      <c r="C115" s="30" t="n">
        <v>29300</v>
      </c>
      <c r="D115" s="30" t="n">
        <v>28500</v>
      </c>
      <c r="E115" s="30" t="n">
        <v>28520</v>
      </c>
      <c r="F115" s="30" t="n">
        <v>23182.783203125</v>
      </c>
      <c r="G115" s="30" t="n">
        <v>228445</v>
      </c>
      <c r="H115" s="35" t="n">
        <v>-0.01722949689869058</v>
      </c>
      <c r="I115" s="35" t="n">
        <v>-0.3292568203198495</v>
      </c>
      <c r="J115" s="30" t="n">
        <v>30116</v>
      </c>
      <c r="K115" s="30" t="n">
        <v>31297.33333333333</v>
      </c>
      <c r="L115" s="30" t="n">
        <v>30132.16666666667</v>
      </c>
      <c r="M115" s="35" t="n">
        <v>0.3677676565820479</v>
      </c>
      <c r="N115" s="35" t="n">
        <v>0.3325200050499708</v>
      </c>
      <c r="O115" s="35" t="n">
        <v>-0.07642487046632129</v>
      </c>
      <c r="P115" s="35" t="n">
        <v>-0.1081926203877424</v>
      </c>
      <c r="Q115" s="35" t="n">
        <v>0.1054263565891473</v>
      </c>
      <c r="R115" s="35" t="n">
        <v>-0.05299508566874755</v>
      </c>
      <c r="S115" s="35" t="n">
        <v>-0.08874025476078895</v>
      </c>
      <c r="T115" s="35" t="n">
        <v>-0.05350317766727697</v>
      </c>
      <c r="U115" s="30" t="n">
        <v>35360</v>
      </c>
      <c r="V115" s="30" t="n">
        <v>22160</v>
      </c>
      <c r="W115" s="35" t="n">
        <v>-0.1934389140271493</v>
      </c>
      <c r="X115" s="35" t="n">
        <v>0.2870036101083033</v>
      </c>
      <c r="Y115" s="30" t="n">
        <v>76211850</v>
      </c>
      <c r="Z115" s="30" t="n">
        <v>2173561962000</v>
      </c>
      <c r="AA115" s="30" t="n">
        <v>6515251400</v>
      </c>
      <c r="AB115" s="30" t="n">
        <v>8793296245</v>
      </c>
      <c r="AC115" s="35" t="n">
        <v>0.002997499732653124</v>
      </c>
      <c r="AD115" s="24" t="inlineStr">
        <is>
          <t>yfinance_download</t>
        </is>
      </c>
      <c r="AE115" s="24" t="inlineStr">
        <is>
          <t>058470.KQ</t>
        </is>
      </c>
    </row>
    <row r="116" ht="24" customHeight="1">
      <c r="A116" s="29" t="inlineStr">
        <is>
          <t>2023-11-09</t>
        </is>
      </c>
      <c r="B116" s="31" t="n">
        <v>28760</v>
      </c>
      <c r="C116" s="31" t="n">
        <v>29120</v>
      </c>
      <c r="D116" s="31" t="n">
        <v>28600</v>
      </c>
      <c r="E116" s="31" t="n">
        <v>29040</v>
      </c>
      <c r="F116" s="31" t="n">
        <v>23605.470703125</v>
      </c>
      <c r="G116" s="31" t="n">
        <v>203475</v>
      </c>
      <c r="H116" s="36" t="n">
        <v>0.01823281907433372</v>
      </c>
      <c r="I116" s="36" t="n">
        <v>-0.3170272812793979</v>
      </c>
      <c r="J116" s="31" t="n">
        <v>29988</v>
      </c>
      <c r="K116" s="31" t="n">
        <v>31246</v>
      </c>
      <c r="L116" s="31" t="n">
        <v>30182.83333333333</v>
      </c>
      <c r="M116" s="36" t="n">
        <v>0.3632276195834757</v>
      </c>
      <c r="N116" s="36" t="n">
        <v>0.3348044524271226</v>
      </c>
      <c r="O116" s="36" t="n">
        <v>-0.08101265822784809</v>
      </c>
      <c r="P116" s="36" t="n">
        <v>-0.09589041095890416</v>
      </c>
      <c r="Q116" s="36" t="n">
        <v>0.264808362369338</v>
      </c>
      <c r="R116" s="36" t="n">
        <v>-0.03161264505802319</v>
      </c>
      <c r="S116" s="36" t="n">
        <v>-0.07060103693272735</v>
      </c>
      <c r="T116" s="36" t="n">
        <v>-0.03786368631175552</v>
      </c>
      <c r="U116" s="31" t="n">
        <v>35360</v>
      </c>
      <c r="V116" s="31" t="n">
        <v>22160</v>
      </c>
      <c r="W116" s="36" t="n">
        <v>-0.1787330316742082</v>
      </c>
      <c r="X116" s="36" t="n">
        <v>0.3104693140794224</v>
      </c>
      <c r="Y116" s="31" t="n">
        <v>76211850</v>
      </c>
      <c r="Z116" s="31" t="n">
        <v>2213192124000</v>
      </c>
      <c r="AA116" s="31" t="n">
        <v>5908914000</v>
      </c>
      <c r="AB116" s="31" t="n">
        <v>8768088845</v>
      </c>
      <c r="AC116" s="36" t="n">
        <v>0.002669860395725861</v>
      </c>
      <c r="AD116" s="29" t="inlineStr">
        <is>
          <t>yfinance_download</t>
        </is>
      </c>
      <c r="AE116" s="29" t="inlineStr">
        <is>
          <t>058470.KQ</t>
        </is>
      </c>
    </row>
    <row r="117" ht="24" customHeight="1">
      <c r="A117" s="24" t="inlineStr">
        <is>
          <t>2023-11-10</t>
        </is>
      </c>
      <c r="B117" s="30" t="n">
        <v>28260</v>
      </c>
      <c r="C117" s="30" t="n">
        <v>29300</v>
      </c>
      <c r="D117" s="30" t="n">
        <v>28260</v>
      </c>
      <c r="E117" s="30" t="n">
        <v>29220</v>
      </c>
      <c r="F117" s="30" t="n">
        <v>23751.78515625</v>
      </c>
      <c r="G117" s="30" t="n">
        <v>219505</v>
      </c>
      <c r="H117" s="35" t="n">
        <v>0.006198347107438051</v>
      </c>
      <c r="I117" s="35" t="n">
        <v>-0.312793979303857</v>
      </c>
      <c r="J117" s="30" t="n">
        <v>29876</v>
      </c>
      <c r="K117" s="30" t="n">
        <v>31208.33333333333</v>
      </c>
      <c r="L117" s="30" t="n">
        <v>30241.66666666667</v>
      </c>
      <c r="M117" s="35" t="n">
        <v>0.3650021372627536</v>
      </c>
      <c r="N117" s="35" t="n">
        <v>0.3329257392855589</v>
      </c>
      <c r="O117" s="35" t="n">
        <v>-0.07120152574698024</v>
      </c>
      <c r="P117" s="35" t="n">
        <v>-0.07179161372299869</v>
      </c>
      <c r="Q117" s="35" t="n">
        <v>0.3185920577617329</v>
      </c>
      <c r="R117" s="35" t="n">
        <v>-0.02195742401927969</v>
      </c>
      <c r="S117" s="35" t="n">
        <v>-0.06371161548731641</v>
      </c>
      <c r="T117" s="35" t="n">
        <v>-0.03378341140810148</v>
      </c>
      <c r="U117" s="30" t="n">
        <v>35360</v>
      </c>
      <c r="V117" s="30" t="n">
        <v>22160</v>
      </c>
      <c r="W117" s="35" t="n">
        <v>-0.1736425339366516</v>
      </c>
      <c r="X117" s="35" t="n">
        <v>0.3185920577617329</v>
      </c>
      <c r="Y117" s="30" t="n">
        <v>76211850</v>
      </c>
      <c r="Z117" s="30" t="n">
        <v>2226910257000</v>
      </c>
      <c r="AA117" s="30" t="n">
        <v>6413936100</v>
      </c>
      <c r="AB117" s="30" t="n">
        <v>8718619425</v>
      </c>
      <c r="AC117" s="35" t="n">
        <v>0.00288019514025706</v>
      </c>
      <c r="AD117" s="24" t="inlineStr">
        <is>
          <t>yfinance_download</t>
        </is>
      </c>
      <c r="AE117" s="24" t="inlineStr">
        <is>
          <t>058470.KQ</t>
        </is>
      </c>
    </row>
    <row r="118" ht="24" customHeight="1">
      <c r="A118" s="29" t="inlineStr">
        <is>
          <t>2023-11-13</t>
        </is>
      </c>
      <c r="B118" s="31" t="n">
        <v>29560</v>
      </c>
      <c r="C118" s="31" t="n">
        <v>30060</v>
      </c>
      <c r="D118" s="31" t="n">
        <v>28060</v>
      </c>
      <c r="E118" s="31" t="n">
        <v>28720</v>
      </c>
      <c r="F118" s="31" t="n">
        <v>23345.35546875</v>
      </c>
      <c r="G118" s="31" t="n">
        <v>375860</v>
      </c>
      <c r="H118" s="36" t="n">
        <v>-0.01711156741957565</v>
      </c>
      <c r="I118" s="36" t="n">
        <v>-0.3245531514581373</v>
      </c>
      <c r="J118" s="31" t="n">
        <v>29744</v>
      </c>
      <c r="K118" s="31" t="n">
        <v>31170.66666666667</v>
      </c>
      <c r="L118" s="31" t="n">
        <v>30289.83333333333</v>
      </c>
      <c r="M118" s="36" t="n">
        <v>0.3682095544241724</v>
      </c>
      <c r="N118" s="36" t="n">
        <v>0.3331693484972417</v>
      </c>
      <c r="O118" s="36" t="n">
        <v>-0.08418367346938771</v>
      </c>
      <c r="P118" s="36" t="n">
        <v>-0.07295029051000645</v>
      </c>
      <c r="Q118" s="36" t="n">
        <v>0.2519616390584132</v>
      </c>
      <c r="R118" s="36" t="n">
        <v>-0.03442711135018828</v>
      </c>
      <c r="S118" s="36" t="n">
        <v>-0.07862092565660028</v>
      </c>
      <c r="T118" s="36" t="n">
        <v>-0.05182707068928516</v>
      </c>
      <c r="U118" s="31" t="n">
        <v>35360</v>
      </c>
      <c r="V118" s="31" t="n">
        <v>22160</v>
      </c>
      <c r="W118" s="36" t="n">
        <v>-0.1877828054298643</v>
      </c>
      <c r="X118" s="36" t="n">
        <v>0.296028880866426</v>
      </c>
      <c r="Y118" s="31" t="n">
        <v>76211850</v>
      </c>
      <c r="Z118" s="31" t="n">
        <v>2188804332000</v>
      </c>
      <c r="AA118" s="31" t="n">
        <v>10794699200</v>
      </c>
      <c r="AB118" s="31" t="n">
        <v>8819863185</v>
      </c>
      <c r="AC118" s="36" t="n">
        <v>0.00493177898187749</v>
      </c>
      <c r="AD118" s="29" t="inlineStr">
        <is>
          <t>yfinance_download</t>
        </is>
      </c>
      <c r="AE118" s="29" t="inlineStr">
        <is>
          <t>058470.KQ</t>
        </is>
      </c>
    </row>
    <row r="119" ht="24" customHeight="1">
      <c r="A119" s="24" t="inlineStr">
        <is>
          <t>2023-11-14</t>
        </is>
      </c>
      <c r="B119" s="30" t="n">
        <v>28820</v>
      </c>
      <c r="C119" s="30" t="n">
        <v>29600</v>
      </c>
      <c r="D119" s="30" t="n">
        <v>28600</v>
      </c>
      <c r="E119" s="30" t="n">
        <v>29400</v>
      </c>
      <c r="F119" s="30" t="n">
        <v>23898.099609375</v>
      </c>
      <c r="G119" s="30" t="n">
        <v>292485</v>
      </c>
      <c r="H119" s="35" t="n">
        <v>0.02367688022284131</v>
      </c>
      <c r="I119" s="35" t="n">
        <v>-0.308560677328316</v>
      </c>
      <c r="J119" s="30" t="n">
        <v>29625</v>
      </c>
      <c r="K119" s="30" t="n">
        <v>31128</v>
      </c>
      <c r="L119" s="30" t="n">
        <v>30336</v>
      </c>
      <c r="M119" s="35" t="n">
        <v>0.3764188563643632</v>
      </c>
      <c r="N119" s="35" t="n">
        <v>0.3302221517107983</v>
      </c>
      <c r="O119" s="35" t="n">
        <v>-0.07488986784140972</v>
      </c>
      <c r="P119" s="35" t="n">
        <v>-0.0801001251564456</v>
      </c>
      <c r="Q119" s="35" t="n">
        <v>0.2321877619446773</v>
      </c>
      <c r="R119" s="35" t="n">
        <v>-0.0075949367088608</v>
      </c>
      <c r="S119" s="35" t="n">
        <v>-0.05551272166538168</v>
      </c>
      <c r="T119" s="35" t="n">
        <v>-0.03085443037974689</v>
      </c>
      <c r="U119" s="30" t="n">
        <v>35360</v>
      </c>
      <c r="V119" s="30" t="n">
        <v>22160</v>
      </c>
      <c r="W119" s="35" t="n">
        <v>-0.168552036199095</v>
      </c>
      <c r="X119" s="35" t="n">
        <v>0.3267148014440433</v>
      </c>
      <c r="Y119" s="30" t="n">
        <v>76211850</v>
      </c>
      <c r="Z119" s="30" t="n">
        <v>2240628390000</v>
      </c>
      <c r="AA119" s="30" t="n">
        <v>8599059000</v>
      </c>
      <c r="AB119" s="30" t="n">
        <v>8932190925</v>
      </c>
      <c r="AC119" s="35" t="n">
        <v>0.00383778900525312</v>
      </c>
      <c r="AD119" s="24" t="inlineStr">
        <is>
          <t>yfinance_download</t>
        </is>
      </c>
      <c r="AE119" s="24" t="inlineStr">
        <is>
          <t>058470.KQ</t>
        </is>
      </c>
    </row>
    <row r="120" ht="24" customHeight="1">
      <c r="A120" s="29" t="inlineStr">
        <is>
          <t>2023-11-15</t>
        </is>
      </c>
      <c r="B120" s="31" t="n">
        <v>30300</v>
      </c>
      <c r="C120" s="31" t="n">
        <v>30460</v>
      </c>
      <c r="D120" s="31" t="n">
        <v>29400</v>
      </c>
      <c r="E120" s="31" t="n">
        <v>29540</v>
      </c>
      <c r="F120" s="31" t="n">
        <v>24011.90234375</v>
      </c>
      <c r="G120" s="31" t="n">
        <v>386050</v>
      </c>
      <c r="H120" s="36" t="n">
        <v>0.004761904761904745</v>
      </c>
      <c r="I120" s="36" t="n">
        <v>-0.3052681091251176</v>
      </c>
      <c r="J120" s="31" t="n">
        <v>29525</v>
      </c>
      <c r="K120" s="31" t="n">
        <v>31086.66666666667</v>
      </c>
      <c r="L120" s="31" t="n">
        <v>30370.5</v>
      </c>
      <c r="M120" s="36" t="n">
        <v>0.3772480921701742</v>
      </c>
      <c r="N120" s="36" t="n">
        <v>0.330388994840458</v>
      </c>
      <c r="O120" s="36" t="n">
        <v>-0.06341154090044387</v>
      </c>
      <c r="P120" s="36" t="n">
        <v>-0.0774515927545284</v>
      </c>
      <c r="Q120" s="36" t="n">
        <v>0.1629921259842519</v>
      </c>
      <c r="R120" s="36" t="n">
        <v>0.0005080440304825462</v>
      </c>
      <c r="S120" s="36" t="n">
        <v>-0.04975337765387089</v>
      </c>
      <c r="T120" s="36" t="n">
        <v>-0.02734561498822874</v>
      </c>
      <c r="U120" s="31" t="n">
        <v>35360</v>
      </c>
      <c r="V120" s="31" t="n">
        <v>22160</v>
      </c>
      <c r="W120" s="36" t="n">
        <v>-0.1645927601809954</v>
      </c>
      <c r="X120" s="36" t="n">
        <v>0.3330324909747293</v>
      </c>
      <c r="Y120" s="31" t="n">
        <v>76211850</v>
      </c>
      <c r="Z120" s="31" t="n">
        <v>2251298049000</v>
      </c>
      <c r="AA120" s="31" t="n">
        <v>11403917000</v>
      </c>
      <c r="AB120" s="31" t="n">
        <v>8924116645</v>
      </c>
      <c r="AC120" s="36" t="n">
        <v>0.005065485223098507</v>
      </c>
      <c r="AD120" s="29" t="inlineStr">
        <is>
          <t>yfinance_download</t>
        </is>
      </c>
      <c r="AE120" s="29" t="inlineStr">
        <is>
          <t>058470.KQ</t>
        </is>
      </c>
    </row>
    <row r="121" ht="24" customHeight="1">
      <c r="A121" s="24" t="inlineStr">
        <is>
          <t>2023-11-16</t>
        </is>
      </c>
      <c r="B121" s="30" t="n">
        <v>30160</v>
      </c>
      <c r="C121" s="30" t="n">
        <v>35280</v>
      </c>
      <c r="D121" s="30" t="n">
        <v>29880</v>
      </c>
      <c r="E121" s="30" t="n">
        <v>33860</v>
      </c>
      <c r="F121" s="30" t="n">
        <v>27523.458984375</v>
      </c>
      <c r="G121" s="30" t="n">
        <v>3130645</v>
      </c>
      <c r="H121" s="35" t="n">
        <v>0.1462423832092079</v>
      </c>
      <c r="I121" s="35" t="n">
        <v>-0.2036688617121355</v>
      </c>
      <c r="J121" s="30" t="n">
        <v>29662</v>
      </c>
      <c r="K121" s="30" t="n">
        <v>31120</v>
      </c>
      <c r="L121" s="30" t="n">
        <v>30442.33333333333</v>
      </c>
      <c r="M121" s="35" t="n">
        <v>0.6476398581689136</v>
      </c>
      <c r="N121" s="35" t="n">
        <v>0.4474685844246842</v>
      </c>
      <c r="O121" s="35" t="n">
        <v>0.08804627249357333</v>
      </c>
      <c r="P121" s="35" t="n">
        <v>0.06277463904582548</v>
      </c>
      <c r="Q121" s="35" t="n">
        <v>0.3415213946117275</v>
      </c>
      <c r="R121" s="35" t="n">
        <v>0.1415278807902367</v>
      </c>
      <c r="S121" s="35" t="n">
        <v>0.08804627249357333</v>
      </c>
      <c r="T121" s="35" t="n">
        <v>0.1122669090192385</v>
      </c>
      <c r="U121" s="30" t="n">
        <v>35360</v>
      </c>
      <c r="V121" s="30" t="n">
        <v>22160</v>
      </c>
      <c r="W121" s="35" t="n">
        <v>-0.04242081447963797</v>
      </c>
      <c r="X121" s="35" t="n">
        <v>0.5279783393501805</v>
      </c>
      <c r="Y121" s="30" t="n">
        <v>76211850</v>
      </c>
      <c r="Z121" s="30" t="n">
        <v>2580533241000</v>
      </c>
      <c r="AA121" s="30" t="n">
        <v>106003639700</v>
      </c>
      <c r="AB121" s="30" t="n">
        <v>13919727190</v>
      </c>
      <c r="AC121" s="35" t="n">
        <v>0.04107819190847618</v>
      </c>
      <c r="AD121" s="24" t="inlineStr">
        <is>
          <t>yfinance_download</t>
        </is>
      </c>
      <c r="AE121" s="24" t="inlineStr">
        <is>
          <t>058470.KQ</t>
        </is>
      </c>
    </row>
    <row r="122" ht="24" customHeight="1">
      <c r="A122" s="29" t="inlineStr">
        <is>
          <t>2023-11-17</t>
        </is>
      </c>
      <c r="B122" s="31" t="n">
        <v>33500</v>
      </c>
      <c r="C122" s="31" t="n">
        <v>36840</v>
      </c>
      <c r="D122" s="31" t="n">
        <v>33500</v>
      </c>
      <c r="E122" s="31" t="n">
        <v>34760</v>
      </c>
      <c r="F122" s="31" t="n">
        <v>28255.033203125</v>
      </c>
      <c r="G122" s="31" t="n">
        <v>2832970</v>
      </c>
      <c r="H122" s="36" t="n">
        <v>0.02658003544004717</v>
      </c>
      <c r="I122" s="36" t="n">
        <v>-0.1825023518344309</v>
      </c>
      <c r="J122" s="31" t="n">
        <v>29853</v>
      </c>
      <c r="K122" s="31" t="n">
        <v>31146.66666666667</v>
      </c>
      <c r="L122" s="31" t="n">
        <v>30522.5</v>
      </c>
      <c r="M122" s="36" t="n">
        <v>0.6506890933871904</v>
      </c>
      <c r="N122" s="36" t="n">
        <v>0.4430453213215195</v>
      </c>
      <c r="O122" s="36" t="n">
        <v>0.1234647705235941</v>
      </c>
      <c r="P122" s="36" t="n">
        <v>0.04825090470446325</v>
      </c>
      <c r="Q122" s="36" t="n">
        <v>0.3826571201272873</v>
      </c>
      <c r="R122" s="36" t="n">
        <v>0.1643720899072121</v>
      </c>
      <c r="S122" s="36" t="n">
        <v>0.1160102739726028</v>
      </c>
      <c r="T122" s="36" t="n">
        <v>0.1388320091735604</v>
      </c>
      <c r="U122" s="31" t="n">
        <v>35360</v>
      </c>
      <c r="V122" s="31" t="n">
        <v>22160</v>
      </c>
      <c r="W122" s="36" t="n">
        <v>-0.01696832579185525</v>
      </c>
      <c r="X122" s="36" t="n">
        <v>0.5685920577617329</v>
      </c>
      <c r="Y122" s="31" t="n">
        <v>76211850</v>
      </c>
      <c r="Z122" s="31" t="n">
        <v>2649123906000</v>
      </c>
      <c r="AA122" s="31" t="n">
        <v>98474037200</v>
      </c>
      <c r="AB122" s="31" t="n">
        <v>18285503500</v>
      </c>
      <c r="AC122" s="36" t="n">
        <v>0.03717230325730185</v>
      </c>
      <c r="AD122" s="29" t="inlineStr">
        <is>
          <t>yfinance_download</t>
        </is>
      </c>
      <c r="AE122" s="29" t="inlineStr">
        <is>
          <t>058470.KQ</t>
        </is>
      </c>
    </row>
    <row r="123" ht="24" customHeight="1">
      <c r="A123" s="24" t="inlineStr">
        <is>
          <t>2023-11-20</t>
        </is>
      </c>
      <c r="B123" s="30" t="n">
        <v>34960</v>
      </c>
      <c r="C123" s="30" t="n">
        <v>36100</v>
      </c>
      <c r="D123" s="30" t="n">
        <v>33700</v>
      </c>
      <c r="E123" s="30" t="n">
        <v>35760</v>
      </c>
      <c r="F123" s="30" t="n">
        <v>29067.89453125</v>
      </c>
      <c r="G123" s="30" t="n">
        <v>1063040</v>
      </c>
      <c r="H123" s="35" t="n">
        <v>0.02876869965477558</v>
      </c>
      <c r="I123" s="35" t="n">
        <v>-0.1589840075258702</v>
      </c>
      <c r="J123" s="30" t="n">
        <v>30103</v>
      </c>
      <c r="K123" s="30" t="n">
        <v>31202.66666666667</v>
      </c>
      <c r="L123" s="30" t="n">
        <v>30613.5</v>
      </c>
      <c r="M123" s="35" t="n">
        <v>0.6535135917070032</v>
      </c>
      <c r="N123" s="35" t="n">
        <v>0.4437124097769269</v>
      </c>
      <c r="O123" s="35" t="n">
        <v>0.1625487646293888</v>
      </c>
      <c r="P123" s="35" t="n">
        <v>0.1037037037037036</v>
      </c>
      <c r="Q123" s="35" t="n">
        <v>0.4396135265700483</v>
      </c>
      <c r="R123" s="35" t="n">
        <v>0.1879214696209681</v>
      </c>
      <c r="S123" s="35" t="n">
        <v>0.146055892658747</v>
      </c>
      <c r="T123" s="35" t="n">
        <v>0.1681121074035965</v>
      </c>
      <c r="U123" s="30" t="n">
        <v>35760</v>
      </c>
      <c r="V123" s="30" t="n">
        <v>22160</v>
      </c>
      <c r="W123" s="35" t="n">
        <v>0</v>
      </c>
      <c r="X123" s="35" t="n">
        <v>0.6137184115523466</v>
      </c>
      <c r="Y123" s="30" t="n">
        <v>76211850</v>
      </c>
      <c r="Z123" s="30" t="n">
        <v>2725335756000</v>
      </c>
      <c r="AA123" s="30" t="n">
        <v>38014310400</v>
      </c>
      <c r="AB123" s="30" t="n">
        <v>19804779640</v>
      </c>
      <c r="AC123" s="35" t="n">
        <v>0.01394848701350249</v>
      </c>
      <c r="AD123" s="24" t="inlineStr">
        <is>
          <t>yfinance_download</t>
        </is>
      </c>
      <c r="AE123" s="24" t="inlineStr">
        <is>
          <t>058470.KQ</t>
        </is>
      </c>
    </row>
    <row r="124" ht="24" customHeight="1">
      <c r="A124" s="29" t="inlineStr">
        <is>
          <t>2023-11-21</t>
        </is>
      </c>
      <c r="B124" s="31" t="n">
        <v>36100</v>
      </c>
      <c r="C124" s="31" t="n">
        <v>38360</v>
      </c>
      <c r="D124" s="31" t="n">
        <v>36020</v>
      </c>
      <c r="E124" s="31" t="n">
        <v>36760</v>
      </c>
      <c r="F124" s="31" t="n">
        <v>29880.751953125</v>
      </c>
      <c r="G124" s="31" t="n">
        <v>1301510</v>
      </c>
      <c r="H124" s="36" t="n">
        <v>0.02796420581655479</v>
      </c>
      <c r="I124" s="36" t="n">
        <v>-0.1354656632173095</v>
      </c>
      <c r="J124" s="31" t="n">
        <v>30397</v>
      </c>
      <c r="K124" s="31" t="n">
        <v>31271.66666666667</v>
      </c>
      <c r="L124" s="31" t="n">
        <v>30712.83333333333</v>
      </c>
      <c r="M124" s="36" t="n">
        <v>0.6569262150192685</v>
      </c>
      <c r="N124" s="36" t="n">
        <v>0.4467967231831922</v>
      </c>
      <c r="O124" s="36" t="n">
        <v>0.1904145077720207</v>
      </c>
      <c r="P124" s="36" t="n">
        <v>0.1269160024524831</v>
      </c>
      <c r="Q124" s="36" t="n">
        <v>0.4798711755233493</v>
      </c>
      <c r="R124" s="36" t="n">
        <v>0.2093298680790867</v>
      </c>
      <c r="S124" s="36" t="n">
        <v>0.17550498321164</v>
      </c>
      <c r="T124" s="36" t="n">
        <v>0.196893806606359</v>
      </c>
      <c r="U124" s="31" t="n">
        <v>36760</v>
      </c>
      <c r="V124" s="31" t="n">
        <v>22160</v>
      </c>
      <c r="W124" s="36" t="n">
        <v>0</v>
      </c>
      <c r="X124" s="36" t="n">
        <v>0.6588447653429603</v>
      </c>
      <c r="Y124" s="31" t="n">
        <v>76211850</v>
      </c>
      <c r="Z124" s="31" t="n">
        <v>2801547606000</v>
      </c>
      <c r="AA124" s="31" t="n">
        <v>47843507600</v>
      </c>
      <c r="AB124" s="31" t="n">
        <v>21571233580</v>
      </c>
      <c r="AC124" s="36" t="n">
        <v>0.01707752796973174</v>
      </c>
      <c r="AD124" s="29" t="inlineStr">
        <is>
          <t>yfinance_download</t>
        </is>
      </c>
      <c r="AE124" s="29" t="inlineStr">
        <is>
          <t>058470.KQ</t>
        </is>
      </c>
    </row>
    <row r="125" ht="24" customHeight="1">
      <c r="A125" s="24" t="inlineStr">
        <is>
          <t>2023-11-22</t>
        </is>
      </c>
      <c r="B125" s="30" t="n">
        <v>36380</v>
      </c>
      <c r="C125" s="30" t="n">
        <v>37700</v>
      </c>
      <c r="D125" s="30" t="n">
        <v>36060</v>
      </c>
      <c r="E125" s="30" t="n">
        <v>36880</v>
      </c>
      <c r="F125" s="30" t="n">
        <v>29978.296875</v>
      </c>
      <c r="G125" s="30" t="n">
        <v>697340</v>
      </c>
      <c r="H125" s="35" t="n">
        <v>0.003264417845484147</v>
      </c>
      <c r="I125" s="35" t="n">
        <v>-0.1326434619002822</v>
      </c>
      <c r="J125" s="30" t="n">
        <v>30703</v>
      </c>
      <c r="K125" s="30" t="n">
        <v>31333</v>
      </c>
      <c r="L125" s="30" t="n">
        <v>30809.83333333333</v>
      </c>
      <c r="M125" s="35" t="n">
        <v>0.6554784138041292</v>
      </c>
      <c r="N125" s="35" t="n">
        <v>0.445646973112578</v>
      </c>
      <c r="O125" s="35" t="n">
        <v>0.198959687906372</v>
      </c>
      <c r="P125" s="35" t="n">
        <v>0.110843373493976</v>
      </c>
      <c r="Q125" s="35" t="n">
        <v>0.4611727416798732</v>
      </c>
      <c r="R125" s="35" t="n">
        <v>0.2011855519004657</v>
      </c>
      <c r="S125" s="35" t="n">
        <v>0.1770337982318961</v>
      </c>
      <c r="T125" s="35" t="n">
        <v>0.1970204317885524</v>
      </c>
      <c r="U125" s="30" t="n">
        <v>36880</v>
      </c>
      <c r="V125" s="30" t="n">
        <v>22160</v>
      </c>
      <c r="W125" s="35" t="n">
        <v>0</v>
      </c>
      <c r="X125" s="35" t="n">
        <v>0.6642599277978338</v>
      </c>
      <c r="Y125" s="30" t="n">
        <v>76211850</v>
      </c>
      <c r="Z125" s="30" t="n">
        <v>2810693028000</v>
      </c>
      <c r="AA125" s="30" t="n">
        <v>25717899200</v>
      </c>
      <c r="AB125" s="30" t="n">
        <v>22388092370</v>
      </c>
      <c r="AC125" s="35" t="n">
        <v>0.009150020633274221</v>
      </c>
      <c r="AD125" s="24" t="inlineStr">
        <is>
          <t>yfinance_download</t>
        </is>
      </c>
      <c r="AE125" s="24" t="inlineStr">
        <is>
          <t>058470.KQ</t>
        </is>
      </c>
    </row>
    <row r="126" ht="24" customHeight="1">
      <c r="A126" s="29" t="inlineStr">
        <is>
          <t>2023-11-23</t>
        </is>
      </c>
      <c r="B126" s="31" t="n">
        <v>36800</v>
      </c>
      <c r="C126" s="31" t="n">
        <v>37420</v>
      </c>
      <c r="D126" s="31" t="n">
        <v>35380</v>
      </c>
      <c r="E126" s="31" t="n">
        <v>35520</v>
      </c>
      <c r="F126" s="31" t="n">
        <v>28872.8046875</v>
      </c>
      <c r="G126" s="31" t="n">
        <v>595640</v>
      </c>
      <c r="H126" s="36" t="n">
        <v>-0.03687635574837311</v>
      </c>
      <c r="I126" s="36" t="n">
        <v>-0.1646284101599247</v>
      </c>
      <c r="J126" s="31" t="n">
        <v>30975</v>
      </c>
      <c r="K126" s="31" t="n">
        <v>31361</v>
      </c>
      <c r="L126" s="31" t="n">
        <v>30886.66666666667</v>
      </c>
      <c r="M126" s="36" t="n">
        <v>0.6670342697901982</v>
      </c>
      <c r="N126" s="36" t="n">
        <v>0.4512404543385298</v>
      </c>
      <c r="O126" s="36" t="n">
        <v>0.1808510638297873</v>
      </c>
      <c r="P126" s="36" t="n">
        <v>0.04964539007092195</v>
      </c>
      <c r="Q126" s="36" t="n">
        <v>0.3505703422053232</v>
      </c>
      <c r="R126" s="36" t="n">
        <v>0.1467312348668282</v>
      </c>
      <c r="S126" s="36" t="n">
        <v>0.1326169446127357</v>
      </c>
      <c r="T126" s="36" t="n">
        <v>0.1500107921433196</v>
      </c>
      <c r="U126" s="31" t="n">
        <v>36880</v>
      </c>
      <c r="V126" s="31" t="n">
        <v>22160</v>
      </c>
      <c r="W126" s="36" t="n">
        <v>-0.03687635574837311</v>
      </c>
      <c r="X126" s="36" t="n">
        <v>0.6028880866425992</v>
      </c>
      <c r="Y126" s="31" t="n">
        <v>76211850</v>
      </c>
      <c r="Z126" s="31" t="n">
        <v>2707044912000</v>
      </c>
      <c r="AA126" s="31" t="n">
        <v>21157132800</v>
      </c>
      <c r="AB126" s="31" t="n">
        <v>23126634770</v>
      </c>
      <c r="AC126" s="36" t="n">
        <v>0.00781558248487604</v>
      </c>
      <c r="AD126" s="29" t="inlineStr">
        <is>
          <t>yfinance_download</t>
        </is>
      </c>
      <c r="AE126" s="29" t="inlineStr">
        <is>
          <t>058470.KQ</t>
        </is>
      </c>
    </row>
    <row r="127" ht="24" customHeight="1">
      <c r="A127" s="24" t="inlineStr">
        <is>
          <t>2023-11-24</t>
        </is>
      </c>
      <c r="B127" s="30" t="n">
        <v>35620</v>
      </c>
      <c r="C127" s="30" t="n">
        <v>35760</v>
      </c>
      <c r="D127" s="30" t="n">
        <v>34780</v>
      </c>
      <c r="E127" s="30" t="n">
        <v>35100</v>
      </c>
      <c r="F127" s="30" t="n">
        <v>28531.40625</v>
      </c>
      <c r="G127" s="30" t="n">
        <v>456435</v>
      </c>
      <c r="H127" s="35" t="n">
        <v>-0.01182432432432434</v>
      </c>
      <c r="I127" s="35" t="n">
        <v>-0.1745061147695203</v>
      </c>
      <c r="J127" s="30" t="n">
        <v>31237</v>
      </c>
      <c r="K127" s="30" t="n">
        <v>31394.66666666667</v>
      </c>
      <c r="L127" s="30" t="n">
        <v>30963</v>
      </c>
      <c r="M127" s="35" t="n">
        <v>0.668700653988203</v>
      </c>
      <c r="N127" s="35" t="n">
        <v>0.4493824102973999</v>
      </c>
      <c r="O127" s="35" t="n">
        <v>0.1754855994641662</v>
      </c>
      <c r="P127" s="35" t="n">
        <v>0.06106408706166877</v>
      </c>
      <c r="Q127" s="35" t="n">
        <v>0.3531225905936777</v>
      </c>
      <c r="R127" s="35" t="n">
        <v>0.1236674456573934</v>
      </c>
      <c r="S127" s="35" t="n">
        <v>0.1180242928735242</v>
      </c>
      <c r="T127" s="35" t="n">
        <v>0.1336110841972677</v>
      </c>
      <c r="U127" s="30" t="n">
        <v>36880</v>
      </c>
      <c r="V127" s="30" t="n">
        <v>22160</v>
      </c>
      <c r="W127" s="35" t="n">
        <v>-0.04826464208242953</v>
      </c>
      <c r="X127" s="35" t="n">
        <v>0.5839350180505416</v>
      </c>
      <c r="Y127" s="30" t="n">
        <v>76211850</v>
      </c>
      <c r="Z127" s="30" t="n">
        <v>2675035935000</v>
      </c>
      <c r="AA127" s="30" t="n">
        <v>16020868500</v>
      </c>
      <c r="AB127" s="30" t="n">
        <v>23518006460</v>
      </c>
      <c r="AC127" s="35" t="n">
        <v>0.005989029265133965</v>
      </c>
      <c r="AD127" s="24" t="inlineStr">
        <is>
          <t>yfinance_download</t>
        </is>
      </c>
      <c r="AE127" s="24" t="inlineStr">
        <is>
          <t>058470.KQ</t>
        </is>
      </c>
    </row>
    <row r="128" ht="24" customHeight="1">
      <c r="A128" s="29" t="inlineStr">
        <is>
          <t>2023-11-27</t>
        </is>
      </c>
      <c r="B128" s="31" t="n">
        <v>35540</v>
      </c>
      <c r="C128" s="31" t="n">
        <v>39220</v>
      </c>
      <c r="D128" s="31" t="n">
        <v>35500</v>
      </c>
      <c r="E128" s="31" t="n">
        <v>39100</v>
      </c>
      <c r="F128" s="31" t="n">
        <v>31782.849609375</v>
      </c>
      <c r="G128" s="31" t="n">
        <v>1702275</v>
      </c>
      <c r="H128" s="36" t="n">
        <v>0.1139601139601139</v>
      </c>
      <c r="I128" s="36" t="n">
        <v>-0.08043273753527747</v>
      </c>
      <c r="J128" s="31" t="n">
        <v>31720</v>
      </c>
      <c r="K128" s="31" t="n">
        <v>31498.66666666667</v>
      </c>
      <c r="L128" s="31" t="n">
        <v>31070.5</v>
      </c>
      <c r="M128" s="36" t="n">
        <v>0.7586936375333422</v>
      </c>
      <c r="N128" s="36" t="n">
        <v>0.5047574449821641</v>
      </c>
      <c r="O128" s="36" t="n">
        <v>0.328125</v>
      </c>
      <c r="P128" s="36" t="n">
        <v>0.1898965307364577</v>
      </c>
      <c r="Q128" s="36" t="n">
        <v>0.4923664122137406</v>
      </c>
      <c r="R128" s="36" t="n">
        <v>0.2326607818411097</v>
      </c>
      <c r="S128" s="36" t="n">
        <v>0.2413223840162546</v>
      </c>
      <c r="T128" s="36" t="n">
        <v>0.2584284128031413</v>
      </c>
      <c r="U128" s="31" t="n">
        <v>39100</v>
      </c>
      <c r="V128" s="31" t="n">
        <v>22160</v>
      </c>
      <c r="W128" s="36" t="n">
        <v>0</v>
      </c>
      <c r="X128" s="36" t="n">
        <v>0.7644404332129964</v>
      </c>
      <c r="Y128" s="31" t="n">
        <v>76211850</v>
      </c>
      <c r="Z128" s="31" t="n">
        <v>2979883335000</v>
      </c>
      <c r="AA128" s="31" t="n">
        <v>66558952500</v>
      </c>
      <c r="AB128" s="31" t="n">
        <v>26587154405</v>
      </c>
      <c r="AC128" s="36" t="n">
        <v>0.0223360934027976</v>
      </c>
      <c r="AD128" s="29" t="inlineStr">
        <is>
          <t>yfinance_download</t>
        </is>
      </c>
      <c r="AE128" s="29" t="inlineStr">
        <is>
          <t>058470.KQ</t>
        </is>
      </c>
    </row>
    <row r="129" ht="24" customHeight="1">
      <c r="A129" s="24" t="inlineStr">
        <is>
          <t>2023-11-28</t>
        </is>
      </c>
      <c r="B129" s="30" t="n">
        <v>38320</v>
      </c>
      <c r="C129" s="30" t="n">
        <v>39000</v>
      </c>
      <c r="D129" s="30" t="n">
        <v>37240</v>
      </c>
      <c r="E129" s="30" t="n">
        <v>38260</v>
      </c>
      <c r="F129" s="30" t="n">
        <v>31100.044921875</v>
      </c>
      <c r="G129" s="30" t="n">
        <v>1184505</v>
      </c>
      <c r="H129" s="35" t="n">
        <v>-0.02148337595907923</v>
      </c>
      <c r="I129" s="35" t="n">
        <v>-0.1001881467544685</v>
      </c>
      <c r="J129" s="30" t="n">
        <v>32258</v>
      </c>
      <c r="K129" s="30" t="n">
        <v>31576.33333333333</v>
      </c>
      <c r="L129" s="30" t="n">
        <v>31171.66666666667</v>
      </c>
      <c r="M129" s="35" t="n">
        <v>0.7104810829427725</v>
      </c>
      <c r="N129" s="35" t="n">
        <v>0.5056849866176315</v>
      </c>
      <c r="O129" s="35" t="n">
        <v>0.3912727272727272</v>
      </c>
      <c r="P129" s="35" t="n">
        <v>0.1386904761904761</v>
      </c>
      <c r="Q129" s="35" t="n">
        <v>0.4647779479326186</v>
      </c>
      <c r="R129" s="35" t="n">
        <v>0.1860623721247443</v>
      </c>
      <c r="S129" s="35" t="n">
        <v>0.2116669657654995</v>
      </c>
      <c r="T129" s="35" t="n">
        <v>0.2273966743303213</v>
      </c>
      <c r="U129" s="30" t="n">
        <v>39100</v>
      </c>
      <c r="V129" s="30" t="n">
        <v>22160</v>
      </c>
      <c r="W129" s="35" t="n">
        <v>-0.02148337595907923</v>
      </c>
      <c r="X129" s="35" t="n">
        <v>0.726534296028881</v>
      </c>
      <c r="Y129" s="30" t="n">
        <v>76211850</v>
      </c>
      <c r="Z129" s="30" t="n">
        <v>2915865381000</v>
      </c>
      <c r="AA129" s="30" t="n">
        <v>45319161300</v>
      </c>
      <c r="AB129" s="30" t="n">
        <v>28077743095</v>
      </c>
      <c r="AC129" s="35" t="n">
        <v>0.01554226803312083</v>
      </c>
      <c r="AD129" s="24" t="inlineStr">
        <is>
          <t>yfinance_download</t>
        </is>
      </c>
      <c r="AE129" s="24" t="inlineStr">
        <is>
          <t>058470.KQ</t>
        </is>
      </c>
    </row>
    <row r="130" ht="24" customHeight="1">
      <c r="A130" s="29" t="inlineStr">
        <is>
          <t>2023-11-29</t>
        </is>
      </c>
      <c r="B130" s="31" t="n">
        <v>38260</v>
      </c>
      <c r="C130" s="31" t="n">
        <v>39980</v>
      </c>
      <c r="D130" s="31" t="n">
        <v>37560</v>
      </c>
      <c r="E130" s="31" t="n">
        <v>38760</v>
      </c>
      <c r="F130" s="31" t="n">
        <v>31506.474609375</v>
      </c>
      <c r="G130" s="31" t="n">
        <v>1004645</v>
      </c>
      <c r="H130" s="36" t="n">
        <v>0.01306847882906426</v>
      </c>
      <c r="I130" s="36" t="n">
        <v>-0.08842897460018817</v>
      </c>
      <c r="J130" s="31" t="n">
        <v>32805</v>
      </c>
      <c r="K130" s="31" t="n">
        <v>31662</v>
      </c>
      <c r="L130" s="31" t="n">
        <v>31276.5</v>
      </c>
      <c r="M130" s="36" t="n">
        <v>0.7103413283033938</v>
      </c>
      <c r="N130" s="36" t="n">
        <v>0.5061149671690737</v>
      </c>
      <c r="O130" s="36" t="n">
        <v>0.3932422717469446</v>
      </c>
      <c r="P130" s="36" t="n">
        <v>0.1528851873884594</v>
      </c>
      <c r="Q130" s="36" t="n">
        <v>0.4805194805194806</v>
      </c>
      <c r="R130" s="36" t="n">
        <v>0.1815272062185642</v>
      </c>
      <c r="S130" s="36" t="n">
        <v>0.2241804055334471</v>
      </c>
      <c r="T130" s="36" t="n">
        <v>0.2392690998033666</v>
      </c>
      <c r="U130" s="31" t="n">
        <v>39100</v>
      </c>
      <c r="V130" s="31" t="n">
        <v>22160</v>
      </c>
      <c r="W130" s="36" t="n">
        <v>-0.008695652173912993</v>
      </c>
      <c r="X130" s="36" t="n">
        <v>0.7490974729241877</v>
      </c>
      <c r="Y130" s="31" t="n">
        <v>76211850</v>
      </c>
      <c r="Z130" s="31" t="n">
        <v>2953971306000</v>
      </c>
      <c r="AA130" s="31" t="n">
        <v>38940040200</v>
      </c>
      <c r="AB130" s="31" t="n">
        <v>29785047985</v>
      </c>
      <c r="AC130" s="36" t="n">
        <v>0.01318226758699599</v>
      </c>
      <c r="AD130" s="29" t="inlineStr">
        <is>
          <t>yfinance_download</t>
        </is>
      </c>
      <c r="AE130" s="29" t="inlineStr">
        <is>
          <t>058470.KQ</t>
        </is>
      </c>
    </row>
    <row r="131" ht="24" customHeight="1">
      <c r="A131" s="24" t="inlineStr">
        <is>
          <t>2023-11-30</t>
        </is>
      </c>
      <c r="B131" s="30" t="n">
        <v>38760</v>
      </c>
      <c r="C131" s="30" t="n">
        <v>40600</v>
      </c>
      <c r="D131" s="30" t="n">
        <v>38580</v>
      </c>
      <c r="E131" s="30" t="n">
        <v>39960</v>
      </c>
      <c r="F131" s="30" t="n">
        <v>32481.91015625</v>
      </c>
      <c r="G131" s="30" t="n">
        <v>882940</v>
      </c>
      <c r="H131" s="35" t="n">
        <v>0.03095975232198134</v>
      </c>
      <c r="I131" s="35" t="n">
        <v>-0.06020696142991533</v>
      </c>
      <c r="J131" s="30" t="n">
        <v>33334</v>
      </c>
      <c r="K131" s="30" t="n">
        <v>31767.66666666667</v>
      </c>
      <c r="L131" s="30" t="n">
        <v>31387.66666666667</v>
      </c>
      <c r="M131" s="35" t="n">
        <v>0.6977896044798684</v>
      </c>
      <c r="N131" s="35" t="n">
        <v>0.509336452650344</v>
      </c>
      <c r="O131" s="35" t="n">
        <v>0.3601089176310415</v>
      </c>
      <c r="P131" s="35" t="n">
        <v>0.1885782272456871</v>
      </c>
      <c r="Q131" s="35" t="n">
        <v>0.5011269722013523</v>
      </c>
      <c r="R131" s="35" t="n">
        <v>0.1987760244795105</v>
      </c>
      <c r="S131" s="35" t="n">
        <v>0.2578827529038958</v>
      </c>
      <c r="T131" s="35" t="n">
        <v>0.2731115193865956</v>
      </c>
      <c r="U131" s="30" t="n">
        <v>39960</v>
      </c>
      <c r="V131" s="30" t="n">
        <v>22160</v>
      </c>
      <c r="W131" s="35" t="n">
        <v>0</v>
      </c>
      <c r="X131" s="35" t="n">
        <v>0.8032490974729243</v>
      </c>
      <c r="Y131" s="30" t="n">
        <v>76211850</v>
      </c>
      <c r="Z131" s="30" t="n">
        <v>3045425526000</v>
      </c>
      <c r="AA131" s="30" t="n">
        <v>35282282400</v>
      </c>
      <c r="AB131" s="30" t="n">
        <v>30900297460</v>
      </c>
      <c r="AC131" s="35" t="n">
        <v>0.01158533745080326</v>
      </c>
      <c r="AD131" s="24" t="inlineStr">
        <is>
          <t>yfinance_download</t>
        </is>
      </c>
      <c r="AE131" s="24" t="inlineStr">
        <is>
          <t>058470.KQ</t>
        </is>
      </c>
    </row>
    <row r="132" ht="24" customHeight="1">
      <c r="A132" s="29" t="inlineStr">
        <is>
          <t>2023-12-01</t>
        </is>
      </c>
      <c r="B132" s="31" t="n">
        <v>39220</v>
      </c>
      <c r="C132" s="31" t="n">
        <v>40000</v>
      </c>
      <c r="D132" s="31" t="n">
        <v>38720</v>
      </c>
      <c r="E132" s="31" t="n">
        <v>39100</v>
      </c>
      <c r="F132" s="31" t="n">
        <v>31782.849609375</v>
      </c>
      <c r="G132" s="31" t="n">
        <v>608540</v>
      </c>
      <c r="H132" s="36" t="n">
        <v>-0.02152152152152154</v>
      </c>
      <c r="I132" s="36" t="n">
        <v>-0.08043273753527747</v>
      </c>
      <c r="J132" s="31" t="n">
        <v>33839</v>
      </c>
      <c r="K132" s="31" t="n">
        <v>31854.66666666667</v>
      </c>
      <c r="L132" s="31" t="n">
        <v>31493.66666666667</v>
      </c>
      <c r="M132" s="36" t="n">
        <v>0.7032158003041165</v>
      </c>
      <c r="N132" s="36" t="n">
        <v>0.5117884652073909</v>
      </c>
      <c r="O132" s="36" t="n">
        <v>0.3482758620689654</v>
      </c>
      <c r="P132" s="36" t="n">
        <v>0.1540731995277449</v>
      </c>
      <c r="Q132" s="36" t="n">
        <v>0.4821834723275209</v>
      </c>
      <c r="R132" s="36" t="n">
        <v>0.1554714973846745</v>
      </c>
      <c r="S132" s="36" t="n">
        <v>0.2274496672387092</v>
      </c>
      <c r="T132" s="36" t="n">
        <v>0.2415194589388343</v>
      </c>
      <c r="U132" s="31" t="n">
        <v>39960</v>
      </c>
      <c r="V132" s="31" t="n">
        <v>22160</v>
      </c>
      <c r="W132" s="36" t="n">
        <v>-0.02152152152152154</v>
      </c>
      <c r="X132" s="36" t="n">
        <v>0.7644404332129964</v>
      </c>
      <c r="Y132" s="31" t="n">
        <v>76211850</v>
      </c>
      <c r="Z132" s="31" t="n">
        <v>2979883335000</v>
      </c>
      <c r="AA132" s="31" t="n">
        <v>23793914000</v>
      </c>
      <c r="AB132" s="31" t="n">
        <v>31681107660</v>
      </c>
      <c r="AC132" s="36" t="n">
        <v>0.007984847500749556</v>
      </c>
      <c r="AD132" s="29" t="inlineStr">
        <is>
          <t>yfinance_download</t>
        </is>
      </c>
      <c r="AE132" s="29" t="inlineStr">
        <is>
          <t>058470.KQ</t>
        </is>
      </c>
    </row>
    <row r="133" ht="24" customHeight="1">
      <c r="A133" s="24" t="inlineStr">
        <is>
          <t>2023-12-04</t>
        </is>
      </c>
      <c r="B133" s="30" t="n">
        <v>39100</v>
      </c>
      <c r="C133" s="30" t="n">
        <v>40600</v>
      </c>
      <c r="D133" s="30" t="n">
        <v>38000</v>
      </c>
      <c r="E133" s="30" t="n">
        <v>40200</v>
      </c>
      <c r="F133" s="30" t="n">
        <v>32676.9921875</v>
      </c>
      <c r="G133" s="30" t="n">
        <v>648770</v>
      </c>
      <c r="H133" s="35" t="n">
        <v>0.02813299232736566</v>
      </c>
      <c r="I133" s="35" t="n">
        <v>-0.0545625587958608</v>
      </c>
      <c r="J133" s="30" t="n">
        <v>34374</v>
      </c>
      <c r="K133" s="30" t="n">
        <v>31958.33333333333</v>
      </c>
      <c r="L133" s="30" t="n">
        <v>31601.5</v>
      </c>
      <c r="M133" s="35" t="n">
        <v>0.7045466757510994</v>
      </c>
      <c r="N133" s="35" t="n">
        <v>0.5143985000897048</v>
      </c>
      <c r="O133" s="35" t="n">
        <v>0.3627118644067797</v>
      </c>
      <c r="P133" s="35" t="n">
        <v>0.183048852266039</v>
      </c>
      <c r="Q133" s="35" t="n">
        <v>0.4746881878209832</v>
      </c>
      <c r="R133" s="35" t="n">
        <v>0.1694885669401291</v>
      </c>
      <c r="S133" s="35" t="n">
        <v>0.2578878748370275</v>
      </c>
      <c r="T133" s="35" t="n">
        <v>0.2720915146432923</v>
      </c>
      <c r="U133" s="30" t="n">
        <v>40200</v>
      </c>
      <c r="V133" s="30" t="n">
        <v>22160</v>
      </c>
      <c r="W133" s="35" t="n">
        <v>0</v>
      </c>
      <c r="X133" s="35" t="n">
        <v>0.8140794223826715</v>
      </c>
      <c r="Y133" s="30" t="n">
        <v>76211850</v>
      </c>
      <c r="Z133" s="30" t="n">
        <v>3063716370000</v>
      </c>
      <c r="AA133" s="30" t="n">
        <v>26080554000</v>
      </c>
      <c r="AB133" s="30" t="n">
        <v>32404479485</v>
      </c>
      <c r="AC133" s="35" t="n">
        <v>0.008512718166531845</v>
      </c>
      <c r="AD133" s="24" t="inlineStr">
        <is>
          <t>yfinance_download</t>
        </is>
      </c>
      <c r="AE133" s="24" t="inlineStr">
        <is>
          <t>058470.KQ</t>
        </is>
      </c>
    </row>
    <row r="134" ht="24" customHeight="1">
      <c r="A134" s="29" t="inlineStr">
        <is>
          <t>2023-12-05</t>
        </is>
      </c>
      <c r="B134" s="31" t="n">
        <v>40800</v>
      </c>
      <c r="C134" s="31" t="n">
        <v>44800</v>
      </c>
      <c r="D134" s="31" t="n">
        <v>39800</v>
      </c>
      <c r="E134" s="31" t="n">
        <v>40900</v>
      </c>
      <c r="F134" s="31" t="n">
        <v>33246</v>
      </c>
      <c r="G134" s="31" t="n">
        <v>2534830</v>
      </c>
      <c r="H134" s="36" t="n">
        <v>0.01741293532338317</v>
      </c>
      <c r="I134" s="36" t="n">
        <v>-0.03809971777986831</v>
      </c>
      <c r="J134" s="31" t="n">
        <v>34968</v>
      </c>
      <c r="K134" s="31" t="n">
        <v>32078.66666666667</v>
      </c>
      <c r="L134" s="31" t="n">
        <v>31714</v>
      </c>
      <c r="M134" s="36" t="n">
        <v>0.6938467443567584</v>
      </c>
      <c r="N134" s="36" t="n">
        <v>0.5145668111439037</v>
      </c>
      <c r="O134" s="36" t="n">
        <v>0.4093728463128876</v>
      </c>
      <c r="P134" s="36" t="n">
        <v>0.2143705463182899</v>
      </c>
      <c r="Q134" s="36" t="n">
        <v>0.4927007299270072</v>
      </c>
      <c r="R134" s="36" t="n">
        <v>0.1696408144589339</v>
      </c>
      <c r="S134" s="36" t="n">
        <v>0.274990647990357</v>
      </c>
      <c r="T134" s="36" t="n">
        <v>0.2896512581194426</v>
      </c>
      <c r="U134" s="31" t="n">
        <v>40900</v>
      </c>
      <c r="V134" s="31" t="n">
        <v>22160</v>
      </c>
      <c r="W134" s="36" t="n">
        <v>0</v>
      </c>
      <c r="X134" s="36" t="n">
        <v>0.8456678700361011</v>
      </c>
      <c r="Y134" s="31" t="n">
        <v>76211850</v>
      </c>
      <c r="Z134" s="31" t="n">
        <v>3117064665000</v>
      </c>
      <c r="AA134" s="31" t="n">
        <v>103674547000</v>
      </c>
      <c r="AB134" s="31" t="n">
        <v>37125831175</v>
      </c>
      <c r="AC134" s="36" t="n">
        <v>0.03326031319276464</v>
      </c>
      <c r="AD134" s="29" t="inlineStr">
        <is>
          <t>yfinance_download</t>
        </is>
      </c>
      <c r="AE134" s="29" t="inlineStr">
        <is>
          <t>058470.KQ</t>
        </is>
      </c>
    </row>
    <row r="135" ht="24" customHeight="1">
      <c r="A135" s="24" t="inlineStr">
        <is>
          <t>2023-12-06</t>
        </is>
      </c>
      <c r="B135" s="30" t="n">
        <v>40700</v>
      </c>
      <c r="C135" s="30" t="n">
        <v>41800</v>
      </c>
      <c r="D135" s="30" t="n">
        <v>39400</v>
      </c>
      <c r="E135" s="30" t="n">
        <v>39620</v>
      </c>
      <c r="F135" s="30" t="n">
        <v>32205.53515625</v>
      </c>
      <c r="G135" s="30" t="n">
        <v>816100</v>
      </c>
      <c r="H135" s="35" t="n">
        <v>-0.03129584352078241</v>
      </c>
      <c r="I135" s="35" t="n">
        <v>-0.06820319849482592</v>
      </c>
      <c r="J135" s="30" t="n">
        <v>35523</v>
      </c>
      <c r="K135" s="30" t="n">
        <v>32182.33333333333</v>
      </c>
      <c r="L135" s="30" t="n">
        <v>31811.5</v>
      </c>
      <c r="M135" s="35" t="n">
        <v>0.7050679178827671</v>
      </c>
      <c r="N135" s="35" t="n">
        <v>0.5190023367021631</v>
      </c>
      <c r="O135" s="35" t="n">
        <v>0.3892005610098177</v>
      </c>
      <c r="P135" s="35" t="n">
        <v>0.1862275449101796</v>
      </c>
      <c r="Q135" s="35" t="n">
        <v>0.4190544412607451</v>
      </c>
      <c r="R135" s="35" t="n">
        <v>0.115333727444191</v>
      </c>
      <c r="S135" s="35" t="n">
        <v>0.2311102364651414</v>
      </c>
      <c r="T135" s="35" t="n">
        <v>0.2454615469248542</v>
      </c>
      <c r="U135" s="30" t="n">
        <v>40900</v>
      </c>
      <c r="V135" s="30" t="n">
        <v>22160</v>
      </c>
      <c r="W135" s="35" t="n">
        <v>-0.03129584352078241</v>
      </c>
      <c r="X135" s="35" t="n">
        <v>0.7879061371841156</v>
      </c>
      <c r="Y135" s="30" t="n">
        <v>76211850</v>
      </c>
      <c r="Z135" s="30" t="n">
        <v>3019513497000</v>
      </c>
      <c r="AA135" s="30" t="n">
        <v>32333882000</v>
      </c>
      <c r="AB135" s="30" t="n">
        <v>38416762705</v>
      </c>
      <c r="AC135" s="35" t="n">
        <v>0.01070830848483536</v>
      </c>
      <c r="AD135" s="24" t="inlineStr">
        <is>
          <t>yfinance_download</t>
        </is>
      </c>
      <c r="AE135" s="24" t="inlineStr">
        <is>
          <t>058470.KQ</t>
        </is>
      </c>
    </row>
    <row r="136" ht="24" customHeight="1">
      <c r="A136" s="29" t="inlineStr">
        <is>
          <t>2023-12-07</t>
        </is>
      </c>
      <c r="B136" s="31" t="n">
        <v>38820</v>
      </c>
      <c r="C136" s="31" t="n">
        <v>40900</v>
      </c>
      <c r="D136" s="31" t="n">
        <v>38320</v>
      </c>
      <c r="E136" s="31" t="n">
        <v>39800</v>
      </c>
      <c r="F136" s="31" t="n">
        <v>32351.84765625</v>
      </c>
      <c r="G136" s="31" t="n">
        <v>610595</v>
      </c>
      <c r="H136" s="36" t="n">
        <v>0.004543160020191728</v>
      </c>
      <c r="I136" s="36" t="n">
        <v>-0.06396989651928509</v>
      </c>
      <c r="J136" s="31" t="n">
        <v>36061</v>
      </c>
      <c r="K136" s="31" t="n">
        <v>32283</v>
      </c>
      <c r="L136" s="31" t="n">
        <v>31913</v>
      </c>
      <c r="M136" s="36" t="n">
        <v>0.7065407554441244</v>
      </c>
      <c r="N136" s="36" t="n">
        <v>0.5187786831743968</v>
      </c>
      <c r="O136" s="36" t="n">
        <v>0.3705234159779613</v>
      </c>
      <c r="P136" s="36" t="n">
        <v>0.1789099526066351</v>
      </c>
      <c r="Q136" s="36" t="n">
        <v>0.440984793627806</v>
      </c>
      <c r="R136" s="36" t="n">
        <v>0.1036854219239622</v>
      </c>
      <c r="S136" s="36" t="n">
        <v>0.2328470092618407</v>
      </c>
      <c r="T136" s="36" t="n">
        <v>0.2471406636793783</v>
      </c>
      <c r="U136" s="31" t="n">
        <v>40900</v>
      </c>
      <c r="V136" s="31" t="n">
        <v>22160</v>
      </c>
      <c r="W136" s="36" t="n">
        <v>-0.02689486552567233</v>
      </c>
      <c r="X136" s="36" t="n">
        <v>0.796028880866426</v>
      </c>
      <c r="Y136" s="31" t="n">
        <v>76211850</v>
      </c>
      <c r="Z136" s="31" t="n">
        <v>3033231630000</v>
      </c>
      <c r="AA136" s="31" t="n">
        <v>24301681000</v>
      </c>
      <c r="AB136" s="31" t="n">
        <v>39336401055</v>
      </c>
      <c r="AC136" s="36" t="n">
        <v>0.008011811811417777</v>
      </c>
      <c r="AD136" s="29" t="inlineStr">
        <is>
          <t>yfinance_download</t>
        </is>
      </c>
      <c r="AE136" s="29" t="inlineStr">
        <is>
          <t>058470.KQ</t>
        </is>
      </c>
    </row>
    <row r="137" ht="24" customHeight="1">
      <c r="A137" s="24" t="inlineStr">
        <is>
          <t>2023-12-08</t>
        </is>
      </c>
      <c r="B137" s="30" t="n">
        <v>40700</v>
      </c>
      <c r="C137" s="30" t="n">
        <v>42600</v>
      </c>
      <c r="D137" s="30" t="n">
        <v>40200</v>
      </c>
      <c r="E137" s="30" t="n">
        <v>41600</v>
      </c>
      <c r="F137" s="30" t="n">
        <v>33815</v>
      </c>
      <c r="G137" s="30" t="n">
        <v>828810</v>
      </c>
      <c r="H137" s="35" t="n">
        <v>0.04522613065326642</v>
      </c>
      <c r="I137" s="35" t="n">
        <v>-0.02163687676387582</v>
      </c>
      <c r="J137" s="30" t="n">
        <v>36680</v>
      </c>
      <c r="K137" s="30" t="n">
        <v>32440.66666666667</v>
      </c>
      <c r="L137" s="30" t="n">
        <v>32031.33333333333</v>
      </c>
      <c r="M137" s="35" t="n">
        <v>0.7123525858858851</v>
      </c>
      <c r="N137" s="35" t="n">
        <v>0.5146118205676737</v>
      </c>
      <c r="O137" s="35" t="n">
        <v>0.4236824093086926</v>
      </c>
      <c r="P137" s="35" t="n">
        <v>0.2943372744243933</v>
      </c>
      <c r="Q137" s="35" t="n">
        <v>0.5182481751824817</v>
      </c>
      <c r="R137" s="35" t="n">
        <v>0.1341330425299891</v>
      </c>
      <c r="S137" s="35" t="n">
        <v>0.2823410945110048</v>
      </c>
      <c r="T137" s="35" t="n">
        <v>0.2987283285116658</v>
      </c>
      <c r="U137" s="30" t="n">
        <v>41600</v>
      </c>
      <c r="V137" s="30" t="n">
        <v>22160</v>
      </c>
      <c r="W137" s="35" t="n">
        <v>0</v>
      </c>
      <c r="X137" s="35" t="n">
        <v>0.8772563176895307</v>
      </c>
      <c r="Y137" s="30" t="n">
        <v>76211850</v>
      </c>
      <c r="Z137" s="30" t="n">
        <v>3170412960000</v>
      </c>
      <c r="AA137" s="30" t="n">
        <v>34478496000</v>
      </c>
      <c r="AB137" s="30" t="n">
        <v>40739629050</v>
      </c>
      <c r="AC137" s="35" t="n">
        <v>0.01087508045008749</v>
      </c>
      <c r="AD137" s="24" t="inlineStr">
        <is>
          <t>yfinance_download</t>
        </is>
      </c>
      <c r="AE137" s="24" t="inlineStr">
        <is>
          <t>058470.KQ</t>
        </is>
      </c>
    </row>
    <row r="138" ht="24" customHeight="1">
      <c r="A138" s="29" t="inlineStr">
        <is>
          <t>2023-12-11</t>
        </is>
      </c>
      <c r="B138" s="31" t="n">
        <v>42000</v>
      </c>
      <c r="C138" s="31" t="n">
        <v>42900</v>
      </c>
      <c r="D138" s="31" t="n">
        <v>41000</v>
      </c>
      <c r="E138" s="31" t="n">
        <v>42900</v>
      </c>
      <c r="F138" s="31" t="n">
        <v>34871.71875</v>
      </c>
      <c r="G138" s="31" t="n">
        <v>463205</v>
      </c>
      <c r="H138" s="36" t="n">
        <v>0.03125</v>
      </c>
      <c r="I138" s="36" t="n">
        <v>0</v>
      </c>
      <c r="J138" s="31" t="n">
        <v>37389</v>
      </c>
      <c r="K138" s="31" t="n">
        <v>32637</v>
      </c>
      <c r="L138" s="31" t="n">
        <v>32162.83333333333</v>
      </c>
      <c r="M138" s="36" t="n">
        <v>0.7006752308708367</v>
      </c>
      <c r="N138" s="36" t="n">
        <v>0.5116902442931769</v>
      </c>
      <c r="O138" s="36" t="n">
        <v>0.493732590529248</v>
      </c>
      <c r="P138" s="36" t="n">
        <v>0.3785347043701799</v>
      </c>
      <c r="Q138" s="36" t="n">
        <v>0.581858407079646</v>
      </c>
      <c r="R138" s="36" t="n">
        <v>0.1473962930273609</v>
      </c>
      <c r="S138" s="36" t="n">
        <v>0.314459049544995</v>
      </c>
      <c r="T138" s="36" t="n">
        <v>0.3338377112298356</v>
      </c>
      <c r="U138" s="31" t="n">
        <v>42900</v>
      </c>
      <c r="V138" s="31" t="n">
        <v>22160</v>
      </c>
      <c r="W138" s="36" t="n">
        <v>0</v>
      </c>
      <c r="X138" s="36" t="n">
        <v>0.9359205776173285</v>
      </c>
      <c r="Y138" s="31" t="n">
        <v>76211850</v>
      </c>
      <c r="Z138" s="31" t="n">
        <v>3269488365000</v>
      </c>
      <c r="AA138" s="31" t="n">
        <v>19871494500</v>
      </c>
      <c r="AB138" s="31" t="n">
        <v>41193468815</v>
      </c>
      <c r="AC138" s="36" t="n">
        <v>0.006077860595169912</v>
      </c>
      <c r="AD138" s="29" t="inlineStr">
        <is>
          <t>yfinance_download</t>
        </is>
      </c>
      <c r="AE138" s="29" t="inlineStr">
        <is>
          <t>058470.KQ</t>
        </is>
      </c>
    </row>
    <row r="139" ht="24" customHeight="1">
      <c r="A139" s="24" t="inlineStr">
        <is>
          <t>2023-12-12</t>
        </is>
      </c>
      <c r="B139" s="30" t="n">
        <v>43600</v>
      </c>
      <c r="C139" s="30" t="n">
        <v>44800</v>
      </c>
      <c r="D139" s="30" t="n">
        <v>41400</v>
      </c>
      <c r="E139" s="30" t="n">
        <v>42300</v>
      </c>
      <c r="F139" s="30" t="n">
        <v>34384</v>
      </c>
      <c r="G139" s="30" t="n">
        <v>791205</v>
      </c>
      <c r="H139" s="35" t="n">
        <v>-0.01398601398601396</v>
      </c>
      <c r="I139" s="35" t="n">
        <v>-0.01398601398601396</v>
      </c>
      <c r="J139" s="30" t="n">
        <v>38034</v>
      </c>
      <c r="K139" s="30" t="n">
        <v>32820</v>
      </c>
      <c r="L139" s="30" t="n">
        <v>32287.5</v>
      </c>
      <c r="M139" s="35" t="n">
        <v>0.711536957186832</v>
      </c>
      <c r="N139" s="35" t="n">
        <v>0.5133002915327516</v>
      </c>
      <c r="O139" s="35" t="n">
        <v>0.4387755102040816</v>
      </c>
      <c r="P139" s="35" t="n">
        <v>0.3505747126436782</v>
      </c>
      <c r="Q139" s="35" t="n">
        <v>0.5471836137527433</v>
      </c>
      <c r="R139" s="35" t="n">
        <v>0.1121628017037388</v>
      </c>
      <c r="S139" s="35" t="n">
        <v>0.2888482632541134</v>
      </c>
      <c r="T139" s="35" t="n">
        <v>0.3101045296167246</v>
      </c>
      <c r="U139" s="30" t="n">
        <v>42900</v>
      </c>
      <c r="V139" s="30" t="n">
        <v>22160</v>
      </c>
      <c r="W139" s="35" t="n">
        <v>-0.01398601398601396</v>
      </c>
      <c r="X139" s="35" t="n">
        <v>0.9088447653429603</v>
      </c>
      <c r="Y139" s="30" t="n">
        <v>76211850</v>
      </c>
      <c r="Z139" s="30" t="n">
        <v>3223761255000</v>
      </c>
      <c r="AA139" s="30" t="n">
        <v>33467971500</v>
      </c>
      <c r="AB139" s="30" t="n">
        <v>42436914440</v>
      </c>
      <c r="AC139" s="35" t="n">
        <v>0.0103816532468376</v>
      </c>
      <c r="AD139" s="24" t="inlineStr">
        <is>
          <t>yfinance_download</t>
        </is>
      </c>
      <c r="AE139" s="24" t="inlineStr">
        <is>
          <t>058470.KQ</t>
        </is>
      </c>
    </row>
    <row r="140" ht="24" customHeight="1">
      <c r="A140" s="29" t="inlineStr">
        <is>
          <t>2023-12-13</t>
        </is>
      </c>
      <c r="B140" s="31" t="n">
        <v>41500</v>
      </c>
      <c r="C140" s="31" t="n">
        <v>42500</v>
      </c>
      <c r="D140" s="31" t="n">
        <v>41300</v>
      </c>
      <c r="E140" s="31" t="n">
        <v>41800</v>
      </c>
      <c r="F140" s="31" t="n">
        <v>33977.5703125</v>
      </c>
      <c r="G140" s="31" t="n">
        <v>460300</v>
      </c>
      <c r="H140" s="36" t="n">
        <v>-0.01182033096926716</v>
      </c>
      <c r="I140" s="36" t="n">
        <v>-0.02564102564102566</v>
      </c>
      <c r="J140" s="31" t="n">
        <v>38647</v>
      </c>
      <c r="K140" s="31" t="n">
        <v>32998.33333333334</v>
      </c>
      <c r="L140" s="31" t="n">
        <v>32399</v>
      </c>
      <c r="M140" s="36" t="n">
        <v>0.7184187743548867</v>
      </c>
      <c r="N140" s="36" t="n">
        <v>0.513894446761137</v>
      </c>
      <c r="O140" s="36" t="n">
        <v>0.4150304671631686</v>
      </c>
      <c r="P140" s="36" t="n">
        <v>0.3440514469453375</v>
      </c>
      <c r="Q140" s="36" t="n">
        <v>0.4707952146375791</v>
      </c>
      <c r="R140" s="36" t="n">
        <v>0.08158459906331661</v>
      </c>
      <c r="S140" s="36" t="n">
        <v>0.2667306429617657</v>
      </c>
      <c r="T140" s="36" t="n">
        <v>0.2901632766443409</v>
      </c>
      <c r="U140" s="31" t="n">
        <v>42900</v>
      </c>
      <c r="V140" s="31" t="n">
        <v>22160</v>
      </c>
      <c r="W140" s="36" t="n">
        <v>-0.02564102564102566</v>
      </c>
      <c r="X140" s="36" t="n">
        <v>0.8862815884476534</v>
      </c>
      <c r="Y140" s="31" t="n">
        <v>76211850</v>
      </c>
      <c r="Z140" s="31" t="n">
        <v>3185655330000</v>
      </c>
      <c r="AA140" s="31" t="n">
        <v>19240540000</v>
      </c>
      <c r="AB140" s="31" t="n">
        <v>42828745590</v>
      </c>
      <c r="AC140" s="36" t="n">
        <v>0.00603974316330072</v>
      </c>
      <c r="AD140" s="29" t="inlineStr">
        <is>
          <t>yfinance_download</t>
        </is>
      </c>
      <c r="AE140" s="29" t="inlineStr">
        <is>
          <t>058470.KQ</t>
        </is>
      </c>
    </row>
    <row r="141" ht="24" customHeight="1">
      <c r="A141" s="24" t="inlineStr">
        <is>
          <t>2023-12-14</t>
        </is>
      </c>
      <c r="B141" s="30" t="n">
        <v>41800</v>
      </c>
      <c r="C141" s="30" t="n">
        <v>42400</v>
      </c>
      <c r="D141" s="30" t="n">
        <v>40100</v>
      </c>
      <c r="E141" s="30" t="n">
        <v>41300</v>
      </c>
      <c r="F141" s="30" t="n">
        <v>33571.14453125</v>
      </c>
      <c r="G141" s="30" t="n">
        <v>1111395</v>
      </c>
      <c r="H141" s="35" t="n">
        <v>-0.01196172248803828</v>
      </c>
      <c r="I141" s="35" t="n">
        <v>-0.03729603729603725</v>
      </c>
      <c r="J141" s="30" t="n">
        <v>39019</v>
      </c>
      <c r="K141" s="30" t="n">
        <v>33159.66666666666</v>
      </c>
      <c r="L141" s="30" t="n">
        <v>32512.33333333333</v>
      </c>
      <c r="M141" s="35" t="n">
        <v>0.5432347738203384</v>
      </c>
      <c r="N141" s="35" t="n">
        <v>0.5145653363384631</v>
      </c>
      <c r="O141" s="35" t="n">
        <v>0.2197282929710573</v>
      </c>
      <c r="P141" s="35" t="n">
        <v>0.306135357368754</v>
      </c>
      <c r="Q141" s="35" t="n">
        <v>0.4909747292418774</v>
      </c>
      <c r="R141" s="35" t="n">
        <v>0.0584586996078833</v>
      </c>
      <c r="S141" s="35" t="n">
        <v>0.245488997677902</v>
      </c>
      <c r="T141" s="35" t="n">
        <v>0.2702871730727827</v>
      </c>
      <c r="U141" s="30" t="n">
        <v>42900</v>
      </c>
      <c r="V141" s="30" t="n">
        <v>22160</v>
      </c>
      <c r="W141" s="35" t="n">
        <v>-0.03729603729603725</v>
      </c>
      <c r="X141" s="35" t="n">
        <v>0.8637184115523466</v>
      </c>
      <c r="Y141" s="30" t="n">
        <v>76211850</v>
      </c>
      <c r="Z141" s="30" t="n">
        <v>3147549405000</v>
      </c>
      <c r="AA141" s="30" t="n">
        <v>45900613500</v>
      </c>
      <c r="AB141" s="30" t="n">
        <v>39823594280</v>
      </c>
      <c r="AC141" s="35" t="n">
        <v>0.01458296839664698</v>
      </c>
      <c r="AD141" s="24" t="inlineStr">
        <is>
          <t>yfinance_download</t>
        </is>
      </c>
      <c r="AE141" s="24" t="inlineStr">
        <is>
          <t>058470.KQ</t>
        </is>
      </c>
    </row>
    <row r="142" ht="24" customHeight="1">
      <c r="A142" s="29" t="inlineStr">
        <is>
          <t>2023-12-15</t>
        </is>
      </c>
      <c r="B142" s="31" t="n">
        <v>41200</v>
      </c>
      <c r="C142" s="31" t="n">
        <v>41900</v>
      </c>
      <c r="D142" s="31" t="n">
        <v>39740</v>
      </c>
      <c r="E142" s="31" t="n">
        <v>40600</v>
      </c>
      <c r="F142" s="31" t="n">
        <v>33002.13671875</v>
      </c>
      <c r="G142" s="31" t="n">
        <v>928695</v>
      </c>
      <c r="H142" s="36" t="n">
        <v>-0.01694915254237284</v>
      </c>
      <c r="I142" s="36" t="n">
        <v>-0.05361305361305357</v>
      </c>
      <c r="J142" s="31" t="n">
        <v>39311</v>
      </c>
      <c r="K142" s="31" t="n">
        <v>33312.33333333334</v>
      </c>
      <c r="L142" s="31" t="n">
        <v>32620.16666666667</v>
      </c>
      <c r="M142" s="36" t="n">
        <v>0.5481168896111458</v>
      </c>
      <c r="N142" s="36" t="n">
        <v>0.5160752340793587</v>
      </c>
      <c r="O142" s="36" t="n">
        <v>0.1680092059838896</v>
      </c>
      <c r="P142" s="36" t="n">
        <v>0.2913486005089059</v>
      </c>
      <c r="Q142" s="36" t="n">
        <v>0.467823571945047</v>
      </c>
      <c r="R142" s="36" t="n">
        <v>0.03278980438045331</v>
      </c>
      <c r="S142" s="36" t="n">
        <v>0.2187678237289492</v>
      </c>
      <c r="T142" s="36" t="n">
        <v>0.2446288339013187</v>
      </c>
      <c r="U142" s="31" t="n">
        <v>42900</v>
      </c>
      <c r="V142" s="31" t="n">
        <v>22160</v>
      </c>
      <c r="W142" s="36" t="n">
        <v>-0.05361305361305357</v>
      </c>
      <c r="X142" s="36" t="n">
        <v>0.832129963898917</v>
      </c>
      <c r="Y142" s="31" t="n">
        <v>76211850</v>
      </c>
      <c r="Z142" s="31" t="n">
        <v>3094201110000</v>
      </c>
      <c r="AA142" s="31" t="n">
        <v>37705017000</v>
      </c>
      <c r="AB142" s="31" t="n">
        <v>36785143270</v>
      </c>
      <c r="AC142" s="36" t="n">
        <v>0.01218570340439184</v>
      </c>
      <c r="AD142" s="29" t="inlineStr">
        <is>
          <t>yfinance_download</t>
        </is>
      </c>
      <c r="AE142" s="29" t="inlineStr">
        <is>
          <t>058470.KQ</t>
        </is>
      </c>
    </row>
    <row r="143" ht="24" customHeight="1">
      <c r="A143" s="24" t="inlineStr">
        <is>
          <t>2023-12-18</t>
        </is>
      </c>
      <c r="B143" s="30" t="n">
        <v>41400</v>
      </c>
      <c r="C143" s="30" t="n">
        <v>41400</v>
      </c>
      <c r="D143" s="30" t="n">
        <v>40100</v>
      </c>
      <c r="E143" s="30" t="n">
        <v>41000</v>
      </c>
      <c r="F143" s="30" t="n">
        <v>33327.28125</v>
      </c>
      <c r="G143" s="30" t="n">
        <v>474915</v>
      </c>
      <c r="H143" s="35" t="n">
        <v>0.009852216748768461</v>
      </c>
      <c r="I143" s="35" t="n">
        <v>-0.04428904428904434</v>
      </c>
      <c r="J143" s="30" t="n">
        <v>39573</v>
      </c>
      <c r="K143" s="30" t="n">
        <v>33477</v>
      </c>
      <c r="L143" s="30" t="n">
        <v>32731.16666666667</v>
      </c>
      <c r="M143" s="35" t="n">
        <v>0.5428543328831823</v>
      </c>
      <c r="N143" s="35" t="n">
        <v>0.5152293065889815</v>
      </c>
      <c r="O143" s="35" t="n">
        <v>0.1465324384787472</v>
      </c>
      <c r="P143" s="35" t="n">
        <v>0.3174807197943446</v>
      </c>
      <c r="Q143" s="35" t="n">
        <v>0.48121387283237</v>
      </c>
      <c r="R143" s="35" t="n">
        <v>0.03605993985798395</v>
      </c>
      <c r="S143" s="35" t="n">
        <v>0.2247214505481376</v>
      </c>
      <c r="T143" s="35" t="n">
        <v>0.2526287381547658</v>
      </c>
      <c r="U143" s="30" t="n">
        <v>42900</v>
      </c>
      <c r="V143" s="30" t="n">
        <v>22160</v>
      </c>
      <c r="W143" s="35" t="n">
        <v>-0.04428904428904434</v>
      </c>
      <c r="X143" s="35" t="n">
        <v>0.8501805054151625</v>
      </c>
      <c r="Y143" s="30" t="n">
        <v>76211850</v>
      </c>
      <c r="Z143" s="30" t="n">
        <v>3124685850000</v>
      </c>
      <c r="AA143" s="30" t="n">
        <v>19471515000</v>
      </c>
      <c r="AB143" s="30" t="n">
        <v>35858003500</v>
      </c>
      <c r="AC143" s="35" t="n">
        <v>0.006231511241362071</v>
      </c>
      <c r="AD143" s="24" t="inlineStr">
        <is>
          <t>yfinance_download</t>
        </is>
      </c>
      <c r="AE143" s="24" t="inlineStr">
        <is>
          <t>058470.KQ</t>
        </is>
      </c>
    </row>
    <row r="144" ht="24" customHeight="1">
      <c r="A144" s="29" t="inlineStr">
        <is>
          <t>2023-12-19</t>
        </is>
      </c>
      <c r="B144" s="31" t="n">
        <v>40900</v>
      </c>
      <c r="C144" s="31" t="n">
        <v>42500</v>
      </c>
      <c r="D144" s="31" t="n">
        <v>40600</v>
      </c>
      <c r="E144" s="31" t="n">
        <v>41500</v>
      </c>
      <c r="F144" s="31" t="n">
        <v>33733.71484375</v>
      </c>
      <c r="G144" s="31" t="n">
        <v>536175</v>
      </c>
      <c r="H144" s="36" t="n">
        <v>0.01219512195121952</v>
      </c>
      <c r="I144" s="36" t="n">
        <v>-0.03263403263403264</v>
      </c>
      <c r="J144" s="31" t="n">
        <v>39810</v>
      </c>
      <c r="K144" s="31" t="n">
        <v>33652</v>
      </c>
      <c r="L144" s="31" t="n">
        <v>32836.5</v>
      </c>
      <c r="M144" s="36" t="n">
        <v>0.5377920718729037</v>
      </c>
      <c r="N144" s="36" t="n">
        <v>0.5150873340922569</v>
      </c>
      <c r="O144" s="36" t="n">
        <v>0.1289445048966267</v>
      </c>
      <c r="P144" s="36" t="n">
        <v>0.3387096774193548</v>
      </c>
      <c r="Q144" s="36" t="n">
        <v>0.4379764379764379</v>
      </c>
      <c r="R144" s="36" t="n">
        <v>0.04245164531524748</v>
      </c>
      <c r="S144" s="36" t="n">
        <v>0.2332105075478426</v>
      </c>
      <c r="T144" s="36" t="n">
        <v>0.2638374979062934</v>
      </c>
      <c r="U144" s="31" t="n">
        <v>42900</v>
      </c>
      <c r="V144" s="31" t="n">
        <v>22160</v>
      </c>
      <c r="W144" s="36" t="n">
        <v>-0.03263403263403264</v>
      </c>
      <c r="X144" s="36" t="n">
        <v>0.8727436823104693</v>
      </c>
      <c r="Y144" s="31" t="n">
        <v>76211850</v>
      </c>
      <c r="Z144" s="31" t="n">
        <v>3162791775000</v>
      </c>
      <c r="AA144" s="31" t="n">
        <v>22251262500</v>
      </c>
      <c r="AB144" s="31" t="n">
        <v>34578391245</v>
      </c>
      <c r="AC144" s="36" t="n">
        <v>0.007035323246975372</v>
      </c>
      <c r="AD144" s="29" t="inlineStr">
        <is>
          <t>yfinance_download</t>
        </is>
      </c>
      <c r="AE144" s="29" t="inlineStr">
        <is>
          <t>058470.KQ</t>
        </is>
      </c>
    </row>
    <row r="145" ht="24" customHeight="1">
      <c r="A145" s="24" t="inlineStr">
        <is>
          <t>2023-12-20</t>
        </is>
      </c>
      <c r="B145" s="30" t="n">
        <v>41600</v>
      </c>
      <c r="C145" s="30" t="n">
        <v>42400</v>
      </c>
      <c r="D145" s="30" t="n">
        <v>40500</v>
      </c>
      <c r="E145" s="30" t="n">
        <v>40900</v>
      </c>
      <c r="F145" s="30" t="n">
        <v>33246</v>
      </c>
      <c r="G145" s="30" t="n">
        <v>456270</v>
      </c>
      <c r="H145" s="35" t="n">
        <v>-0.01445783132530121</v>
      </c>
      <c r="I145" s="35" t="n">
        <v>-0.0466200466200466</v>
      </c>
      <c r="J145" s="30" t="n">
        <v>40011</v>
      </c>
      <c r="K145" s="30" t="n">
        <v>33820.66666666666</v>
      </c>
      <c r="L145" s="30" t="n">
        <v>32944.33333333334</v>
      </c>
      <c r="M145" s="35" t="n">
        <v>0.5429081153101817</v>
      </c>
      <c r="N145" s="35" t="n">
        <v>0.5160682791060027</v>
      </c>
      <c r="O145" s="35" t="n">
        <v>0.109002169197397</v>
      </c>
      <c r="P145" s="35" t="n">
        <v>0.3287849252761534</v>
      </c>
      <c r="Q145" s="35" t="n">
        <v>0.4628040057224607</v>
      </c>
      <c r="R145" s="35" t="n">
        <v>0.02221888980530351</v>
      </c>
      <c r="S145" s="35" t="n">
        <v>0.2093197453233724</v>
      </c>
      <c r="T145" s="35" t="n">
        <v>0.2414881669078142</v>
      </c>
      <c r="U145" s="30" t="n">
        <v>42900</v>
      </c>
      <c r="V145" s="30" t="n">
        <v>22160</v>
      </c>
      <c r="W145" s="35" t="n">
        <v>-0.0466200466200466</v>
      </c>
      <c r="X145" s="35" t="n">
        <v>0.8456678700361011</v>
      </c>
      <c r="Y145" s="30" t="n">
        <v>76211850</v>
      </c>
      <c r="Z145" s="30" t="n">
        <v>3117064665000</v>
      </c>
      <c r="AA145" s="30" t="n">
        <v>18661443000</v>
      </c>
      <c r="AB145" s="30" t="n">
        <v>34225568435</v>
      </c>
      <c r="AC145" s="35" t="n">
        <v>0.005986864247489071</v>
      </c>
      <c r="AD145" s="24" t="inlineStr">
        <is>
          <t>yfinance_download</t>
        </is>
      </c>
      <c r="AE145" s="24" t="inlineStr">
        <is>
          <t>058470.KQ</t>
        </is>
      </c>
    </row>
    <row r="146" ht="24" customHeight="1">
      <c r="A146" s="29" t="inlineStr">
        <is>
          <t>2023-12-21</t>
        </is>
      </c>
      <c r="B146" s="31" t="n">
        <v>40600</v>
      </c>
      <c r="C146" s="31" t="n">
        <v>41300</v>
      </c>
      <c r="D146" s="31" t="n">
        <v>40000</v>
      </c>
      <c r="E146" s="31" t="n">
        <v>40400</v>
      </c>
      <c r="F146" s="31" t="n">
        <v>32839.56640625</v>
      </c>
      <c r="G146" s="31" t="n">
        <v>412390</v>
      </c>
      <c r="H146" s="36" t="n">
        <v>-0.01222493887530562</v>
      </c>
      <c r="I146" s="36" t="n">
        <v>-0.0582750582750583</v>
      </c>
      <c r="J146" s="31" t="n">
        <v>40255</v>
      </c>
      <c r="K146" s="31" t="n">
        <v>33997</v>
      </c>
      <c r="L146" s="31" t="n">
        <v>33031</v>
      </c>
      <c r="M146" s="36" t="n">
        <v>0.5239762490391634</v>
      </c>
      <c r="N146" s="36" t="n">
        <v>0.511795154101746</v>
      </c>
      <c r="O146" s="36" t="n">
        <v>0.1373873873873874</v>
      </c>
      <c r="P146" s="36" t="n">
        <v>0.3547954393024815</v>
      </c>
      <c r="Q146" s="36" t="n">
        <v>0.3466666666666667</v>
      </c>
      <c r="R146" s="36" t="n">
        <v>0.003602037014035497</v>
      </c>
      <c r="S146" s="36" t="n">
        <v>0.1883401476600877</v>
      </c>
      <c r="T146" s="36" t="n">
        <v>0.2230934576609851</v>
      </c>
      <c r="U146" s="31" t="n">
        <v>42900</v>
      </c>
      <c r="V146" s="31" t="n">
        <v>22160</v>
      </c>
      <c r="W146" s="36" t="n">
        <v>-0.0582750582750583</v>
      </c>
      <c r="X146" s="36" t="n">
        <v>0.8231046931407942</v>
      </c>
      <c r="Y146" s="31" t="n">
        <v>76211850</v>
      </c>
      <c r="Z146" s="31" t="n">
        <v>3078958740000</v>
      </c>
      <c r="AA146" s="31" t="n">
        <v>16660556000</v>
      </c>
      <c r="AB146" s="31" t="n">
        <v>34000739595</v>
      </c>
      <c r="AC146" s="36" t="n">
        <v>0.005411100767137919</v>
      </c>
      <c r="AD146" s="29" t="inlineStr">
        <is>
          <t>yfinance_download</t>
        </is>
      </c>
      <c r="AE146" s="29" t="inlineStr">
        <is>
          <t>058470.KQ</t>
        </is>
      </c>
    </row>
    <row r="147" ht="24" customHeight="1">
      <c r="A147" s="24" t="inlineStr">
        <is>
          <t>2023-12-22</t>
        </is>
      </c>
      <c r="B147" s="30" t="n">
        <v>40900</v>
      </c>
      <c r="C147" s="30" t="n">
        <v>41300</v>
      </c>
      <c r="D147" s="30" t="n">
        <v>39760</v>
      </c>
      <c r="E147" s="30" t="n">
        <v>39800</v>
      </c>
      <c r="F147" s="30" t="n">
        <v>32351.84765625</v>
      </c>
      <c r="G147" s="30" t="n">
        <v>600835</v>
      </c>
      <c r="H147" s="35" t="n">
        <v>-0.01485148514851486</v>
      </c>
      <c r="I147" s="35" t="n">
        <v>-0.07226107226107226</v>
      </c>
      <c r="J147" s="30" t="n">
        <v>40490</v>
      </c>
      <c r="K147" s="30" t="n">
        <v>34162.66666666666</v>
      </c>
      <c r="L147" s="30" t="n">
        <v>33118.66666666666</v>
      </c>
      <c r="M147" s="35" t="n">
        <v>0.5255230196302069</v>
      </c>
      <c r="N147" s="35" t="n">
        <v>0.5134389780692746</v>
      </c>
      <c r="O147" s="35" t="n">
        <v>0.1339031339031338</v>
      </c>
      <c r="P147" s="35" t="n">
        <v>0.3328868050904219</v>
      </c>
      <c r="Q147" s="35" t="n">
        <v>0.3592896174863387</v>
      </c>
      <c r="R147" s="35" t="n">
        <v>-0.01704124475179059</v>
      </c>
      <c r="S147" s="35" t="n">
        <v>0.1650144407150107</v>
      </c>
      <c r="T147" s="35" t="n">
        <v>0.201739200450904</v>
      </c>
      <c r="U147" s="30" t="n">
        <v>42900</v>
      </c>
      <c r="V147" s="30" t="n">
        <v>22160</v>
      </c>
      <c r="W147" s="35" t="n">
        <v>-0.07226107226107226</v>
      </c>
      <c r="X147" s="35" t="n">
        <v>0.796028880866426</v>
      </c>
      <c r="Y147" s="30" t="n">
        <v>76211850</v>
      </c>
      <c r="Z147" s="30" t="n">
        <v>3033231630000</v>
      </c>
      <c r="AA147" s="30" t="n">
        <v>23913233000</v>
      </c>
      <c r="AB147" s="30" t="n">
        <v>34395357820</v>
      </c>
      <c r="AC147" s="35" t="n">
        <v>0.007883747737392545</v>
      </c>
      <c r="AD147" s="24" t="inlineStr">
        <is>
          <t>yfinance_download</t>
        </is>
      </c>
      <c r="AE147" s="24" t="inlineStr">
        <is>
          <t>058470.KQ</t>
        </is>
      </c>
    </row>
    <row r="148" ht="24" customHeight="1">
      <c r="A148" s="29" t="inlineStr">
        <is>
          <t>2023-12-26</t>
        </is>
      </c>
      <c r="B148" s="31" t="n">
        <v>39400</v>
      </c>
      <c r="C148" s="31" t="n">
        <v>40900</v>
      </c>
      <c r="D148" s="31" t="n">
        <v>38740</v>
      </c>
      <c r="E148" s="31" t="n">
        <v>40600</v>
      </c>
      <c r="F148" s="31" t="n">
        <v>33002.13671875</v>
      </c>
      <c r="G148" s="31" t="n">
        <v>510665</v>
      </c>
      <c r="H148" s="36" t="n">
        <v>0.0201005025125629</v>
      </c>
      <c r="I148" s="36" t="n">
        <v>-0.05361305361305357</v>
      </c>
      <c r="J148" s="31" t="n">
        <v>40565</v>
      </c>
      <c r="K148" s="31" t="n">
        <v>34338.66666666666</v>
      </c>
      <c r="L148" s="31" t="n">
        <v>33212</v>
      </c>
      <c r="M148" s="36" t="n">
        <v>0.3469581242961338</v>
      </c>
      <c r="N148" s="36" t="n">
        <v>0.5143341458907166</v>
      </c>
      <c r="O148" s="36" t="n">
        <v>0.03836317135549883</v>
      </c>
      <c r="P148" s="36" t="n">
        <v>0.351531291611185</v>
      </c>
      <c r="Q148" s="36" t="n">
        <v>0.3809523809523809</v>
      </c>
      <c r="R148" s="36" t="n">
        <v>0.0008628127696290733</v>
      </c>
      <c r="S148" s="36" t="n">
        <v>0.1823406072843055</v>
      </c>
      <c r="T148" s="36" t="n">
        <v>0.2224497169697699</v>
      </c>
      <c r="U148" s="31" t="n">
        <v>42900</v>
      </c>
      <c r="V148" s="31" t="n">
        <v>22160</v>
      </c>
      <c r="W148" s="36" t="n">
        <v>-0.05361305361305357</v>
      </c>
      <c r="X148" s="36" t="n">
        <v>0.832129963898917</v>
      </c>
      <c r="Y148" s="31" t="n">
        <v>76211850</v>
      </c>
      <c r="Z148" s="31" t="n">
        <v>3094201110000</v>
      </c>
      <c r="AA148" s="31" t="n">
        <v>20732999000</v>
      </c>
      <c r="AB148" s="31" t="n">
        <v>32104060145</v>
      </c>
      <c r="AC148" s="36" t="n">
        <v>0.00670059839775573</v>
      </c>
      <c r="AD148" s="29" t="inlineStr">
        <is>
          <t>yfinance_download</t>
        </is>
      </c>
      <c r="AE148" s="29" t="inlineStr">
        <is>
          <t>058470.KQ</t>
        </is>
      </c>
    </row>
    <row r="149" ht="24" customHeight="1">
      <c r="A149" s="24" t="inlineStr">
        <is>
          <t>2023-12-27</t>
        </is>
      </c>
      <c r="B149" s="30" t="n">
        <v>40500</v>
      </c>
      <c r="C149" s="30" t="n">
        <v>42300</v>
      </c>
      <c r="D149" s="30" t="n">
        <v>39900</v>
      </c>
      <c r="E149" s="30" t="n">
        <v>41600</v>
      </c>
      <c r="F149" s="30" t="n">
        <v>36513.00390625</v>
      </c>
      <c r="G149" s="30" t="n">
        <v>636455</v>
      </c>
      <c r="H149" s="35" t="n">
        <v>0.02463054187192126</v>
      </c>
      <c r="I149" s="35" t="n">
        <v>-0.03030303030303028</v>
      </c>
      <c r="J149" s="30" t="n">
        <v>40732</v>
      </c>
      <c r="K149" s="30" t="n">
        <v>34542.66666666666</v>
      </c>
      <c r="L149" s="30" t="n">
        <v>33303</v>
      </c>
      <c r="M149" s="35" t="n">
        <v>0.343968377424923</v>
      </c>
      <c r="N149" s="35" t="n">
        <v>0.5123973304357152</v>
      </c>
      <c r="O149" s="35" t="n">
        <v>0.08729743857814953</v>
      </c>
      <c r="P149" s="35" t="n">
        <v>0.4168937329700273</v>
      </c>
      <c r="Q149" s="35" t="n">
        <v>0.3559322033898304</v>
      </c>
      <c r="R149" s="35" t="n">
        <v>0.02131002651477965</v>
      </c>
      <c r="S149" s="35" t="n">
        <v>0.2043077160612963</v>
      </c>
      <c r="T149" s="35" t="n">
        <v>0.2491367144101133</v>
      </c>
      <c r="U149" s="30" t="n">
        <v>42900</v>
      </c>
      <c r="V149" s="30" t="n">
        <v>22160</v>
      </c>
      <c r="W149" s="35" t="n">
        <v>-0.03030303030303028</v>
      </c>
      <c r="X149" s="35" t="n">
        <v>0.8772563176895307</v>
      </c>
      <c r="Y149" s="30" t="n">
        <v>76211850</v>
      </c>
      <c r="Z149" s="30" t="n">
        <v>3170412960000</v>
      </c>
      <c r="AA149" s="30" t="n">
        <v>26476528000</v>
      </c>
      <c r="AB149" s="30" t="n">
        <v>31161928480</v>
      </c>
      <c r="AC149" s="35" t="n">
        <v>0.008351129122308407</v>
      </c>
      <c r="AD149" s="24" t="inlineStr">
        <is>
          <t>yfinance_download</t>
        </is>
      </c>
      <c r="AE149" s="24" t="inlineStr">
        <is>
          <t>058470.KQ</t>
        </is>
      </c>
    </row>
    <row r="150" ht="24" customHeight="1">
      <c r="A150" s="29" t="inlineStr">
        <is>
          <t>2023-12-28</t>
        </is>
      </c>
      <c r="B150" s="31" t="n">
        <v>41200</v>
      </c>
      <c r="C150" s="31" t="n">
        <v>41700</v>
      </c>
      <c r="D150" s="31" t="n">
        <v>40000</v>
      </c>
      <c r="E150" s="31" t="n">
        <v>40500</v>
      </c>
      <c r="F150" s="31" t="n">
        <v>35547.515625</v>
      </c>
      <c r="G150" s="31" t="n">
        <v>520620</v>
      </c>
      <c r="H150" s="36" t="n">
        <v>-0.02644230769230771</v>
      </c>
      <c r="I150" s="36" t="n">
        <v>-0.05594405594405594</v>
      </c>
      <c r="J150" s="31" t="n">
        <v>40819</v>
      </c>
      <c r="K150" s="31" t="n">
        <v>34705</v>
      </c>
      <c r="L150" s="31" t="n">
        <v>33382.16666666666</v>
      </c>
      <c r="M150" s="36" t="n">
        <v>0.3590470579470637</v>
      </c>
      <c r="N150" s="36" t="n">
        <v>0.5093466172256658</v>
      </c>
      <c r="O150" s="36" t="n">
        <v>0.04489164086687314</v>
      </c>
      <c r="P150" s="36" t="n">
        <v>0.3166449934980493</v>
      </c>
      <c r="Q150" s="36" t="n">
        <v>0.3064516129032258</v>
      </c>
      <c r="R150" s="36" t="n">
        <v>-0.007814988118278299</v>
      </c>
      <c r="S150" s="36" t="n">
        <v>0.1669788214954617</v>
      </c>
      <c r="T150" s="36" t="n">
        <v>0.2132226288487367</v>
      </c>
      <c r="U150" s="31" t="n">
        <v>42900</v>
      </c>
      <c r="V150" s="31" t="n">
        <v>22160</v>
      </c>
      <c r="W150" s="36" t="n">
        <v>-0.05594405594405594</v>
      </c>
      <c r="X150" s="36" t="n">
        <v>0.8276173285198556</v>
      </c>
      <c r="Y150" s="31" t="n">
        <v>76211850</v>
      </c>
      <c r="Z150" s="31" t="n">
        <v>3086579925000</v>
      </c>
      <c r="AA150" s="31" t="n">
        <v>21085110000</v>
      </c>
      <c r="AB150" s="31" t="n">
        <v>30269181970</v>
      </c>
      <c r="AC150" s="36" t="n">
        <v>0.006831221128997656</v>
      </c>
      <c r="AD150" s="29" t="inlineStr">
        <is>
          <t>yfinance_download</t>
        </is>
      </c>
      <c r="AE150" s="29" t="inlineStr">
        <is>
          <t>058470.KQ</t>
        </is>
      </c>
    </row>
    <row r="151" ht="24" customHeight="1">
      <c r="A151" s="24" t="inlineStr">
        <is>
          <t>2024-01-02</t>
        </is>
      </c>
      <c r="B151" s="30" t="n">
        <v>40700</v>
      </c>
      <c r="C151" s="30" t="n">
        <v>45800</v>
      </c>
      <c r="D151" s="30" t="n">
        <v>40600</v>
      </c>
      <c r="E151" s="30" t="n">
        <v>44700</v>
      </c>
      <c r="F151" s="30" t="n">
        <v>39233.92578125</v>
      </c>
      <c r="G151" s="30" t="n">
        <v>1654615</v>
      </c>
      <c r="H151" s="35" t="n">
        <v>0.1037037037037036</v>
      </c>
      <c r="I151" s="35" t="n">
        <v>0</v>
      </c>
      <c r="J151" s="30" t="n">
        <v>41056</v>
      </c>
      <c r="K151" s="30" t="n">
        <v>34939.33333333334</v>
      </c>
      <c r="L151" s="30" t="n">
        <v>33494.66666666666</v>
      </c>
      <c r="M151" s="35" t="n">
        <v>0.5006228947591802</v>
      </c>
      <c r="N151" s="35" t="n">
        <v>0.5475481784054655</v>
      </c>
      <c r="O151" s="35" t="n">
        <v>0.1186186186186187</v>
      </c>
      <c r="P151" s="35" t="n">
        <v>0.4588772845953002</v>
      </c>
      <c r="Q151" s="35" t="n">
        <v>0.4326923076923077</v>
      </c>
      <c r="R151" s="35" t="n">
        <v>0.0887568199532347</v>
      </c>
      <c r="S151" s="35" t="n">
        <v>0.2793604151958633</v>
      </c>
      <c r="T151" s="35" t="n">
        <v>0.3345408224194897</v>
      </c>
      <c r="U151" s="30" t="n">
        <v>44700</v>
      </c>
      <c r="V151" s="30" t="n">
        <v>22160</v>
      </c>
      <c r="W151" s="35" t="n">
        <v>0</v>
      </c>
      <c r="X151" s="35" t="n">
        <v>1.017148014440433</v>
      </c>
      <c r="Y151" s="30" t="n">
        <v>76211850</v>
      </c>
      <c r="Z151" s="30" t="n">
        <v>3406669695000</v>
      </c>
      <c r="AA151" s="30" t="n">
        <v>73961290500</v>
      </c>
      <c r="AB151" s="30" t="n">
        <v>32203132375</v>
      </c>
      <c r="AC151" s="35" t="n">
        <v>0.02171073133639979</v>
      </c>
      <c r="AD151" s="24" t="inlineStr">
        <is>
          <t>yfinance_download</t>
        </is>
      </c>
      <c r="AE151" s="24" t="inlineStr">
        <is>
          <t>058470.KQ</t>
        </is>
      </c>
    </row>
    <row r="152" ht="24" customHeight="1">
      <c r="A152" s="29" t="inlineStr">
        <is>
          <t>2024-01-03</t>
        </is>
      </c>
      <c r="B152" s="31" t="n">
        <v>43300</v>
      </c>
      <c r="C152" s="31" t="n">
        <v>44100</v>
      </c>
      <c r="D152" s="31" t="n">
        <v>41200</v>
      </c>
      <c r="E152" s="31" t="n">
        <v>42800</v>
      </c>
      <c r="F152" s="31" t="n">
        <v>37566.265625</v>
      </c>
      <c r="G152" s="31" t="n">
        <v>1088000</v>
      </c>
      <c r="H152" s="36" t="n">
        <v>-0.04250559284116329</v>
      </c>
      <c r="I152" s="36" t="n">
        <v>-0.04250559284116329</v>
      </c>
      <c r="J152" s="31" t="n">
        <v>41241</v>
      </c>
      <c r="K152" s="31" t="n">
        <v>35153</v>
      </c>
      <c r="L152" s="31" t="n">
        <v>33601.5</v>
      </c>
      <c r="M152" s="36" t="n">
        <v>0.5210887807283237</v>
      </c>
      <c r="N152" s="36" t="n">
        <v>0.5538446061050888</v>
      </c>
      <c r="O152" s="36" t="n">
        <v>0.09462915601023014</v>
      </c>
      <c r="P152" s="36" t="n">
        <v>0.4276184122748499</v>
      </c>
      <c r="Q152" s="36" t="n">
        <v>0.4276184122748499</v>
      </c>
      <c r="R152" s="36" t="n">
        <v>0.03780218714386163</v>
      </c>
      <c r="S152" s="36" t="n">
        <v>0.2175347765482321</v>
      </c>
      <c r="T152" s="36" t="n">
        <v>0.2737526598514948</v>
      </c>
      <c r="U152" s="31" t="n">
        <v>44700</v>
      </c>
      <c r="V152" s="31" t="n">
        <v>22160</v>
      </c>
      <c r="W152" s="36" t="n">
        <v>-0.04250559284116329</v>
      </c>
      <c r="X152" s="36" t="n">
        <v>0.9314079422382671</v>
      </c>
      <c r="Y152" s="31" t="n">
        <v>76211850</v>
      </c>
      <c r="Z152" s="31" t="n">
        <v>3261867180000</v>
      </c>
      <c r="AA152" s="31" t="n">
        <v>46566400000</v>
      </c>
      <c r="AB152" s="31" t="n">
        <v>33341756675</v>
      </c>
      <c r="AC152" s="36" t="n">
        <v>0.01427599513723916</v>
      </c>
      <c r="AD152" s="29" t="inlineStr">
        <is>
          <t>yfinance_download</t>
        </is>
      </c>
      <c r="AE152" s="29" t="inlineStr">
        <is>
          <t>058470.KQ</t>
        </is>
      </c>
    </row>
    <row r="153" ht="24" customHeight="1">
      <c r="A153" s="24" t="inlineStr">
        <is>
          <t>2024-01-04</t>
        </is>
      </c>
      <c r="B153" s="30" t="n">
        <v>42800</v>
      </c>
      <c r="C153" s="30" t="n">
        <v>43500</v>
      </c>
      <c r="D153" s="30" t="n">
        <v>41300</v>
      </c>
      <c r="E153" s="30" t="n">
        <v>42100</v>
      </c>
      <c r="F153" s="30" t="n">
        <v>36951.86328125</v>
      </c>
      <c r="G153" s="30" t="n">
        <v>619645</v>
      </c>
      <c r="H153" s="35" t="n">
        <v>-0.01635514018691586</v>
      </c>
      <c r="I153" s="35" t="n">
        <v>-0.05816554809843399</v>
      </c>
      <c r="J153" s="30" t="n">
        <v>41336</v>
      </c>
      <c r="K153" s="30" t="n">
        <v>35339</v>
      </c>
      <c r="L153" s="30" t="n">
        <v>33705.5</v>
      </c>
      <c r="M153" s="35" t="n">
        <v>0.5188492537295053</v>
      </c>
      <c r="N153" s="35" t="n">
        <v>0.553205632492402</v>
      </c>
      <c r="O153" s="35" t="n">
        <v>0.04726368159203975</v>
      </c>
      <c r="P153" s="35" t="n">
        <v>0.3606981254040078</v>
      </c>
      <c r="Q153" s="35" t="n">
        <v>0.4213369345037137</v>
      </c>
      <c r="R153" s="35" t="n">
        <v>0.01848267853686858</v>
      </c>
      <c r="S153" s="35" t="n">
        <v>0.1913183734684061</v>
      </c>
      <c r="T153" s="35" t="n">
        <v>0.2490543086439898</v>
      </c>
      <c r="U153" s="30" t="n">
        <v>44700</v>
      </c>
      <c r="V153" s="30" t="n">
        <v>22160</v>
      </c>
      <c r="W153" s="35" t="n">
        <v>-0.05816554809843399</v>
      </c>
      <c r="X153" s="35" t="n">
        <v>0.8998194945848375</v>
      </c>
      <c r="Y153" s="30" t="n">
        <v>76211850</v>
      </c>
      <c r="Z153" s="30" t="n">
        <v>3208518885000</v>
      </c>
      <c r="AA153" s="30" t="n">
        <v>26087054500</v>
      </c>
      <c r="AB153" s="30" t="n">
        <v>33342081700</v>
      </c>
      <c r="AC153" s="35" t="n">
        <v>0.008130559748910438</v>
      </c>
      <c r="AD153" s="24" t="inlineStr">
        <is>
          <t>yfinance_download</t>
        </is>
      </c>
      <c r="AE153" s="24" t="inlineStr">
        <is>
          <t>058470.KQ</t>
        </is>
      </c>
    </row>
    <row r="154" ht="24" customHeight="1">
      <c r="A154" s="29" t="inlineStr">
        <is>
          <t>2024-01-05</t>
        </is>
      </c>
      <c r="B154" s="31" t="n">
        <v>42200</v>
      </c>
      <c r="C154" s="31" t="n">
        <v>42300</v>
      </c>
      <c r="D154" s="31" t="n">
        <v>39840</v>
      </c>
      <c r="E154" s="31" t="n">
        <v>40800</v>
      </c>
      <c r="F154" s="31" t="n">
        <v>35810.83203125</v>
      </c>
      <c r="G154" s="31" t="n">
        <v>1180615</v>
      </c>
      <c r="H154" s="36" t="n">
        <v>-0.03087885985748218</v>
      </c>
      <c r="I154" s="36" t="n">
        <v>-0.08724832214765099</v>
      </c>
      <c r="J154" s="31" t="n">
        <v>41331</v>
      </c>
      <c r="K154" s="31" t="n">
        <v>35511</v>
      </c>
      <c r="L154" s="31" t="n">
        <v>33803.33333333334</v>
      </c>
      <c r="M154" s="36" t="n">
        <v>0.529031050709971</v>
      </c>
      <c r="N154" s="36" t="n">
        <v>0.5567125063377565</v>
      </c>
      <c r="O154" s="36" t="n">
        <v>-0.00244498777506108</v>
      </c>
      <c r="P154" s="36" t="n">
        <v>0.3385826771653544</v>
      </c>
      <c r="Q154" s="36" t="n">
        <v>0.4039917412250515</v>
      </c>
      <c r="R154" s="36" t="n">
        <v>-0.01284749945561448</v>
      </c>
      <c r="S154" s="36" t="n">
        <v>0.148939765143195</v>
      </c>
      <c r="T154" s="36" t="n">
        <v>0.2069815600039442</v>
      </c>
      <c r="U154" s="31" t="n">
        <v>44700</v>
      </c>
      <c r="V154" s="31" t="n">
        <v>22160</v>
      </c>
      <c r="W154" s="36" t="n">
        <v>-0.08724832214765099</v>
      </c>
      <c r="X154" s="36" t="n">
        <v>0.8411552346570397</v>
      </c>
      <c r="Y154" s="31" t="n">
        <v>76211850</v>
      </c>
      <c r="Z154" s="31" t="n">
        <v>3109443480000</v>
      </c>
      <c r="AA154" s="31" t="n">
        <v>48169092000</v>
      </c>
      <c r="AB154" s="31" t="n">
        <v>30566808950</v>
      </c>
      <c r="AC154" s="36" t="n">
        <v>0.01549122610197758</v>
      </c>
      <c r="AD154" s="29" t="inlineStr">
        <is>
          <t>yfinance_download</t>
        </is>
      </c>
      <c r="AE154" s="29" t="inlineStr">
        <is>
          <t>058470.KQ</t>
        </is>
      </c>
    </row>
    <row r="155" ht="24" customHeight="1">
      <c r="A155" s="24" t="inlineStr">
        <is>
          <t>2024-01-08</t>
        </is>
      </c>
      <c r="B155" s="30" t="n">
        <v>40800</v>
      </c>
      <c r="C155" s="30" t="n">
        <v>42700</v>
      </c>
      <c r="D155" s="30" t="n">
        <v>40400</v>
      </c>
      <c r="E155" s="30" t="n">
        <v>41300</v>
      </c>
      <c r="F155" s="30" t="n">
        <v>36249.69140625</v>
      </c>
      <c r="G155" s="30" t="n">
        <v>548160</v>
      </c>
      <c r="H155" s="35" t="n">
        <v>0.01225490196078427</v>
      </c>
      <c r="I155" s="35" t="n">
        <v>-0.07606263982102912</v>
      </c>
      <c r="J155" s="30" t="n">
        <v>41415</v>
      </c>
      <c r="K155" s="30" t="n">
        <v>35684.66666666666</v>
      </c>
      <c r="L155" s="30" t="n">
        <v>33899.16666666666</v>
      </c>
      <c r="M155" s="35" t="n">
        <v>0.5168836333047252</v>
      </c>
      <c r="N155" s="35" t="n">
        <v>0.5566642312382485</v>
      </c>
      <c r="O155" s="35" t="n">
        <v>0.04240282685512375</v>
      </c>
      <c r="P155" s="35" t="n">
        <v>0.3374352331606219</v>
      </c>
      <c r="Q155" s="35" t="n">
        <v>0.3859060402684564</v>
      </c>
      <c r="R155" s="35" t="n">
        <v>-0.002776771701074487</v>
      </c>
      <c r="S155" s="35" t="n">
        <v>0.1573598370915614</v>
      </c>
      <c r="T155" s="35" t="n">
        <v>0.2183190343912094</v>
      </c>
      <c r="U155" s="30" t="n">
        <v>44700</v>
      </c>
      <c r="V155" s="30" t="n">
        <v>22160</v>
      </c>
      <c r="W155" s="35" t="n">
        <v>-0.07606263982102912</v>
      </c>
      <c r="X155" s="35" t="n">
        <v>0.8637184115523466</v>
      </c>
      <c r="Y155" s="30" t="n">
        <v>76211850</v>
      </c>
      <c r="Z155" s="30" t="n">
        <v>3147549405000</v>
      </c>
      <c r="AA155" s="30" t="n">
        <v>22639008000</v>
      </c>
      <c r="AB155" s="30" t="n">
        <v>30082065250</v>
      </c>
      <c r="AC155" s="35" t="n">
        <v>0.007192582255909022</v>
      </c>
      <c r="AD155" s="24" t="inlineStr">
        <is>
          <t>yfinance_download</t>
        </is>
      </c>
      <c r="AE155" s="24" t="inlineStr">
        <is>
          <t>058470.KQ</t>
        </is>
      </c>
    </row>
    <row r="156" ht="24" customHeight="1">
      <c r="A156" s="29" t="inlineStr">
        <is>
          <t>2024-01-09</t>
        </is>
      </c>
      <c r="B156" s="31" t="n">
        <v>43400</v>
      </c>
      <c r="C156" s="31" t="n">
        <v>44300</v>
      </c>
      <c r="D156" s="31" t="n">
        <v>41000</v>
      </c>
      <c r="E156" s="31" t="n">
        <v>42000</v>
      </c>
      <c r="F156" s="31" t="n">
        <v>36864.08984375</v>
      </c>
      <c r="G156" s="31" t="n">
        <v>1091110</v>
      </c>
      <c r="H156" s="36" t="n">
        <v>0.01694915254237284</v>
      </c>
      <c r="I156" s="36" t="n">
        <v>-0.06040268456375841</v>
      </c>
      <c r="J156" s="31" t="n">
        <v>41525</v>
      </c>
      <c r="K156" s="31" t="n">
        <v>35858</v>
      </c>
      <c r="L156" s="31" t="n">
        <v>33994.83333333334</v>
      </c>
      <c r="M156" s="36" t="n">
        <v>0.519382850938098</v>
      </c>
      <c r="N156" s="36" t="n">
        <v>0.5559432549778639</v>
      </c>
      <c r="O156" s="36" t="n">
        <v>0.05527638190954764</v>
      </c>
      <c r="P156" s="36" t="n">
        <v>0.3291139240506329</v>
      </c>
      <c r="Q156" s="36" t="n">
        <v>0.3761467889908257</v>
      </c>
      <c r="R156" s="36" t="n">
        <v>0.01143889223359418</v>
      </c>
      <c r="S156" s="36" t="n">
        <v>0.1712867421495901</v>
      </c>
      <c r="T156" s="36" t="n">
        <v>0.2354818624398805</v>
      </c>
      <c r="U156" s="31" t="n">
        <v>44700</v>
      </c>
      <c r="V156" s="31" t="n">
        <v>22160</v>
      </c>
      <c r="W156" s="36" t="n">
        <v>-0.06040268456375841</v>
      </c>
      <c r="X156" s="36" t="n">
        <v>0.8953068592057762</v>
      </c>
      <c r="Y156" s="31" t="n">
        <v>76211850</v>
      </c>
      <c r="Z156" s="31" t="n">
        <v>3200897700000</v>
      </c>
      <c r="AA156" s="31" t="n">
        <v>45826620000</v>
      </c>
      <c r="AB156" s="31" t="n">
        <v>31158312200</v>
      </c>
      <c r="AC156" s="36" t="n">
        <v>0.01431680243951564</v>
      </c>
      <c r="AD156" s="29" t="inlineStr">
        <is>
          <t>yfinance_download</t>
        </is>
      </c>
      <c r="AE156" s="29" t="inlineStr">
        <is>
          <t>058470.KQ</t>
        </is>
      </c>
    </row>
    <row r="157" ht="24" customHeight="1">
      <c r="A157" s="24" t="inlineStr">
        <is>
          <t>2024-01-10</t>
        </is>
      </c>
      <c r="B157" s="30" t="n">
        <v>42000</v>
      </c>
      <c r="C157" s="30" t="n">
        <v>42300</v>
      </c>
      <c r="D157" s="30" t="n">
        <v>40600</v>
      </c>
      <c r="E157" s="30" t="n">
        <v>41800</v>
      </c>
      <c r="F157" s="30" t="n">
        <v>36688.546875</v>
      </c>
      <c r="G157" s="30" t="n">
        <v>502975</v>
      </c>
      <c r="H157" s="35" t="n">
        <v>-0.004761904761904745</v>
      </c>
      <c r="I157" s="35" t="n">
        <v>-0.06487695749440714</v>
      </c>
      <c r="J157" s="30" t="n">
        <v>41535</v>
      </c>
      <c r="K157" s="30" t="n">
        <v>36030.33333333334</v>
      </c>
      <c r="L157" s="30" t="n">
        <v>34085.33333333334</v>
      </c>
      <c r="M157" s="35" t="n">
        <v>0.4954784713265598</v>
      </c>
      <c r="N157" s="35" t="n">
        <v>0.5559685315587816</v>
      </c>
      <c r="O157" s="35" t="n">
        <v>0.004807692307692291</v>
      </c>
      <c r="P157" s="35" t="n">
        <v>0.3286713286713288</v>
      </c>
      <c r="Q157" s="35" t="n">
        <v>0.3510019392372334</v>
      </c>
      <c r="R157" s="35" t="n">
        <v>0.00638016130973873</v>
      </c>
      <c r="S157" s="35" t="n">
        <v>0.1601335911407979</v>
      </c>
      <c r="T157" s="35" t="n">
        <v>0.2263339070567985</v>
      </c>
      <c r="U157" s="30" t="n">
        <v>44700</v>
      </c>
      <c r="V157" s="30" t="n">
        <v>22160</v>
      </c>
      <c r="W157" s="35" t="n">
        <v>-0.06487695749440714</v>
      </c>
      <c r="X157" s="35" t="n">
        <v>0.8862815884476534</v>
      </c>
      <c r="Y157" s="30" t="n">
        <v>76211850</v>
      </c>
      <c r="Z157" s="30" t="n">
        <v>3185655330000</v>
      </c>
      <c r="AA157" s="30" t="n">
        <v>21024355000</v>
      </c>
      <c r="AB157" s="30" t="n">
        <v>30485605150</v>
      </c>
      <c r="AC157" s="35" t="n">
        <v>0.006599695454184618</v>
      </c>
      <c r="AD157" s="24" t="inlineStr">
        <is>
          <t>yfinance_download</t>
        </is>
      </c>
      <c r="AE157" s="24" t="inlineStr">
        <is>
          <t>058470.KQ</t>
        </is>
      </c>
    </row>
    <row r="158" ht="24" customHeight="1">
      <c r="A158" s="29" t="inlineStr">
        <is>
          <t>2024-01-11</t>
        </is>
      </c>
      <c r="B158" s="31" t="n">
        <v>41600</v>
      </c>
      <c r="C158" s="31" t="n">
        <v>42000</v>
      </c>
      <c r="D158" s="31" t="n">
        <v>40600</v>
      </c>
      <c r="E158" s="31" t="n">
        <v>40600</v>
      </c>
      <c r="F158" s="31" t="n">
        <v>35635.2890625</v>
      </c>
      <c r="G158" s="31" t="n">
        <v>630165</v>
      </c>
      <c r="H158" s="36" t="n">
        <v>-0.0287081339712919</v>
      </c>
      <c r="I158" s="36" t="n">
        <v>-0.09172259507829983</v>
      </c>
      <c r="J158" s="31" t="n">
        <v>41420</v>
      </c>
      <c r="K158" s="31" t="n">
        <v>36184.33333333334</v>
      </c>
      <c r="L158" s="31" t="n">
        <v>34162</v>
      </c>
      <c r="M158" s="36" t="n">
        <v>0.4921241906813147</v>
      </c>
      <c r="N158" s="36" t="n">
        <v>0.5600829671398819</v>
      </c>
      <c r="O158" s="36" t="n">
        <v>-0.05361305361305357</v>
      </c>
      <c r="P158" s="36" t="n">
        <v>0.2946428571428572</v>
      </c>
      <c r="Q158" s="36" t="n">
        <v>0.2929936305732483</v>
      </c>
      <c r="R158" s="36" t="n">
        <v>-0.01979719942056979</v>
      </c>
      <c r="S158" s="36" t="n">
        <v>0.1220325555258721</v>
      </c>
      <c r="T158" s="36" t="n">
        <v>0.1884550084889642</v>
      </c>
      <c r="U158" s="31" t="n">
        <v>44700</v>
      </c>
      <c r="V158" s="31" t="n">
        <v>22160</v>
      </c>
      <c r="W158" s="36" t="n">
        <v>-0.09172259507829983</v>
      </c>
      <c r="X158" s="36" t="n">
        <v>0.832129963898917</v>
      </c>
      <c r="Y158" s="31" t="n">
        <v>76211850</v>
      </c>
      <c r="Z158" s="31" t="n">
        <v>3094201110000</v>
      </c>
      <c r="AA158" s="31" t="n">
        <v>25584699000</v>
      </c>
      <c r="AB158" s="31" t="n">
        <v>30771265375</v>
      </c>
      <c r="AC158" s="36" t="n">
        <v>0.008268596025421243</v>
      </c>
      <c r="AD158" s="29" t="inlineStr">
        <is>
          <t>yfinance_download</t>
        </is>
      </c>
      <c r="AE158" s="29" t="inlineStr">
        <is>
          <t>058470.KQ</t>
        </is>
      </c>
    </row>
    <row r="159" ht="24" customHeight="1">
      <c r="A159" s="24" t="inlineStr">
        <is>
          <t>2024-01-12</t>
        </is>
      </c>
      <c r="B159" s="30" t="n">
        <v>40500</v>
      </c>
      <c r="C159" s="30" t="n">
        <v>41200</v>
      </c>
      <c r="D159" s="30" t="n">
        <v>40200</v>
      </c>
      <c r="E159" s="30" t="n">
        <v>40700</v>
      </c>
      <c r="F159" s="30" t="n">
        <v>35723.05859375</v>
      </c>
      <c r="G159" s="30" t="n">
        <v>338315</v>
      </c>
      <c r="H159" s="35" t="n">
        <v>0.002463054187192171</v>
      </c>
      <c r="I159" s="35" t="n">
        <v>-0.08948545861297541</v>
      </c>
      <c r="J159" s="30" t="n">
        <v>41340</v>
      </c>
      <c r="K159" s="30" t="n">
        <v>36333</v>
      </c>
      <c r="L159" s="30" t="n">
        <v>34234.33333333334</v>
      </c>
      <c r="M159" s="35" t="n">
        <v>0.4904091851272221</v>
      </c>
      <c r="N159" s="35" t="n">
        <v>0.5598229137014875</v>
      </c>
      <c r="O159" s="35" t="n">
        <v>-0.0378250591016549</v>
      </c>
      <c r="P159" s="35" t="n">
        <v>0.2806796727501573</v>
      </c>
      <c r="Q159" s="35" t="n">
        <v>0.2710805746408496</v>
      </c>
      <c r="R159" s="35" t="n">
        <v>-0.01548137397194005</v>
      </c>
      <c r="S159" s="35" t="n">
        <v>0.1201937632455343</v>
      </c>
      <c r="T159" s="35" t="n">
        <v>0.1888649796013748</v>
      </c>
      <c r="U159" s="30" t="n">
        <v>44700</v>
      </c>
      <c r="V159" s="30" t="n">
        <v>22160</v>
      </c>
      <c r="W159" s="35" t="n">
        <v>-0.08948545861297541</v>
      </c>
      <c r="X159" s="35" t="n">
        <v>0.8366425992779782</v>
      </c>
      <c r="Y159" s="30" t="n">
        <v>76211850</v>
      </c>
      <c r="Z159" s="30" t="n">
        <v>3101822295000</v>
      </c>
      <c r="AA159" s="30" t="n">
        <v>13769420500</v>
      </c>
      <c r="AB159" s="30" t="n">
        <v>29786337825</v>
      </c>
      <c r="AC159" s="35" t="n">
        <v>0.004439139057771199</v>
      </c>
      <c r="AD159" s="24" t="inlineStr">
        <is>
          <t>yfinance_download</t>
        </is>
      </c>
      <c r="AE159" s="24" t="inlineStr">
        <is>
          <t>058470.KQ</t>
        </is>
      </c>
    </row>
    <row r="160" ht="24" customHeight="1">
      <c r="A160" s="29" t="inlineStr">
        <is>
          <t>2024-01-15</t>
        </is>
      </c>
      <c r="B160" s="31" t="n">
        <v>40800</v>
      </c>
      <c r="C160" s="31" t="n">
        <v>41500</v>
      </c>
      <c r="D160" s="31" t="n">
        <v>39900</v>
      </c>
      <c r="E160" s="31" t="n">
        <v>40300</v>
      </c>
      <c r="F160" s="31" t="n">
        <v>35371.97265625</v>
      </c>
      <c r="G160" s="31" t="n">
        <v>439105</v>
      </c>
      <c r="H160" s="36" t="n">
        <v>-0.009828009828009798</v>
      </c>
      <c r="I160" s="36" t="n">
        <v>-0.09843400447427297</v>
      </c>
      <c r="J160" s="31" t="n">
        <v>41265</v>
      </c>
      <c r="K160" s="31" t="n">
        <v>36479</v>
      </c>
      <c r="L160" s="31" t="n">
        <v>34298</v>
      </c>
      <c r="M160" s="36" t="n">
        <v>0.4899032062872606</v>
      </c>
      <c r="N160" s="36" t="n">
        <v>0.5600553651959462</v>
      </c>
      <c r="O160" s="36" t="n">
        <v>-0.03588516746411485</v>
      </c>
      <c r="P160" s="36" t="n">
        <v>0.2777425491439443</v>
      </c>
      <c r="Q160" s="36" t="n">
        <v>0.2339252908756888</v>
      </c>
      <c r="R160" s="36" t="n">
        <v>-0.02338543559917605</v>
      </c>
      <c r="S160" s="36" t="n">
        <v>0.1047451958661147</v>
      </c>
      <c r="T160" s="36" t="n">
        <v>0.1749956265671468</v>
      </c>
      <c r="U160" s="31" t="n">
        <v>44700</v>
      </c>
      <c r="V160" s="31" t="n">
        <v>22160</v>
      </c>
      <c r="W160" s="36" t="n">
        <v>-0.09843400447427297</v>
      </c>
      <c r="X160" s="36" t="n">
        <v>0.8185920577617329</v>
      </c>
      <c r="Y160" s="31" t="n">
        <v>76211850</v>
      </c>
      <c r="Z160" s="31" t="n">
        <v>3071337555000</v>
      </c>
      <c r="AA160" s="31" t="n">
        <v>17695931500</v>
      </c>
      <c r="AB160" s="31" t="n">
        <v>29709107400</v>
      </c>
      <c r="AC160" s="36" t="n">
        <v>0.005761636805824816</v>
      </c>
      <c r="AD160" s="29" t="inlineStr">
        <is>
          <t>yfinance_download</t>
        </is>
      </c>
      <c r="AE160" s="29" t="inlineStr">
        <is>
          <t>058470.KQ</t>
        </is>
      </c>
    </row>
    <row r="161" ht="24" customHeight="1">
      <c r="A161" s="24" t="inlineStr">
        <is>
          <t>2024-01-16</t>
        </is>
      </c>
      <c r="B161" s="30" t="n">
        <v>40100</v>
      </c>
      <c r="C161" s="30" t="n">
        <v>40500</v>
      </c>
      <c r="D161" s="30" t="n">
        <v>39000</v>
      </c>
      <c r="E161" s="30" t="n">
        <v>39700</v>
      </c>
      <c r="F161" s="30" t="n">
        <v>34845.34375</v>
      </c>
      <c r="G161" s="30" t="n">
        <v>593205</v>
      </c>
      <c r="H161" s="35" t="n">
        <v>-0.01488833746898266</v>
      </c>
      <c r="I161" s="35" t="n">
        <v>-0.1118568232662193</v>
      </c>
      <c r="J161" s="30" t="n">
        <v>41185</v>
      </c>
      <c r="K161" s="30" t="n">
        <v>36622</v>
      </c>
      <c r="L161" s="30" t="n">
        <v>34361.33333333334</v>
      </c>
      <c r="M161" s="35" t="n">
        <v>0.4908501526520738</v>
      </c>
      <c r="N161" s="35" t="n">
        <v>0.5602803219514659</v>
      </c>
      <c r="O161" s="35" t="n">
        <v>-0.03874092009685226</v>
      </c>
      <c r="P161" s="35" t="n">
        <v>0.275706940874036</v>
      </c>
      <c r="Q161" s="35" t="n">
        <v>0.2367601246105919</v>
      </c>
      <c r="R161" s="35" t="n">
        <v>-0.03605681680223383</v>
      </c>
      <c r="S161" s="35" t="n">
        <v>0.0840478400961171</v>
      </c>
      <c r="T161" s="35" t="n">
        <v>0.1553684373908657</v>
      </c>
      <c r="U161" s="30" t="n">
        <v>44700</v>
      </c>
      <c r="V161" s="30" t="n">
        <v>22160</v>
      </c>
      <c r="W161" s="35" t="n">
        <v>-0.1118568232662193</v>
      </c>
      <c r="X161" s="35" t="n">
        <v>0.7915162454873645</v>
      </c>
      <c r="Y161" s="30" t="n">
        <v>76211850</v>
      </c>
      <c r="Z161" s="30" t="n">
        <v>3025610445000</v>
      </c>
      <c r="AA161" s="30" t="n">
        <v>23550238500</v>
      </c>
      <c r="AB161" s="30" t="n">
        <v>28591588650</v>
      </c>
      <c r="AC161" s="35" t="n">
        <v>0.007783632072965031</v>
      </c>
      <c r="AD161" s="24" t="inlineStr">
        <is>
          <t>yfinance_download</t>
        </is>
      </c>
      <c r="AE161" s="24" t="inlineStr">
        <is>
          <t>058470.KQ</t>
        </is>
      </c>
    </row>
    <row r="162" ht="24" customHeight="1">
      <c r="A162" s="29" t="inlineStr">
        <is>
          <t>2024-01-17</t>
        </is>
      </c>
      <c r="B162" s="31" t="n">
        <v>40000</v>
      </c>
      <c r="C162" s="31" t="n">
        <v>40500</v>
      </c>
      <c r="D162" s="31" t="n">
        <v>39260</v>
      </c>
      <c r="E162" s="31" t="n">
        <v>39420</v>
      </c>
      <c r="F162" s="31" t="n">
        <v>34599.58203125</v>
      </c>
      <c r="G162" s="31" t="n">
        <v>368090</v>
      </c>
      <c r="H162" s="36" t="n">
        <v>-0.007052896725440849</v>
      </c>
      <c r="I162" s="36" t="n">
        <v>-0.1181208053691275</v>
      </c>
      <c r="J162" s="31" t="n">
        <v>41126</v>
      </c>
      <c r="K162" s="31" t="n">
        <v>36763.33333333334</v>
      </c>
      <c r="L162" s="31" t="n">
        <v>34423.66666666666</v>
      </c>
      <c r="M162" s="36" t="n">
        <v>0.4879769558592995</v>
      </c>
      <c r="N162" s="36" t="n">
        <v>0.5603873052378257</v>
      </c>
      <c r="O162" s="36" t="n">
        <v>-0.02906403940886704</v>
      </c>
      <c r="P162" s="36" t="n">
        <v>0.2740788623141563</v>
      </c>
      <c r="Q162" s="36" t="n">
        <v>0.2341891045710707</v>
      </c>
      <c r="R162" s="36" t="n">
        <v>-0.04148227398725868</v>
      </c>
      <c r="S162" s="36" t="n">
        <v>0.07226403119049762</v>
      </c>
      <c r="T162" s="36" t="n">
        <v>0.1451423923463508</v>
      </c>
      <c r="U162" s="31" t="n">
        <v>44700</v>
      </c>
      <c r="V162" s="31" t="n">
        <v>22160</v>
      </c>
      <c r="W162" s="36" t="n">
        <v>-0.1181208053691275</v>
      </c>
      <c r="X162" s="36" t="n">
        <v>0.7788808664259927</v>
      </c>
      <c r="Y162" s="31" t="n">
        <v>76211850</v>
      </c>
      <c r="Z162" s="31" t="n">
        <v>3004271127000</v>
      </c>
      <c r="AA162" s="31" t="n">
        <v>14510107800</v>
      </c>
      <c r="AB162" s="31" t="n">
        <v>27431843190</v>
      </c>
      <c r="AC162" s="36" t="n">
        <v>0.004829826332781582</v>
      </c>
      <c r="AD162" s="29" t="inlineStr">
        <is>
          <t>yfinance_download</t>
        </is>
      </c>
      <c r="AE162" s="29" t="inlineStr">
        <is>
          <t>058470.KQ</t>
        </is>
      </c>
    </row>
    <row r="163" ht="24" customHeight="1">
      <c r="A163" s="24" t="inlineStr">
        <is>
          <t>2024-01-18</t>
        </is>
      </c>
      <c r="B163" s="30" t="n">
        <v>39740</v>
      </c>
      <c r="C163" s="30" t="n">
        <v>40200</v>
      </c>
      <c r="D163" s="30" t="n">
        <v>38820</v>
      </c>
      <c r="E163" s="30" t="n">
        <v>39820</v>
      </c>
      <c r="F163" s="30" t="n">
        <v>34950.66796875</v>
      </c>
      <c r="G163" s="30" t="n">
        <v>452530</v>
      </c>
      <c r="H163" s="35" t="n">
        <v>0.01014713343480467</v>
      </c>
      <c r="I163" s="35" t="n">
        <v>-0.1091722595078299</v>
      </c>
      <c r="J163" s="30" t="n">
        <v>41067</v>
      </c>
      <c r="K163" s="30" t="n">
        <v>36914.33333333334</v>
      </c>
      <c r="L163" s="30" t="n">
        <v>34486.16666666666</v>
      </c>
      <c r="M163" s="35" t="n">
        <v>0.4880653830973702</v>
      </c>
      <c r="N163" s="35" t="n">
        <v>0.5600707644735786</v>
      </c>
      <c r="O163" s="35" t="n">
        <v>-0.02878048780487807</v>
      </c>
      <c r="P163" s="35" t="n">
        <v>0.2945383615084525</v>
      </c>
      <c r="Q163" s="35" t="n">
        <v>0.2320544554455446</v>
      </c>
      <c r="R163" s="35" t="n">
        <v>-0.03036501327099617</v>
      </c>
      <c r="S163" s="35" t="n">
        <v>0.07871377874899532</v>
      </c>
      <c r="T163" s="35" t="n">
        <v>0.1546658805221419</v>
      </c>
      <c r="U163" s="30" t="n">
        <v>44700</v>
      </c>
      <c r="V163" s="30" t="n">
        <v>22160</v>
      </c>
      <c r="W163" s="35" t="n">
        <v>-0.1091722595078299</v>
      </c>
      <c r="X163" s="35" t="n">
        <v>0.7969314079422383</v>
      </c>
      <c r="Y163" s="30" t="n">
        <v>76211850</v>
      </c>
      <c r="Z163" s="30" t="n">
        <v>3034755867000</v>
      </c>
      <c r="AA163" s="30" t="n">
        <v>18019744600</v>
      </c>
      <c r="AB163" s="30" t="n">
        <v>27359254670</v>
      </c>
      <c r="AC163" s="35" t="n">
        <v>0.005937790514204812</v>
      </c>
      <c r="AD163" s="24" t="inlineStr">
        <is>
          <t>yfinance_download</t>
        </is>
      </c>
      <c r="AE163" s="24" t="inlineStr">
        <is>
          <t>058470.KQ</t>
        </is>
      </c>
    </row>
    <row r="164" ht="24" customHeight="1">
      <c r="A164" s="29" t="inlineStr">
        <is>
          <t>2024-01-19</t>
        </is>
      </c>
      <c r="B164" s="31" t="n">
        <v>41200</v>
      </c>
      <c r="C164" s="31" t="n">
        <v>42600</v>
      </c>
      <c r="D164" s="31" t="n">
        <v>41000</v>
      </c>
      <c r="E164" s="31" t="n">
        <v>42000</v>
      </c>
      <c r="F164" s="31" t="n">
        <v>36864.08984375</v>
      </c>
      <c r="G164" s="31" t="n">
        <v>1007480</v>
      </c>
      <c r="H164" s="36" t="n">
        <v>0.05474635861376198</v>
      </c>
      <c r="I164" s="36" t="n">
        <v>-0.06040268456375841</v>
      </c>
      <c r="J164" s="31" t="n">
        <v>41092</v>
      </c>
      <c r="K164" s="31" t="n">
        <v>37099.66666666666</v>
      </c>
      <c r="L164" s="31" t="n">
        <v>34566.66666666666</v>
      </c>
      <c r="M164" s="36" t="n">
        <v>0.525303750880996</v>
      </c>
      <c r="N164" s="36" t="n">
        <v>0.5693014178886685</v>
      </c>
      <c r="O164" s="36" t="n">
        <v>0.01204819277108427</v>
      </c>
      <c r="P164" s="36" t="n">
        <v>0.3601036269430051</v>
      </c>
      <c r="Q164" s="36" t="n">
        <v>0.2987012987012987</v>
      </c>
      <c r="R164" s="36" t="n">
        <v>0.0220967584931373</v>
      </c>
      <c r="S164" s="36" t="n">
        <v>0.1320856431773871</v>
      </c>
      <c r="T164" s="36" t="n">
        <v>0.2150433944069432</v>
      </c>
      <c r="U164" s="31" t="n">
        <v>44700</v>
      </c>
      <c r="V164" s="31" t="n">
        <v>22160</v>
      </c>
      <c r="W164" s="36" t="n">
        <v>-0.06040268456375841</v>
      </c>
      <c r="X164" s="36" t="n">
        <v>0.8953068592057762</v>
      </c>
      <c r="Y164" s="31" t="n">
        <v>76211850</v>
      </c>
      <c r="Z164" s="31" t="n">
        <v>3200897700000</v>
      </c>
      <c r="AA164" s="31" t="n">
        <v>42314160000</v>
      </c>
      <c r="AB164" s="31" t="n">
        <v>28362399545</v>
      </c>
      <c r="AC164" s="36" t="n">
        <v>0.01321946652653098</v>
      </c>
      <c r="AD164" s="29" t="inlineStr">
        <is>
          <t>yfinance_download</t>
        </is>
      </c>
      <c r="AE164" s="29" t="inlineStr">
        <is>
          <t>058470.KQ</t>
        </is>
      </c>
    </row>
    <row r="165" ht="24" customHeight="1">
      <c r="A165" s="24" t="inlineStr">
        <is>
          <t>2024-01-22</t>
        </is>
      </c>
      <c r="B165" s="30" t="n">
        <v>42900</v>
      </c>
      <c r="C165" s="30" t="n">
        <v>47700</v>
      </c>
      <c r="D165" s="30" t="n">
        <v>42200</v>
      </c>
      <c r="E165" s="30" t="n">
        <v>46800</v>
      </c>
      <c r="F165" s="30" t="n">
        <v>41077.12890625</v>
      </c>
      <c r="G165" s="30" t="n">
        <v>2589585</v>
      </c>
      <c r="H165" s="35" t="n">
        <v>0.1142857142857143</v>
      </c>
      <c r="I165" s="35" t="n">
        <v>0</v>
      </c>
      <c r="J165" s="30" t="n">
        <v>41387</v>
      </c>
      <c r="K165" s="30" t="n">
        <v>37367</v>
      </c>
      <c r="L165" s="30" t="n">
        <v>34681.83333333334</v>
      </c>
      <c r="M165" s="35" t="n">
        <v>0.6570004095441272</v>
      </c>
      <c r="N165" s="35" t="n">
        <v>0.6107636414481287</v>
      </c>
      <c r="O165" s="35" t="n">
        <v>0.1442542787286063</v>
      </c>
      <c r="P165" s="35" t="n">
        <v>0.5214564369310792</v>
      </c>
      <c r="Q165" s="35" t="n">
        <v>0.4190418435415404</v>
      </c>
      <c r="R165" s="35" t="n">
        <v>0.1307898615507286</v>
      </c>
      <c r="S165" s="35" t="n">
        <v>0.2524419942730216</v>
      </c>
      <c r="T165" s="35" t="n">
        <v>0.3494096332854375</v>
      </c>
      <c r="U165" s="30" t="n">
        <v>46800</v>
      </c>
      <c r="V165" s="30" t="n">
        <v>22160</v>
      </c>
      <c r="W165" s="35" t="n">
        <v>0</v>
      </c>
      <c r="X165" s="35" t="n">
        <v>1.111913357400722</v>
      </c>
      <c r="Y165" s="30" t="n">
        <v>76211850</v>
      </c>
      <c r="Z165" s="30" t="n">
        <v>3566714580000</v>
      </c>
      <c r="AA165" s="30" t="n">
        <v>121192578000</v>
      </c>
      <c r="AB165" s="30" t="n">
        <v>33488956295</v>
      </c>
      <c r="AC165" s="35" t="n">
        <v>0.03397877101789289</v>
      </c>
      <c r="AD165" s="24" t="inlineStr">
        <is>
          <t>yfinance_download</t>
        </is>
      </c>
      <c r="AE165" s="24" t="inlineStr">
        <is>
          <t>058470.KQ</t>
        </is>
      </c>
    </row>
    <row r="166" ht="24" customHeight="1">
      <c r="A166" s="29" t="inlineStr">
        <is>
          <t>2024-01-23</t>
        </is>
      </c>
      <c r="B166" s="31" t="n">
        <v>45800</v>
      </c>
      <c r="C166" s="31" t="n">
        <v>47200</v>
      </c>
      <c r="D166" s="31" t="n">
        <v>44900</v>
      </c>
      <c r="E166" s="31" t="n">
        <v>46000</v>
      </c>
      <c r="F166" s="31" t="n">
        <v>40374.95703125</v>
      </c>
      <c r="G166" s="31" t="n">
        <v>1258490</v>
      </c>
      <c r="H166" s="36" t="n">
        <v>-0.01709401709401714</v>
      </c>
      <c r="I166" s="36" t="n">
        <v>-0.01709401709401714</v>
      </c>
      <c r="J166" s="31" t="n">
        <v>41667</v>
      </c>
      <c r="K166" s="31" t="n">
        <v>37632.33333333334</v>
      </c>
      <c r="L166" s="31" t="n">
        <v>34794.33333333334</v>
      </c>
      <c r="M166" s="36" t="n">
        <v>0.6591668719401595</v>
      </c>
      <c r="N166" s="36" t="n">
        <v>0.6098038947785682</v>
      </c>
      <c r="O166" s="36" t="n">
        <v>0.1386138613861385</v>
      </c>
      <c r="P166" s="36" t="n">
        <v>0.5292553191489362</v>
      </c>
      <c r="Q166" s="36" t="n">
        <v>0.4153846153846155</v>
      </c>
      <c r="R166" s="36" t="n">
        <v>0.1039911680706553</v>
      </c>
      <c r="S166" s="36" t="n">
        <v>0.2223531183290963</v>
      </c>
      <c r="T166" s="36" t="n">
        <v>0.3220543575103225</v>
      </c>
      <c r="U166" s="31" t="n">
        <v>46800</v>
      </c>
      <c r="V166" s="31" t="n">
        <v>22160</v>
      </c>
      <c r="W166" s="36" t="n">
        <v>-0.01709401709401714</v>
      </c>
      <c r="X166" s="36" t="n">
        <v>1.075812274368231</v>
      </c>
      <c r="Y166" s="31" t="n">
        <v>76211850</v>
      </c>
      <c r="Z166" s="31" t="n">
        <v>3505745100000</v>
      </c>
      <c r="AA166" s="31" t="n">
        <v>57890540000</v>
      </c>
      <c r="AB166" s="31" t="n">
        <v>35550455495</v>
      </c>
      <c r="AC166" s="36" t="n">
        <v>0.01651304882377216</v>
      </c>
      <c r="AD166" s="29" t="inlineStr">
        <is>
          <t>yfinance_download</t>
        </is>
      </c>
      <c r="AE166" s="29" t="inlineStr">
        <is>
          <t>058470.KQ</t>
        </is>
      </c>
    </row>
    <row r="167" ht="24" customHeight="1">
      <c r="A167" s="24" t="inlineStr">
        <is>
          <t>2024-01-24</t>
        </is>
      </c>
      <c r="B167" s="30" t="n">
        <v>45500</v>
      </c>
      <c r="C167" s="30" t="n">
        <v>46200</v>
      </c>
      <c r="D167" s="30" t="n">
        <v>43100</v>
      </c>
      <c r="E167" s="30" t="n">
        <v>44800</v>
      </c>
      <c r="F167" s="30" t="n">
        <v>39321.6953125</v>
      </c>
      <c r="G167" s="30" t="n">
        <v>1027525</v>
      </c>
      <c r="H167" s="35" t="n">
        <v>-0.02608695652173909</v>
      </c>
      <c r="I167" s="35" t="n">
        <v>-0.04273504273504269</v>
      </c>
      <c r="J167" s="30" t="n">
        <v>41917</v>
      </c>
      <c r="K167" s="30" t="n">
        <v>37881.33333333334</v>
      </c>
      <c r="L167" s="30" t="n">
        <v>34885.33333333334</v>
      </c>
      <c r="M167" s="35" t="n">
        <v>0.6653511801774897</v>
      </c>
      <c r="N167" s="35" t="n">
        <v>0.6129963949433322</v>
      </c>
      <c r="O167" s="35" t="n">
        <v>0.1256281407035176</v>
      </c>
      <c r="P167" s="35" t="n">
        <v>0.5003348961821836</v>
      </c>
      <c r="Q167" s="35" t="n">
        <v>0.3223140495867769</v>
      </c>
      <c r="R167" s="35" t="n">
        <v>0.0687787771071402</v>
      </c>
      <c r="S167" s="35" t="n">
        <v>0.1826405265566153</v>
      </c>
      <c r="T167" s="35" t="n">
        <v>0.2842073077511083</v>
      </c>
      <c r="U167" s="30" t="n">
        <v>46800</v>
      </c>
      <c r="V167" s="30" t="n">
        <v>22160</v>
      </c>
      <c r="W167" s="35" t="n">
        <v>-0.04273504273504269</v>
      </c>
      <c r="X167" s="35" t="n">
        <v>1.021660649819494</v>
      </c>
      <c r="Y167" s="30" t="n">
        <v>76211850</v>
      </c>
      <c r="Z167" s="30" t="n">
        <v>3414290880000</v>
      </c>
      <c r="AA167" s="30" t="n">
        <v>46033120000</v>
      </c>
      <c r="AB167" s="30" t="n">
        <v>36656449845</v>
      </c>
      <c r="AC167" s="35" t="n">
        <v>0.01348248336708793</v>
      </c>
      <c r="AD167" s="24" t="inlineStr">
        <is>
          <t>yfinance_download</t>
        </is>
      </c>
      <c r="AE167" s="24" t="inlineStr">
        <is>
          <t>058470.KQ</t>
        </is>
      </c>
    </row>
    <row r="168" ht="24" customHeight="1">
      <c r="A168" s="29" t="inlineStr">
        <is>
          <t>2024-01-25</t>
        </is>
      </c>
      <c r="B168" s="31" t="n">
        <v>45600</v>
      </c>
      <c r="C168" s="31" t="n">
        <v>46300</v>
      </c>
      <c r="D168" s="31" t="n">
        <v>44400</v>
      </c>
      <c r="E168" s="31" t="n">
        <v>45000</v>
      </c>
      <c r="F168" s="31" t="n">
        <v>39497.2421875</v>
      </c>
      <c r="G168" s="31" t="n">
        <v>962565</v>
      </c>
      <c r="H168" s="36" t="n">
        <v>0.004464285714285809</v>
      </c>
      <c r="I168" s="36" t="n">
        <v>-0.03846153846153844</v>
      </c>
      <c r="J168" s="31" t="n">
        <v>42137</v>
      </c>
      <c r="K168" s="31" t="n">
        <v>38140.66666666666</v>
      </c>
      <c r="L168" s="31" t="n">
        <v>34972.16666666666</v>
      </c>
      <c r="M168" s="36" t="n">
        <v>0.6634973396620303</v>
      </c>
      <c r="N168" s="36" t="n">
        <v>0.6113879979702397</v>
      </c>
      <c r="O168" s="36" t="n">
        <v>0.1083743842364533</v>
      </c>
      <c r="P168" s="36" t="n">
        <v>0.5285326086956521</v>
      </c>
      <c r="Q168" s="36" t="n">
        <v>0.3013302486986698</v>
      </c>
      <c r="R168" s="36" t="n">
        <v>0.06794503642879191</v>
      </c>
      <c r="S168" s="36" t="n">
        <v>0.1798430371781652</v>
      </c>
      <c r="T168" s="36" t="n">
        <v>0.2867375484313717</v>
      </c>
      <c r="U168" s="31" t="n">
        <v>46800</v>
      </c>
      <c r="V168" s="31" t="n">
        <v>22160</v>
      </c>
      <c r="W168" s="36" t="n">
        <v>-0.03846153846153844</v>
      </c>
      <c r="X168" s="36" t="n">
        <v>1.030685920577617</v>
      </c>
      <c r="Y168" s="31" t="n">
        <v>76211850</v>
      </c>
      <c r="Z168" s="31" t="n">
        <v>3429533250000</v>
      </c>
      <c r="AA168" s="31" t="n">
        <v>43315425000</v>
      </c>
      <c r="AB168" s="31" t="n">
        <v>37785571145</v>
      </c>
      <c r="AC168" s="36" t="n">
        <v>0.01263012248095277</v>
      </c>
      <c r="AD168" s="29" t="inlineStr">
        <is>
          <t>yfinance_download</t>
        </is>
      </c>
      <c r="AE168" s="29" t="inlineStr">
        <is>
          <t>058470.KQ</t>
        </is>
      </c>
    </row>
    <row r="169" ht="24" customHeight="1">
      <c r="A169" s="24" t="inlineStr">
        <is>
          <t>2024-01-26</t>
        </is>
      </c>
      <c r="B169" s="30" t="n">
        <v>43700</v>
      </c>
      <c r="C169" s="30" t="n">
        <v>44600</v>
      </c>
      <c r="D169" s="30" t="n">
        <v>42600</v>
      </c>
      <c r="E169" s="30" t="n">
        <v>43400</v>
      </c>
      <c r="F169" s="30" t="n">
        <v>38092.890625</v>
      </c>
      <c r="G169" s="30" t="n">
        <v>887860</v>
      </c>
      <c r="H169" s="35" t="n">
        <v>-0.03555555555555556</v>
      </c>
      <c r="I169" s="35" t="n">
        <v>-0.07264957264957261</v>
      </c>
      <c r="J169" s="30" t="n">
        <v>42227</v>
      </c>
      <c r="K169" s="30" t="n">
        <v>38405.66666666666</v>
      </c>
      <c r="L169" s="30" t="n">
        <v>35052.83333333334</v>
      </c>
      <c r="M169" s="35" t="n">
        <v>0.6753148671937993</v>
      </c>
      <c r="N169" s="35" t="n">
        <v>0.5988004235569713</v>
      </c>
      <c r="O169" s="35" t="n">
        <v>0.04326923076923084</v>
      </c>
      <c r="P169" s="35" t="n">
        <v>0.5781818181818181</v>
      </c>
      <c r="Q169" s="35" t="n">
        <v>0.2870699881376038</v>
      </c>
      <c r="R169" s="35" t="n">
        <v>0.02777843559807702</v>
      </c>
      <c r="S169" s="35" t="n">
        <v>0.1300415737260996</v>
      </c>
      <c r="T169" s="35" t="n">
        <v>0.2381310117584408</v>
      </c>
      <c r="U169" s="30" t="n">
        <v>46800</v>
      </c>
      <c r="V169" s="30" t="n">
        <v>22160</v>
      </c>
      <c r="W169" s="35" t="n">
        <v>-0.07264957264957261</v>
      </c>
      <c r="X169" s="35" t="n">
        <v>0.9584837545126355</v>
      </c>
      <c r="Y169" s="30" t="n">
        <v>76211850</v>
      </c>
      <c r="Z169" s="30" t="n">
        <v>3307594290000</v>
      </c>
      <c r="AA169" s="30" t="n">
        <v>38533124000</v>
      </c>
      <c r="AB169" s="30" t="n">
        <v>38388400945</v>
      </c>
      <c r="AC169" s="35" t="n">
        <v>0.01164989434057827</v>
      </c>
      <c r="AD169" s="24" t="inlineStr">
        <is>
          <t>yfinance_download</t>
        </is>
      </c>
      <c r="AE169" s="24" t="inlineStr">
        <is>
          <t>058470.KQ</t>
        </is>
      </c>
    </row>
    <row r="170" ht="24" customHeight="1">
      <c r="A170" s="29" t="inlineStr">
        <is>
          <t>2024-01-29</t>
        </is>
      </c>
      <c r="B170" s="31" t="n">
        <v>43900</v>
      </c>
      <c r="C170" s="31" t="n">
        <v>44000</v>
      </c>
      <c r="D170" s="31" t="n">
        <v>42200</v>
      </c>
      <c r="E170" s="31" t="n">
        <v>42600</v>
      </c>
      <c r="F170" s="31" t="n">
        <v>37390.71875</v>
      </c>
      <c r="G170" s="31" t="n">
        <v>795065</v>
      </c>
      <c r="H170" s="36" t="n">
        <v>-0.01843317972350234</v>
      </c>
      <c r="I170" s="36" t="n">
        <v>-0.08974358974358976</v>
      </c>
      <c r="J170" s="31" t="n">
        <v>42332</v>
      </c>
      <c r="K170" s="31" t="n">
        <v>38652</v>
      </c>
      <c r="L170" s="31" t="n">
        <v>35124.5</v>
      </c>
      <c r="M170" s="36" t="n">
        <v>0.6712789737414575</v>
      </c>
      <c r="N170" s="36" t="n">
        <v>0.6012508893924655</v>
      </c>
      <c r="O170" s="36" t="n">
        <v>0.05185185185185182</v>
      </c>
      <c r="P170" s="36" t="n">
        <v>0.531272465851905</v>
      </c>
      <c r="Q170" s="36" t="n">
        <v>0.2529411764705882</v>
      </c>
      <c r="R170" s="36" t="n">
        <v>0.006330908060096396</v>
      </c>
      <c r="S170" s="36" t="n">
        <v>0.1021421918658802</v>
      </c>
      <c r="T170" s="36" t="n">
        <v>0.2128286523651581</v>
      </c>
      <c r="U170" s="31" t="n">
        <v>46800</v>
      </c>
      <c r="V170" s="31" t="n">
        <v>22160</v>
      </c>
      <c r="W170" s="36" t="n">
        <v>-0.08974358974358976</v>
      </c>
      <c r="X170" s="36" t="n">
        <v>0.9223826714801444</v>
      </c>
      <c r="Y170" s="31" t="n">
        <v>76211850</v>
      </c>
      <c r="Z170" s="31" t="n">
        <v>3246624810000</v>
      </c>
      <c r="AA170" s="31" t="n">
        <v>33869769000</v>
      </c>
      <c r="AB170" s="31" t="n">
        <v>39027633895</v>
      </c>
      <c r="AC170" s="36" t="n">
        <v>0.01043230153840905</v>
      </c>
      <c r="AD170" s="29" t="inlineStr">
        <is>
          <t>yfinance_download</t>
        </is>
      </c>
      <c r="AE170" s="29" t="inlineStr">
        <is>
          <t>058470.KQ</t>
        </is>
      </c>
    </row>
    <row r="171" ht="24" customHeight="1">
      <c r="A171" s="24" t="inlineStr">
        <is>
          <t>2024-01-30</t>
        </is>
      </c>
      <c r="B171" s="30" t="n">
        <v>43000</v>
      </c>
      <c r="C171" s="30" t="n">
        <v>43100</v>
      </c>
      <c r="D171" s="30" t="n">
        <v>40800</v>
      </c>
      <c r="E171" s="30" t="n">
        <v>42100</v>
      </c>
      <c r="F171" s="30" t="n">
        <v>36951.86328125</v>
      </c>
      <c r="G171" s="30" t="n">
        <v>894355</v>
      </c>
      <c r="H171" s="35" t="n">
        <v>-0.01173708920187788</v>
      </c>
      <c r="I171" s="35" t="n">
        <v>-0.1004273504273504</v>
      </c>
      <c r="J171" s="30" t="n">
        <v>42202</v>
      </c>
      <c r="K171" s="30" t="n">
        <v>38864</v>
      </c>
      <c r="L171" s="30" t="n">
        <v>35199.83333333334</v>
      </c>
      <c r="M171" s="35" t="n">
        <v>0.557857289903903</v>
      </c>
      <c r="N171" s="35" t="n">
        <v>0.5940129812920977</v>
      </c>
      <c r="O171" s="35" t="n">
        <v>-0.05816554809843399</v>
      </c>
      <c r="P171" s="35" t="n">
        <v>0.4329475833900613</v>
      </c>
      <c r="Q171" s="35" t="n">
        <v>0.2734422262552934</v>
      </c>
      <c r="R171" s="35" t="n">
        <v>-0.002416947064120212</v>
      </c>
      <c r="S171" s="35" t="n">
        <v>0.0832647179909427</v>
      </c>
      <c r="T171" s="35" t="n">
        <v>0.1960283902859388</v>
      </c>
      <c r="U171" s="30" t="n">
        <v>46800</v>
      </c>
      <c r="V171" s="30" t="n">
        <v>22160</v>
      </c>
      <c r="W171" s="35" t="n">
        <v>-0.1004273504273504</v>
      </c>
      <c r="X171" s="35" t="n">
        <v>0.8998194945848375</v>
      </c>
      <c r="Y171" s="30" t="n">
        <v>76211850</v>
      </c>
      <c r="Z171" s="30" t="n">
        <v>3208518885000</v>
      </c>
      <c r="AA171" s="30" t="n">
        <v>37652345500</v>
      </c>
      <c r="AB171" s="30" t="n">
        <v>37212186645</v>
      </c>
      <c r="AC171" s="35" t="n">
        <v>0.01173511730787273</v>
      </c>
      <c r="AD171" s="24" t="inlineStr">
        <is>
          <t>yfinance_download</t>
        </is>
      </c>
      <c r="AE171" s="24" t="inlineStr">
        <is>
          <t>058470.KQ</t>
        </is>
      </c>
    </row>
    <row r="172" ht="24" customHeight="1">
      <c r="A172" s="29" t="inlineStr">
        <is>
          <t>2024-01-31</t>
        </is>
      </c>
      <c r="B172" s="31" t="n">
        <v>40700</v>
      </c>
      <c r="C172" s="31" t="n">
        <v>41300</v>
      </c>
      <c r="D172" s="31" t="n">
        <v>39520</v>
      </c>
      <c r="E172" s="31" t="n">
        <v>39780</v>
      </c>
      <c r="F172" s="31" t="n">
        <v>34915.55859375</v>
      </c>
      <c r="G172" s="31" t="n">
        <v>1181000</v>
      </c>
      <c r="H172" s="36" t="n">
        <v>-0.05510688836104516</v>
      </c>
      <c r="I172" s="36" t="n">
        <v>-0.15</v>
      </c>
      <c r="J172" s="31" t="n">
        <v>42051</v>
      </c>
      <c r="K172" s="31" t="n">
        <v>39043.66666666666</v>
      </c>
      <c r="L172" s="31" t="n">
        <v>35258.83333333334</v>
      </c>
      <c r="M172" s="36" t="n">
        <v>0.5714909148630749</v>
      </c>
      <c r="N172" s="36" t="n">
        <v>0.6061217021892815</v>
      </c>
      <c r="O172" s="36" t="n">
        <v>-0.07056074766355136</v>
      </c>
      <c r="P172" s="36" t="n">
        <v>0.3717241379310345</v>
      </c>
      <c r="Q172" s="36" t="n">
        <v>0.2165137614678898</v>
      </c>
      <c r="R172" s="36" t="n">
        <v>-0.05400585003923808</v>
      </c>
      <c r="S172" s="36" t="n">
        <v>0.01885922599482637</v>
      </c>
      <c r="T172" s="36" t="n">
        <v>0.1282279145178749</v>
      </c>
      <c r="U172" s="31" t="n">
        <v>46800</v>
      </c>
      <c r="V172" s="31" t="n">
        <v>22160</v>
      </c>
      <c r="W172" s="36" t="n">
        <v>-0.15</v>
      </c>
      <c r="X172" s="36" t="n">
        <v>0.7951263537906137</v>
      </c>
      <c r="Y172" s="31" t="n">
        <v>76211850</v>
      </c>
      <c r="Z172" s="31" t="n">
        <v>3031707393000</v>
      </c>
      <c r="AA172" s="31" t="n">
        <v>46980180000</v>
      </c>
      <c r="AB172" s="31" t="n">
        <v>37232875645</v>
      </c>
      <c r="AC172" s="36" t="n">
        <v>0.01549627780981567</v>
      </c>
      <c r="AD172" s="29" t="inlineStr">
        <is>
          <t>yfinance_download</t>
        </is>
      </c>
      <c r="AE172" s="29" t="inlineStr">
        <is>
          <t>058470.KQ</t>
        </is>
      </c>
    </row>
    <row r="173" ht="24" customHeight="1">
      <c r="A173" s="24" t="inlineStr">
        <is>
          <t>2024-02-01</t>
        </is>
      </c>
      <c r="B173" s="30" t="n">
        <v>39720</v>
      </c>
      <c r="C173" s="30" t="n">
        <v>40500</v>
      </c>
      <c r="D173" s="30" t="n">
        <v>38620</v>
      </c>
      <c r="E173" s="30" t="n">
        <v>39460</v>
      </c>
      <c r="F173" s="30" t="n">
        <v>34634.69140625</v>
      </c>
      <c r="G173" s="30" t="n">
        <v>877750</v>
      </c>
      <c r="H173" s="35" t="n">
        <v>-0.008044243338360957</v>
      </c>
      <c r="I173" s="35" t="n">
        <v>-0.1568376068376068</v>
      </c>
      <c r="J173" s="30" t="n">
        <v>41919</v>
      </c>
      <c r="K173" s="30" t="n">
        <v>39209.66666666666</v>
      </c>
      <c r="L173" s="30" t="n">
        <v>35312.33333333334</v>
      </c>
      <c r="M173" s="35" t="n">
        <v>0.5696849014491555</v>
      </c>
      <c r="N173" s="35" t="n">
        <v>0.6063278242474073</v>
      </c>
      <c r="O173" s="35" t="n">
        <v>-0.06270783847980999</v>
      </c>
      <c r="P173" s="35" t="n">
        <v>0.3376271186440678</v>
      </c>
      <c r="Q173" s="35" t="n">
        <v>0.1943099273607749</v>
      </c>
      <c r="R173" s="35" t="n">
        <v>-0.0586607504950023</v>
      </c>
      <c r="S173" s="35" t="n">
        <v>0.006384480017682881</v>
      </c>
      <c r="T173" s="35" t="n">
        <v>0.1174566015650811</v>
      </c>
      <c r="U173" s="30" t="n">
        <v>46800</v>
      </c>
      <c r="V173" s="30" t="n">
        <v>22160</v>
      </c>
      <c r="W173" s="35" t="n">
        <v>-0.1568376068376068</v>
      </c>
      <c r="X173" s="35" t="n">
        <v>0.7806859205776173</v>
      </c>
      <c r="Y173" s="30" t="n">
        <v>76211850</v>
      </c>
      <c r="Z173" s="30" t="n">
        <v>3007319601000</v>
      </c>
      <c r="AA173" s="30" t="n">
        <v>34636015000</v>
      </c>
      <c r="AB173" s="30" t="n">
        <v>37660323670</v>
      </c>
      <c r="AC173" s="35" t="n">
        <v>0.01151723780488205</v>
      </c>
      <c r="AD173" s="24" t="inlineStr">
        <is>
          <t>yfinance_download</t>
        </is>
      </c>
      <c r="AE173" s="24" t="inlineStr">
        <is>
          <t>058470.KQ</t>
        </is>
      </c>
    </row>
    <row r="174" ht="24" customHeight="1">
      <c r="A174" s="29" t="inlineStr">
        <is>
          <t>2024-02-02</t>
        </is>
      </c>
      <c r="B174" s="31" t="n">
        <v>39820</v>
      </c>
      <c r="C174" s="31" t="n">
        <v>41100</v>
      </c>
      <c r="D174" s="31" t="n">
        <v>39260</v>
      </c>
      <c r="E174" s="31" t="n">
        <v>40100</v>
      </c>
      <c r="F174" s="31" t="n">
        <v>35196.4296875</v>
      </c>
      <c r="G174" s="31" t="n">
        <v>641020</v>
      </c>
      <c r="H174" s="36" t="n">
        <v>0.01621895590471367</v>
      </c>
      <c r="I174" s="36" t="n">
        <v>-0.1431623931623932</v>
      </c>
      <c r="J174" s="31" t="n">
        <v>41884</v>
      </c>
      <c r="K174" s="31" t="n">
        <v>39394.33333333334</v>
      </c>
      <c r="L174" s="31" t="n">
        <v>35374.66666666666</v>
      </c>
      <c r="M174" s="36" t="n">
        <v>0.5632181213112926</v>
      </c>
      <c r="N174" s="36" t="n">
        <v>0.6049893390005263</v>
      </c>
      <c r="O174" s="36" t="n">
        <v>-0.01715686274509809</v>
      </c>
      <c r="P174" s="36" t="n">
        <v>0.3818056512749828</v>
      </c>
      <c r="Q174" s="36" t="n">
        <v>0.2293071735131822</v>
      </c>
      <c r="R174" s="36" t="n">
        <v>-0.04259383057969635</v>
      </c>
      <c r="S174" s="36" t="n">
        <v>0.01791289779409899</v>
      </c>
      <c r="T174" s="36" t="n">
        <v>0.1335795861445104</v>
      </c>
      <c r="U174" s="31" t="n">
        <v>46800</v>
      </c>
      <c r="V174" s="31" t="n">
        <v>22160</v>
      </c>
      <c r="W174" s="36" t="n">
        <v>-0.1431623931623932</v>
      </c>
      <c r="X174" s="36" t="n">
        <v>0.8095667870036101</v>
      </c>
      <c r="Y174" s="31" t="n">
        <v>76211850</v>
      </c>
      <c r="Z174" s="31" t="n">
        <v>3056095185000</v>
      </c>
      <c r="AA174" s="31" t="n">
        <v>25704902000</v>
      </c>
      <c r="AB174" s="31" t="n">
        <v>36537114170</v>
      </c>
      <c r="AC174" s="36" t="n">
        <v>0.008411027943817135</v>
      </c>
      <c r="AD174" s="29" t="inlineStr">
        <is>
          <t>yfinance_download</t>
        </is>
      </c>
      <c r="AE174" s="29" t="inlineStr">
        <is>
          <t>058470.KQ</t>
        </is>
      </c>
    </row>
    <row r="175" ht="24" customHeight="1">
      <c r="A175" s="24" t="inlineStr">
        <is>
          <t>2024-02-05</t>
        </is>
      </c>
      <c r="B175" s="30" t="n">
        <v>39840</v>
      </c>
      <c r="C175" s="30" t="n">
        <v>39920</v>
      </c>
      <c r="D175" s="30" t="n">
        <v>38520</v>
      </c>
      <c r="E175" s="30" t="n">
        <v>38560</v>
      </c>
      <c r="F175" s="30" t="n">
        <v>33844.74609375</v>
      </c>
      <c r="G175" s="30" t="n">
        <v>706200</v>
      </c>
      <c r="H175" s="35" t="n">
        <v>-0.03840399002493766</v>
      </c>
      <c r="I175" s="35" t="n">
        <v>-0.1760683760683761</v>
      </c>
      <c r="J175" s="30" t="n">
        <v>41747</v>
      </c>
      <c r="K175" s="30" t="n">
        <v>39561.66666666666</v>
      </c>
      <c r="L175" s="30" t="n">
        <v>35429.5</v>
      </c>
      <c r="M175" s="35" t="n">
        <v>0.5767969645875275</v>
      </c>
      <c r="N175" s="35" t="n">
        <v>0.6100103206884364</v>
      </c>
      <c r="O175" s="35" t="n">
        <v>-0.06634382566585961</v>
      </c>
      <c r="P175" s="35" t="n">
        <v>0.3520336605890604</v>
      </c>
      <c r="Q175" s="35" t="n">
        <v>0.2057535959974985</v>
      </c>
      <c r="R175" s="35" t="n">
        <v>-0.07634081490885569</v>
      </c>
      <c r="S175" s="35" t="n">
        <v>-0.02531912204575126</v>
      </c>
      <c r="T175" s="35" t="n">
        <v>0.08835857124712465</v>
      </c>
      <c r="U175" s="30" t="n">
        <v>46800</v>
      </c>
      <c r="V175" s="30" t="n">
        <v>22160</v>
      </c>
      <c r="W175" s="35" t="n">
        <v>-0.1760683760683761</v>
      </c>
      <c r="X175" s="35" t="n">
        <v>0.7400722021660651</v>
      </c>
      <c r="Y175" s="30" t="n">
        <v>76211850</v>
      </c>
      <c r="Z175" s="30" t="n">
        <v>2938728936000</v>
      </c>
      <c r="AA175" s="30" t="n">
        <v>27231072000</v>
      </c>
      <c r="AB175" s="30" t="n">
        <v>36766717370</v>
      </c>
      <c r="AC175" s="35" t="n">
        <v>0.009266275520145488</v>
      </c>
      <c r="AD175" s="24" t="inlineStr">
        <is>
          <t>yfinance_download</t>
        </is>
      </c>
      <c r="AE175" s="24" t="inlineStr">
        <is>
          <t>058470.KQ</t>
        </is>
      </c>
    </row>
    <row r="176" ht="24" customHeight="1">
      <c r="A176" s="29" t="inlineStr">
        <is>
          <t>2024-02-06</t>
        </is>
      </c>
      <c r="B176" s="31" t="n">
        <v>38400</v>
      </c>
      <c r="C176" s="31" t="n">
        <v>39900</v>
      </c>
      <c r="D176" s="31" t="n">
        <v>37580</v>
      </c>
      <c r="E176" s="31" t="n">
        <v>39540</v>
      </c>
      <c r="F176" s="31" t="n">
        <v>34704.91015625</v>
      </c>
      <c r="G176" s="31" t="n">
        <v>747260</v>
      </c>
      <c r="H176" s="36" t="n">
        <v>0.02541493775933601</v>
      </c>
      <c r="I176" s="36" t="n">
        <v>-0.1551282051282051</v>
      </c>
      <c r="J176" s="31" t="n">
        <v>41624</v>
      </c>
      <c r="K176" s="31" t="n">
        <v>39736.66666666666</v>
      </c>
      <c r="L176" s="31" t="n">
        <v>35491.33333333334</v>
      </c>
      <c r="M176" s="36" t="n">
        <v>0.5814099704329995</v>
      </c>
      <c r="N176" s="36" t="n">
        <v>0.6108159333028846</v>
      </c>
      <c r="O176" s="36" t="n">
        <v>-0.05857142857142861</v>
      </c>
      <c r="P176" s="36" t="n">
        <v>0.3615702479338843</v>
      </c>
      <c r="Q176" s="36" t="n">
        <v>0.2310087173100872</v>
      </c>
      <c r="R176" s="36" t="n">
        <v>-0.05006726888333657</v>
      </c>
      <c r="S176" s="36" t="n">
        <v>-0.004949249224058372</v>
      </c>
      <c r="T176" s="36" t="n">
        <v>0.1140747976031706</v>
      </c>
      <c r="U176" s="31" t="n">
        <v>46800</v>
      </c>
      <c r="V176" s="31" t="n">
        <v>22160</v>
      </c>
      <c r="W176" s="36" t="n">
        <v>-0.1551282051282051</v>
      </c>
      <c r="X176" s="36" t="n">
        <v>0.7842960288808665</v>
      </c>
      <c r="Y176" s="31" t="n">
        <v>76211850</v>
      </c>
      <c r="Z176" s="31" t="n">
        <v>3013416549000</v>
      </c>
      <c r="AA176" s="31" t="n">
        <v>29546660400</v>
      </c>
      <c r="AB176" s="31" t="n">
        <v>35952719390</v>
      </c>
      <c r="AC176" s="36" t="n">
        <v>0.009805036880747547</v>
      </c>
      <c r="AD176" s="29" t="inlineStr">
        <is>
          <t>yfinance_download</t>
        </is>
      </c>
      <c r="AE176" s="29" t="inlineStr">
        <is>
          <t>058470.KQ</t>
        </is>
      </c>
    </row>
    <row r="177" ht="24" customHeight="1">
      <c r="A177" s="24" t="inlineStr">
        <is>
          <t>2024-02-07</t>
        </is>
      </c>
      <c r="B177" s="30" t="n">
        <v>39540</v>
      </c>
      <c r="C177" s="30" t="n">
        <v>40300</v>
      </c>
      <c r="D177" s="30" t="n">
        <v>38600</v>
      </c>
      <c r="E177" s="30" t="n">
        <v>38900</v>
      </c>
      <c r="F177" s="30" t="n">
        <v>34143.16796875</v>
      </c>
      <c r="G177" s="30" t="n">
        <v>474780</v>
      </c>
      <c r="H177" s="35" t="n">
        <v>-0.01618614061709656</v>
      </c>
      <c r="I177" s="35" t="n">
        <v>-0.1688034188034188</v>
      </c>
      <c r="J177" s="30" t="n">
        <v>41479</v>
      </c>
      <c r="K177" s="30" t="n">
        <v>39898</v>
      </c>
      <c r="L177" s="30" t="n">
        <v>35553.16666666666</v>
      </c>
      <c r="M177" s="35" t="n">
        <v>0.5834366911379668</v>
      </c>
      <c r="N177" s="35" t="n">
        <v>0.612482303912355</v>
      </c>
      <c r="O177" s="35" t="n">
        <v>-0.06937799043062198</v>
      </c>
      <c r="P177" s="35" t="n">
        <v>0.3312799452429842</v>
      </c>
      <c r="Q177" s="35" t="n">
        <v>0.235705209656925</v>
      </c>
      <c r="R177" s="35" t="n">
        <v>-0.06217604088816031</v>
      </c>
      <c r="S177" s="35" t="n">
        <v>-0.02501378515213792</v>
      </c>
      <c r="T177" s="35" t="n">
        <v>0.09413601226332391</v>
      </c>
      <c r="U177" s="30" t="n">
        <v>46800</v>
      </c>
      <c r="V177" s="30" t="n">
        <v>22160</v>
      </c>
      <c r="W177" s="35" t="n">
        <v>-0.1688034188034188</v>
      </c>
      <c r="X177" s="35" t="n">
        <v>0.7554151624548737</v>
      </c>
      <c r="Y177" s="30" t="n">
        <v>76211850</v>
      </c>
      <c r="Z177" s="30" t="n">
        <v>2964640965000</v>
      </c>
      <c r="AA177" s="30" t="n">
        <v>18468942000</v>
      </c>
      <c r="AB177" s="30" t="n">
        <v>35824948740</v>
      </c>
      <c r="AC177" s="35" t="n">
        <v>0.006229739863288977</v>
      </c>
      <c r="AD177" s="24" t="inlineStr">
        <is>
          <t>yfinance_download</t>
        </is>
      </c>
      <c r="AE177" s="24" t="inlineStr">
        <is>
          <t>058470.KQ</t>
        </is>
      </c>
    </row>
    <row r="178" ht="24" customHeight="1">
      <c r="A178" s="29" t="inlineStr">
        <is>
          <t>2024-02-08</t>
        </is>
      </c>
      <c r="B178" s="31" t="n">
        <v>40600</v>
      </c>
      <c r="C178" s="31" t="n">
        <v>41400</v>
      </c>
      <c r="D178" s="31" t="n">
        <v>39460</v>
      </c>
      <c r="E178" s="31" t="n">
        <v>40400</v>
      </c>
      <c r="F178" s="31" t="n">
        <v>35459.74609375</v>
      </c>
      <c r="G178" s="31" t="n">
        <v>1316805</v>
      </c>
      <c r="H178" s="36" t="n">
        <v>0.03856041131105403</v>
      </c>
      <c r="I178" s="36" t="n">
        <v>-0.1367521367521367</v>
      </c>
      <c r="J178" s="31" t="n">
        <v>41469</v>
      </c>
      <c r="K178" s="31" t="n">
        <v>40092.66666666666</v>
      </c>
      <c r="L178" s="31" t="n">
        <v>35631.66666666666</v>
      </c>
      <c r="M178" s="36" t="n">
        <v>0.5928625231657318</v>
      </c>
      <c r="N178" s="36" t="n">
        <v>0.6143354085066201</v>
      </c>
      <c r="O178" s="36" t="n">
        <v>-0.00492610837438423</v>
      </c>
      <c r="P178" s="36" t="n">
        <v>0.4066852367688023</v>
      </c>
      <c r="Q178" s="36" t="n">
        <v>0.3040671400903809</v>
      </c>
      <c r="R178" s="36" t="n">
        <v>-0.02577829221828354</v>
      </c>
      <c r="S178" s="36" t="n">
        <v>0.007665574751825055</v>
      </c>
      <c r="T178" s="36" t="n">
        <v>0.1338229103325694</v>
      </c>
      <c r="U178" s="31" t="n">
        <v>46800</v>
      </c>
      <c r="V178" s="31" t="n">
        <v>22160</v>
      </c>
      <c r="W178" s="36" t="n">
        <v>-0.1367521367521367</v>
      </c>
      <c r="X178" s="36" t="n">
        <v>0.8231046931407942</v>
      </c>
      <c r="Y178" s="31" t="n">
        <v>76211850</v>
      </c>
      <c r="Z178" s="31" t="n">
        <v>3078958740000</v>
      </c>
      <c r="AA178" s="31" t="n">
        <v>53198922000</v>
      </c>
      <c r="AB178" s="31" t="n">
        <v>37205659890</v>
      </c>
      <c r="AC178" s="36" t="n">
        <v>0.01727821854475387</v>
      </c>
      <c r="AD178" s="29" t="inlineStr">
        <is>
          <t>yfinance_download</t>
        </is>
      </c>
      <c r="AE178" s="29" t="inlineStr">
        <is>
          <t>058470.KQ</t>
        </is>
      </c>
    </row>
    <row r="179" ht="24" customHeight="1">
      <c r="A179" s="24" t="inlineStr">
        <is>
          <t>2024-02-13</t>
        </is>
      </c>
      <c r="B179" s="30" t="n">
        <v>42000</v>
      </c>
      <c r="C179" s="30" t="n">
        <v>45100</v>
      </c>
      <c r="D179" s="30" t="n">
        <v>40400</v>
      </c>
      <c r="E179" s="30" t="n">
        <v>43800</v>
      </c>
      <c r="F179" s="30" t="n">
        <v>38443.984375</v>
      </c>
      <c r="G179" s="30" t="n">
        <v>2708045</v>
      </c>
      <c r="H179" s="35" t="n">
        <v>0.08415841584158423</v>
      </c>
      <c r="I179" s="35" t="n">
        <v>-0.0641025641025641</v>
      </c>
      <c r="J179" s="30" t="n">
        <v>41624</v>
      </c>
      <c r="K179" s="30" t="n">
        <v>40332.66666666666</v>
      </c>
      <c r="L179" s="30" t="n">
        <v>35730.33333333334</v>
      </c>
      <c r="M179" s="35" t="n">
        <v>0.6633727846330003</v>
      </c>
      <c r="N179" s="35" t="n">
        <v>0.6337931491771431</v>
      </c>
      <c r="O179" s="35" t="n">
        <v>0.07616707616707608</v>
      </c>
      <c r="P179" s="35" t="n">
        <v>0.489795918367347</v>
      </c>
      <c r="Q179" s="35" t="n">
        <v>0.3704630788485608</v>
      </c>
      <c r="R179" s="35" t="n">
        <v>0.0522775321929656</v>
      </c>
      <c r="S179" s="35" t="n">
        <v>0.08596836311344003</v>
      </c>
      <c r="T179" s="35" t="n">
        <v>0.2258491850994953</v>
      </c>
      <c r="U179" s="30" t="n">
        <v>46800</v>
      </c>
      <c r="V179" s="30" t="n">
        <v>22160</v>
      </c>
      <c r="W179" s="35" t="n">
        <v>-0.0641025641025641</v>
      </c>
      <c r="X179" s="35" t="n">
        <v>0.976534296028881</v>
      </c>
      <c r="Y179" s="30" t="n">
        <v>76211850</v>
      </c>
      <c r="Z179" s="30" t="n">
        <v>3338079030000</v>
      </c>
      <c r="AA179" s="30" t="n">
        <v>118612371000</v>
      </c>
      <c r="AB179" s="30" t="n">
        <v>42447807415</v>
      </c>
      <c r="AC179" s="35" t="n">
        <v>0.03553312247373604</v>
      </c>
      <c r="AD179" s="24" t="inlineStr">
        <is>
          <t>yfinance_download</t>
        </is>
      </c>
      <c r="AE179" s="24" t="inlineStr">
        <is>
          <t>058470.KQ</t>
        </is>
      </c>
    </row>
    <row r="180" ht="24" customHeight="1">
      <c r="A180" s="29" t="inlineStr">
        <is>
          <t>2024-02-14</t>
        </is>
      </c>
      <c r="B180" s="31" t="n">
        <v>41800</v>
      </c>
      <c r="C180" s="31" t="n">
        <v>44300</v>
      </c>
      <c r="D180" s="31" t="n">
        <v>41100</v>
      </c>
      <c r="E180" s="31" t="n">
        <v>43500</v>
      </c>
      <c r="F180" s="31" t="n">
        <v>38180.6640625</v>
      </c>
      <c r="G180" s="31" t="n">
        <v>1341920</v>
      </c>
      <c r="H180" s="36" t="n">
        <v>-0.006849315068493178</v>
      </c>
      <c r="I180" s="36" t="n">
        <v>-0.07051282051282048</v>
      </c>
      <c r="J180" s="31" t="n">
        <v>41784</v>
      </c>
      <c r="K180" s="31" t="n">
        <v>40565.33333333334</v>
      </c>
      <c r="L180" s="31" t="n">
        <v>35826</v>
      </c>
      <c r="M180" s="36" t="n">
        <v>0.6626045574588966</v>
      </c>
      <c r="N180" s="36" t="n">
        <v>0.6344472018554081</v>
      </c>
      <c r="O180" s="36" t="n">
        <v>0.07940446650124078</v>
      </c>
      <c r="P180" s="36" t="n">
        <v>0.4725795531482735</v>
      </c>
      <c r="Q180" s="36" t="n">
        <v>0.358525921299188</v>
      </c>
      <c r="R180" s="36" t="n">
        <v>0.04106835152211374</v>
      </c>
      <c r="S180" s="36" t="n">
        <v>0.07234420194583224</v>
      </c>
      <c r="T180" s="36" t="n">
        <v>0.2142019762183889</v>
      </c>
      <c r="U180" s="31" t="n">
        <v>46800</v>
      </c>
      <c r="V180" s="31" t="n">
        <v>22160</v>
      </c>
      <c r="W180" s="36" t="n">
        <v>-0.07051282051282048</v>
      </c>
      <c r="X180" s="36" t="n">
        <v>0.9629963898916967</v>
      </c>
      <c r="Y180" s="31" t="n">
        <v>76211850</v>
      </c>
      <c r="Z180" s="31" t="n">
        <v>3315215475000</v>
      </c>
      <c r="AA180" s="31" t="n">
        <v>58373520000</v>
      </c>
      <c r="AB180" s="31" t="n">
        <v>44481686840</v>
      </c>
      <c r="AC180" s="36" t="n">
        <v>0.01760776047294483</v>
      </c>
      <c r="AD180" s="29" t="inlineStr">
        <is>
          <t>yfinance_download</t>
        </is>
      </c>
      <c r="AE180" s="29" t="inlineStr">
        <is>
          <t>058470.KQ</t>
        </is>
      </c>
    </row>
    <row r="181" ht="24" customHeight="1">
      <c r="A181" s="24" t="inlineStr">
        <is>
          <t>2024-02-15</t>
        </is>
      </c>
      <c r="B181" s="30" t="n">
        <v>44000</v>
      </c>
      <c r="C181" s="30" t="n">
        <v>44600</v>
      </c>
      <c r="D181" s="30" t="n">
        <v>43000</v>
      </c>
      <c r="E181" s="30" t="n">
        <v>43500</v>
      </c>
      <c r="F181" s="30" t="n">
        <v>38180.6640625</v>
      </c>
      <c r="G181" s="30" t="n">
        <v>667495</v>
      </c>
      <c r="H181" s="35" t="n">
        <v>0</v>
      </c>
      <c r="I181" s="35" t="n">
        <v>-0.07051282051282048</v>
      </c>
      <c r="J181" s="30" t="n">
        <v>41974</v>
      </c>
      <c r="K181" s="30" t="n">
        <v>40726</v>
      </c>
      <c r="L181" s="30" t="n">
        <v>35923</v>
      </c>
      <c r="M181" s="35" t="n">
        <v>0.6588855400636482</v>
      </c>
      <c r="N181" s="35" t="n">
        <v>0.5645142536092665</v>
      </c>
      <c r="O181" s="35" t="n">
        <v>0.09571788413098248</v>
      </c>
      <c r="P181" s="35" t="n">
        <v>0.2847017129356173</v>
      </c>
      <c r="Q181" s="35" t="n">
        <v>0.3653483992467044</v>
      </c>
      <c r="R181" s="35" t="n">
        <v>0.03635583932910857</v>
      </c>
      <c r="S181" s="35" t="n">
        <v>0.06811373569709778</v>
      </c>
      <c r="T181" s="35" t="n">
        <v>0.2109233638615928</v>
      </c>
      <c r="U181" s="30" t="n">
        <v>46800</v>
      </c>
      <c r="V181" s="30" t="n">
        <v>22160</v>
      </c>
      <c r="W181" s="35" t="n">
        <v>-0.07051282051282048</v>
      </c>
      <c r="X181" s="35" t="n">
        <v>0.9629963898916967</v>
      </c>
      <c r="Y181" s="30" t="n">
        <v>76211850</v>
      </c>
      <c r="Z181" s="30" t="n">
        <v>3315215475000</v>
      </c>
      <c r="AA181" s="30" t="n">
        <v>29036032500</v>
      </c>
      <c r="AB181" s="30" t="n">
        <v>44755976540</v>
      </c>
      <c r="AC181" s="35" t="n">
        <v>0.008758414865929641</v>
      </c>
      <c r="AD181" s="24" t="inlineStr">
        <is>
          <t>yfinance_download</t>
        </is>
      </c>
      <c r="AE181" s="24" t="inlineStr">
        <is>
          <t>058470.KQ</t>
        </is>
      </c>
    </row>
    <row r="182" ht="24" customHeight="1">
      <c r="A182" s="29" t="inlineStr">
        <is>
          <t>2024-02-16</t>
        </is>
      </c>
      <c r="B182" s="31" t="n">
        <v>43100</v>
      </c>
      <c r="C182" s="31" t="n">
        <v>43700</v>
      </c>
      <c r="D182" s="31" t="n">
        <v>41400</v>
      </c>
      <c r="E182" s="31" t="n">
        <v>41900</v>
      </c>
      <c r="F182" s="31" t="n">
        <v>36776.3203125</v>
      </c>
      <c r="G182" s="31" t="n">
        <v>867810</v>
      </c>
      <c r="H182" s="36" t="n">
        <v>-0.0367816091954023</v>
      </c>
      <c r="I182" s="36" t="n">
        <v>-0.1047008547008547</v>
      </c>
      <c r="J182" s="31" t="n">
        <v>42098</v>
      </c>
      <c r="K182" s="31" t="n">
        <v>40845</v>
      </c>
      <c r="L182" s="31" t="n">
        <v>35995.83333333334</v>
      </c>
      <c r="M182" s="36" t="n">
        <v>0.6745846220788883</v>
      </c>
      <c r="N182" s="36" t="n">
        <v>0.5689827444990533</v>
      </c>
      <c r="O182" s="36" t="n">
        <v>0.06291222729578894</v>
      </c>
      <c r="P182" s="36" t="n">
        <v>0.2054085155350978</v>
      </c>
      <c r="Q182" s="36" t="n">
        <v>0.2635705669481303</v>
      </c>
      <c r="R182" s="36" t="n">
        <v>-0.004703311321202941</v>
      </c>
      <c r="S182" s="36" t="n">
        <v>0.02582935487819804</v>
      </c>
      <c r="T182" s="36" t="n">
        <v>0.1640236138441948</v>
      </c>
      <c r="U182" s="31" t="n">
        <v>46800</v>
      </c>
      <c r="V182" s="31" t="n">
        <v>22160</v>
      </c>
      <c r="W182" s="36" t="n">
        <v>-0.1047008547008547</v>
      </c>
      <c r="X182" s="36" t="n">
        <v>0.8907942238267148</v>
      </c>
      <c r="Y182" s="31" t="n">
        <v>76211850</v>
      </c>
      <c r="Z182" s="31" t="n">
        <v>3193276515000</v>
      </c>
      <c r="AA182" s="31" t="n">
        <v>36361239000</v>
      </c>
      <c r="AB182" s="31" t="n">
        <v>45848533100</v>
      </c>
      <c r="AC182" s="36" t="n">
        <v>0.01138681189342602</v>
      </c>
      <c r="AD182" s="29" t="inlineStr">
        <is>
          <t>yfinance_download</t>
        </is>
      </c>
      <c r="AE182" s="29" t="inlineStr">
        <is>
          <t>058470.KQ</t>
        </is>
      </c>
    </row>
    <row r="183" ht="24" customHeight="1">
      <c r="A183" s="24" t="inlineStr">
        <is>
          <t>2024-02-19</t>
        </is>
      </c>
      <c r="B183" s="30" t="n">
        <v>41300</v>
      </c>
      <c r="C183" s="30" t="n">
        <v>42200</v>
      </c>
      <c r="D183" s="30" t="n">
        <v>41100</v>
      </c>
      <c r="E183" s="30" t="n">
        <v>41700</v>
      </c>
      <c r="F183" s="30" t="n">
        <v>36600.77734375</v>
      </c>
      <c r="G183" s="30" t="n">
        <v>527250</v>
      </c>
      <c r="H183" s="35" t="n">
        <v>-0.004773269689737458</v>
      </c>
      <c r="I183" s="35" t="n">
        <v>-0.1089743589743589</v>
      </c>
      <c r="J183" s="30" t="n">
        <v>42192</v>
      </c>
      <c r="K183" s="30" t="n">
        <v>40944</v>
      </c>
      <c r="L183" s="30" t="n">
        <v>36073.33333333334</v>
      </c>
      <c r="M183" s="35" t="n">
        <v>0.6748268648285896</v>
      </c>
      <c r="N183" s="35" t="n">
        <v>0.5668263148806073</v>
      </c>
      <c r="O183" s="35" t="n">
        <v>0.04721245605223512</v>
      </c>
      <c r="P183" s="35" t="n">
        <v>0.1661073825503356</v>
      </c>
      <c r="Q183" s="35" t="n">
        <v>0.287037037037037</v>
      </c>
      <c r="R183" s="35" t="n">
        <v>-0.01166097838452784</v>
      </c>
      <c r="S183" s="35" t="n">
        <v>0.01846424384525203</v>
      </c>
      <c r="T183" s="35" t="n">
        <v>0.1559785621881351</v>
      </c>
      <c r="U183" s="30" t="n">
        <v>46800</v>
      </c>
      <c r="V183" s="30" t="n">
        <v>22160</v>
      </c>
      <c r="W183" s="35" t="n">
        <v>-0.1089743589743589</v>
      </c>
      <c r="X183" s="35" t="n">
        <v>0.8817689530685922</v>
      </c>
      <c r="Y183" s="30" t="n">
        <v>76211850</v>
      </c>
      <c r="Z183" s="30" t="n">
        <v>3178034145000</v>
      </c>
      <c r="AA183" s="30" t="n">
        <v>21986325000</v>
      </c>
      <c r="AB183" s="30" t="n">
        <v>46046862120</v>
      </c>
      <c r="AC183" s="35" t="n">
        <v>0.006918215474365207</v>
      </c>
      <c r="AD183" s="24" t="inlineStr">
        <is>
          <t>yfinance_download</t>
        </is>
      </c>
      <c r="AE183" s="24" t="inlineStr">
        <is>
          <t>058470.KQ</t>
        </is>
      </c>
    </row>
    <row r="184" ht="24" customHeight="1">
      <c r="A184" s="29" t="inlineStr">
        <is>
          <t>2024-02-20</t>
        </is>
      </c>
      <c r="B184" s="31" t="n">
        <v>41300</v>
      </c>
      <c r="C184" s="31" t="n">
        <v>41600</v>
      </c>
      <c r="D184" s="31" t="n">
        <v>40900</v>
      </c>
      <c r="E184" s="31" t="n">
        <v>41400</v>
      </c>
      <c r="F184" s="31" t="n">
        <v>36337.4609375</v>
      </c>
      <c r="G184" s="31" t="n">
        <v>531645</v>
      </c>
      <c r="H184" s="36" t="n">
        <v>-0.007194244604316502</v>
      </c>
      <c r="I184" s="36" t="n">
        <v>-0.1153846153846154</v>
      </c>
      <c r="J184" s="31" t="n">
        <v>42162</v>
      </c>
      <c r="K184" s="31" t="n">
        <v>41021.33333333334</v>
      </c>
      <c r="L184" s="31" t="n">
        <v>36146.5</v>
      </c>
      <c r="M184" s="36" t="n">
        <v>0.6472561644085427</v>
      </c>
      <c r="N184" s="36" t="n">
        <v>0.5648337455519866</v>
      </c>
      <c r="O184" s="36" t="n">
        <v>-0.01428571428571423</v>
      </c>
      <c r="P184" s="36" t="n">
        <v>0.1262241566920566</v>
      </c>
      <c r="Q184" s="36" t="n">
        <v>0.2691600245248313</v>
      </c>
      <c r="R184" s="36" t="n">
        <v>-0.01807314643517854</v>
      </c>
      <c r="S184" s="36" t="n">
        <v>0.009230969251771359</v>
      </c>
      <c r="T184" s="36" t="n">
        <v>0.1453391061375238</v>
      </c>
      <c r="U184" s="31" t="n">
        <v>46800</v>
      </c>
      <c r="V184" s="31" t="n">
        <v>22160</v>
      </c>
      <c r="W184" s="36" t="n">
        <v>-0.1153846153846154</v>
      </c>
      <c r="X184" s="36" t="n">
        <v>0.8682310469314078</v>
      </c>
      <c r="Y184" s="31" t="n">
        <v>76211850</v>
      </c>
      <c r="Z184" s="31" t="n">
        <v>3155170590000</v>
      </c>
      <c r="AA184" s="31" t="n">
        <v>22010103000</v>
      </c>
      <c r="AB184" s="31" t="n">
        <v>45031659270</v>
      </c>
      <c r="AC184" s="36" t="n">
        <v>0.006975883671633742</v>
      </c>
      <c r="AD184" s="29" t="inlineStr">
        <is>
          <t>yfinance_download</t>
        </is>
      </c>
      <c r="AE184" s="29" t="inlineStr">
        <is>
          <t>058470.KQ</t>
        </is>
      </c>
    </row>
    <row r="185" ht="24" customHeight="1">
      <c r="A185" s="24" t="inlineStr">
        <is>
          <t>2024-02-21</t>
        </is>
      </c>
      <c r="B185" s="30" t="n">
        <v>40600</v>
      </c>
      <c r="C185" s="30" t="n">
        <v>41300</v>
      </c>
      <c r="D185" s="30" t="n">
        <v>40200</v>
      </c>
      <c r="E185" s="30" t="n">
        <v>40900</v>
      </c>
      <c r="F185" s="30" t="n">
        <v>35898.60546875</v>
      </c>
      <c r="G185" s="30" t="n">
        <v>526910</v>
      </c>
      <c r="H185" s="35" t="n">
        <v>-0.01207729468599039</v>
      </c>
      <c r="I185" s="35" t="n">
        <v>-0.1260683760683761</v>
      </c>
      <c r="J185" s="30" t="n">
        <v>41867</v>
      </c>
      <c r="K185" s="30" t="n">
        <v>41088.33333333334</v>
      </c>
      <c r="L185" s="30" t="n">
        <v>36210.66666666666</v>
      </c>
      <c r="M185" s="35" t="n">
        <v>0.4870282245665966</v>
      </c>
      <c r="N185" s="35" t="n">
        <v>0.5656293314069377</v>
      </c>
      <c r="O185" s="35" t="n">
        <v>-0.1260683760683761</v>
      </c>
      <c r="P185" s="35" t="n">
        <v>0.109002169197397</v>
      </c>
      <c r="Q185" s="35" t="n">
        <v>0.2319277108433735</v>
      </c>
      <c r="R185" s="35" t="n">
        <v>-0.02309694986504884</v>
      </c>
      <c r="S185" s="35" t="n">
        <v>-0.004583620654687093</v>
      </c>
      <c r="T185" s="35" t="n">
        <v>0.1295014360409457</v>
      </c>
      <c r="U185" s="30" t="n">
        <v>46800</v>
      </c>
      <c r="V185" s="30" t="n">
        <v>22160</v>
      </c>
      <c r="W185" s="35" t="n">
        <v>-0.1260683760683761</v>
      </c>
      <c r="X185" s="35" t="n">
        <v>0.8456678700361011</v>
      </c>
      <c r="Y185" s="30" t="n">
        <v>76211850</v>
      </c>
      <c r="Z185" s="30" t="n">
        <v>3117064665000</v>
      </c>
      <c r="AA185" s="30" t="n">
        <v>21550619000</v>
      </c>
      <c r="AB185" s="30" t="n">
        <v>40049561320</v>
      </c>
      <c r="AC185" s="35" t="n">
        <v>0.00691375422588482</v>
      </c>
      <c r="AD185" s="24" t="inlineStr">
        <is>
          <t>yfinance_download</t>
        </is>
      </c>
      <c r="AE185" s="24" t="inlineStr">
        <is>
          <t>058470.KQ</t>
        </is>
      </c>
    </row>
    <row r="186" ht="24" customHeight="1">
      <c r="A186" s="29" t="inlineStr">
        <is>
          <t>2024-02-22</t>
        </is>
      </c>
      <c r="B186" s="31" t="n">
        <v>42200</v>
      </c>
      <c r="C186" s="31" t="n">
        <v>42600</v>
      </c>
      <c r="D186" s="31" t="n">
        <v>40400</v>
      </c>
      <c r="E186" s="31" t="n">
        <v>40800</v>
      </c>
      <c r="F186" s="31" t="n">
        <v>35810.83203125</v>
      </c>
      <c r="G186" s="31" t="n">
        <v>910815</v>
      </c>
      <c r="H186" s="36" t="n">
        <v>-0.00244498777506108</v>
      </c>
      <c r="I186" s="36" t="n">
        <v>-0.1282051282051282</v>
      </c>
      <c r="J186" s="31" t="n">
        <v>41607</v>
      </c>
      <c r="K186" s="31" t="n">
        <v>41176.33333333334</v>
      </c>
      <c r="L186" s="31" t="n">
        <v>36268.66666666666</v>
      </c>
      <c r="M186" s="36" t="n">
        <v>0.4854857394371599</v>
      </c>
      <c r="N186" s="36" t="n">
        <v>0.5598076574256469</v>
      </c>
      <c r="O186" s="36" t="n">
        <v>-0.1130434782608696</v>
      </c>
      <c r="P186" s="36" t="n">
        <v>0.1486486486486487</v>
      </c>
      <c r="Q186" s="36" t="n">
        <v>0.2056737588652482</v>
      </c>
      <c r="R186" s="36" t="n">
        <v>-0.01939577474944121</v>
      </c>
      <c r="S186" s="36" t="n">
        <v>-0.009139554274704809</v>
      </c>
      <c r="T186" s="36" t="n">
        <v>0.1249379629799827</v>
      </c>
      <c r="U186" s="31" t="n">
        <v>46800</v>
      </c>
      <c r="V186" s="31" t="n">
        <v>22160</v>
      </c>
      <c r="W186" s="36" t="n">
        <v>-0.1282051282051282</v>
      </c>
      <c r="X186" s="36" t="n">
        <v>0.8411552346570397</v>
      </c>
      <c r="Y186" s="31" t="n">
        <v>76211850</v>
      </c>
      <c r="Z186" s="31" t="n">
        <v>3109443480000</v>
      </c>
      <c r="AA186" s="31" t="n">
        <v>37161252000</v>
      </c>
      <c r="AB186" s="31" t="n">
        <v>39013096920</v>
      </c>
      <c r="AC186" s="36" t="n">
        <v>0.01195109421959971</v>
      </c>
      <c r="AD186" s="29" t="inlineStr">
        <is>
          <t>yfinance_download</t>
        </is>
      </c>
      <c r="AE186" s="29" t="inlineStr">
        <is>
          <t>058470.KQ</t>
        </is>
      </c>
    </row>
    <row r="187" ht="24" customHeight="1">
      <c r="A187" s="24" t="inlineStr">
        <is>
          <t>2024-02-23</t>
        </is>
      </c>
      <c r="B187" s="30" t="n">
        <v>41400</v>
      </c>
      <c r="C187" s="30" t="n">
        <v>41700</v>
      </c>
      <c r="D187" s="30" t="n">
        <v>39420</v>
      </c>
      <c r="E187" s="30" t="n">
        <v>39880</v>
      </c>
      <c r="F187" s="30" t="n">
        <v>35003.33203125</v>
      </c>
      <c r="G187" s="30" t="n">
        <v>1289165</v>
      </c>
      <c r="H187" s="35" t="n">
        <v>-0.02254901960784317</v>
      </c>
      <c r="I187" s="35" t="n">
        <v>-0.1478632478632479</v>
      </c>
      <c r="J187" s="30" t="n">
        <v>41361</v>
      </c>
      <c r="K187" s="30" t="n">
        <v>41256</v>
      </c>
      <c r="L187" s="30" t="n">
        <v>36325.33333333334</v>
      </c>
      <c r="M187" s="35" t="n">
        <v>0.4836590625042858</v>
      </c>
      <c r="N187" s="35" t="n">
        <v>0.5614417646514707</v>
      </c>
      <c r="O187" s="35" t="n">
        <v>-0.1098214285714286</v>
      </c>
      <c r="P187" s="35" t="n">
        <v>0.1361823361823362</v>
      </c>
      <c r="Q187" s="35" t="n">
        <v>0.2055622732769045</v>
      </c>
      <c r="R187" s="35" t="n">
        <v>-0.03580667778825464</v>
      </c>
      <c r="S187" s="35" t="n">
        <v>-0.03335272445220094</v>
      </c>
      <c r="T187" s="35" t="n">
        <v>0.09785640875055046</v>
      </c>
      <c r="U187" s="30" t="n">
        <v>46800</v>
      </c>
      <c r="V187" s="30" t="n">
        <v>22160</v>
      </c>
      <c r="W187" s="35" t="n">
        <v>-0.1478632478632479</v>
      </c>
      <c r="X187" s="35" t="n">
        <v>0.7996389891696751</v>
      </c>
      <c r="Y187" s="30" t="n">
        <v>76211850</v>
      </c>
      <c r="Z187" s="30" t="n">
        <v>3039328578000</v>
      </c>
      <c r="AA187" s="30" t="n">
        <v>51411900200</v>
      </c>
      <c r="AB187" s="30" t="n">
        <v>39282035930</v>
      </c>
      <c r="AC187" s="35" t="n">
        <v>0.0169155452859365</v>
      </c>
      <c r="AD187" s="24" t="inlineStr">
        <is>
          <t>yfinance_download</t>
        </is>
      </c>
      <c r="AE187" s="24" t="inlineStr">
        <is>
          <t>058470.KQ</t>
        </is>
      </c>
    </row>
    <row r="188" ht="24" customHeight="1">
      <c r="A188" s="29" t="inlineStr">
        <is>
          <t>2024-02-26</t>
        </is>
      </c>
      <c r="B188" s="31" t="n">
        <v>39440</v>
      </c>
      <c r="C188" s="31" t="n">
        <v>40400</v>
      </c>
      <c r="D188" s="31" t="n">
        <v>39160</v>
      </c>
      <c r="E188" s="31" t="n">
        <v>39960</v>
      </c>
      <c r="F188" s="31" t="n">
        <v>35073.55078125</v>
      </c>
      <c r="G188" s="31" t="n">
        <v>557085</v>
      </c>
      <c r="H188" s="36" t="n">
        <v>0.002006018054162562</v>
      </c>
      <c r="I188" s="36" t="n">
        <v>-0.1461538461538462</v>
      </c>
      <c r="J188" s="31" t="n">
        <v>41109</v>
      </c>
      <c r="K188" s="31" t="n">
        <v>41270.33333333334</v>
      </c>
      <c r="L188" s="31" t="n">
        <v>36384.5</v>
      </c>
      <c r="M188" s="36" t="n">
        <v>0.4830747469623876</v>
      </c>
      <c r="N188" s="36" t="n">
        <v>0.5113481221065194</v>
      </c>
      <c r="O188" s="36" t="n">
        <v>-0.112</v>
      </c>
      <c r="P188" s="36" t="n">
        <v>0.02199488491048585</v>
      </c>
      <c r="Q188" s="36" t="n">
        <v>0.2160681679853926</v>
      </c>
      <c r="R188" s="36" t="n">
        <v>-0.02795008392322851</v>
      </c>
      <c r="S188" s="36" t="n">
        <v>-0.03175000605762013</v>
      </c>
      <c r="T188" s="36" t="n">
        <v>0.09826986766342816</v>
      </c>
      <c r="U188" s="31" t="n">
        <v>46800</v>
      </c>
      <c r="V188" s="31" t="n">
        <v>22160</v>
      </c>
      <c r="W188" s="36" t="n">
        <v>-0.1461538461538462</v>
      </c>
      <c r="X188" s="36" t="n">
        <v>0.8032490974729243</v>
      </c>
      <c r="Y188" s="31" t="n">
        <v>76211850</v>
      </c>
      <c r="Z188" s="31" t="n">
        <v>3045425526000</v>
      </c>
      <c r="AA188" s="31" t="n">
        <v>22261116600</v>
      </c>
      <c r="AB188" s="31" t="n">
        <v>38229320510</v>
      </c>
      <c r="AC188" s="36" t="n">
        <v>0.007309690028519187</v>
      </c>
      <c r="AD188" s="29" t="inlineStr">
        <is>
          <t>yfinance_download</t>
        </is>
      </c>
      <c r="AE188" s="29" t="inlineStr">
        <is>
          <t>058470.KQ</t>
        </is>
      </c>
    </row>
    <row r="189" ht="24" customHeight="1">
      <c r="A189" s="24" t="inlineStr">
        <is>
          <t>2024-02-27</t>
        </is>
      </c>
      <c r="B189" s="30" t="n">
        <v>39820</v>
      </c>
      <c r="C189" s="30" t="n">
        <v>39920</v>
      </c>
      <c r="D189" s="30" t="n">
        <v>39400</v>
      </c>
      <c r="E189" s="30" t="n">
        <v>39400</v>
      </c>
      <c r="F189" s="30" t="n">
        <v>34582.02734375</v>
      </c>
      <c r="G189" s="30" t="n">
        <v>434640</v>
      </c>
      <c r="H189" s="35" t="n">
        <v>-0.01401401401401403</v>
      </c>
      <c r="I189" s="35" t="n">
        <v>-0.1581196581196581</v>
      </c>
      <c r="J189" s="30" t="n">
        <v>40909</v>
      </c>
      <c r="K189" s="30" t="n">
        <v>41289.33333333334</v>
      </c>
      <c r="L189" s="30" t="n">
        <v>36432.83333333334</v>
      </c>
      <c r="M189" s="35" t="n">
        <v>0.4711979122007952</v>
      </c>
      <c r="N189" s="35" t="n">
        <v>0.5101820637903662</v>
      </c>
      <c r="O189" s="35" t="n">
        <v>-0.09216589861751157</v>
      </c>
      <c r="P189" s="35" t="n">
        <v>0.02979613173026663</v>
      </c>
      <c r="Q189" s="35" t="n">
        <v>0.1726190476190477</v>
      </c>
      <c r="R189" s="35" t="n">
        <v>-0.03688674863721919</v>
      </c>
      <c r="S189" s="35" t="n">
        <v>-0.04575838796137832</v>
      </c>
      <c r="T189" s="35" t="n">
        <v>0.0814421057928516</v>
      </c>
      <c r="U189" s="30" t="n">
        <v>46800</v>
      </c>
      <c r="V189" s="30" t="n">
        <v>22160</v>
      </c>
      <c r="W189" s="35" t="n">
        <v>-0.1581196581196581</v>
      </c>
      <c r="X189" s="35" t="n">
        <v>0.7779783393501805</v>
      </c>
      <c r="Y189" s="30" t="n">
        <v>76211850</v>
      </c>
      <c r="Z189" s="30" t="n">
        <v>3002746890000</v>
      </c>
      <c r="AA189" s="30" t="n">
        <v>17124816000</v>
      </c>
      <c r="AB189" s="30" t="n">
        <v>37158905110</v>
      </c>
      <c r="AC189" s="35" t="n">
        <v>0.005703050116222083</v>
      </c>
      <c r="AD189" s="24" t="inlineStr">
        <is>
          <t>yfinance_download</t>
        </is>
      </c>
      <c r="AE189" s="24" t="inlineStr">
        <is>
          <t>058470.KQ</t>
        </is>
      </c>
    </row>
    <row r="190" ht="24" customHeight="1">
      <c r="A190" s="29" t="inlineStr">
        <is>
          <t>2024-02-28</t>
        </is>
      </c>
      <c r="B190" s="31" t="n">
        <v>39420</v>
      </c>
      <c r="C190" s="31" t="n">
        <v>41100</v>
      </c>
      <c r="D190" s="31" t="n">
        <v>39140</v>
      </c>
      <c r="E190" s="31" t="n">
        <v>40900</v>
      </c>
      <c r="F190" s="31" t="n">
        <v>35898.60546875</v>
      </c>
      <c r="G190" s="31" t="n">
        <v>800135</v>
      </c>
      <c r="H190" s="36" t="n">
        <v>0.03807106598984777</v>
      </c>
      <c r="I190" s="36" t="n">
        <v>-0.1260683760683761</v>
      </c>
      <c r="J190" s="31" t="n">
        <v>40824</v>
      </c>
      <c r="K190" s="31" t="n">
        <v>41325</v>
      </c>
      <c r="L190" s="31" t="n">
        <v>36493.5</v>
      </c>
      <c r="M190" s="36" t="n">
        <v>0.4911618584865914</v>
      </c>
      <c r="N190" s="36" t="n">
        <v>0.5152598549041436</v>
      </c>
      <c r="O190" s="36" t="n">
        <v>-0.039906103286385</v>
      </c>
      <c r="P190" s="36" t="n">
        <v>0.05521155830753344</v>
      </c>
      <c r="Q190" s="36" t="n">
        <v>0.2165377751338489</v>
      </c>
      <c r="R190" s="36" t="n">
        <v>0.001861650009798099</v>
      </c>
      <c r="S190" s="36" t="n">
        <v>-0.01028433151845132</v>
      </c>
      <c r="T190" s="36" t="n">
        <v>0.1207475303821228</v>
      </c>
      <c r="U190" s="31" t="n">
        <v>46800</v>
      </c>
      <c r="V190" s="31" t="n">
        <v>22160</v>
      </c>
      <c r="W190" s="36" t="n">
        <v>-0.1260683760683761</v>
      </c>
      <c r="X190" s="36" t="n">
        <v>0.8456678700361011</v>
      </c>
      <c r="Y190" s="31" t="n">
        <v>76211850</v>
      </c>
      <c r="Z190" s="31" t="n">
        <v>3117064665000</v>
      </c>
      <c r="AA190" s="31" t="n">
        <v>32725521500</v>
      </c>
      <c r="AB190" s="31" t="n">
        <v>37101692735</v>
      </c>
      <c r="AC190" s="36" t="n">
        <v>0.01049882662604306</v>
      </c>
      <c r="AD190" s="29" t="inlineStr">
        <is>
          <t>yfinance_download</t>
        </is>
      </c>
      <c r="AE190" s="29" t="inlineStr">
        <is>
          <t>058470.KQ</t>
        </is>
      </c>
    </row>
    <row r="191" ht="24" customHeight="1">
      <c r="A191" s="24" t="inlineStr">
        <is>
          <t>2024-02-29</t>
        </is>
      </c>
      <c r="B191" s="30" t="n">
        <v>40900</v>
      </c>
      <c r="C191" s="30" t="n">
        <v>42800</v>
      </c>
      <c r="D191" s="30" t="n">
        <v>40300</v>
      </c>
      <c r="E191" s="30" t="n">
        <v>41600</v>
      </c>
      <c r="F191" s="30" t="n">
        <v>36513.00390625</v>
      </c>
      <c r="G191" s="30" t="n">
        <v>1068685</v>
      </c>
      <c r="H191" s="35" t="n">
        <v>0.0171149144254279</v>
      </c>
      <c r="I191" s="35" t="n">
        <v>-0.1111111111111112</v>
      </c>
      <c r="J191" s="30" t="n">
        <v>40799</v>
      </c>
      <c r="K191" s="30" t="n">
        <v>41352.33333333334</v>
      </c>
      <c r="L191" s="30" t="n">
        <v>36560</v>
      </c>
      <c r="M191" s="35" t="n">
        <v>0.4939232272208562</v>
      </c>
      <c r="N191" s="35" t="n">
        <v>0.5126418433962709</v>
      </c>
      <c r="O191" s="35" t="n">
        <v>-0.01187648456057011</v>
      </c>
      <c r="P191" s="35" t="n">
        <v>0.04104104104104112</v>
      </c>
      <c r="Q191" s="35" t="n">
        <v>0.2373587150505652</v>
      </c>
      <c r="R191" s="35" t="n">
        <v>0.01963283413809158</v>
      </c>
      <c r="S191" s="35" t="n">
        <v>0.005989182391964887</v>
      </c>
      <c r="T191" s="35" t="n">
        <v>0.1378555798687089</v>
      </c>
      <c r="U191" s="30" t="n">
        <v>46800</v>
      </c>
      <c r="V191" s="30" t="n">
        <v>22160</v>
      </c>
      <c r="W191" s="35" t="n">
        <v>-0.1111111111111112</v>
      </c>
      <c r="X191" s="35" t="n">
        <v>0.8772563176895307</v>
      </c>
      <c r="Y191" s="30" t="n">
        <v>76211850</v>
      </c>
      <c r="Z191" s="30" t="n">
        <v>3170412960000</v>
      </c>
      <c r="AA191" s="30" t="n">
        <v>44457296000</v>
      </c>
      <c r="AB191" s="30" t="n">
        <v>37441940260</v>
      </c>
      <c r="AC191" s="35" t="n">
        <v>0.01402255685959598</v>
      </c>
      <c r="AD191" s="24" t="inlineStr">
        <is>
          <t>yfinance_download</t>
        </is>
      </c>
      <c r="AE191" s="24" t="inlineStr">
        <is>
          <t>058470.KQ</t>
        </is>
      </c>
    </row>
    <row r="192" ht="24" customHeight="1">
      <c r="A192" s="29" t="inlineStr">
        <is>
          <t>2024-03-04</t>
        </is>
      </c>
      <c r="B192" s="31" t="n">
        <v>42400</v>
      </c>
      <c r="C192" s="31" t="n">
        <v>42500</v>
      </c>
      <c r="D192" s="31" t="n">
        <v>40600</v>
      </c>
      <c r="E192" s="31" t="n">
        <v>41500</v>
      </c>
      <c r="F192" s="31" t="n">
        <v>36425.234375</v>
      </c>
      <c r="G192" s="31" t="n">
        <v>1208945</v>
      </c>
      <c r="H192" s="36" t="n">
        <v>-0.002403846153846145</v>
      </c>
      <c r="I192" s="36" t="n">
        <v>-0.1132478632478633</v>
      </c>
      <c r="J192" s="31" t="n">
        <v>40885</v>
      </c>
      <c r="K192" s="31" t="n">
        <v>41392.33333333334</v>
      </c>
      <c r="L192" s="31" t="n">
        <v>36623.5</v>
      </c>
      <c r="M192" s="36" t="n">
        <v>0.4495764534238816</v>
      </c>
      <c r="N192" s="36" t="n">
        <v>0.5105205811507301</v>
      </c>
      <c r="O192" s="36" t="n">
        <v>0.04323780794369037</v>
      </c>
      <c r="P192" s="36" t="n">
        <v>0.0613810741687979</v>
      </c>
      <c r="Q192" s="36" t="n">
        <v>0.2249114521841795</v>
      </c>
      <c r="R192" s="36" t="n">
        <v>0.01504219151277986</v>
      </c>
      <c r="S192" s="36" t="n">
        <v>0.002601125812348393</v>
      </c>
      <c r="T192" s="36" t="n">
        <v>0.1331522110120551</v>
      </c>
      <c r="U192" s="31" t="n">
        <v>46800</v>
      </c>
      <c r="V192" s="31" t="n">
        <v>22160</v>
      </c>
      <c r="W192" s="36" t="n">
        <v>-0.1132478632478633</v>
      </c>
      <c r="X192" s="36" t="n">
        <v>0.8727436823104693</v>
      </c>
      <c r="Y192" s="31" t="n">
        <v>76211850</v>
      </c>
      <c r="Z192" s="31" t="n">
        <v>3162791775000</v>
      </c>
      <c r="AA192" s="31" t="n">
        <v>50171217500</v>
      </c>
      <c r="AB192" s="31" t="n">
        <v>37601492135</v>
      </c>
      <c r="AC192" s="36" t="n">
        <v>0.01586295307094632</v>
      </c>
      <c r="AD192" s="29" t="inlineStr">
        <is>
          <t>yfinance_download</t>
        </is>
      </c>
      <c r="AE192" s="29" t="inlineStr">
        <is>
          <t>058470.KQ</t>
        </is>
      </c>
    </row>
    <row r="193" ht="24" customHeight="1">
      <c r="A193" s="24" t="inlineStr">
        <is>
          <t>2024-03-05</t>
        </is>
      </c>
      <c r="B193" s="30" t="n">
        <v>41500</v>
      </c>
      <c r="C193" s="30" t="n">
        <v>42000</v>
      </c>
      <c r="D193" s="30" t="n">
        <v>40100</v>
      </c>
      <c r="E193" s="30" t="n">
        <v>40800</v>
      </c>
      <c r="F193" s="30" t="n">
        <v>35810.83203125</v>
      </c>
      <c r="G193" s="30" t="n">
        <v>648540</v>
      </c>
      <c r="H193" s="35" t="n">
        <v>-0.01686746987951804</v>
      </c>
      <c r="I193" s="35" t="n">
        <v>-0.1282051282051282</v>
      </c>
      <c r="J193" s="30" t="n">
        <v>40952</v>
      </c>
      <c r="K193" s="30" t="n">
        <v>41402.33333333334</v>
      </c>
      <c r="L193" s="30" t="n">
        <v>36680.33333333334</v>
      </c>
      <c r="M193" s="35" t="n">
        <v>0.4533935051471026</v>
      </c>
      <c r="N193" s="35" t="n">
        <v>0.5088155807285694</v>
      </c>
      <c r="O193" s="35" t="n">
        <v>0.03395843892549411</v>
      </c>
      <c r="P193" s="35" t="n">
        <v>0.0149253731343284</v>
      </c>
      <c r="Q193" s="35" t="n">
        <v>0.2007062978222485</v>
      </c>
      <c r="R193" s="35" t="n">
        <v>-0.003711662434069174</v>
      </c>
      <c r="S193" s="35" t="n">
        <v>-0.01454829437954386</v>
      </c>
      <c r="T193" s="35" t="n">
        <v>0.1123126834543489</v>
      </c>
      <c r="U193" s="30" t="n">
        <v>46800</v>
      </c>
      <c r="V193" s="30" t="n">
        <v>22160</v>
      </c>
      <c r="W193" s="35" t="n">
        <v>-0.1282051282051282</v>
      </c>
      <c r="X193" s="35" t="n">
        <v>0.8411552346570397</v>
      </c>
      <c r="Y193" s="30" t="n">
        <v>76211850</v>
      </c>
      <c r="Z193" s="30" t="n">
        <v>3109443480000</v>
      </c>
      <c r="AA193" s="30" t="n">
        <v>26460432000</v>
      </c>
      <c r="AB193" s="30" t="n">
        <v>37192712985</v>
      </c>
      <c r="AC193" s="35" t="n">
        <v>0.008509700263148054</v>
      </c>
      <c r="AD193" s="24" t="inlineStr">
        <is>
          <t>yfinance_download</t>
        </is>
      </c>
      <c r="AE193" s="24" t="inlineStr">
        <is>
          <t>058470.KQ</t>
        </is>
      </c>
    </row>
    <row r="194" ht="24" customHeight="1">
      <c r="A194" s="29" t="inlineStr">
        <is>
          <t>2024-03-06</t>
        </is>
      </c>
      <c r="B194" s="31" t="n">
        <v>40100</v>
      </c>
      <c r="C194" s="31" t="n">
        <v>41500</v>
      </c>
      <c r="D194" s="31" t="n">
        <v>40000</v>
      </c>
      <c r="E194" s="31" t="n">
        <v>41400</v>
      </c>
      <c r="F194" s="31" t="n">
        <v>36337.4609375</v>
      </c>
      <c r="G194" s="31" t="n">
        <v>593560</v>
      </c>
      <c r="H194" s="36" t="n">
        <v>0.01470588235294112</v>
      </c>
      <c r="I194" s="36" t="n">
        <v>-0.1153846153846154</v>
      </c>
      <c r="J194" s="31" t="n">
        <v>41017</v>
      </c>
      <c r="K194" s="31" t="n">
        <v>41410.66666666666</v>
      </c>
      <c r="L194" s="31" t="n">
        <v>36744.66666666666</v>
      </c>
      <c r="M194" s="36" t="n">
        <v>0.4527977770273577</v>
      </c>
      <c r="N194" s="36" t="n">
        <v>0.5084667536991336</v>
      </c>
      <c r="O194" s="36" t="n">
        <v>0.03241895261845396</v>
      </c>
      <c r="P194" s="36" t="n">
        <v>0.01222493887530551</v>
      </c>
      <c r="Q194" s="36" t="n">
        <v>0.2292161520190024</v>
      </c>
      <c r="R194" s="36" t="n">
        <v>0.009337591730258277</v>
      </c>
      <c r="S194" s="36" t="n">
        <v>-0.0002575825874170379</v>
      </c>
      <c r="T194" s="36" t="n">
        <v>0.1266941234102001</v>
      </c>
      <c r="U194" s="31" t="n">
        <v>46800</v>
      </c>
      <c r="V194" s="31" t="n">
        <v>22160</v>
      </c>
      <c r="W194" s="36" t="n">
        <v>-0.1153846153846154</v>
      </c>
      <c r="X194" s="36" t="n">
        <v>0.8682310469314078</v>
      </c>
      <c r="Y194" s="31" t="n">
        <v>76211850</v>
      </c>
      <c r="Z194" s="31" t="n">
        <v>3155170590000</v>
      </c>
      <c r="AA194" s="31" t="n">
        <v>24573384000</v>
      </c>
      <c r="AB194" s="31" t="n">
        <v>37136137085</v>
      </c>
      <c r="AC194" s="36" t="n">
        <v>0.007788290141231318</v>
      </c>
      <c r="AD194" s="29" t="inlineStr">
        <is>
          <t>yfinance_download</t>
        </is>
      </c>
      <c r="AE194" s="29" t="inlineStr">
        <is>
          <t>058470.KQ</t>
        </is>
      </c>
    </row>
    <row r="195" ht="24" customHeight="1">
      <c r="A195" s="24" t="inlineStr">
        <is>
          <t>2024-03-07</t>
        </is>
      </c>
      <c r="B195" s="30" t="n">
        <v>41500</v>
      </c>
      <c r="C195" s="30" t="n">
        <v>41700</v>
      </c>
      <c r="D195" s="30" t="n">
        <v>40300</v>
      </c>
      <c r="E195" s="30" t="n">
        <v>41000</v>
      </c>
      <c r="F195" s="30" t="n">
        <v>35986.375</v>
      </c>
      <c r="G195" s="30" t="n">
        <v>582305</v>
      </c>
      <c r="H195" s="35" t="n">
        <v>-0.009661835748792313</v>
      </c>
      <c r="I195" s="35" t="n">
        <v>-0.1239316239316239</v>
      </c>
      <c r="J195" s="30" t="n">
        <v>41139</v>
      </c>
      <c r="K195" s="30" t="n">
        <v>41433.66666666666</v>
      </c>
      <c r="L195" s="30" t="n">
        <v>36808</v>
      </c>
      <c r="M195" s="35" t="n">
        <v>0.4297085737635357</v>
      </c>
      <c r="N195" s="35" t="n">
        <v>0.5045718170468366</v>
      </c>
      <c r="O195" s="35" t="n">
        <v>0.06327800829875518</v>
      </c>
      <c r="P195" s="35" t="n">
        <v>0.03483089348813739</v>
      </c>
      <c r="Q195" s="35" t="n">
        <v>0.2275449101796407</v>
      </c>
      <c r="R195" s="35" t="n">
        <v>-0.003378788983689485</v>
      </c>
      <c r="S195" s="35" t="n">
        <v>-0.01046652882921295</v>
      </c>
      <c r="T195" s="35" t="n">
        <v>0.1138882851554011</v>
      </c>
      <c r="U195" s="30" t="n">
        <v>46800</v>
      </c>
      <c r="V195" s="30" t="n">
        <v>22160</v>
      </c>
      <c r="W195" s="35" t="n">
        <v>-0.1239316239316239</v>
      </c>
      <c r="X195" s="35" t="n">
        <v>0.8501805054151625</v>
      </c>
      <c r="Y195" s="30" t="n">
        <v>76211850</v>
      </c>
      <c r="Z195" s="30" t="n">
        <v>3124685850000</v>
      </c>
      <c r="AA195" s="30" t="n">
        <v>23874505000</v>
      </c>
      <c r="AB195" s="30" t="n">
        <v>36968308735</v>
      </c>
      <c r="AC195" s="35" t="n">
        <v>0.00764060969521144</v>
      </c>
      <c r="AD195" s="24" t="inlineStr">
        <is>
          <t>yfinance_download</t>
        </is>
      </c>
      <c r="AE195" s="24" t="inlineStr">
        <is>
          <t>058470.KQ</t>
        </is>
      </c>
    </row>
    <row r="196" ht="24" customHeight="1">
      <c r="A196" s="29" t="inlineStr">
        <is>
          <t>2024-03-08</t>
        </is>
      </c>
      <c r="B196" s="31" t="n">
        <v>41400</v>
      </c>
      <c r="C196" s="31" t="n">
        <v>43900</v>
      </c>
      <c r="D196" s="31" t="n">
        <v>41400</v>
      </c>
      <c r="E196" s="31" t="n">
        <v>43100</v>
      </c>
      <c r="F196" s="31" t="n">
        <v>37829.578125</v>
      </c>
      <c r="G196" s="31" t="n">
        <v>2004070</v>
      </c>
      <c r="H196" s="36" t="n">
        <v>0.051219512195122</v>
      </c>
      <c r="I196" s="36" t="n">
        <v>-0.07905982905982911</v>
      </c>
      <c r="J196" s="31" t="n">
        <v>41317</v>
      </c>
      <c r="K196" s="31" t="n">
        <v>41488.66666666666</v>
      </c>
      <c r="L196" s="31" t="n">
        <v>36885.83333333334</v>
      </c>
      <c r="M196" s="36" t="n">
        <v>0.4561807802157197</v>
      </c>
      <c r="N196" s="36" t="n">
        <v>0.5149127775603455</v>
      </c>
      <c r="O196" s="36" t="n">
        <v>0.09003540718259995</v>
      </c>
      <c r="P196" s="36" t="n">
        <v>0.08291457286432169</v>
      </c>
      <c r="Q196" s="36" t="n">
        <v>0.2766587677725119</v>
      </c>
      <c r="R196" s="36" t="n">
        <v>0.04315414962364161</v>
      </c>
      <c r="S196" s="36" t="n">
        <v>0.038837915575338</v>
      </c>
      <c r="T196" s="36" t="n">
        <v>0.1684702799177642</v>
      </c>
      <c r="U196" s="31" t="n">
        <v>46800</v>
      </c>
      <c r="V196" s="31" t="n">
        <v>22160</v>
      </c>
      <c r="W196" s="36" t="n">
        <v>-0.07905982905982911</v>
      </c>
      <c r="X196" s="36" t="n">
        <v>0.9449458483754514</v>
      </c>
      <c r="Y196" s="31" t="n">
        <v>76211850</v>
      </c>
      <c r="Z196" s="31" t="n">
        <v>3284730735000</v>
      </c>
      <c r="AA196" s="31" t="n">
        <v>86375417000</v>
      </c>
      <c r="AB196" s="31" t="n">
        <v>39809746565</v>
      </c>
      <c r="AC196" s="36" t="n">
        <v>0.02629604188849897</v>
      </c>
      <c r="AD196" s="29" t="inlineStr">
        <is>
          <t>yfinance_download</t>
        </is>
      </c>
      <c r="AE196" s="29" t="inlineStr">
        <is>
          <t>058470.KQ</t>
        </is>
      </c>
    </row>
    <row r="197" ht="24" customHeight="1">
      <c r="A197" s="24" t="inlineStr">
        <is>
          <t>2024-03-11</t>
        </is>
      </c>
      <c r="B197" s="30" t="n">
        <v>41500</v>
      </c>
      <c r="C197" s="30" t="n">
        <v>50100</v>
      </c>
      <c r="D197" s="30" t="n">
        <v>40100</v>
      </c>
      <c r="E197" s="30" t="n">
        <v>48500</v>
      </c>
      <c r="F197" s="30" t="n">
        <v>42569.24609375</v>
      </c>
      <c r="G197" s="30" t="n">
        <v>5608840</v>
      </c>
      <c r="H197" s="35" t="n">
        <v>0.1252900232018561</v>
      </c>
      <c r="I197" s="35" t="n">
        <v>0</v>
      </c>
      <c r="J197" s="30" t="n">
        <v>41797</v>
      </c>
      <c r="K197" s="30" t="n">
        <v>41603.66666666666</v>
      </c>
      <c r="L197" s="30" t="n">
        <v>37022.16666666666</v>
      </c>
      <c r="M197" s="35" t="n">
        <v>0.6179867866812414</v>
      </c>
      <c r="N197" s="35" t="n">
        <v>0.5672197689247074</v>
      </c>
      <c r="O197" s="35" t="n">
        <v>0.2467866323907455</v>
      </c>
      <c r="P197" s="35" t="n">
        <v>0.1658653846153846</v>
      </c>
      <c r="Q197" s="35" t="n">
        <v>0.5090230242688238</v>
      </c>
      <c r="R197" s="35" t="n">
        <v>0.1603703615091991</v>
      </c>
      <c r="S197" s="35" t="n">
        <v>0.1657626331012492</v>
      </c>
      <c r="T197" s="35" t="n">
        <v>0.3100259754291348</v>
      </c>
      <c r="U197" s="30" t="n">
        <v>48500</v>
      </c>
      <c r="V197" s="30" t="n">
        <v>22160</v>
      </c>
      <c r="W197" s="35" t="n">
        <v>0</v>
      </c>
      <c r="X197" s="35" t="n">
        <v>1.188628158844765</v>
      </c>
      <c r="Y197" s="30" t="n">
        <v>76211850</v>
      </c>
      <c r="Z197" s="30" t="n">
        <v>3696274725000</v>
      </c>
      <c r="AA197" s="30" t="n">
        <v>272028740000</v>
      </c>
      <c r="AB197" s="30" t="n">
        <v>52487736465</v>
      </c>
      <c r="AC197" s="35" t="n">
        <v>0.07359537919627984</v>
      </c>
      <c r="AD197" s="24" t="inlineStr">
        <is>
          <t>yfinance_download</t>
        </is>
      </c>
      <c r="AE197" s="24" t="inlineStr">
        <is>
          <t>058470.KQ</t>
        </is>
      </c>
    </row>
    <row r="198" ht="24" customHeight="1">
      <c r="A198" s="29" t="inlineStr">
        <is>
          <t>2024-03-12</t>
        </is>
      </c>
      <c r="B198" s="31" t="n">
        <v>47800</v>
      </c>
      <c r="C198" s="31" t="n">
        <v>50600</v>
      </c>
      <c r="D198" s="31" t="n">
        <v>46800</v>
      </c>
      <c r="E198" s="31" t="n">
        <v>48300</v>
      </c>
      <c r="F198" s="31" t="n">
        <v>42393.70703125</v>
      </c>
      <c r="G198" s="31" t="n">
        <v>3096440</v>
      </c>
      <c r="H198" s="36" t="n">
        <v>-0.004123711340206171</v>
      </c>
      <c r="I198" s="36" t="n">
        <v>-0.004123711340206171</v>
      </c>
      <c r="J198" s="31" t="n">
        <v>42192</v>
      </c>
      <c r="K198" s="31" t="n">
        <v>41693.66666666666</v>
      </c>
      <c r="L198" s="31" t="n">
        <v>37165.33333333334</v>
      </c>
      <c r="M198" s="36" t="n">
        <v>0.6119940524625379</v>
      </c>
      <c r="N198" s="36" t="n">
        <v>0.5643642012728169</v>
      </c>
      <c r="O198" s="36" t="n">
        <v>0.1955445544554455</v>
      </c>
      <c r="P198" s="36" t="n">
        <v>0.1258741258741258</v>
      </c>
      <c r="Q198" s="36" t="n">
        <v>0.5520565552699228</v>
      </c>
      <c r="R198" s="36" t="n">
        <v>0.1447667804323094</v>
      </c>
      <c r="S198" s="36" t="n">
        <v>0.1584493248375054</v>
      </c>
      <c r="T198" s="36" t="n">
        <v>0.2995981918633852</v>
      </c>
      <c r="U198" s="31" t="n">
        <v>48500</v>
      </c>
      <c r="V198" s="31" t="n">
        <v>22160</v>
      </c>
      <c r="W198" s="36" t="n">
        <v>-0.004123711340206171</v>
      </c>
      <c r="X198" s="36" t="n">
        <v>1.179602888086642</v>
      </c>
      <c r="Y198" s="31" t="n">
        <v>76211850</v>
      </c>
      <c r="Z198" s="31" t="n">
        <v>3681032355000</v>
      </c>
      <c r="AA198" s="31" t="n">
        <v>149558052000</v>
      </c>
      <c r="AB198" s="31" t="n">
        <v>57305692965</v>
      </c>
      <c r="AC198" s="36" t="n">
        <v>0.04062937719003016</v>
      </c>
      <c r="AD198" s="29" t="inlineStr">
        <is>
          <t>yfinance_download</t>
        </is>
      </c>
      <c r="AE198" s="29" t="inlineStr">
        <is>
          <t>058470.KQ</t>
        </is>
      </c>
    </row>
    <row r="199" ht="24" customHeight="1">
      <c r="A199" s="24" t="inlineStr">
        <is>
          <t>2024-03-13</t>
        </is>
      </c>
      <c r="B199" s="30" t="n">
        <v>48500</v>
      </c>
      <c r="C199" s="30" t="n">
        <v>48700</v>
      </c>
      <c r="D199" s="30" t="n">
        <v>45700</v>
      </c>
      <c r="E199" s="30" t="n">
        <v>47100</v>
      </c>
      <c r="F199" s="30" t="n">
        <v>41340.4453125</v>
      </c>
      <c r="G199" s="30" t="n">
        <v>2089465</v>
      </c>
      <c r="H199" s="35" t="n">
        <v>-0.02484472049689446</v>
      </c>
      <c r="I199" s="35" t="n">
        <v>-0.02886597938144331</v>
      </c>
      <c r="J199" s="30" t="n">
        <v>42357</v>
      </c>
      <c r="K199" s="30" t="n">
        <v>41773.66666666666</v>
      </c>
      <c r="L199" s="30" t="n">
        <v>37296.83333333334</v>
      </c>
      <c r="M199" s="35" t="n">
        <v>0.5556826311984511</v>
      </c>
      <c r="N199" s="35" t="n">
        <v>0.5661610653623631</v>
      </c>
      <c r="O199" s="35" t="n">
        <v>0.07534246575342474</v>
      </c>
      <c r="P199" s="35" t="n">
        <v>0.1134751773049645</v>
      </c>
      <c r="Q199" s="35" t="n">
        <v>0.5038314176245211</v>
      </c>
      <c r="R199" s="35" t="n">
        <v>0.1119767688929811</v>
      </c>
      <c r="S199" s="35" t="n">
        <v>0.1275045682686862</v>
      </c>
      <c r="T199" s="35" t="n">
        <v>0.2628417962204119</v>
      </c>
      <c r="U199" s="30" t="n">
        <v>48500</v>
      </c>
      <c r="V199" s="30" t="n">
        <v>22160</v>
      </c>
      <c r="W199" s="35" t="n">
        <v>-0.02886597938144331</v>
      </c>
      <c r="X199" s="35" t="n">
        <v>1.125451263537906</v>
      </c>
      <c r="Y199" s="30" t="n">
        <v>76211850</v>
      </c>
      <c r="Z199" s="30" t="n">
        <v>3589578135000</v>
      </c>
      <c r="AA199" s="30" t="n">
        <v>98413801500</v>
      </c>
      <c r="AB199" s="30" t="n">
        <v>56295764490</v>
      </c>
      <c r="AC199" s="35" t="n">
        <v>0.02741653692962446</v>
      </c>
      <c r="AD199" s="24" t="inlineStr">
        <is>
          <t>yfinance_download</t>
        </is>
      </c>
      <c r="AE199" s="24" t="inlineStr">
        <is>
          <t>058470.KQ</t>
        </is>
      </c>
    </row>
    <row r="200" ht="24" customHeight="1">
      <c r="A200" s="29" t="inlineStr">
        <is>
          <t>2024-03-14</t>
        </is>
      </c>
      <c r="B200" s="31" t="n">
        <v>46300</v>
      </c>
      <c r="C200" s="31" t="n">
        <v>49400</v>
      </c>
      <c r="D200" s="31" t="n">
        <v>46100</v>
      </c>
      <c r="E200" s="31" t="n">
        <v>48800</v>
      </c>
      <c r="F200" s="31" t="n">
        <v>42832.5625</v>
      </c>
      <c r="G200" s="31" t="n">
        <v>1878460</v>
      </c>
      <c r="H200" s="36" t="n">
        <v>0.03609341825902335</v>
      </c>
      <c r="I200" s="36" t="n">
        <v>0</v>
      </c>
      <c r="J200" s="31" t="n">
        <v>42622</v>
      </c>
      <c r="K200" s="31" t="n">
        <v>41890.33333333334</v>
      </c>
      <c r="L200" s="31" t="n">
        <v>37444.33333333334</v>
      </c>
      <c r="M200" s="36" t="n">
        <v>0.5651922632736093</v>
      </c>
      <c r="N200" s="36" t="n">
        <v>0.5695283763731732</v>
      </c>
      <c r="O200" s="36" t="n">
        <v>0.1218390804597702</v>
      </c>
      <c r="P200" s="36" t="n">
        <v>0.167464114832536</v>
      </c>
      <c r="Q200" s="36" t="n">
        <v>0.5691318327974277</v>
      </c>
      <c r="R200" s="36" t="n">
        <v>0.1449486180845572</v>
      </c>
      <c r="S200" s="36" t="n">
        <v>0.1649465668292605</v>
      </c>
      <c r="T200" s="36" t="n">
        <v>0.3032679622194723</v>
      </c>
      <c r="U200" s="31" t="n">
        <v>48800</v>
      </c>
      <c r="V200" s="31" t="n">
        <v>22160</v>
      </c>
      <c r="W200" s="36" t="n">
        <v>0</v>
      </c>
      <c r="X200" s="36" t="n">
        <v>1.20216606498195</v>
      </c>
      <c r="Y200" s="31" t="n">
        <v>76211850</v>
      </c>
      <c r="Z200" s="31" t="n">
        <v>3719138280000</v>
      </c>
      <c r="AA200" s="31" t="n">
        <v>91668848000</v>
      </c>
      <c r="AB200" s="31" t="n">
        <v>57960530890</v>
      </c>
      <c r="AC200" s="36" t="n">
        <v>0.02464787300137708</v>
      </c>
      <c r="AD200" s="29" t="inlineStr">
        <is>
          <t>yfinance_download</t>
        </is>
      </c>
      <c r="AE200" s="29" t="inlineStr">
        <is>
          <t>058470.KQ</t>
        </is>
      </c>
    </row>
    <row r="201" ht="24" customHeight="1">
      <c r="A201" s="24" t="inlineStr">
        <is>
          <t>2024-03-15</t>
        </is>
      </c>
      <c r="B201" s="30" t="n">
        <v>48000</v>
      </c>
      <c r="C201" s="30" t="n">
        <v>53300</v>
      </c>
      <c r="D201" s="30" t="n">
        <v>47700</v>
      </c>
      <c r="E201" s="30" t="n">
        <v>51000</v>
      </c>
      <c r="F201" s="30" t="n">
        <v>44763.5390625</v>
      </c>
      <c r="G201" s="30" t="n">
        <v>3147540</v>
      </c>
      <c r="H201" s="35" t="n">
        <v>0.04508196721311486</v>
      </c>
      <c r="I201" s="35" t="n">
        <v>0</v>
      </c>
      <c r="J201" s="30" t="n">
        <v>42997</v>
      </c>
      <c r="K201" s="30" t="n">
        <v>42052</v>
      </c>
      <c r="L201" s="30" t="n">
        <v>37605.83333333334</v>
      </c>
      <c r="M201" s="35" t="n">
        <v>0.5809222762925987</v>
      </c>
      <c r="N201" s="35" t="n">
        <v>0.5750172592705525</v>
      </c>
      <c r="O201" s="35" t="n">
        <v>0.1724137931034482</v>
      </c>
      <c r="P201" s="35" t="n">
        <v>0.2348668280871671</v>
      </c>
      <c r="Q201" s="35" t="n">
        <v>0.6129032258064515</v>
      </c>
      <c r="R201" s="35" t="n">
        <v>0.1861292648324302</v>
      </c>
      <c r="S201" s="35" t="n">
        <v>0.2127841719775516</v>
      </c>
      <c r="T201" s="35" t="n">
        <v>0.3561725796086599</v>
      </c>
      <c r="U201" s="30" t="n">
        <v>51000</v>
      </c>
      <c r="V201" s="30" t="n">
        <v>22160</v>
      </c>
      <c r="W201" s="35" t="n">
        <v>0</v>
      </c>
      <c r="X201" s="35" t="n">
        <v>1.301444043321299</v>
      </c>
      <c r="Y201" s="30" t="n">
        <v>76211850</v>
      </c>
      <c r="Z201" s="30" t="n">
        <v>3886804350000</v>
      </c>
      <c r="AA201" s="30" t="n">
        <v>160524540000</v>
      </c>
      <c r="AB201" s="30" t="n">
        <v>64534956265</v>
      </c>
      <c r="AC201" s="35" t="n">
        <v>0.04129987659399424</v>
      </c>
      <c r="AD201" s="24" t="inlineStr">
        <is>
          <t>yfinance_download</t>
        </is>
      </c>
      <c r="AE201" s="24" t="inlineStr">
        <is>
          <t>058470.KQ</t>
        </is>
      </c>
    </row>
    <row r="202" ht="24" customHeight="1">
      <c r="A202" s="29" t="inlineStr">
        <is>
          <t>2024-03-18</t>
        </is>
      </c>
      <c r="B202" s="31" t="n">
        <v>50300</v>
      </c>
      <c r="C202" s="31" t="n">
        <v>52300</v>
      </c>
      <c r="D202" s="31" t="n">
        <v>50100</v>
      </c>
      <c r="E202" s="31" t="n">
        <v>50800</v>
      </c>
      <c r="F202" s="31" t="n">
        <v>44587.99609375</v>
      </c>
      <c r="G202" s="31" t="n">
        <v>997400</v>
      </c>
      <c r="H202" s="36" t="n">
        <v>-0.003921568627450966</v>
      </c>
      <c r="I202" s="36" t="n">
        <v>-0.003921568627450966</v>
      </c>
      <c r="J202" s="31" t="n">
        <v>43442</v>
      </c>
      <c r="K202" s="31" t="n">
        <v>42222</v>
      </c>
      <c r="L202" s="31" t="n">
        <v>37767.16666666666</v>
      </c>
      <c r="M202" s="36" t="n">
        <v>0.558144678385518</v>
      </c>
      <c r="N202" s="36" t="n">
        <v>0.5735942585658714</v>
      </c>
      <c r="O202" s="36" t="n">
        <v>0.2124105011933175</v>
      </c>
      <c r="P202" s="36" t="n">
        <v>0.2512315270935961</v>
      </c>
      <c r="Q202" s="36" t="n">
        <v>0.6157760814249365</v>
      </c>
      <c r="R202" s="36" t="n">
        <v>0.1693752589659776</v>
      </c>
      <c r="S202" s="36" t="n">
        <v>0.203164227180143</v>
      </c>
      <c r="T202" s="36" t="n">
        <v>0.3450836926254286</v>
      </c>
      <c r="U202" s="31" t="n">
        <v>51000</v>
      </c>
      <c r="V202" s="31" t="n">
        <v>22160</v>
      </c>
      <c r="W202" s="36" t="n">
        <v>-0.003921568627450966</v>
      </c>
      <c r="X202" s="36" t="n">
        <v>1.292418772563177</v>
      </c>
      <c r="Y202" s="31" t="n">
        <v>76211850</v>
      </c>
      <c r="Z202" s="31" t="n">
        <v>3871561980000</v>
      </c>
      <c r="AA202" s="31" t="n">
        <v>50667920000</v>
      </c>
      <c r="AB202" s="31" t="n">
        <v>65250290315</v>
      </c>
      <c r="AC202" s="36" t="n">
        <v>0.01308720363040656</v>
      </c>
      <c r="AD202" s="29" t="inlineStr">
        <is>
          <t>yfinance_download</t>
        </is>
      </c>
      <c r="AE202" s="29" t="inlineStr">
        <is>
          <t>058470.KQ</t>
        </is>
      </c>
    </row>
    <row r="203" ht="24" customHeight="1">
      <c r="A203" s="24" t="inlineStr">
        <is>
          <t>2024-03-19</t>
        </is>
      </c>
      <c r="B203" s="30" t="n">
        <v>50000</v>
      </c>
      <c r="C203" s="30" t="n">
        <v>54100</v>
      </c>
      <c r="D203" s="30" t="n">
        <v>49300</v>
      </c>
      <c r="E203" s="30" t="n">
        <v>51700</v>
      </c>
      <c r="F203" s="30" t="n">
        <v>45377.94140625</v>
      </c>
      <c r="G203" s="30" t="n">
        <v>1742850</v>
      </c>
      <c r="H203" s="35" t="n">
        <v>0.01771653543307083</v>
      </c>
      <c r="I203" s="35" t="n">
        <v>0</v>
      </c>
      <c r="J203" s="30" t="n">
        <v>43942</v>
      </c>
      <c r="K203" s="30" t="n">
        <v>42400.33333333334</v>
      </c>
      <c r="L203" s="30" t="n">
        <v>37938.66666666666</v>
      </c>
      <c r="M203" s="35" t="n">
        <v>0.5558279777660968</v>
      </c>
      <c r="N203" s="35" t="n">
        <v>0.5741420380590275</v>
      </c>
      <c r="O203" s="35" t="n">
        <v>0.2398081534772183</v>
      </c>
      <c r="P203" s="35" t="n">
        <v>0.2609756097560976</v>
      </c>
      <c r="Q203" s="35" t="n">
        <v>0.6613110539845759</v>
      </c>
      <c r="R203" s="35" t="n">
        <v>0.1765509080151109</v>
      </c>
      <c r="S203" s="35" t="n">
        <v>0.2193300367135478</v>
      </c>
      <c r="T203" s="35" t="n">
        <v>0.3627258030505378</v>
      </c>
      <c r="U203" s="30" t="n">
        <v>51700</v>
      </c>
      <c r="V203" s="30" t="n">
        <v>22160</v>
      </c>
      <c r="W203" s="35" t="n">
        <v>0</v>
      </c>
      <c r="X203" s="35" t="n">
        <v>1.333032490974729</v>
      </c>
      <c r="Y203" s="30" t="n">
        <v>76211850</v>
      </c>
      <c r="Z203" s="30" t="n">
        <v>3940152645000</v>
      </c>
      <c r="AA203" s="30" t="n">
        <v>90105345000</v>
      </c>
      <c r="AB203" s="30" t="n">
        <v>68656241315</v>
      </c>
      <c r="AC203" s="35" t="n">
        <v>0.02286849092365557</v>
      </c>
      <c r="AD203" s="24" t="inlineStr">
        <is>
          <t>yfinance_download</t>
        </is>
      </c>
      <c r="AE203" s="24" t="inlineStr">
        <is>
          <t>058470.KQ</t>
        </is>
      </c>
    </row>
    <row r="204" ht="24" customHeight="1">
      <c r="A204" s="29" t="inlineStr">
        <is>
          <t>2024-03-20</t>
        </is>
      </c>
      <c r="B204" s="31" t="n">
        <v>52100</v>
      </c>
      <c r="C204" s="31" t="n">
        <v>53100</v>
      </c>
      <c r="D204" s="31" t="n">
        <v>50100</v>
      </c>
      <c r="E204" s="31" t="n">
        <v>50200</v>
      </c>
      <c r="F204" s="31" t="n">
        <v>44061.3671875</v>
      </c>
      <c r="G204" s="31" t="n">
        <v>911230</v>
      </c>
      <c r="H204" s="36" t="n">
        <v>-0.02901353965183751</v>
      </c>
      <c r="I204" s="36" t="n">
        <v>-0.02901353965183751</v>
      </c>
      <c r="J204" s="31" t="n">
        <v>44382</v>
      </c>
      <c r="K204" s="31" t="n">
        <v>42545.33333333334</v>
      </c>
      <c r="L204" s="31" t="n">
        <v>38098.66666666666</v>
      </c>
      <c r="M204" s="36" t="n">
        <v>0.5706857276399511</v>
      </c>
      <c r="N204" s="36" t="n">
        <v>0.5779787647258585</v>
      </c>
      <c r="O204" s="36" t="n">
        <v>0.21256038647343</v>
      </c>
      <c r="P204" s="36" t="n">
        <v>0.2096385542168675</v>
      </c>
      <c r="Q204" s="36" t="n">
        <v>0.6193548387096774</v>
      </c>
      <c r="R204" s="36" t="n">
        <v>0.1310891802983192</v>
      </c>
      <c r="S204" s="36" t="n">
        <v>0.1799178915039643</v>
      </c>
      <c r="T204" s="36" t="n">
        <v>0.3176314131728146</v>
      </c>
      <c r="U204" s="31" t="n">
        <v>51700</v>
      </c>
      <c r="V204" s="31" t="n">
        <v>22160</v>
      </c>
      <c r="W204" s="36" t="n">
        <v>-0.02901353965183751</v>
      </c>
      <c r="X204" s="36" t="n">
        <v>1.265342960288809</v>
      </c>
      <c r="Y204" s="31" t="n">
        <v>76211850</v>
      </c>
      <c r="Z204" s="31" t="n">
        <v>3825834870000</v>
      </c>
      <c r="AA204" s="31" t="n">
        <v>45743746000</v>
      </c>
      <c r="AB204" s="31" t="n">
        <v>69842923465</v>
      </c>
      <c r="AC204" s="36" t="n">
        <v>0.01195653956700959</v>
      </c>
      <c r="AD204" s="29" t="inlineStr">
        <is>
          <t>yfinance_download</t>
        </is>
      </c>
      <c r="AE204" s="29" t="inlineStr">
        <is>
          <t>058470.KQ</t>
        </is>
      </c>
    </row>
    <row r="205" ht="24" customHeight="1">
      <c r="A205" s="24" t="inlineStr">
        <is>
          <t>2024-03-21</t>
        </is>
      </c>
      <c r="B205" s="30" t="n">
        <v>51500</v>
      </c>
      <c r="C205" s="30" t="n">
        <v>51500</v>
      </c>
      <c r="D205" s="30" t="n">
        <v>49400</v>
      </c>
      <c r="E205" s="30" t="n">
        <v>49700</v>
      </c>
      <c r="F205" s="30" t="n">
        <v>43622.5078125</v>
      </c>
      <c r="G205" s="30" t="n">
        <v>910715</v>
      </c>
      <c r="H205" s="35" t="n">
        <v>-0.009960159362549792</v>
      </c>
      <c r="I205" s="35" t="n">
        <v>-0.03868471953578334</v>
      </c>
      <c r="J205" s="30" t="n">
        <v>44822</v>
      </c>
      <c r="K205" s="30" t="n">
        <v>42692</v>
      </c>
      <c r="L205" s="30" t="n">
        <v>38256.33333333334</v>
      </c>
      <c r="M205" s="35" t="n">
        <v>0.5696347253185574</v>
      </c>
      <c r="N205" s="35" t="n">
        <v>0.5774450268775231</v>
      </c>
      <c r="O205" s="35" t="n">
        <v>0.2151589242053791</v>
      </c>
      <c r="P205" s="35" t="n">
        <v>0.2151589242053791</v>
      </c>
      <c r="Q205" s="35" t="n">
        <v>0.6146848602988955</v>
      </c>
      <c r="R205" s="35" t="n">
        <v>0.1088304850296729</v>
      </c>
      <c r="S205" s="35" t="n">
        <v>0.1641525344326806</v>
      </c>
      <c r="T205" s="35" t="n">
        <v>0.2991312985213777</v>
      </c>
      <c r="U205" s="30" t="n">
        <v>51700</v>
      </c>
      <c r="V205" s="30" t="n">
        <v>22160</v>
      </c>
      <c r="W205" s="35" t="n">
        <v>-0.03868471953578334</v>
      </c>
      <c r="X205" s="35" t="n">
        <v>1.242779783393502</v>
      </c>
      <c r="Y205" s="30" t="n">
        <v>76211850</v>
      </c>
      <c r="Z205" s="30" t="n">
        <v>3787728945000</v>
      </c>
      <c r="AA205" s="30" t="n">
        <v>45262535500</v>
      </c>
      <c r="AB205" s="30" t="n">
        <v>71028519290</v>
      </c>
      <c r="AC205" s="35" t="n">
        <v>0.01194978208769371</v>
      </c>
      <c r="AD205" s="24" t="inlineStr">
        <is>
          <t>yfinance_download</t>
        </is>
      </c>
      <c r="AE205" s="24" t="inlineStr">
        <is>
          <t>058470.KQ</t>
        </is>
      </c>
    </row>
    <row r="206" ht="24" customHeight="1">
      <c r="A206" s="29" t="inlineStr">
        <is>
          <t>2024-03-22</t>
        </is>
      </c>
      <c r="B206" s="31" t="n">
        <v>49700</v>
      </c>
      <c r="C206" s="31" t="n">
        <v>50500</v>
      </c>
      <c r="D206" s="31" t="n">
        <v>49300</v>
      </c>
      <c r="E206" s="31" t="n">
        <v>49600</v>
      </c>
      <c r="F206" s="31" t="n">
        <v>43534.73828125</v>
      </c>
      <c r="G206" s="31" t="n">
        <v>450150</v>
      </c>
      <c r="H206" s="36" t="n">
        <v>-0.002012072434607659</v>
      </c>
      <c r="I206" s="36" t="n">
        <v>-0.04061895551257255</v>
      </c>
      <c r="J206" s="31" t="n">
        <v>45262</v>
      </c>
      <c r="K206" s="31" t="n">
        <v>42845.33333333334</v>
      </c>
      <c r="L206" s="31" t="n">
        <v>38421.16666666666</v>
      </c>
      <c r="M206" s="36" t="n">
        <v>0.5695075633077085</v>
      </c>
      <c r="N206" s="36" t="n">
        <v>0.5766071827757697</v>
      </c>
      <c r="O206" s="36" t="n">
        <v>0.2156862745098038</v>
      </c>
      <c r="P206" s="36" t="n">
        <v>0.2277227722772277</v>
      </c>
      <c r="Q206" s="36" t="n">
        <v>0.6633132126089873</v>
      </c>
      <c r="R206" s="36" t="n">
        <v>0.0958419866554725</v>
      </c>
      <c r="S206" s="36" t="n">
        <v>0.1576523308645048</v>
      </c>
      <c r="T206" s="36" t="n">
        <v>0.2909550725077756</v>
      </c>
      <c r="U206" s="31" t="n">
        <v>51700</v>
      </c>
      <c r="V206" s="31" t="n">
        <v>22160</v>
      </c>
      <c r="W206" s="36" t="n">
        <v>-0.04061895551257255</v>
      </c>
      <c r="X206" s="36" t="n">
        <v>1.23826714801444</v>
      </c>
      <c r="Y206" s="31" t="n">
        <v>76211850</v>
      </c>
      <c r="Z206" s="31" t="n">
        <v>3780107760000</v>
      </c>
      <c r="AA206" s="31" t="n">
        <v>22327440000</v>
      </c>
      <c r="AB206" s="31" t="n">
        <v>70286828690</v>
      </c>
      <c r="AC206" s="36" t="n">
        <v>0.005906561774842101</v>
      </c>
      <c r="AD206" s="29" t="inlineStr">
        <is>
          <t>yfinance_download</t>
        </is>
      </c>
      <c r="AE206" s="29" t="inlineStr">
        <is>
          <t>058470.KQ</t>
        </is>
      </c>
    </row>
    <row r="207" ht="24" customHeight="1">
      <c r="A207" s="24" t="inlineStr">
        <is>
          <t>2024-03-25</t>
        </is>
      </c>
      <c r="B207" s="30" t="n">
        <v>49600</v>
      </c>
      <c r="C207" s="30" t="n">
        <v>50300</v>
      </c>
      <c r="D207" s="30" t="n">
        <v>48000</v>
      </c>
      <c r="E207" s="30" t="n">
        <v>49000</v>
      </c>
      <c r="F207" s="30" t="n">
        <v>43008.10546875</v>
      </c>
      <c r="G207" s="30" t="n">
        <v>785875</v>
      </c>
      <c r="H207" s="35" t="n">
        <v>-0.01209677419354838</v>
      </c>
      <c r="I207" s="35" t="n">
        <v>-0.0522243713733076</v>
      </c>
      <c r="J207" s="30" t="n">
        <v>45718</v>
      </c>
      <c r="K207" s="30" t="n">
        <v>42998.66666666666</v>
      </c>
      <c r="L207" s="30" t="n">
        <v>38580.66666666666</v>
      </c>
      <c r="M207" s="35" t="n">
        <v>0.5626552972328813</v>
      </c>
      <c r="N207" s="35" t="n">
        <v>0.5762490221717168</v>
      </c>
      <c r="O207" s="35" t="n">
        <v>0.2286860581745236</v>
      </c>
      <c r="P207" s="35" t="n">
        <v>0.2311557788944723</v>
      </c>
      <c r="Q207" s="35" t="n">
        <v>0.6409912926992631</v>
      </c>
      <c r="R207" s="35" t="n">
        <v>0.07178791723172484</v>
      </c>
      <c r="S207" s="35" t="n">
        <v>0.1395702192316042</v>
      </c>
      <c r="T207" s="35" t="n">
        <v>0.2700661816799435</v>
      </c>
      <c r="U207" s="30" t="n">
        <v>51700</v>
      </c>
      <c r="V207" s="30" t="n">
        <v>22160</v>
      </c>
      <c r="W207" s="35" t="n">
        <v>-0.0522243713733076</v>
      </c>
      <c r="X207" s="35" t="n">
        <v>1.211191335740072</v>
      </c>
      <c r="Y207" s="30" t="n">
        <v>76211850</v>
      </c>
      <c r="Z207" s="30" t="n">
        <v>3734380650000</v>
      </c>
      <c r="AA207" s="30" t="n">
        <v>38507875000</v>
      </c>
      <c r="AB207" s="30" t="n">
        <v>69641627430</v>
      </c>
      <c r="AC207" s="35" t="n">
        <v>0.010311716616248</v>
      </c>
      <c r="AD207" s="24" t="inlineStr">
        <is>
          <t>yfinance_download</t>
        </is>
      </c>
      <c r="AE207" s="24" t="inlineStr">
        <is>
          <t>058470.KQ</t>
        </is>
      </c>
    </row>
    <row r="208" ht="24" customHeight="1">
      <c r="A208" s="29" t="inlineStr">
        <is>
          <t>2024-03-26</t>
        </is>
      </c>
      <c r="B208" s="31" t="n">
        <v>48900</v>
      </c>
      <c r="C208" s="31" t="n">
        <v>49700</v>
      </c>
      <c r="D208" s="31" t="n">
        <v>48500</v>
      </c>
      <c r="E208" s="31" t="n">
        <v>49000</v>
      </c>
      <c r="F208" s="31" t="n">
        <v>43008.10546875</v>
      </c>
      <c r="G208" s="31" t="n">
        <v>735530</v>
      </c>
      <c r="H208" s="36" t="n">
        <v>0</v>
      </c>
      <c r="I208" s="36" t="n">
        <v>-0.0522243713733076</v>
      </c>
      <c r="J208" s="31" t="n">
        <v>46170</v>
      </c>
      <c r="K208" s="31" t="n">
        <v>43138.66666666666</v>
      </c>
      <c r="L208" s="31" t="n">
        <v>38738.66666666666</v>
      </c>
      <c r="M208" s="36" t="n">
        <v>0.5631216265255216</v>
      </c>
      <c r="N208" s="36" t="n">
        <v>0.5753361909041214</v>
      </c>
      <c r="O208" s="36" t="n">
        <v>0.2262262262262262</v>
      </c>
      <c r="P208" s="36" t="n">
        <v>0.2068965517241379</v>
      </c>
      <c r="Q208" s="36" t="n">
        <v>0.6311584553928096</v>
      </c>
      <c r="R208" s="36" t="n">
        <v>0.06129521334199706</v>
      </c>
      <c r="S208" s="36" t="n">
        <v>0.1358719169190827</v>
      </c>
      <c r="T208" s="36" t="n">
        <v>0.2648860742066497</v>
      </c>
      <c r="U208" s="31" t="n">
        <v>51700</v>
      </c>
      <c r="V208" s="31" t="n">
        <v>22160</v>
      </c>
      <c r="W208" s="36" t="n">
        <v>-0.0522243713733076</v>
      </c>
      <c r="X208" s="36" t="n">
        <v>1.211191335740072</v>
      </c>
      <c r="Y208" s="31" t="n">
        <v>76211850</v>
      </c>
      <c r="Z208" s="31" t="n">
        <v>3734380650000</v>
      </c>
      <c r="AA208" s="31" t="n">
        <v>36040970000</v>
      </c>
      <c r="AB208" s="31" t="n">
        <v>70330620100</v>
      </c>
      <c r="AC208" s="36" t="n">
        <v>0.009651123808174188</v>
      </c>
      <c r="AD208" s="29" t="inlineStr">
        <is>
          <t>yfinance_download</t>
        </is>
      </c>
      <c r="AE208" s="29" t="inlineStr">
        <is>
          <t>058470.KQ</t>
        </is>
      </c>
    </row>
    <row r="209" ht="24" customHeight="1">
      <c r="A209" s="24" t="inlineStr">
        <is>
          <t>2024-03-27</t>
        </is>
      </c>
      <c r="B209" s="30" t="n">
        <v>49300</v>
      </c>
      <c r="C209" s="30" t="n">
        <v>51400</v>
      </c>
      <c r="D209" s="30" t="n">
        <v>48100</v>
      </c>
      <c r="E209" s="30" t="n">
        <v>51100</v>
      </c>
      <c r="F209" s="30" t="n">
        <v>44851.3125</v>
      </c>
      <c r="G209" s="30" t="n">
        <v>1297560</v>
      </c>
      <c r="H209" s="35" t="n">
        <v>0.04285714285714293</v>
      </c>
      <c r="I209" s="35" t="n">
        <v>-0.01160541586073505</v>
      </c>
      <c r="J209" s="30" t="n">
        <v>46755</v>
      </c>
      <c r="K209" s="30" t="n">
        <v>43297</v>
      </c>
      <c r="L209" s="30" t="n">
        <v>38919.83333333334</v>
      </c>
      <c r="M209" s="35" t="n">
        <v>0.5660356373925851</v>
      </c>
      <c r="N209" s="35" t="n">
        <v>0.57935862950443</v>
      </c>
      <c r="O209" s="35" t="n">
        <v>0.2969543147208122</v>
      </c>
      <c r="P209" s="35" t="n">
        <v>0.2283653846153846</v>
      </c>
      <c r="Q209" s="35" t="n">
        <v>0.7404632152588555</v>
      </c>
      <c r="R209" s="35" t="n">
        <v>0.09293123730082353</v>
      </c>
      <c r="S209" s="35" t="n">
        <v>0.1802203385915884</v>
      </c>
      <c r="T209" s="35" t="n">
        <v>0.3129552627409331</v>
      </c>
      <c r="U209" s="30" t="n">
        <v>51700</v>
      </c>
      <c r="V209" s="30" t="n">
        <v>22160</v>
      </c>
      <c r="W209" s="35" t="n">
        <v>-0.01160541586073505</v>
      </c>
      <c r="X209" s="35" t="n">
        <v>1.305956678700361</v>
      </c>
      <c r="Y209" s="30" t="n">
        <v>76211850</v>
      </c>
      <c r="Z209" s="30" t="n">
        <v>3894425535000</v>
      </c>
      <c r="AA209" s="30" t="n">
        <v>66305316000</v>
      </c>
      <c r="AB209" s="30" t="n">
        <v>72789645100</v>
      </c>
      <c r="AC209" s="35" t="n">
        <v>0.01702569875944489</v>
      </c>
      <c r="AD209" s="24" t="inlineStr">
        <is>
          <t>yfinance_download</t>
        </is>
      </c>
      <c r="AE209" s="24" t="inlineStr">
        <is>
          <t>058470.KQ</t>
        </is>
      </c>
    </row>
    <row r="210" ht="24" customHeight="1">
      <c r="A210" s="29" t="inlineStr">
        <is>
          <t>2024-03-28</t>
        </is>
      </c>
      <c r="B210" s="31" t="n">
        <v>51200</v>
      </c>
      <c r="C210" s="31" t="n">
        <v>52500</v>
      </c>
      <c r="D210" s="31" t="n">
        <v>49700</v>
      </c>
      <c r="E210" s="31" t="n">
        <v>51600</v>
      </c>
      <c r="F210" s="31" t="n">
        <v>45290.171875</v>
      </c>
      <c r="G210" s="31" t="n">
        <v>1363455</v>
      </c>
      <c r="H210" s="36" t="n">
        <v>0.009784735812133016</v>
      </c>
      <c r="I210" s="36" t="n">
        <v>-0.001934235976789211</v>
      </c>
      <c r="J210" s="31" t="n">
        <v>47290</v>
      </c>
      <c r="K210" s="31" t="n">
        <v>43482</v>
      </c>
      <c r="L210" s="31" t="n">
        <v>39093.5</v>
      </c>
      <c r="M210" s="36" t="n">
        <v>0.5587155651269868</v>
      </c>
      <c r="N210" s="36" t="n">
        <v>0.5759581028138285</v>
      </c>
      <c r="O210" s="36" t="n">
        <v>0.2616136919315404</v>
      </c>
      <c r="P210" s="36" t="n">
        <v>0.2740740740740741</v>
      </c>
      <c r="Q210" s="36" t="n">
        <v>0.6775032509752925</v>
      </c>
      <c r="R210" s="36" t="n">
        <v>0.09113977585113142</v>
      </c>
      <c r="S210" s="36" t="n">
        <v>0.1866979439768179</v>
      </c>
      <c r="T210" s="36" t="n">
        <v>0.3199125174261706</v>
      </c>
      <c r="U210" s="31" t="n">
        <v>51700</v>
      </c>
      <c r="V210" s="31" t="n">
        <v>22160</v>
      </c>
      <c r="W210" s="36" t="n">
        <v>-0.001934235976789211</v>
      </c>
      <c r="X210" s="36" t="n">
        <v>1.328519855595668</v>
      </c>
      <c r="Y210" s="31" t="n">
        <v>76211850</v>
      </c>
      <c r="Z210" s="31" t="n">
        <v>3932531460000</v>
      </c>
      <c r="AA210" s="31" t="n">
        <v>70354278000</v>
      </c>
      <c r="AB210" s="31" t="n">
        <v>74671082925</v>
      </c>
      <c r="AC210" s="36" t="n">
        <v>0.01789032807890112</v>
      </c>
      <c r="AD210" s="29" t="inlineStr">
        <is>
          <t>yfinance_download</t>
        </is>
      </c>
      <c r="AE210" s="29" t="inlineStr">
        <is>
          <t>058470.KQ</t>
        </is>
      </c>
    </row>
    <row r="211" ht="24" customHeight="1">
      <c r="A211" s="24" t="inlineStr">
        <is>
          <t>2024-03-29</t>
        </is>
      </c>
      <c r="B211" s="30" t="n">
        <v>51900</v>
      </c>
      <c r="C211" s="30" t="n">
        <v>53100</v>
      </c>
      <c r="D211" s="30" t="n">
        <v>50400</v>
      </c>
      <c r="E211" s="30" t="n">
        <v>51100</v>
      </c>
      <c r="F211" s="30" t="n">
        <v>44851.3125</v>
      </c>
      <c r="G211" s="30" t="n">
        <v>1080865</v>
      </c>
      <c r="H211" s="35" t="n">
        <v>-0.009689922480620172</v>
      </c>
      <c r="I211" s="35" t="n">
        <v>-0.01160541586073505</v>
      </c>
      <c r="J211" s="30" t="n">
        <v>47765</v>
      </c>
      <c r="K211" s="30" t="n">
        <v>43588.66666666666</v>
      </c>
      <c r="L211" s="30" t="n">
        <v>39264</v>
      </c>
      <c r="M211" s="35" t="n">
        <v>0.5636981270615145</v>
      </c>
      <c r="N211" s="35" t="n">
        <v>0.5383316921489552</v>
      </c>
      <c r="O211" s="35" t="n">
        <v>0.2283653846153846</v>
      </c>
      <c r="P211" s="35" t="n">
        <v>0.1431767337807606</v>
      </c>
      <c r="Q211" s="35" t="n">
        <v>0.6677545691906006</v>
      </c>
      <c r="R211" s="35" t="n">
        <v>0.06982099863917091</v>
      </c>
      <c r="S211" s="35" t="n">
        <v>0.1723230809231757</v>
      </c>
      <c r="T211" s="35" t="n">
        <v>0.3014466177669111</v>
      </c>
      <c r="U211" s="30" t="n">
        <v>51700</v>
      </c>
      <c r="V211" s="30" t="n">
        <v>22160</v>
      </c>
      <c r="W211" s="35" t="n">
        <v>-0.01160541586073505</v>
      </c>
      <c r="X211" s="35" t="n">
        <v>1.305956678700361</v>
      </c>
      <c r="Y211" s="30" t="n">
        <v>76211850</v>
      </c>
      <c r="Z211" s="30" t="n">
        <v>3894425535000</v>
      </c>
      <c r="AA211" s="30" t="n">
        <v>55232201500</v>
      </c>
      <c r="AB211" s="30" t="n">
        <v>75209828200</v>
      </c>
      <c r="AC211" s="35" t="n">
        <v>0.01418237452574632</v>
      </c>
      <c r="AD211" s="24" t="inlineStr">
        <is>
          <t>yfinance_download</t>
        </is>
      </c>
      <c r="AE211" s="24" t="inlineStr">
        <is>
          <t>058470.KQ</t>
        </is>
      </c>
    </row>
    <row r="212" ht="24" customHeight="1">
      <c r="A212" s="29" t="inlineStr">
        <is>
          <t>2024-04-01</t>
        </is>
      </c>
      <c r="B212" s="31" t="n">
        <v>51800</v>
      </c>
      <c r="C212" s="31" t="n">
        <v>55200</v>
      </c>
      <c r="D212" s="31" t="n">
        <v>51800</v>
      </c>
      <c r="E212" s="31" t="n">
        <v>53600</v>
      </c>
      <c r="F212" s="31" t="n">
        <v>47045.6015625</v>
      </c>
      <c r="G212" s="31" t="n">
        <v>2066355</v>
      </c>
      <c r="H212" s="36" t="n">
        <v>0.0489236790606653</v>
      </c>
      <c r="I212" s="36" t="n">
        <v>0</v>
      </c>
      <c r="J212" s="31" t="n">
        <v>48370</v>
      </c>
      <c r="K212" s="31" t="n">
        <v>43768.66666666666</v>
      </c>
      <c r="L212" s="31" t="n">
        <v>39460.83333333334</v>
      </c>
      <c r="M212" s="36" t="n">
        <v>0.576911103724793</v>
      </c>
      <c r="N212" s="36" t="n">
        <v>0.5380914034091847</v>
      </c>
      <c r="O212" s="36" t="n">
        <v>0.2915662650602409</v>
      </c>
      <c r="P212" s="36" t="n">
        <v>0.2523364485981308</v>
      </c>
      <c r="Q212" s="36" t="n">
        <v>0.7878585723815876</v>
      </c>
      <c r="R212" s="36" t="n">
        <v>0.1081248707876783</v>
      </c>
      <c r="S212" s="36" t="n">
        <v>0.2246203524591412</v>
      </c>
      <c r="T212" s="36" t="n">
        <v>0.3583088716659979</v>
      </c>
      <c r="U212" s="31" t="n">
        <v>53600</v>
      </c>
      <c r="V212" s="31" t="n">
        <v>22160</v>
      </c>
      <c r="W212" s="36" t="n">
        <v>0</v>
      </c>
      <c r="X212" s="36" t="n">
        <v>1.418772563176895</v>
      </c>
      <c r="Y212" s="31" t="n">
        <v>76211850</v>
      </c>
      <c r="Z212" s="31" t="n">
        <v>4084955160000</v>
      </c>
      <c r="AA212" s="31" t="n">
        <v>110756628000</v>
      </c>
      <c r="AB212" s="31" t="n">
        <v>78239098725</v>
      </c>
      <c r="AC212" s="36" t="n">
        <v>0.02711330324614873</v>
      </c>
      <c r="AD212" s="29" t="inlineStr">
        <is>
          <t>yfinance_download</t>
        </is>
      </c>
      <c r="AE212" s="29" t="inlineStr">
        <is>
          <t>058470.KQ</t>
        </is>
      </c>
    </row>
    <row r="213" ht="24" customHeight="1">
      <c r="A213" s="24" t="inlineStr">
        <is>
          <t>2024-04-02</t>
        </is>
      </c>
      <c r="B213" s="30" t="n">
        <v>54200</v>
      </c>
      <c r="C213" s="30" t="n">
        <v>54200</v>
      </c>
      <c r="D213" s="30" t="n">
        <v>51100</v>
      </c>
      <c r="E213" s="30" t="n">
        <v>53900</v>
      </c>
      <c r="F213" s="30" t="n">
        <v>47308.91796875</v>
      </c>
      <c r="G213" s="30" t="n">
        <v>1364470</v>
      </c>
      <c r="H213" s="35" t="n">
        <v>0.005597014925373234</v>
      </c>
      <c r="I213" s="35" t="n">
        <v>0</v>
      </c>
      <c r="J213" s="30" t="n">
        <v>49025</v>
      </c>
      <c r="K213" s="30" t="n">
        <v>43965.33333333334</v>
      </c>
      <c r="L213" s="30" t="n">
        <v>39652.16666666666</v>
      </c>
      <c r="M213" s="35" t="n">
        <v>0.566660863741475</v>
      </c>
      <c r="N213" s="35" t="n">
        <v>0.5363698385933693</v>
      </c>
      <c r="O213" s="35" t="n">
        <v>0.321078431372549</v>
      </c>
      <c r="P213" s="35" t="n">
        <v>0.2802850356294537</v>
      </c>
      <c r="Q213" s="35" t="n">
        <v>0.7420814479638009</v>
      </c>
      <c r="R213" s="35" t="n">
        <v>0.09943906170321259</v>
      </c>
      <c r="S213" s="35" t="n">
        <v>0.2259659125371505</v>
      </c>
      <c r="T213" s="35" t="n">
        <v>0.3593204238524168</v>
      </c>
      <c r="U213" s="30" t="n">
        <v>53900</v>
      </c>
      <c r="V213" s="30" t="n">
        <v>22160</v>
      </c>
      <c r="W213" s="35" t="n">
        <v>0</v>
      </c>
      <c r="X213" s="35" t="n">
        <v>1.432310469314079</v>
      </c>
      <c r="Y213" s="30" t="n">
        <v>76211850</v>
      </c>
      <c r="Z213" s="30" t="n">
        <v>4107818715000</v>
      </c>
      <c r="AA213" s="30" t="n">
        <v>73544933000</v>
      </c>
      <c r="AB213" s="30" t="n">
        <v>80593323775</v>
      </c>
      <c r="AC213" s="35" t="n">
        <v>0.01790364621774698</v>
      </c>
      <c r="AD213" s="24" t="inlineStr">
        <is>
          <t>yfinance_download</t>
        </is>
      </c>
      <c r="AE213" s="24" t="inlineStr">
        <is>
          <t>058470.KQ</t>
        </is>
      </c>
    </row>
    <row r="214" ht="24" customHeight="1">
      <c r="A214" s="29" t="inlineStr">
        <is>
          <t>2024-04-03</t>
        </is>
      </c>
      <c r="B214" s="31" t="n">
        <v>52600</v>
      </c>
      <c r="C214" s="31" t="n">
        <v>55300</v>
      </c>
      <c r="D214" s="31" t="n">
        <v>52400</v>
      </c>
      <c r="E214" s="31" t="n">
        <v>53400</v>
      </c>
      <c r="F214" s="31" t="n">
        <v>46870.05859375</v>
      </c>
      <c r="G214" s="31" t="n">
        <v>1152860</v>
      </c>
      <c r="H214" s="36" t="n">
        <v>-0.00927643784786647</v>
      </c>
      <c r="I214" s="36" t="n">
        <v>-0.00927643784786647</v>
      </c>
      <c r="J214" s="31" t="n">
        <v>49625</v>
      </c>
      <c r="K214" s="31" t="n">
        <v>44175.33333333334</v>
      </c>
      <c r="L214" s="31" t="n">
        <v>39843.16666666666</v>
      </c>
      <c r="M214" s="36" t="n">
        <v>0.5729592979949394</v>
      </c>
      <c r="N214" s="36" t="n">
        <v>0.5320647732701301</v>
      </c>
      <c r="O214" s="36" t="n">
        <v>0.2898550724637681</v>
      </c>
      <c r="P214" s="36" t="n">
        <v>0.3088235294117647</v>
      </c>
      <c r="Q214" s="36" t="n">
        <v>0.7519685039370079</v>
      </c>
      <c r="R214" s="36" t="n">
        <v>0.0760705289672543</v>
      </c>
      <c r="S214" s="36" t="n">
        <v>0.2088194014759368</v>
      </c>
      <c r="T214" s="36" t="n">
        <v>0.3402549161504065</v>
      </c>
      <c r="U214" s="31" t="n">
        <v>53900</v>
      </c>
      <c r="V214" s="31" t="n">
        <v>22160</v>
      </c>
      <c r="W214" s="36" t="n">
        <v>-0.00927643784786647</v>
      </c>
      <c r="X214" s="36" t="n">
        <v>1.409747292418773</v>
      </c>
      <c r="Y214" s="31" t="n">
        <v>76211850</v>
      </c>
      <c r="Z214" s="31" t="n">
        <v>4069712790000</v>
      </c>
      <c r="AA214" s="31" t="n">
        <v>61562724000</v>
      </c>
      <c r="AB214" s="31" t="n">
        <v>82442790775</v>
      </c>
      <c r="AC214" s="36" t="n">
        <v>0.01512704389146832</v>
      </c>
      <c r="AD214" s="29" t="inlineStr">
        <is>
          <t>yfinance_download</t>
        </is>
      </c>
      <c r="AE214" s="29" t="inlineStr">
        <is>
          <t>058470.KQ</t>
        </is>
      </c>
    </row>
    <row r="215" ht="24" customHeight="1">
      <c r="A215" s="24" t="inlineStr">
        <is>
          <t>2024-04-04</t>
        </is>
      </c>
      <c r="B215" s="30" t="n">
        <v>53100</v>
      </c>
      <c r="C215" s="30" t="n">
        <v>55700</v>
      </c>
      <c r="D215" s="30" t="n">
        <v>51200</v>
      </c>
      <c r="E215" s="30" t="n">
        <v>52600</v>
      </c>
      <c r="F215" s="30" t="n">
        <v>46167.8828125</v>
      </c>
      <c r="G215" s="30" t="n">
        <v>1276705</v>
      </c>
      <c r="H215" s="35" t="n">
        <v>-0.01498127340823974</v>
      </c>
      <c r="I215" s="35" t="n">
        <v>-0.02411873840445267</v>
      </c>
      <c r="J215" s="30" t="n">
        <v>50205</v>
      </c>
      <c r="K215" s="30" t="n">
        <v>44363.66666666666</v>
      </c>
      <c r="L215" s="30" t="n">
        <v>40024.16666666666</v>
      </c>
      <c r="M215" s="35" t="n">
        <v>0.5761013584809652</v>
      </c>
      <c r="N215" s="35" t="n">
        <v>0.5334108243375246</v>
      </c>
      <c r="O215" s="35" t="n">
        <v>0.2829268292682927</v>
      </c>
      <c r="P215" s="35" t="n">
        <v>0.2736077481840193</v>
      </c>
      <c r="Q215" s="35" t="n">
        <v>0.7033678756476685</v>
      </c>
      <c r="R215" s="35" t="n">
        <v>0.04770441191116426</v>
      </c>
      <c r="S215" s="35" t="n">
        <v>0.1856549278313335</v>
      </c>
      <c r="T215" s="35" t="n">
        <v>0.3142060005413396</v>
      </c>
      <c r="U215" s="30" t="n">
        <v>53900</v>
      </c>
      <c r="V215" s="30" t="n">
        <v>22160</v>
      </c>
      <c r="W215" s="35" t="n">
        <v>-0.02411873840445267</v>
      </c>
      <c r="X215" s="35" t="n">
        <v>1.373646209386282</v>
      </c>
      <c r="Y215" s="30" t="n">
        <v>76211850</v>
      </c>
      <c r="Z215" s="30" t="n">
        <v>4008743310000</v>
      </c>
      <c r="AA215" s="30" t="n">
        <v>67154683000</v>
      </c>
      <c r="AB215" s="30" t="n">
        <v>84606799675</v>
      </c>
      <c r="AC215" s="35" t="n">
        <v>0.01675205365044937</v>
      </c>
      <c r="AD215" s="24" t="inlineStr">
        <is>
          <t>yfinance_download</t>
        </is>
      </c>
      <c r="AE215" s="24" t="inlineStr">
        <is>
          <t>058470.KQ</t>
        </is>
      </c>
    </row>
    <row r="216" ht="24" customHeight="1">
      <c r="A216" s="29" t="inlineStr">
        <is>
          <t>2024-04-05</t>
        </is>
      </c>
      <c r="B216" s="31" t="n">
        <v>51200</v>
      </c>
      <c r="C216" s="31" t="n">
        <v>52600</v>
      </c>
      <c r="D216" s="31" t="n">
        <v>50700</v>
      </c>
      <c r="E216" s="31" t="n">
        <v>52400</v>
      </c>
      <c r="F216" s="31" t="n">
        <v>45992.34375</v>
      </c>
      <c r="G216" s="31" t="n">
        <v>740940</v>
      </c>
      <c r="H216" s="36" t="n">
        <v>-0.003802281368821325</v>
      </c>
      <c r="I216" s="36" t="n">
        <v>-0.0278293135435993</v>
      </c>
      <c r="J216" s="31" t="n">
        <v>50670</v>
      </c>
      <c r="K216" s="31" t="n">
        <v>44537</v>
      </c>
      <c r="L216" s="31" t="n">
        <v>40197.5</v>
      </c>
      <c r="M216" s="36" t="n">
        <v>0.5607571433440762</v>
      </c>
      <c r="N216" s="36" t="n">
        <v>0.5330497515075194</v>
      </c>
      <c r="O216" s="36" t="n">
        <v>0.2157772621809744</v>
      </c>
      <c r="P216" s="36" t="n">
        <v>0.2476190476190476</v>
      </c>
      <c r="Q216" s="36" t="n">
        <v>0.6582278481012658</v>
      </c>
      <c r="R216" s="36" t="n">
        <v>0.03414249062561669</v>
      </c>
      <c r="S216" s="36" t="n">
        <v>0.1765498349686778</v>
      </c>
      <c r="T216" s="36" t="n">
        <v>0.3035636544561229</v>
      </c>
      <c r="U216" s="31" t="n">
        <v>53900</v>
      </c>
      <c r="V216" s="31" t="n">
        <v>22160</v>
      </c>
      <c r="W216" s="36" t="n">
        <v>-0.0278293135435993</v>
      </c>
      <c r="X216" s="36" t="n">
        <v>1.364620938628159</v>
      </c>
      <c r="Y216" s="31" t="n">
        <v>76211850</v>
      </c>
      <c r="Z216" s="31" t="n">
        <v>3993500940000</v>
      </c>
      <c r="AA216" s="31" t="n">
        <v>38825256000</v>
      </c>
      <c r="AB216" s="31" t="n">
        <v>82229291625</v>
      </c>
      <c r="AC216" s="36" t="n">
        <v>0.009722110144288585</v>
      </c>
      <c r="AD216" s="29" t="inlineStr">
        <is>
          <t>yfinance_download</t>
        </is>
      </c>
      <c r="AE216" s="29" t="inlineStr">
        <is>
          <t>058470.KQ</t>
        </is>
      </c>
    </row>
    <row r="217" ht="24" customHeight="1">
      <c r="A217" s="24" t="inlineStr">
        <is>
          <t>2024-04-08</t>
        </is>
      </c>
      <c r="B217" s="30" t="n">
        <v>52800</v>
      </c>
      <c r="C217" s="30" t="n">
        <v>52800</v>
      </c>
      <c r="D217" s="30" t="n">
        <v>49600</v>
      </c>
      <c r="E217" s="30" t="n">
        <v>49700</v>
      </c>
      <c r="F217" s="30" t="n">
        <v>43622.5078125</v>
      </c>
      <c r="G217" s="30" t="n">
        <v>701260</v>
      </c>
      <c r="H217" s="35" t="n">
        <v>-0.05152671755725191</v>
      </c>
      <c r="I217" s="35" t="n">
        <v>-0.07792207792207795</v>
      </c>
      <c r="J217" s="30" t="n">
        <v>50730</v>
      </c>
      <c r="K217" s="30" t="n">
        <v>44668.66666666666</v>
      </c>
      <c r="L217" s="30" t="n">
        <v>40349.5</v>
      </c>
      <c r="M217" s="35" t="n">
        <v>0.4116066774562028</v>
      </c>
      <c r="N217" s="35" t="n">
        <v>0.5449023982794985</v>
      </c>
      <c r="O217" s="35" t="n">
        <v>0.02474226804123703</v>
      </c>
      <c r="P217" s="35" t="n">
        <v>0.1889952153110048</v>
      </c>
      <c r="Q217" s="35" t="n">
        <v>0.5797838525111252</v>
      </c>
      <c r="R217" s="35" t="n">
        <v>-0.02030356790853538</v>
      </c>
      <c r="S217" s="35" t="n">
        <v>0.1126367476083161</v>
      </c>
      <c r="T217" s="35" t="n">
        <v>0.2317376919168763</v>
      </c>
      <c r="U217" s="30" t="n">
        <v>53900</v>
      </c>
      <c r="V217" s="30" t="n">
        <v>22160</v>
      </c>
      <c r="W217" s="35" t="n">
        <v>-0.07792207792207795</v>
      </c>
      <c r="X217" s="35" t="n">
        <v>1.242779783393502</v>
      </c>
      <c r="Y217" s="30" t="n">
        <v>76211850</v>
      </c>
      <c r="Z217" s="30" t="n">
        <v>3787728945000</v>
      </c>
      <c r="AA217" s="30" t="n">
        <v>34852622000</v>
      </c>
      <c r="AB217" s="30" t="n">
        <v>70370485725</v>
      </c>
      <c r="AC217" s="35" t="n">
        <v>0.009201456203989275</v>
      </c>
      <c r="AD217" s="24" t="inlineStr">
        <is>
          <t>yfinance_download</t>
        </is>
      </c>
      <c r="AE217" s="24" t="inlineStr">
        <is>
          <t>058470.KQ</t>
        </is>
      </c>
    </row>
    <row r="218" ht="24" customHeight="1">
      <c r="A218" s="29" t="inlineStr">
        <is>
          <t>2024-04-09</t>
        </is>
      </c>
      <c r="B218" s="31" t="n">
        <v>49900</v>
      </c>
      <c r="C218" s="31" t="n">
        <v>50700</v>
      </c>
      <c r="D218" s="31" t="n">
        <v>49600</v>
      </c>
      <c r="E218" s="31" t="n">
        <v>50300</v>
      </c>
      <c r="F218" s="31" t="n">
        <v>44149.13671875</v>
      </c>
      <c r="G218" s="31" t="n">
        <v>412645</v>
      </c>
      <c r="H218" s="36" t="n">
        <v>0.01207243460764595</v>
      </c>
      <c r="I218" s="36" t="n">
        <v>-0.06679035250463827</v>
      </c>
      <c r="J218" s="31" t="n">
        <v>50830</v>
      </c>
      <c r="K218" s="31" t="n">
        <v>44830.33333333334</v>
      </c>
      <c r="L218" s="31" t="n">
        <v>40507.33333333334</v>
      </c>
      <c r="M218" s="36" t="n">
        <v>0.4126643270046194</v>
      </c>
      <c r="N218" s="36" t="n">
        <v>0.5410186353540853</v>
      </c>
      <c r="O218" s="36" t="n">
        <v>0.04140786749482395</v>
      </c>
      <c r="P218" s="36" t="n">
        <v>0.2389162561576355</v>
      </c>
      <c r="Q218" s="36" t="n">
        <v>0.603954081632653</v>
      </c>
      <c r="R218" s="36" t="n">
        <v>-0.0104269132402125</v>
      </c>
      <c r="S218" s="36" t="n">
        <v>0.1220081641150708</v>
      </c>
      <c r="T218" s="36" t="n">
        <v>0.24175046493639</v>
      </c>
      <c r="U218" s="31" t="n">
        <v>53900</v>
      </c>
      <c r="V218" s="31" t="n">
        <v>22160</v>
      </c>
      <c r="W218" s="36" t="n">
        <v>-0.06679035250463827</v>
      </c>
      <c r="X218" s="36" t="n">
        <v>1.26985559566787</v>
      </c>
      <c r="Y218" s="31" t="n">
        <v>76211850</v>
      </c>
      <c r="Z218" s="31" t="n">
        <v>3833456055000</v>
      </c>
      <c r="AA218" s="31" t="n">
        <v>20756043500</v>
      </c>
      <c r="AB218" s="31" t="n">
        <v>63930385300</v>
      </c>
      <c r="AC218" s="36" t="n">
        <v>0.005414446703498209</v>
      </c>
      <c r="AD218" s="29" t="inlineStr">
        <is>
          <t>yfinance_download</t>
        </is>
      </c>
      <c r="AE218" s="29" t="inlineStr">
        <is>
          <t>058470.KQ</t>
        </is>
      </c>
    </row>
    <row r="219" ht="24" customHeight="1">
      <c r="A219" s="24" t="inlineStr">
        <is>
          <t>2024-04-11</t>
        </is>
      </c>
      <c r="B219" s="30" t="n">
        <v>49400</v>
      </c>
      <c r="C219" s="30" t="n">
        <v>51500</v>
      </c>
      <c r="D219" s="30" t="n">
        <v>49300</v>
      </c>
      <c r="E219" s="30" t="n">
        <v>51100</v>
      </c>
      <c r="F219" s="30" t="n">
        <v>44851.3125</v>
      </c>
      <c r="G219" s="30" t="n">
        <v>489260</v>
      </c>
      <c r="H219" s="35" t="n">
        <v>0.01590457256461231</v>
      </c>
      <c r="I219" s="35" t="n">
        <v>-0.05194805194805197</v>
      </c>
      <c r="J219" s="30" t="n">
        <v>51030</v>
      </c>
      <c r="K219" s="30" t="n">
        <v>45003.66666666666</v>
      </c>
      <c r="L219" s="30" t="n">
        <v>40668.33333333334</v>
      </c>
      <c r="M219" s="35" t="n">
        <v>0.4022667992736285</v>
      </c>
      <c r="N219" s="35" t="n">
        <v>0.541542948745258</v>
      </c>
      <c r="O219" s="35" t="n">
        <v>0.0849256900212314</v>
      </c>
      <c r="P219" s="35" t="n">
        <v>0.2555282555282554</v>
      </c>
      <c r="Q219" s="35" t="n">
        <v>0.6079295154185023</v>
      </c>
      <c r="R219" s="35" t="n">
        <v>0.00137174211248281</v>
      </c>
      <c r="S219" s="35" t="n">
        <v>0.1354630363451867</v>
      </c>
      <c r="T219" s="35" t="n">
        <v>0.2565058809065202</v>
      </c>
      <c r="U219" s="30" t="n">
        <v>53900</v>
      </c>
      <c r="V219" s="30" t="n">
        <v>22160</v>
      </c>
      <c r="W219" s="35" t="n">
        <v>-0.05194805194805197</v>
      </c>
      <c r="X219" s="35" t="n">
        <v>1.305956678700361</v>
      </c>
      <c r="Y219" s="30" t="n">
        <v>76211850</v>
      </c>
      <c r="Z219" s="30" t="n">
        <v>3894425535000</v>
      </c>
      <c r="AA219" s="30" t="n">
        <v>25001186000</v>
      </c>
      <c r="AB219" s="30" t="n">
        <v>60259754525</v>
      </c>
      <c r="AC219" s="35" t="n">
        <v>0.006419736563277234</v>
      </c>
      <c r="AD219" s="24" t="inlineStr">
        <is>
          <t>yfinance_download</t>
        </is>
      </c>
      <c r="AE219" s="24" t="inlineStr">
        <is>
          <t>058470.KQ</t>
        </is>
      </c>
    </row>
    <row r="220" ht="24" customHeight="1">
      <c r="A220" s="29" t="inlineStr">
        <is>
          <t>2024-04-12</t>
        </is>
      </c>
      <c r="B220" s="31" t="n">
        <v>52000</v>
      </c>
      <c r="C220" s="31" t="n">
        <v>55900</v>
      </c>
      <c r="D220" s="31" t="n">
        <v>51200</v>
      </c>
      <c r="E220" s="31" t="n">
        <v>54900</v>
      </c>
      <c r="F220" s="31" t="n">
        <v>48186.6328125</v>
      </c>
      <c r="G220" s="31" t="n">
        <v>1930255</v>
      </c>
      <c r="H220" s="36" t="n">
        <v>0.07436399217221146</v>
      </c>
      <c r="I220" s="36" t="n">
        <v>0</v>
      </c>
      <c r="J220" s="31" t="n">
        <v>51335</v>
      </c>
      <c r="K220" s="31" t="n">
        <v>45247</v>
      </c>
      <c r="L220" s="31" t="n">
        <v>40863</v>
      </c>
      <c r="M220" s="36" t="n">
        <v>0.4609339355893743</v>
      </c>
      <c r="N220" s="36" t="n">
        <v>0.5593218757574782</v>
      </c>
      <c r="O220" s="36" t="n">
        <v>0.125</v>
      </c>
      <c r="P220" s="36" t="n">
        <v>0.3622828784119108</v>
      </c>
      <c r="Q220" s="36" t="n">
        <v>0.7406467977171844</v>
      </c>
      <c r="R220" s="36" t="n">
        <v>0.06944579721437605</v>
      </c>
      <c r="S220" s="36" t="n">
        <v>0.213340110946582</v>
      </c>
      <c r="T220" s="36" t="n">
        <v>0.3435136920930915</v>
      </c>
      <c r="U220" s="31" t="n">
        <v>54900</v>
      </c>
      <c r="V220" s="31" t="n">
        <v>22160</v>
      </c>
      <c r="W220" s="36" t="n">
        <v>0</v>
      </c>
      <c r="X220" s="36" t="n">
        <v>1.477436823104693</v>
      </c>
      <c r="Y220" s="31" t="n">
        <v>76211850</v>
      </c>
      <c r="Z220" s="31" t="n">
        <v>4184030565000</v>
      </c>
      <c r="AA220" s="31" t="n">
        <v>105970999500</v>
      </c>
      <c r="AB220" s="31" t="n">
        <v>60974862100</v>
      </c>
      <c r="AC220" s="36" t="n">
        <v>0.02532749172208784</v>
      </c>
      <c r="AD220" s="29" t="inlineStr">
        <is>
          <t>yfinance_download</t>
        </is>
      </c>
      <c r="AE220" s="29" t="inlineStr">
        <is>
          <t>058470.KQ</t>
        </is>
      </c>
    </row>
    <row r="221" ht="24" customHeight="1">
      <c r="A221" s="24" t="inlineStr">
        <is>
          <t>2024-04-15</t>
        </is>
      </c>
      <c r="B221" s="30" t="n">
        <v>54200</v>
      </c>
      <c r="C221" s="30" t="n">
        <v>56500</v>
      </c>
      <c r="D221" s="30" t="n">
        <v>52900</v>
      </c>
      <c r="E221" s="30" t="n">
        <v>55800</v>
      </c>
      <c r="F221" s="30" t="n">
        <v>48976.578125</v>
      </c>
      <c r="G221" s="30" t="n">
        <v>1047610</v>
      </c>
      <c r="H221" s="35" t="n">
        <v>0.01639344262295084</v>
      </c>
      <c r="I221" s="35" t="n">
        <v>0</v>
      </c>
      <c r="J221" s="30" t="n">
        <v>51575</v>
      </c>
      <c r="K221" s="30" t="n">
        <v>45515.33333333334</v>
      </c>
      <c r="L221" s="30" t="n">
        <v>41068.66666666666</v>
      </c>
      <c r="M221" s="35" t="n">
        <v>0.4396794174979999</v>
      </c>
      <c r="N221" s="35" t="n">
        <v>0.5580630334119336</v>
      </c>
      <c r="O221" s="35" t="n">
        <v>0.09411764705882364</v>
      </c>
      <c r="P221" s="35" t="n">
        <v>0.4055415617128464</v>
      </c>
      <c r="Q221" s="35" t="n">
        <v>0.7930591259640103</v>
      </c>
      <c r="R221" s="35" t="n">
        <v>0.08191953465826463</v>
      </c>
      <c r="S221" s="35" t="n">
        <v>0.2259604821818288</v>
      </c>
      <c r="T221" s="35" t="n">
        <v>0.3587000633086053</v>
      </c>
      <c r="U221" s="30" t="n">
        <v>55800</v>
      </c>
      <c r="V221" s="30" t="n">
        <v>22160</v>
      </c>
      <c r="W221" s="35" t="n">
        <v>0</v>
      </c>
      <c r="X221" s="35" t="n">
        <v>1.518050541516245</v>
      </c>
      <c r="Y221" s="30" t="n">
        <v>76211850</v>
      </c>
      <c r="Z221" s="30" t="n">
        <v>4252621230000</v>
      </c>
      <c r="AA221" s="30" t="n">
        <v>58456638000</v>
      </c>
      <c r="AB221" s="30" t="n">
        <v>55871467000</v>
      </c>
      <c r="AC221" s="35" t="n">
        <v>0.01374602506040727</v>
      </c>
      <c r="AD221" s="24" t="inlineStr">
        <is>
          <t>yfinance_download</t>
        </is>
      </c>
      <c r="AE221" s="24" t="inlineStr">
        <is>
          <t>058470.KQ</t>
        </is>
      </c>
    </row>
    <row r="222" ht="24" customHeight="1">
      <c r="A222" s="29" t="inlineStr">
        <is>
          <t>2024-04-16</t>
        </is>
      </c>
      <c r="B222" s="31" t="n">
        <v>54700</v>
      </c>
      <c r="C222" s="31" t="n">
        <v>55900</v>
      </c>
      <c r="D222" s="31" t="n">
        <v>52000</v>
      </c>
      <c r="E222" s="31" t="n">
        <v>52400</v>
      </c>
      <c r="F222" s="31" t="n">
        <v>45992.34375</v>
      </c>
      <c r="G222" s="31" t="n">
        <v>986805</v>
      </c>
      <c r="H222" s="36" t="n">
        <v>-0.06093189964157708</v>
      </c>
      <c r="I222" s="36" t="n">
        <v>-0.06093189964157708</v>
      </c>
      <c r="J222" s="31" t="n">
        <v>51655</v>
      </c>
      <c r="K222" s="31" t="n">
        <v>45731.66666666666</v>
      </c>
      <c r="L222" s="31" t="n">
        <v>41247.5</v>
      </c>
      <c r="M222" s="36" t="n">
        <v>0.4975544302076944</v>
      </c>
      <c r="N222" s="36" t="n">
        <v>0.5742490002003394</v>
      </c>
      <c r="O222" s="36" t="n">
        <v>0.03149606299212593</v>
      </c>
      <c r="P222" s="36" t="n">
        <v>0.3292744799594114</v>
      </c>
      <c r="Q222" s="36" t="n">
        <v>0.6936005171299289</v>
      </c>
      <c r="R222" s="36" t="n">
        <v>0.01442261155744839</v>
      </c>
      <c r="S222" s="36" t="n">
        <v>0.1458143518349795</v>
      </c>
      <c r="T222" s="36" t="n">
        <v>0.2703800230316988</v>
      </c>
      <c r="U222" s="31" t="n">
        <v>55800</v>
      </c>
      <c r="V222" s="31" t="n">
        <v>22160</v>
      </c>
      <c r="W222" s="36" t="n">
        <v>-0.06093189964157708</v>
      </c>
      <c r="X222" s="36" t="n">
        <v>1.364620938628159</v>
      </c>
      <c r="Y222" s="31" t="n">
        <v>76211850</v>
      </c>
      <c r="Z222" s="31" t="n">
        <v>3993500940000</v>
      </c>
      <c r="AA222" s="31" t="n">
        <v>51708582000</v>
      </c>
      <c r="AB222" s="31" t="n">
        <v>55923500100</v>
      </c>
      <c r="AC222" s="36" t="n">
        <v>0.01294818325496625</v>
      </c>
      <c r="AD222" s="29" t="inlineStr">
        <is>
          <t>yfinance_download</t>
        </is>
      </c>
      <c r="AE222" s="29" t="inlineStr">
        <is>
          <t>058470.KQ</t>
        </is>
      </c>
    </row>
    <row r="223" ht="24" customHeight="1">
      <c r="A223" s="24" t="inlineStr">
        <is>
          <t>2024-04-17</t>
        </is>
      </c>
      <c r="B223" s="30" t="n">
        <v>53200</v>
      </c>
      <c r="C223" s="30" t="n">
        <v>55400</v>
      </c>
      <c r="D223" s="30" t="n">
        <v>52800</v>
      </c>
      <c r="E223" s="30" t="n">
        <v>53400</v>
      </c>
      <c r="F223" s="30" t="n">
        <v>46870.05859375</v>
      </c>
      <c r="G223" s="30" t="n">
        <v>1033445</v>
      </c>
      <c r="H223" s="35" t="n">
        <v>0.01908396946564883</v>
      </c>
      <c r="I223" s="35" t="n">
        <v>-0.043010752688172</v>
      </c>
      <c r="J223" s="30" t="n">
        <v>51740</v>
      </c>
      <c r="K223" s="30" t="n">
        <v>45958</v>
      </c>
      <c r="L223" s="30" t="n">
        <v>41436.16666666666</v>
      </c>
      <c r="M223" s="35" t="n">
        <v>0.4981500499733421</v>
      </c>
      <c r="N223" s="35" t="n">
        <v>0.5748576826640402</v>
      </c>
      <c r="O223" s="35" t="n">
        <v>0.03288201160541582</v>
      </c>
      <c r="P223" s="35" t="n">
        <v>0.341034655951783</v>
      </c>
      <c r="Q223" s="35" t="n">
        <v>0.7360208062418725</v>
      </c>
      <c r="R223" s="35" t="n">
        <v>0.03208349439505209</v>
      </c>
      <c r="S223" s="35" t="n">
        <v>0.161930458244484</v>
      </c>
      <c r="T223" s="35" t="n">
        <v>0.2887292502121739</v>
      </c>
      <c r="U223" s="30" t="n">
        <v>55800</v>
      </c>
      <c r="V223" s="30" t="n">
        <v>22160</v>
      </c>
      <c r="W223" s="35" t="n">
        <v>-0.043010752688172</v>
      </c>
      <c r="X223" s="35" t="n">
        <v>1.409747292418773</v>
      </c>
      <c r="Y223" s="30" t="n">
        <v>76211850</v>
      </c>
      <c r="Z223" s="30" t="n">
        <v>4069712790000</v>
      </c>
      <c r="AA223" s="30" t="n">
        <v>55185963000</v>
      </c>
      <c r="AB223" s="30" t="n">
        <v>54177531000</v>
      </c>
      <c r="AC223" s="35" t="n">
        <v>0.0135601615759229</v>
      </c>
      <c r="AD223" s="24" t="inlineStr">
        <is>
          <t>yfinance_download</t>
        </is>
      </c>
      <c r="AE223" s="24" t="inlineStr">
        <is>
          <t>058470.KQ</t>
        </is>
      </c>
    </row>
    <row r="224" ht="24" customHeight="1">
      <c r="A224" s="29" t="inlineStr">
        <is>
          <t>2024-04-18</t>
        </is>
      </c>
      <c r="B224" s="31" t="n">
        <v>53300</v>
      </c>
      <c r="C224" s="31" t="n">
        <v>54500</v>
      </c>
      <c r="D224" s="31" t="n">
        <v>53100</v>
      </c>
      <c r="E224" s="31" t="n">
        <v>53900</v>
      </c>
      <c r="F224" s="31" t="n">
        <v>47308.91796875</v>
      </c>
      <c r="G224" s="31" t="n">
        <v>597595</v>
      </c>
      <c r="H224" s="36" t="n">
        <v>0.009363295880149725</v>
      </c>
      <c r="I224" s="36" t="n">
        <v>-0.03405017921146958</v>
      </c>
      <c r="J224" s="31" t="n">
        <v>51925</v>
      </c>
      <c r="K224" s="31" t="n">
        <v>46156.33333333334</v>
      </c>
      <c r="L224" s="31" t="n">
        <v>41628</v>
      </c>
      <c r="M224" s="36" t="n">
        <v>0.484822485294738</v>
      </c>
      <c r="N224" s="36" t="n">
        <v>0.565712705155334</v>
      </c>
      <c r="O224" s="36" t="n">
        <v>0.07370517928286846</v>
      </c>
      <c r="P224" s="36" t="n">
        <v>0.2833333333333334</v>
      </c>
      <c r="Q224" s="36" t="n">
        <v>0.7454663212435233</v>
      </c>
      <c r="R224" s="36" t="n">
        <v>0.03803562831006269</v>
      </c>
      <c r="S224" s="36" t="n">
        <v>0.1677704034838121</v>
      </c>
      <c r="T224" s="36" t="n">
        <v>0.2948015758624003</v>
      </c>
      <c r="U224" s="31" t="n">
        <v>55800</v>
      </c>
      <c r="V224" s="31" t="n">
        <v>22160</v>
      </c>
      <c r="W224" s="36" t="n">
        <v>-0.03405017921146958</v>
      </c>
      <c r="X224" s="36" t="n">
        <v>1.432310469314079</v>
      </c>
      <c r="Y224" s="31" t="n">
        <v>76211850</v>
      </c>
      <c r="Z224" s="31" t="n">
        <v>4107818715000</v>
      </c>
      <c r="AA224" s="31" t="n">
        <v>32210370500</v>
      </c>
      <c r="AB224" s="31" t="n">
        <v>53500862225</v>
      </c>
      <c r="AC224" s="36" t="n">
        <v>0.007841234663638267</v>
      </c>
      <c r="AD224" s="29" t="inlineStr">
        <is>
          <t>yfinance_download</t>
        </is>
      </c>
      <c r="AE224" s="29" t="inlineStr">
        <is>
          <t>058470.KQ</t>
        </is>
      </c>
    </row>
    <row r="225" ht="24" customHeight="1">
      <c r="A225" s="24" t="inlineStr">
        <is>
          <t>2024-04-19</t>
        </is>
      </c>
      <c r="B225" s="30" t="n">
        <v>53300</v>
      </c>
      <c r="C225" s="30" t="n">
        <v>55200</v>
      </c>
      <c r="D225" s="30" t="n">
        <v>52100</v>
      </c>
      <c r="E225" s="30" t="n">
        <v>54700</v>
      </c>
      <c r="F225" s="30" t="n">
        <v>48011.08984375</v>
      </c>
      <c r="G225" s="30" t="n">
        <v>1201485</v>
      </c>
      <c r="H225" s="35" t="n">
        <v>0.01484230055658631</v>
      </c>
      <c r="I225" s="35" t="n">
        <v>-0.01971326164874554</v>
      </c>
      <c r="J225" s="30" t="n">
        <v>52175</v>
      </c>
      <c r="K225" s="30" t="n">
        <v>46288</v>
      </c>
      <c r="L225" s="30" t="n">
        <v>41827.5</v>
      </c>
      <c r="M225" s="35" t="n">
        <v>0.4833394765970914</v>
      </c>
      <c r="N225" s="35" t="n">
        <v>0.518202997325996</v>
      </c>
      <c r="O225" s="35" t="n">
        <v>0.1006036217303823</v>
      </c>
      <c r="P225" s="35" t="n">
        <v>0.1688034188034189</v>
      </c>
      <c r="Q225" s="35" t="n">
        <v>0.7782834850455136</v>
      </c>
      <c r="R225" s="35" t="n">
        <v>0.04839482510781035</v>
      </c>
      <c r="S225" s="35" t="n">
        <v>0.1817317663325269</v>
      </c>
      <c r="T225" s="35" t="n">
        <v>0.3077520769828461</v>
      </c>
      <c r="U225" s="30" t="n">
        <v>55800</v>
      </c>
      <c r="V225" s="30" t="n">
        <v>22160</v>
      </c>
      <c r="W225" s="35" t="n">
        <v>-0.01971326164874554</v>
      </c>
      <c r="X225" s="35" t="n">
        <v>1.46841155234657</v>
      </c>
      <c r="Y225" s="30" t="n">
        <v>76211850</v>
      </c>
      <c r="Z225" s="30" t="n">
        <v>4168788195000</v>
      </c>
      <c r="AA225" s="30" t="n">
        <v>65721229500</v>
      </c>
      <c r="AB225" s="30" t="n">
        <v>54523796925</v>
      </c>
      <c r="AC225" s="35" t="n">
        <v>0.015765068030759</v>
      </c>
      <c r="AD225" s="24" t="inlineStr">
        <is>
          <t>yfinance_download</t>
        </is>
      </c>
      <c r="AE225" s="24" t="inlineStr">
        <is>
          <t>058470.KQ</t>
        </is>
      </c>
    </row>
    <row r="226" ht="24" customHeight="1">
      <c r="A226" s="29" t="inlineStr">
        <is>
          <t>2024-04-22</t>
        </is>
      </c>
      <c r="B226" s="31" t="n">
        <v>52900</v>
      </c>
      <c r="C226" s="31" t="n">
        <v>53500</v>
      </c>
      <c r="D226" s="31" t="n">
        <v>49600</v>
      </c>
      <c r="E226" s="31" t="n">
        <v>49900</v>
      </c>
      <c r="F226" s="31" t="n">
        <v>43798.05078125</v>
      </c>
      <c r="G226" s="31" t="n">
        <v>1542775</v>
      </c>
      <c r="H226" s="36" t="n">
        <v>-0.08775137111517373</v>
      </c>
      <c r="I226" s="36" t="n">
        <v>-0.1057347670250897</v>
      </c>
      <c r="J226" s="31" t="n">
        <v>52190</v>
      </c>
      <c r="K226" s="31" t="n">
        <v>46353</v>
      </c>
      <c r="L226" s="31" t="n">
        <v>41992.66666666666</v>
      </c>
      <c r="M226" s="36" t="n">
        <v>0.5854435223611983</v>
      </c>
      <c r="N226" s="36" t="n">
        <v>0.5492722820589818</v>
      </c>
      <c r="O226" s="36" t="n">
        <v>0.006048387096774244</v>
      </c>
      <c r="P226" s="36" t="n">
        <v>0.08478260869565224</v>
      </c>
      <c r="Q226" s="36" t="n">
        <v>0.6589095744680851</v>
      </c>
      <c r="R226" s="36" t="n">
        <v>-0.04387813757424797</v>
      </c>
      <c r="S226" s="36" t="n">
        <v>0.07652147649558816</v>
      </c>
      <c r="T226" s="36" t="n">
        <v>0.1883027195224565</v>
      </c>
      <c r="U226" s="31" t="n">
        <v>55800</v>
      </c>
      <c r="V226" s="31" t="n">
        <v>22160</v>
      </c>
      <c r="W226" s="36" t="n">
        <v>-0.1057347670250897</v>
      </c>
      <c r="X226" s="36" t="n">
        <v>1.251805054151625</v>
      </c>
      <c r="Y226" s="31" t="n">
        <v>76211850</v>
      </c>
      <c r="Z226" s="31" t="n">
        <v>3802971315000</v>
      </c>
      <c r="AA226" s="31" t="n">
        <v>76984472500</v>
      </c>
      <c r="AB226" s="31" t="n">
        <v>57256648550</v>
      </c>
      <c r="AC226" s="36" t="n">
        <v>0.02024324301273358</v>
      </c>
      <c r="AD226" s="29" t="inlineStr">
        <is>
          <t>yfinance_download</t>
        </is>
      </c>
      <c r="AE226" s="29" t="inlineStr">
        <is>
          <t>058470.KQ</t>
        </is>
      </c>
    </row>
    <row r="227" ht="24" customHeight="1">
      <c r="A227" s="24" t="inlineStr">
        <is>
          <t>2024-04-23</t>
        </is>
      </c>
      <c r="B227" s="30" t="n">
        <v>50600</v>
      </c>
      <c r="C227" s="30" t="n">
        <v>50900</v>
      </c>
      <c r="D227" s="30" t="n">
        <v>48300</v>
      </c>
      <c r="E227" s="30" t="n">
        <v>48500</v>
      </c>
      <c r="F227" s="30" t="n">
        <v>42569.24609375</v>
      </c>
      <c r="G227" s="30" t="n">
        <v>785390</v>
      </c>
      <c r="H227" s="35" t="n">
        <v>-0.02805611222444893</v>
      </c>
      <c r="I227" s="35" t="n">
        <v>-0.1308243727598566</v>
      </c>
      <c r="J227" s="30" t="n">
        <v>52165</v>
      </c>
      <c r="K227" s="30" t="n">
        <v>46414.66666666666</v>
      </c>
      <c r="L227" s="30" t="n">
        <v>42148</v>
      </c>
      <c r="M227" s="35" t="n">
        <v>0.5928569361142267</v>
      </c>
      <c r="N227" s="35" t="n">
        <v>0.549716034177796</v>
      </c>
      <c r="O227" s="35" t="n">
        <v>-0.01020408163265307</v>
      </c>
      <c r="P227" s="35" t="n">
        <v>0.08258928571428581</v>
      </c>
      <c r="Q227" s="35" t="n">
        <v>0.6242464835900872</v>
      </c>
      <c r="R227" s="35" t="n">
        <v>-0.07025783571360111</v>
      </c>
      <c r="S227" s="35" t="n">
        <v>0.04492832725287998</v>
      </c>
      <c r="T227" s="35" t="n">
        <v>0.1507070323621524</v>
      </c>
      <c r="U227" s="30" t="n">
        <v>55800</v>
      </c>
      <c r="V227" s="30" t="n">
        <v>22160</v>
      </c>
      <c r="W227" s="35" t="n">
        <v>-0.1308243727598566</v>
      </c>
      <c r="X227" s="35" t="n">
        <v>1.188628158844765</v>
      </c>
      <c r="Y227" s="30" t="n">
        <v>76211850</v>
      </c>
      <c r="Z227" s="30" t="n">
        <v>3696274725000</v>
      </c>
      <c r="AA227" s="30" t="n">
        <v>38091415000</v>
      </c>
      <c r="AB227" s="30" t="n">
        <v>57235825550</v>
      </c>
      <c r="AC227" s="35" t="n">
        <v>0.01030535277650392</v>
      </c>
      <c r="AD227" s="24" t="inlineStr">
        <is>
          <t>yfinance_download</t>
        </is>
      </c>
      <c r="AE227" s="24" t="inlineStr">
        <is>
          <t>058470.KQ</t>
        </is>
      </c>
    </row>
    <row r="228" ht="24" customHeight="1">
      <c r="A228" s="29" t="inlineStr">
        <is>
          <t>2024-04-24</t>
        </is>
      </c>
      <c r="B228" s="31" t="n">
        <v>50000</v>
      </c>
      <c r="C228" s="31" t="n">
        <v>52400</v>
      </c>
      <c r="D228" s="31" t="n">
        <v>49900</v>
      </c>
      <c r="E228" s="31" t="n">
        <v>51300</v>
      </c>
      <c r="F228" s="31" t="n">
        <v>45026.8515625</v>
      </c>
      <c r="G228" s="31" t="n">
        <v>1038175</v>
      </c>
      <c r="H228" s="36" t="n">
        <v>0.05773195876288661</v>
      </c>
      <c r="I228" s="36" t="n">
        <v>-0.08064516129032262</v>
      </c>
      <c r="J228" s="31" t="n">
        <v>52280</v>
      </c>
      <c r="K228" s="31" t="n">
        <v>46519.66666666666</v>
      </c>
      <c r="L228" s="31" t="n">
        <v>42330.16666666666</v>
      </c>
      <c r="M228" s="36" t="n">
        <v>0.6270822196261566</v>
      </c>
      <c r="N228" s="36" t="n">
        <v>0.5614891566188333</v>
      </c>
      <c r="O228" s="36" t="n">
        <v>0.04693877551020398</v>
      </c>
      <c r="P228" s="36" t="n">
        <v>0.1399999999999999</v>
      </c>
      <c r="Q228" s="36" t="n">
        <v>0.7425271739130435</v>
      </c>
      <c r="R228" s="36" t="n">
        <v>-0.01874521805661822</v>
      </c>
      <c r="S228" s="36" t="n">
        <v>0.1027594064159245</v>
      </c>
      <c r="T228" s="36" t="n">
        <v>0.2119016776845513</v>
      </c>
      <c r="U228" s="31" t="n">
        <v>55800</v>
      </c>
      <c r="V228" s="31" t="n">
        <v>22160</v>
      </c>
      <c r="W228" s="36" t="n">
        <v>-0.08064516129032262</v>
      </c>
      <c r="X228" s="36" t="n">
        <v>1.314981949458484</v>
      </c>
      <c r="Y228" s="31" t="n">
        <v>76211850</v>
      </c>
      <c r="Z228" s="31" t="n">
        <v>3909667905000</v>
      </c>
      <c r="AA228" s="31" t="n">
        <v>53258377500</v>
      </c>
      <c r="AB228" s="31" t="n">
        <v>58096695925</v>
      </c>
      <c r="AC228" s="36" t="n">
        <v>0.01362222541507653</v>
      </c>
      <c r="AD228" s="29" t="inlineStr">
        <is>
          <t>yfinance_download</t>
        </is>
      </c>
      <c r="AE228" s="29" t="inlineStr">
        <is>
          <t>058470.KQ</t>
        </is>
      </c>
    </row>
    <row r="229" ht="24" customHeight="1">
      <c r="A229" s="24" t="inlineStr">
        <is>
          <t>2024-04-25</t>
        </is>
      </c>
      <c r="B229" s="30" t="n">
        <v>50000</v>
      </c>
      <c r="C229" s="30" t="n">
        <v>51700</v>
      </c>
      <c r="D229" s="30" t="n">
        <v>49900</v>
      </c>
      <c r="E229" s="30" t="n">
        <v>50200</v>
      </c>
      <c r="F229" s="30" t="n">
        <v>44061.3671875</v>
      </c>
      <c r="G229" s="30" t="n">
        <v>480670</v>
      </c>
      <c r="H229" s="35" t="n">
        <v>-0.02144249512670571</v>
      </c>
      <c r="I229" s="35" t="n">
        <v>-0.100358422939068</v>
      </c>
      <c r="J229" s="30" t="n">
        <v>52235</v>
      </c>
      <c r="K229" s="30" t="n">
        <v>46633</v>
      </c>
      <c r="L229" s="30" t="n">
        <v>42519.33333333334</v>
      </c>
      <c r="M229" s="35" t="n">
        <v>0.6143463420198751</v>
      </c>
      <c r="N229" s="35" t="n">
        <v>0.5581070890228859</v>
      </c>
      <c r="O229" s="35" t="n">
        <v>-0.01761252446183958</v>
      </c>
      <c r="P229" s="35" t="n">
        <v>0.1566820276497696</v>
      </c>
      <c r="Q229" s="35" t="n">
        <v>0.8254545454545454</v>
      </c>
      <c r="R229" s="35" t="n">
        <v>-0.03895855269455351</v>
      </c>
      <c r="S229" s="35" t="n">
        <v>0.07649089700426726</v>
      </c>
      <c r="T229" s="35" t="n">
        <v>0.1806393954122829</v>
      </c>
      <c r="U229" s="30" t="n">
        <v>55800</v>
      </c>
      <c r="V229" s="30" t="n">
        <v>22160</v>
      </c>
      <c r="W229" s="35" t="n">
        <v>-0.100358422939068</v>
      </c>
      <c r="X229" s="35" t="n">
        <v>1.265342960288809</v>
      </c>
      <c r="Y229" s="30" t="n">
        <v>76211850</v>
      </c>
      <c r="Z229" s="30" t="n">
        <v>3825834870000</v>
      </c>
      <c r="AA229" s="30" t="n">
        <v>24129634000</v>
      </c>
      <c r="AB229" s="30" t="n">
        <v>55987911825</v>
      </c>
      <c r="AC229" s="35" t="n">
        <v>0.006307024432552156</v>
      </c>
      <c r="AD229" s="24" t="inlineStr">
        <is>
          <t>yfinance_download</t>
        </is>
      </c>
      <c r="AE229" s="24" t="inlineStr">
        <is>
          <t>058470.KQ</t>
        </is>
      </c>
    </row>
    <row r="230" ht="24" customHeight="1">
      <c r="A230" s="29" t="inlineStr">
        <is>
          <t>2024-04-26</t>
        </is>
      </c>
      <c r="B230" s="31" t="n">
        <v>51500</v>
      </c>
      <c r="C230" s="31" t="n">
        <v>52400</v>
      </c>
      <c r="D230" s="31" t="n">
        <v>50500</v>
      </c>
      <c r="E230" s="31" t="n">
        <v>50700</v>
      </c>
      <c r="F230" s="31" t="n">
        <v>44500.2265625</v>
      </c>
      <c r="G230" s="31" t="n">
        <v>520880</v>
      </c>
      <c r="H230" s="36" t="n">
        <v>0.009960159362549792</v>
      </c>
      <c r="I230" s="36" t="n">
        <v>-0.09139784946236562</v>
      </c>
      <c r="J230" s="31" t="n">
        <v>52190</v>
      </c>
      <c r="K230" s="31" t="n">
        <v>46768</v>
      </c>
      <c r="L230" s="31" t="n">
        <v>42710</v>
      </c>
      <c r="M230" s="36" t="n">
        <v>0.6143843567362335</v>
      </c>
      <c r="N230" s="36" t="n">
        <v>0.5564750045423821</v>
      </c>
      <c r="O230" s="36" t="n">
        <v>-0.01744186046511631</v>
      </c>
      <c r="P230" s="36" t="n">
        <v>0.1901408450704225</v>
      </c>
      <c r="Q230" s="36" t="n">
        <v>0.8224299065420562</v>
      </c>
      <c r="R230" s="36" t="n">
        <v>-0.02854953056141019</v>
      </c>
      <c r="S230" s="36" t="n">
        <v>0.08407458091002384</v>
      </c>
      <c r="T230" s="36" t="n">
        <v>0.1870756263170217</v>
      </c>
      <c r="U230" s="31" t="n">
        <v>55800</v>
      </c>
      <c r="V230" s="31" t="n">
        <v>22160</v>
      </c>
      <c r="W230" s="36" t="n">
        <v>-0.09139784946236562</v>
      </c>
      <c r="X230" s="36" t="n">
        <v>1.287906137184116</v>
      </c>
      <c r="Y230" s="31" t="n">
        <v>76211850</v>
      </c>
      <c r="Z230" s="31" t="n">
        <v>3863940795000</v>
      </c>
      <c r="AA230" s="31" t="n">
        <v>26408616000</v>
      </c>
      <c r="AB230" s="31" t="n">
        <v>53790628725</v>
      </c>
      <c r="AC230" s="36" t="n">
        <v>0.006834632671953246</v>
      </c>
      <c r="AD230" s="29" t="inlineStr">
        <is>
          <t>yfinance_download</t>
        </is>
      </c>
      <c r="AE230" s="29" t="inlineStr">
        <is>
          <t>058470.KQ</t>
        </is>
      </c>
    </row>
    <row r="231" ht="24" customHeight="1">
      <c r="A231" s="24" t="inlineStr">
        <is>
          <t>2024-04-29</t>
        </is>
      </c>
      <c r="B231" s="30" t="n">
        <v>51400</v>
      </c>
      <c r="C231" s="30" t="n">
        <v>51700</v>
      </c>
      <c r="D231" s="30" t="n">
        <v>50400</v>
      </c>
      <c r="E231" s="30" t="n">
        <v>51000</v>
      </c>
      <c r="F231" s="30" t="n">
        <v>44763.5390625</v>
      </c>
      <c r="G231" s="30" t="n">
        <v>443385</v>
      </c>
      <c r="H231" s="35" t="n">
        <v>0.00591715976331364</v>
      </c>
      <c r="I231" s="35" t="n">
        <v>-0.08602150537634412</v>
      </c>
      <c r="J231" s="30" t="n">
        <v>52185</v>
      </c>
      <c r="K231" s="30" t="n">
        <v>46916.33333333334</v>
      </c>
      <c r="L231" s="30" t="n">
        <v>42890.16666666666</v>
      </c>
      <c r="M231" s="35" t="n">
        <v>0.6136711945489896</v>
      </c>
      <c r="N231" s="35" t="n">
        <v>0.5555857729928021</v>
      </c>
      <c r="O231" s="35" t="n">
        <v>-0.00195694716242667</v>
      </c>
      <c r="P231" s="35" t="n">
        <v>0.2114014251781473</v>
      </c>
      <c r="Q231" s="35" t="n">
        <v>0.7358747447243021</v>
      </c>
      <c r="R231" s="35" t="n">
        <v>-0.02270767461914347</v>
      </c>
      <c r="S231" s="35" t="n">
        <v>0.08704147098736037</v>
      </c>
      <c r="T231" s="35" t="n">
        <v>0.1890837449143354</v>
      </c>
      <c r="U231" s="30" t="n">
        <v>55800</v>
      </c>
      <c r="V231" s="30" t="n">
        <v>22160</v>
      </c>
      <c r="W231" s="35" t="n">
        <v>-0.08602150537634412</v>
      </c>
      <c r="X231" s="35" t="n">
        <v>1.301444043321299</v>
      </c>
      <c r="Y231" s="30" t="n">
        <v>76211850</v>
      </c>
      <c r="Z231" s="30" t="n">
        <v>3886804350000</v>
      </c>
      <c r="AA231" s="30" t="n">
        <v>22612635000</v>
      </c>
      <c r="AB231" s="30" t="n">
        <v>52159650400</v>
      </c>
      <c r="AC231" s="35" t="n">
        <v>0.005817796051401455</v>
      </c>
      <c r="AD231" s="24" t="inlineStr">
        <is>
          <t>yfinance_download</t>
        </is>
      </c>
      <c r="AE231" s="24" t="inlineStr">
        <is>
          <t>058470.KQ</t>
        </is>
      </c>
    </row>
    <row r="232" ht="24" customHeight="1">
      <c r="A232" s="29" t="inlineStr">
        <is>
          <t>2024-04-30</t>
        </is>
      </c>
      <c r="B232" s="31" t="n">
        <v>51000</v>
      </c>
      <c r="C232" s="31" t="n">
        <v>51500</v>
      </c>
      <c r="D232" s="31" t="n">
        <v>50000</v>
      </c>
      <c r="E232" s="31" t="n">
        <v>50200</v>
      </c>
      <c r="F232" s="31" t="n">
        <v>44061.3671875</v>
      </c>
      <c r="G232" s="31" t="n">
        <v>442280</v>
      </c>
      <c r="H232" s="36" t="n">
        <v>-0.01568627450980398</v>
      </c>
      <c r="I232" s="36" t="n">
        <v>-0.100358422939068</v>
      </c>
      <c r="J232" s="31" t="n">
        <v>52015</v>
      </c>
      <c r="K232" s="31" t="n">
        <v>47090</v>
      </c>
      <c r="L232" s="31" t="n">
        <v>43066.83333333334</v>
      </c>
      <c r="M232" s="36" t="n">
        <v>0.5885602483154441</v>
      </c>
      <c r="N232" s="36" t="n">
        <v>0.5434772933824056</v>
      </c>
      <c r="O232" s="36" t="n">
        <v>-0.06343283582089554</v>
      </c>
      <c r="P232" s="36" t="n">
        <v>0.2619406737053795</v>
      </c>
      <c r="Q232" s="36" t="n">
        <v>0.7310344827586206</v>
      </c>
      <c r="R232" s="36" t="n">
        <v>-0.03489378064019999</v>
      </c>
      <c r="S232" s="36" t="n">
        <v>0.06604374601826279</v>
      </c>
      <c r="T232" s="36" t="n">
        <v>0.1656301639699536</v>
      </c>
      <c r="U232" s="31" t="n">
        <v>55800</v>
      </c>
      <c r="V232" s="31" t="n">
        <v>22160</v>
      </c>
      <c r="W232" s="36" t="n">
        <v>-0.100358422939068</v>
      </c>
      <c r="X232" s="36" t="n">
        <v>1.265342960288809</v>
      </c>
      <c r="Y232" s="31" t="n">
        <v>76211850</v>
      </c>
      <c r="Z232" s="31" t="n">
        <v>3825834870000</v>
      </c>
      <c r="AA232" s="31" t="n">
        <v>22202456000</v>
      </c>
      <c r="AB232" s="31" t="n">
        <v>47731941800</v>
      </c>
      <c r="AC232" s="36" t="n">
        <v>0.005803296993840197</v>
      </c>
      <c r="AD232" s="29" t="inlineStr">
        <is>
          <t>yfinance_download</t>
        </is>
      </c>
      <c r="AE232" s="29" t="inlineStr">
        <is>
          <t>058470.KQ</t>
        </is>
      </c>
    </row>
    <row r="233" ht="24" customHeight="1">
      <c r="A233" s="24" t="inlineStr">
        <is>
          <t>2024-05-02</t>
        </is>
      </c>
      <c r="B233" s="30" t="n">
        <v>49300</v>
      </c>
      <c r="C233" s="30" t="n">
        <v>52000</v>
      </c>
      <c r="D233" s="30" t="n">
        <v>49100</v>
      </c>
      <c r="E233" s="30" t="n">
        <v>51900</v>
      </c>
      <c r="F233" s="30" t="n">
        <v>45553.484375</v>
      </c>
      <c r="G233" s="30" t="n">
        <v>456175</v>
      </c>
      <c r="H233" s="35" t="n">
        <v>0.03386454183266929</v>
      </c>
      <c r="I233" s="35" t="n">
        <v>-0.06989247311827962</v>
      </c>
      <c r="J233" s="30" t="n">
        <v>51915</v>
      </c>
      <c r="K233" s="30" t="n">
        <v>47297.33333333334</v>
      </c>
      <c r="L233" s="30" t="n">
        <v>43253.5</v>
      </c>
      <c r="M233" s="35" t="n">
        <v>0.6021843978420683</v>
      </c>
      <c r="N233" s="35" t="n">
        <v>0.5461417440592424</v>
      </c>
      <c r="O233" s="35" t="n">
        <v>-0.03710575139146566</v>
      </c>
      <c r="P233" s="35" t="n">
        <v>0.3152559553978713</v>
      </c>
      <c r="Q233" s="35" t="n">
        <v>0.7593220338983051</v>
      </c>
      <c r="R233" s="35" t="n">
        <v>-0.0002889338341519609</v>
      </c>
      <c r="S233" s="35" t="n">
        <v>0.09731344966594313</v>
      </c>
      <c r="T233" s="35" t="n">
        <v>0.1999028980313733</v>
      </c>
      <c r="U233" s="30" t="n">
        <v>55800</v>
      </c>
      <c r="V233" s="30" t="n">
        <v>22160</v>
      </c>
      <c r="W233" s="35" t="n">
        <v>-0.06989247311827962</v>
      </c>
      <c r="X233" s="35" t="n">
        <v>1.342057761732852</v>
      </c>
      <c r="Y233" s="30" t="n">
        <v>76211850</v>
      </c>
      <c r="Z233" s="30" t="n">
        <v>3955395015000</v>
      </c>
      <c r="AA233" s="30" t="n">
        <v>23675482500</v>
      </c>
      <c r="AB233" s="30" t="n">
        <v>45238469275</v>
      </c>
      <c r="AC233" s="35" t="n">
        <v>0.005985617722178375</v>
      </c>
      <c r="AD233" s="24" t="inlineStr">
        <is>
          <t>yfinance_download</t>
        </is>
      </c>
      <c r="AE233" s="24" t="inlineStr">
        <is>
          <t>058470.KQ</t>
        </is>
      </c>
    </row>
    <row r="234" ht="24" customHeight="1">
      <c r="A234" s="29" t="inlineStr">
        <is>
          <t>2024-05-03</t>
        </is>
      </c>
      <c r="B234" s="31" t="n">
        <v>53900</v>
      </c>
      <c r="C234" s="31" t="n">
        <v>57400</v>
      </c>
      <c r="D234" s="31" t="n">
        <v>53500</v>
      </c>
      <c r="E234" s="31" t="n">
        <v>54800</v>
      </c>
      <c r="F234" s="31" t="n">
        <v>48098.86328125</v>
      </c>
      <c r="G234" s="31" t="n">
        <v>2065355</v>
      </c>
      <c r="H234" s="36" t="n">
        <v>0.05587668593448947</v>
      </c>
      <c r="I234" s="36" t="n">
        <v>-0.01792114695340496</v>
      </c>
      <c r="J234" s="31" t="n">
        <v>51985</v>
      </c>
      <c r="K234" s="31" t="n">
        <v>47542.33333333334</v>
      </c>
      <c r="L234" s="31" t="n">
        <v>43468.33333333334</v>
      </c>
      <c r="M234" s="36" t="n">
        <v>0.6341531079643742</v>
      </c>
      <c r="N234" s="36" t="n">
        <v>0.5555413609518043</v>
      </c>
      <c r="O234" s="36" t="n">
        <v>0.02621722846441954</v>
      </c>
      <c r="P234" s="36" t="n">
        <v>0.3665835411471321</v>
      </c>
      <c r="Q234" s="36" t="n">
        <v>0.8883528600964852</v>
      </c>
      <c r="R234" s="36" t="n">
        <v>0.05415023564489752</v>
      </c>
      <c r="S234" s="36" t="n">
        <v>0.1526569303147369</v>
      </c>
      <c r="T234" s="36" t="n">
        <v>0.2606878570606954</v>
      </c>
      <c r="U234" s="31" t="n">
        <v>55800</v>
      </c>
      <c r="V234" s="31" t="n">
        <v>22160</v>
      </c>
      <c r="W234" s="36" t="n">
        <v>-0.01792114695340496</v>
      </c>
      <c r="X234" s="36" t="n">
        <v>1.472924187725632</v>
      </c>
      <c r="Y234" s="31" t="n">
        <v>76211850</v>
      </c>
      <c r="Z234" s="31" t="n">
        <v>4176409380000</v>
      </c>
      <c r="AA234" s="31" t="n">
        <v>113181454000</v>
      </c>
      <c r="AB234" s="31" t="n">
        <v>47819405775</v>
      </c>
      <c r="AC234" s="36" t="n">
        <v>0.02710018192708877</v>
      </c>
      <c r="AD234" s="29" t="inlineStr">
        <is>
          <t>yfinance_download</t>
        </is>
      </c>
      <c r="AE234" s="29" t="inlineStr">
        <is>
          <t>058470.KQ</t>
        </is>
      </c>
    </row>
    <row r="235" ht="24" customHeight="1">
      <c r="A235" s="24" t="inlineStr">
        <is>
          <t>2024-05-07</t>
        </is>
      </c>
      <c r="B235" s="30" t="n">
        <v>56900</v>
      </c>
      <c r="C235" s="30" t="n">
        <v>61800</v>
      </c>
      <c r="D235" s="30" t="n">
        <v>56300</v>
      </c>
      <c r="E235" s="30" t="n">
        <v>59600</v>
      </c>
      <c r="F235" s="30" t="n">
        <v>52311.8984375</v>
      </c>
      <c r="G235" s="30" t="n">
        <v>2589630</v>
      </c>
      <c r="H235" s="35" t="n">
        <v>0.0875912408759123</v>
      </c>
      <c r="I235" s="35" t="n">
        <v>0</v>
      </c>
      <c r="J235" s="30" t="n">
        <v>52335</v>
      </c>
      <c r="K235" s="30" t="n">
        <v>47893</v>
      </c>
      <c r="L235" s="30" t="n">
        <v>43727.33333333334</v>
      </c>
      <c r="M235" s="35" t="n">
        <v>0.6988202287509884</v>
      </c>
      <c r="N235" s="35" t="n">
        <v>0.5724614349217639</v>
      </c>
      <c r="O235" s="35" t="n">
        <v>0.1330798479087452</v>
      </c>
      <c r="P235" s="35" t="n">
        <v>0.545643153526971</v>
      </c>
      <c r="Q235" s="35" t="n">
        <v>1.089761570827489</v>
      </c>
      <c r="R235" s="35" t="n">
        <v>0.1388172351199006</v>
      </c>
      <c r="S235" s="35" t="n">
        <v>0.2444407324661224</v>
      </c>
      <c r="T235" s="35" t="n">
        <v>0.3629918738851365</v>
      </c>
      <c r="U235" s="30" t="n">
        <v>59600</v>
      </c>
      <c r="V235" s="30" t="n">
        <v>22160</v>
      </c>
      <c r="W235" s="35" t="n">
        <v>0</v>
      </c>
      <c r="X235" s="35" t="n">
        <v>1.689530685920578</v>
      </c>
      <c r="Y235" s="30" t="n">
        <v>76211850</v>
      </c>
      <c r="Z235" s="30" t="n">
        <v>4542226260000</v>
      </c>
      <c r="AA235" s="30" t="n">
        <v>154341948000</v>
      </c>
      <c r="AB235" s="30" t="n">
        <v>52178769025</v>
      </c>
      <c r="AC235" s="35" t="n">
        <v>0.03397936147725059</v>
      </c>
      <c r="AD235" s="24" t="inlineStr">
        <is>
          <t>yfinance_download</t>
        </is>
      </c>
      <c r="AE235" s="24" t="inlineStr">
        <is>
          <t>058470.KQ</t>
        </is>
      </c>
    </row>
    <row r="236" ht="24" customHeight="1">
      <c r="A236" s="29" t="inlineStr">
        <is>
          <t>2024-05-08</t>
        </is>
      </c>
      <c r="B236" s="31" t="n">
        <v>59200</v>
      </c>
      <c r="C236" s="31" t="n">
        <v>59500</v>
      </c>
      <c r="D236" s="31" t="n">
        <v>57900</v>
      </c>
      <c r="E236" s="31" t="n">
        <v>58900</v>
      </c>
      <c r="F236" s="31" t="n">
        <v>51697.5</v>
      </c>
      <c r="G236" s="31" t="n">
        <v>908850</v>
      </c>
      <c r="H236" s="36" t="n">
        <v>-0.01174496644295298</v>
      </c>
      <c r="I236" s="36" t="n">
        <v>-0.01174496644295298</v>
      </c>
      <c r="J236" s="31" t="n">
        <v>52660</v>
      </c>
      <c r="K236" s="31" t="n">
        <v>48215.66666666666</v>
      </c>
      <c r="L236" s="31" t="n">
        <v>43976.16666666666</v>
      </c>
      <c r="M236" s="36" t="n">
        <v>0.701042248168938</v>
      </c>
      <c r="N236" s="36" t="n">
        <v>0.5726737806953096</v>
      </c>
      <c r="O236" s="36" t="n">
        <v>0.1240458015267176</v>
      </c>
      <c r="P236" s="36" t="n">
        <v>0.4896307536671725</v>
      </c>
      <c r="Q236" s="36" t="n">
        <v>1.028236914600551</v>
      </c>
      <c r="R236" s="36" t="n">
        <v>0.1184960121534371</v>
      </c>
      <c r="S236" s="36" t="n">
        <v>0.2215946407460923</v>
      </c>
      <c r="T236" s="36" t="n">
        <v>0.339361851305821</v>
      </c>
      <c r="U236" s="31" t="n">
        <v>59600</v>
      </c>
      <c r="V236" s="31" t="n">
        <v>22160</v>
      </c>
      <c r="W236" s="36" t="n">
        <v>-0.01174496644295298</v>
      </c>
      <c r="X236" s="36" t="n">
        <v>1.657942238267148</v>
      </c>
      <c r="Y236" s="31" t="n">
        <v>76211850</v>
      </c>
      <c r="Z236" s="31" t="n">
        <v>4488877965000</v>
      </c>
      <c r="AA236" s="31" t="n">
        <v>53531265000</v>
      </c>
      <c r="AB236" s="31" t="n">
        <v>52914069475</v>
      </c>
      <c r="AC236" s="36" t="n">
        <v>0.01192531082764688</v>
      </c>
      <c r="AD236" s="29" t="inlineStr">
        <is>
          <t>yfinance_download</t>
        </is>
      </c>
      <c r="AE236" s="29" t="inlineStr">
        <is>
          <t>058470.KQ</t>
        </is>
      </c>
    </row>
    <row r="237" ht="24" customHeight="1">
      <c r="A237" s="24" t="inlineStr">
        <is>
          <t>2024-05-09</t>
        </is>
      </c>
      <c r="B237" s="30" t="n">
        <v>58000</v>
      </c>
      <c r="C237" s="30" t="n">
        <v>60100</v>
      </c>
      <c r="D237" s="30" t="n">
        <v>58000</v>
      </c>
      <c r="E237" s="30" t="n">
        <v>58600</v>
      </c>
      <c r="F237" s="30" t="n">
        <v>51434.18359375</v>
      </c>
      <c r="G237" s="30" t="n">
        <v>805090</v>
      </c>
      <c r="H237" s="35" t="n">
        <v>-0.005093378607809895</v>
      </c>
      <c r="I237" s="35" t="n">
        <v>-0.01677852348993292</v>
      </c>
      <c r="J237" s="30" t="n">
        <v>53105</v>
      </c>
      <c r="K237" s="30" t="n">
        <v>48544</v>
      </c>
      <c r="L237" s="30" t="n">
        <v>44221</v>
      </c>
      <c r="M237" s="35" t="n">
        <v>0.6684279418923803</v>
      </c>
      <c r="N237" s="35" t="n">
        <v>0.5711806843720834</v>
      </c>
      <c r="O237" s="35" t="n">
        <v>0.1790744466800804</v>
      </c>
      <c r="P237" s="35" t="n">
        <v>0.506426735218509</v>
      </c>
      <c r="Q237" s="35" t="n">
        <v>1.005475701574264</v>
      </c>
      <c r="R237" s="35" t="n">
        <v>0.1034742491290839</v>
      </c>
      <c r="S237" s="35" t="n">
        <v>0.207152274225445</v>
      </c>
      <c r="T237" s="35" t="n">
        <v>0.3251622532281042</v>
      </c>
      <c r="U237" s="30" t="n">
        <v>59600</v>
      </c>
      <c r="V237" s="30" t="n">
        <v>22160</v>
      </c>
      <c r="W237" s="35" t="n">
        <v>-0.01677852348993292</v>
      </c>
      <c r="X237" s="35" t="n">
        <v>1.644404332129964</v>
      </c>
      <c r="Y237" s="30" t="n">
        <v>76211850</v>
      </c>
      <c r="Z237" s="30" t="n">
        <v>4466014410000</v>
      </c>
      <c r="AA237" s="30" t="n">
        <v>47178274000</v>
      </c>
      <c r="AB237" s="30" t="n">
        <v>53530352075</v>
      </c>
      <c r="AC237" s="35" t="n">
        <v>0.01056384276198518</v>
      </c>
      <c r="AD237" s="24" t="inlineStr">
        <is>
          <t>yfinance_download</t>
        </is>
      </c>
      <c r="AE237" s="24" t="inlineStr">
        <is>
          <t>058470.KQ</t>
        </is>
      </c>
    </row>
    <row r="238" ht="24" customHeight="1">
      <c r="A238" s="29" t="inlineStr">
        <is>
          <t>2024-05-10</t>
        </is>
      </c>
      <c r="B238" s="31" t="n">
        <v>58200</v>
      </c>
      <c r="C238" s="31" t="n">
        <v>59300</v>
      </c>
      <c r="D238" s="31" t="n">
        <v>56500</v>
      </c>
      <c r="E238" s="31" t="n">
        <v>57200</v>
      </c>
      <c r="F238" s="31" t="n">
        <v>50205.37890625</v>
      </c>
      <c r="G238" s="31" t="n">
        <v>875135</v>
      </c>
      <c r="H238" s="36" t="n">
        <v>-0.02389078498293518</v>
      </c>
      <c r="I238" s="36" t="n">
        <v>-0.04026845637583898</v>
      </c>
      <c r="J238" s="31" t="n">
        <v>53450</v>
      </c>
      <c r="K238" s="31" t="n">
        <v>48824</v>
      </c>
      <c r="L238" s="31" t="n">
        <v>44458.33333333334</v>
      </c>
      <c r="M238" s="36" t="n">
        <v>0.678431213156977</v>
      </c>
      <c r="N238" s="36" t="n">
        <v>0.5710036606567982</v>
      </c>
      <c r="O238" s="36" t="n">
        <v>0.1371769383697814</v>
      </c>
      <c r="P238" s="36" t="n">
        <v>0.4158415841584158</v>
      </c>
      <c r="Q238" s="36" t="n">
        <v>0.9916434540389971</v>
      </c>
      <c r="R238" s="36" t="n">
        <v>0.07015902712815714</v>
      </c>
      <c r="S238" s="36" t="n">
        <v>0.1715549729641159</v>
      </c>
      <c r="T238" s="36" t="n">
        <v>0.2865979381443298</v>
      </c>
      <c r="U238" s="31" t="n">
        <v>59600</v>
      </c>
      <c r="V238" s="31" t="n">
        <v>22160</v>
      </c>
      <c r="W238" s="36" t="n">
        <v>-0.04026845637583898</v>
      </c>
      <c r="X238" s="36" t="n">
        <v>1.581227436823105</v>
      </c>
      <c r="Y238" s="31" t="n">
        <v>76211850</v>
      </c>
      <c r="Z238" s="31" t="n">
        <v>4359317820000</v>
      </c>
      <c r="AA238" s="31" t="n">
        <v>50057722000</v>
      </c>
      <c r="AB238" s="31" t="n">
        <v>54995436000</v>
      </c>
      <c r="AC238" s="36" t="n">
        <v>0.01148292555554025</v>
      </c>
      <c r="AD238" s="29" t="inlineStr">
        <is>
          <t>yfinance_download</t>
        </is>
      </c>
      <c r="AE238" s="29" t="inlineStr">
        <is>
          <t>058470.KQ</t>
        </is>
      </c>
    </row>
    <row r="239" ht="24" customHeight="1">
      <c r="A239" s="24" t="inlineStr">
        <is>
          <t>2024-05-13</t>
        </is>
      </c>
      <c r="B239" s="30" t="n">
        <v>57600</v>
      </c>
      <c r="C239" s="30" t="n">
        <v>58700</v>
      </c>
      <c r="D239" s="30" t="n">
        <v>56800</v>
      </c>
      <c r="E239" s="30" t="n">
        <v>58200</v>
      </c>
      <c r="F239" s="30" t="n">
        <v>51083.09765625</v>
      </c>
      <c r="G239" s="30" t="n">
        <v>639575</v>
      </c>
      <c r="H239" s="35" t="n">
        <v>0.0174825174825175</v>
      </c>
      <c r="I239" s="35" t="n">
        <v>-0.02348993288590606</v>
      </c>
      <c r="J239" s="30" t="n">
        <v>53805</v>
      </c>
      <c r="K239" s="30" t="n">
        <v>49064</v>
      </c>
      <c r="L239" s="30" t="n">
        <v>44698.33333333334</v>
      </c>
      <c r="M239" s="35" t="n">
        <v>0.678719254512637</v>
      </c>
      <c r="N239" s="35" t="n">
        <v>0.5481316236982843</v>
      </c>
      <c r="O239" s="35" t="n">
        <v>0.1389432485322897</v>
      </c>
      <c r="P239" s="35" t="n">
        <v>0.3287671232876712</v>
      </c>
      <c r="Q239" s="35" t="n">
        <v>0.9795918367346939</v>
      </c>
      <c r="R239" s="35" t="n">
        <v>0.08168385837747416</v>
      </c>
      <c r="S239" s="35" t="n">
        <v>0.186205772052829</v>
      </c>
      <c r="T239" s="35" t="n">
        <v>0.3020619709907155</v>
      </c>
      <c r="U239" s="30" t="n">
        <v>59600</v>
      </c>
      <c r="V239" s="30" t="n">
        <v>22160</v>
      </c>
      <c r="W239" s="35" t="n">
        <v>-0.02348993288590606</v>
      </c>
      <c r="X239" s="35" t="n">
        <v>1.626353790613718</v>
      </c>
      <c r="Y239" s="30" t="n">
        <v>76211850</v>
      </c>
      <c r="Z239" s="30" t="n">
        <v>4435529670000</v>
      </c>
      <c r="AA239" s="30" t="n">
        <v>37223265000</v>
      </c>
      <c r="AB239" s="30" t="n">
        <v>55606539950</v>
      </c>
      <c r="AC239" s="35" t="n">
        <v>0.00839206763777549</v>
      </c>
      <c r="AD239" s="24" t="inlineStr">
        <is>
          <t>yfinance_download</t>
        </is>
      </c>
      <c r="AE239" s="24" t="inlineStr">
        <is>
          <t>058470.KQ</t>
        </is>
      </c>
    </row>
    <row r="240" ht="24" customHeight="1">
      <c r="A240" s="29" t="inlineStr">
        <is>
          <t>2024-05-14</t>
        </is>
      </c>
      <c r="B240" s="31" t="n">
        <v>58600</v>
      </c>
      <c r="C240" s="31" t="n">
        <v>60800</v>
      </c>
      <c r="D240" s="31" t="n">
        <v>54600</v>
      </c>
      <c r="E240" s="31" t="n">
        <v>57900</v>
      </c>
      <c r="F240" s="31" t="n">
        <v>50819.78515625</v>
      </c>
      <c r="G240" s="31" t="n">
        <v>1739910</v>
      </c>
      <c r="H240" s="36" t="n">
        <v>-0.005154639175257714</v>
      </c>
      <c r="I240" s="36" t="n">
        <v>-0.02852348993288589</v>
      </c>
      <c r="J240" s="31" t="n">
        <v>53955</v>
      </c>
      <c r="K240" s="31" t="n">
        <v>49304</v>
      </c>
      <c r="L240" s="31" t="n">
        <v>44934.66666666666</v>
      </c>
      <c r="M240" s="36" t="n">
        <v>0.6317194273645108</v>
      </c>
      <c r="N240" s="36" t="n">
        <v>0.5479818516149568</v>
      </c>
      <c r="O240" s="36" t="n">
        <v>0.05464480874316946</v>
      </c>
      <c r="P240" s="36" t="n">
        <v>0.3310344827586207</v>
      </c>
      <c r="Q240" s="36" t="n">
        <v>0.960054163845633</v>
      </c>
      <c r="R240" s="36" t="n">
        <v>0.07311648596052267</v>
      </c>
      <c r="S240" s="36" t="n">
        <v>0.1743469089729028</v>
      </c>
      <c r="T240" s="36" t="n">
        <v>0.288537432123676</v>
      </c>
      <c r="U240" s="31" t="n">
        <v>59600</v>
      </c>
      <c r="V240" s="31" t="n">
        <v>22160</v>
      </c>
      <c r="W240" s="36" t="n">
        <v>-0.02852348993288589</v>
      </c>
      <c r="X240" s="36" t="n">
        <v>1.612815884476534</v>
      </c>
      <c r="Y240" s="31" t="n">
        <v>76211850</v>
      </c>
      <c r="Z240" s="31" t="n">
        <v>4412666115000</v>
      </c>
      <c r="AA240" s="31" t="n">
        <v>100740789000</v>
      </c>
      <c r="AB240" s="31" t="n">
        <v>55345029425</v>
      </c>
      <c r="AC240" s="36" t="n">
        <v>0.02282991424561929</v>
      </c>
      <c r="AD240" s="29" t="inlineStr">
        <is>
          <t>yfinance_download</t>
        </is>
      </c>
      <c r="AE240" s="29" t="inlineStr">
        <is>
          <t>058470.KQ</t>
        </is>
      </c>
    </row>
    <row r="241" ht="24" customHeight="1">
      <c r="A241" s="24" t="inlineStr">
        <is>
          <t>2024-05-16</t>
        </is>
      </c>
      <c r="B241" s="30" t="n">
        <v>56300</v>
      </c>
      <c r="C241" s="30" t="n">
        <v>58600</v>
      </c>
      <c r="D241" s="30" t="n">
        <v>53700</v>
      </c>
      <c r="E241" s="30" t="n">
        <v>53700</v>
      </c>
      <c r="F241" s="30" t="n">
        <v>47133.375</v>
      </c>
      <c r="G241" s="30" t="n">
        <v>3066660</v>
      </c>
      <c r="H241" s="35" t="n">
        <v>-0.07253886010362698</v>
      </c>
      <c r="I241" s="35" t="n">
        <v>-0.09899328859060408</v>
      </c>
      <c r="J241" s="30" t="n">
        <v>53850</v>
      </c>
      <c r="K241" s="30" t="n">
        <v>49474</v>
      </c>
      <c r="L241" s="30" t="n">
        <v>45100</v>
      </c>
      <c r="M241" s="35" t="n">
        <v>0.6841871398294505</v>
      </c>
      <c r="N241" s="35" t="n">
        <v>0.5707018853510969</v>
      </c>
      <c r="O241" s="35" t="n">
        <v>-0.0376344086021505</v>
      </c>
      <c r="P241" s="35" t="n">
        <v>0.2344827586206897</v>
      </c>
      <c r="Q241" s="35" t="n">
        <v>0.5859421145894861</v>
      </c>
      <c r="R241" s="35" t="n">
        <v>-0.00278551532033422</v>
      </c>
      <c r="S241" s="35" t="n">
        <v>0.08541860371104004</v>
      </c>
      <c r="T241" s="35" t="n">
        <v>0.1906873614190687</v>
      </c>
      <c r="U241" s="30" t="n">
        <v>59600</v>
      </c>
      <c r="V241" s="30" t="n">
        <v>22160</v>
      </c>
      <c r="W241" s="35" t="n">
        <v>-0.09899328859060408</v>
      </c>
      <c r="X241" s="35" t="n">
        <v>1.423285198555956</v>
      </c>
      <c r="Y241" s="30" t="n">
        <v>76211850</v>
      </c>
      <c r="Z241" s="30" t="n">
        <v>4092576345000</v>
      </c>
      <c r="AA241" s="30" t="n">
        <v>164679642000</v>
      </c>
      <c r="AB241" s="30" t="n">
        <v>60656179625</v>
      </c>
      <c r="AC241" s="35" t="n">
        <v>0.04023862430842447</v>
      </c>
      <c r="AD241" s="24" t="inlineStr">
        <is>
          <t>yfinance_download</t>
        </is>
      </c>
      <c r="AE241" s="24" t="inlineStr">
        <is>
          <t>058470.KQ</t>
        </is>
      </c>
    </row>
    <row r="242" ht="24" customHeight="1">
      <c r="A242" s="29" t="inlineStr">
        <is>
          <t>2024-05-17</t>
        </is>
      </c>
      <c r="B242" s="31" t="n">
        <v>53900</v>
      </c>
      <c r="C242" s="31" t="n">
        <v>54800</v>
      </c>
      <c r="D242" s="31" t="n">
        <v>52400</v>
      </c>
      <c r="E242" s="31" t="n">
        <v>53200</v>
      </c>
      <c r="F242" s="31" t="n">
        <v>46694.515625</v>
      </c>
      <c r="G242" s="31" t="n">
        <v>1083945</v>
      </c>
      <c r="H242" s="36" t="n">
        <v>-0.009310986964618295</v>
      </c>
      <c r="I242" s="36" t="n">
        <v>-0.1073825503355704</v>
      </c>
      <c r="J242" s="31" t="n">
        <v>53890</v>
      </c>
      <c r="K242" s="31" t="n">
        <v>49662.33333333334</v>
      </c>
      <c r="L242" s="31" t="n">
        <v>45253.66666666666</v>
      </c>
      <c r="M242" s="36" t="n">
        <v>0.6478128519834634</v>
      </c>
      <c r="N242" s="36" t="n">
        <v>0.5650367033159585</v>
      </c>
      <c r="O242" s="36" t="n">
        <v>0.01526717557251911</v>
      </c>
      <c r="P242" s="36" t="n">
        <v>0.269689737470167</v>
      </c>
      <c r="Q242" s="36" t="n">
        <v>0.5304948216340621</v>
      </c>
      <c r="R242" s="36" t="n">
        <v>-0.0128038597142327</v>
      </c>
      <c r="S242" s="36" t="n">
        <v>0.07123440300160411</v>
      </c>
      <c r="T242" s="36" t="n">
        <v>0.1755953477066317</v>
      </c>
      <c r="U242" s="31" t="n">
        <v>59600</v>
      </c>
      <c r="V242" s="31" t="n">
        <v>22160</v>
      </c>
      <c r="W242" s="36" t="n">
        <v>-0.1073825503355704</v>
      </c>
      <c r="X242" s="36" t="n">
        <v>1.40072202166065</v>
      </c>
      <c r="Y242" s="31" t="n">
        <v>76211850</v>
      </c>
      <c r="Z242" s="31" t="n">
        <v>4054470420000</v>
      </c>
      <c r="AA242" s="31" t="n">
        <v>57665874000</v>
      </c>
      <c r="AB242" s="31" t="n">
        <v>60954044225</v>
      </c>
      <c r="AC242" s="36" t="n">
        <v>0.01422278818845101</v>
      </c>
      <c r="AD242" s="29" t="inlineStr">
        <is>
          <t>yfinance_download</t>
        </is>
      </c>
      <c r="AE242" s="29" t="inlineStr">
        <is>
          <t>058470.KQ</t>
        </is>
      </c>
    </row>
    <row r="243" ht="24" customHeight="1">
      <c r="A243" s="24" t="inlineStr">
        <is>
          <t>2024-05-20</t>
        </is>
      </c>
      <c r="B243" s="30" t="n">
        <v>53500</v>
      </c>
      <c r="C243" s="30" t="n">
        <v>54000</v>
      </c>
      <c r="D243" s="30" t="n">
        <v>52400</v>
      </c>
      <c r="E243" s="30" t="n">
        <v>53700</v>
      </c>
      <c r="F243" s="30" t="n">
        <v>47133.375</v>
      </c>
      <c r="G243" s="30" t="n">
        <v>703190</v>
      </c>
      <c r="H243" s="35" t="n">
        <v>0.009398496240601517</v>
      </c>
      <c r="I243" s="35" t="n">
        <v>-0.09899328859060408</v>
      </c>
      <c r="J243" s="30" t="n">
        <v>53905</v>
      </c>
      <c r="K243" s="30" t="n">
        <v>49862.33333333334</v>
      </c>
      <c r="L243" s="30" t="n">
        <v>45403.16666666666</v>
      </c>
      <c r="M243" s="35" t="n">
        <v>0.6452435320029731</v>
      </c>
      <c r="N243" s="35" t="n">
        <v>0.5647788231553165</v>
      </c>
      <c r="O243" s="35" t="n">
        <v>0.00561797752808979</v>
      </c>
      <c r="P243" s="35" t="n">
        <v>0.2877697841726619</v>
      </c>
      <c r="Q243" s="35" t="n">
        <v>0.5016778523489933</v>
      </c>
      <c r="R243" s="35" t="n">
        <v>-0.003802986735924274</v>
      </c>
      <c r="S243" s="35" t="n">
        <v>0.07696524430598917</v>
      </c>
      <c r="T243" s="35" t="n">
        <v>0.1827368869278576</v>
      </c>
      <c r="U243" s="30" t="n">
        <v>59600</v>
      </c>
      <c r="V243" s="30" t="n">
        <v>22160</v>
      </c>
      <c r="W243" s="35" t="n">
        <v>-0.09899328859060408</v>
      </c>
      <c r="X243" s="35" t="n">
        <v>1.423285198555956</v>
      </c>
      <c r="Y243" s="30" t="n">
        <v>76211850</v>
      </c>
      <c r="Z243" s="30" t="n">
        <v>4092576345000</v>
      </c>
      <c r="AA243" s="30" t="n">
        <v>37761303000</v>
      </c>
      <c r="AB243" s="30" t="n">
        <v>60082811225</v>
      </c>
      <c r="AC243" s="35" t="n">
        <v>0.009226780349775003</v>
      </c>
      <c r="AD243" s="24" t="inlineStr">
        <is>
          <t>yfinance_download</t>
        </is>
      </c>
      <c r="AE243" s="24" t="inlineStr">
        <is>
          <t>058470.KQ</t>
        </is>
      </c>
    </row>
    <row r="244" ht="24" customHeight="1">
      <c r="A244" s="29" t="inlineStr">
        <is>
          <t>2024-05-21</t>
        </is>
      </c>
      <c r="B244" s="31" t="n">
        <v>55400</v>
      </c>
      <c r="C244" s="31" t="n">
        <v>55400</v>
      </c>
      <c r="D244" s="31" t="n">
        <v>53700</v>
      </c>
      <c r="E244" s="31" t="n">
        <v>54600</v>
      </c>
      <c r="F244" s="31" t="n">
        <v>47923.3203125</v>
      </c>
      <c r="G244" s="31" t="n">
        <v>885895</v>
      </c>
      <c r="H244" s="36" t="n">
        <v>0.01675977653631278</v>
      </c>
      <c r="I244" s="36" t="n">
        <v>-0.08389261744966447</v>
      </c>
      <c r="J244" s="31" t="n">
        <v>53940</v>
      </c>
      <c r="K244" s="31" t="n">
        <v>50082.33333333334</v>
      </c>
      <c r="L244" s="31" t="n">
        <v>45551.83333333334</v>
      </c>
      <c r="M244" s="36" t="n">
        <v>0.6470363968212516</v>
      </c>
      <c r="N244" s="36" t="n">
        <v>0.5647327595742599</v>
      </c>
      <c r="O244" s="36" t="n">
        <v>0.01298701298701288</v>
      </c>
      <c r="P244" s="36" t="n">
        <v>0.318840579710145</v>
      </c>
      <c r="Q244" s="36" t="n">
        <v>0.4853101196953209</v>
      </c>
      <c r="R244" s="36" t="n">
        <v>0.01223581757508341</v>
      </c>
      <c r="S244" s="36" t="n">
        <v>0.09020479610241794</v>
      </c>
      <c r="T244" s="36" t="n">
        <v>0.1986345225768447</v>
      </c>
      <c r="U244" s="31" t="n">
        <v>59600</v>
      </c>
      <c r="V244" s="31" t="n">
        <v>22160</v>
      </c>
      <c r="W244" s="36" t="n">
        <v>-0.08389261744966447</v>
      </c>
      <c r="X244" s="36" t="n">
        <v>1.463898916967509</v>
      </c>
      <c r="Y244" s="31" t="n">
        <v>76211850</v>
      </c>
      <c r="Z244" s="31" t="n">
        <v>4161167010000</v>
      </c>
      <c r="AA244" s="31" t="n">
        <v>48369867000</v>
      </c>
      <c r="AB244" s="31" t="n">
        <v>60890786050</v>
      </c>
      <c r="AC244" s="36" t="n">
        <v>0.01162411094862544</v>
      </c>
      <c r="AD244" s="29" t="inlineStr">
        <is>
          <t>yfinance_download</t>
        </is>
      </c>
      <c r="AE244" s="29" t="inlineStr">
        <is>
          <t>058470.KQ</t>
        </is>
      </c>
    </row>
    <row r="245" ht="24" customHeight="1">
      <c r="A245" s="24" t="inlineStr">
        <is>
          <t>2024-05-22</t>
        </is>
      </c>
      <c r="B245" s="30" t="n">
        <v>55000</v>
      </c>
      <c r="C245" s="30" t="n">
        <v>56400</v>
      </c>
      <c r="D245" s="30" t="n">
        <v>53900</v>
      </c>
      <c r="E245" s="30" t="n">
        <v>55000</v>
      </c>
      <c r="F245" s="30" t="n">
        <v>48274.40625</v>
      </c>
      <c r="G245" s="30" t="n">
        <v>745980</v>
      </c>
      <c r="H245" s="35" t="n">
        <v>0.0073260073260073</v>
      </c>
      <c r="I245" s="35" t="n">
        <v>-0.07718120805369133</v>
      </c>
      <c r="J245" s="30" t="n">
        <v>53955</v>
      </c>
      <c r="K245" s="30" t="n">
        <v>50317.33333333334</v>
      </c>
      <c r="L245" s="30" t="n">
        <v>45702.83333333334</v>
      </c>
      <c r="M245" s="35" t="n">
        <v>0.6455194325210687</v>
      </c>
      <c r="N245" s="35" t="n">
        <v>0.5635907640013504</v>
      </c>
      <c r="O245" s="35" t="n">
        <v>0.005484460694698434</v>
      </c>
      <c r="P245" s="35" t="n">
        <v>0.3447432762836187</v>
      </c>
      <c r="Q245" s="35" t="n">
        <v>0.4913232104121474</v>
      </c>
      <c r="R245" s="35" t="n">
        <v>0.019367991845056</v>
      </c>
      <c r="S245" s="35" t="n">
        <v>0.0930626954263607</v>
      </c>
      <c r="T245" s="35" t="n">
        <v>0.203426483405478</v>
      </c>
      <c r="U245" s="30" t="n">
        <v>59600</v>
      </c>
      <c r="V245" s="30" t="n">
        <v>22160</v>
      </c>
      <c r="W245" s="35" t="n">
        <v>-0.07718120805369133</v>
      </c>
      <c r="X245" s="35" t="n">
        <v>1.481949458483755</v>
      </c>
      <c r="Y245" s="30" t="n">
        <v>76211850</v>
      </c>
      <c r="Z245" s="30" t="n">
        <v>4191651750000</v>
      </c>
      <c r="AA245" s="30" t="n">
        <v>41028900000</v>
      </c>
      <c r="AB245" s="30" t="n">
        <v>59656169575</v>
      </c>
      <c r="AC245" s="35" t="n">
        <v>0.009788241592350796</v>
      </c>
      <c r="AD245" s="24" t="inlineStr">
        <is>
          <t>yfinance_download</t>
        </is>
      </c>
      <c r="AE245" s="24" t="inlineStr">
        <is>
          <t>058470.KQ</t>
        </is>
      </c>
    </row>
    <row r="246" ht="24" customHeight="1">
      <c r="A246" s="29" t="inlineStr">
        <is>
          <t>2024-05-23</t>
        </is>
      </c>
      <c r="B246" s="31" t="n">
        <v>56400</v>
      </c>
      <c r="C246" s="31" t="n">
        <v>56500</v>
      </c>
      <c r="D246" s="31" t="n">
        <v>53400</v>
      </c>
      <c r="E246" s="31" t="n">
        <v>53700</v>
      </c>
      <c r="F246" s="31" t="n">
        <v>47133.375</v>
      </c>
      <c r="G246" s="31" t="n">
        <v>780820</v>
      </c>
      <c r="H246" s="36" t="n">
        <v>-0.02363636363636368</v>
      </c>
      <c r="I246" s="36" t="n">
        <v>-0.09899328859060408</v>
      </c>
      <c r="J246" s="31" t="n">
        <v>54145</v>
      </c>
      <c r="K246" s="31" t="n">
        <v>50532.33333333334</v>
      </c>
      <c r="L246" s="31" t="n">
        <v>45854.33333333334</v>
      </c>
      <c r="M246" s="36" t="n">
        <v>0.5634205340553288</v>
      </c>
      <c r="N246" s="36" t="n">
        <v>0.5665419391731714</v>
      </c>
      <c r="O246" s="36" t="n">
        <v>0.07615230460921851</v>
      </c>
      <c r="P246" s="36" t="n">
        <v>0.3161764705882353</v>
      </c>
      <c r="Q246" s="36" t="n">
        <v>0.5118243243243243</v>
      </c>
      <c r="R246" s="36" t="n">
        <v>-0.008218672084218337</v>
      </c>
      <c r="S246" s="36" t="n">
        <v>0.06268593705680181</v>
      </c>
      <c r="T246" s="36" t="n">
        <v>0.1710997870066806</v>
      </c>
      <c r="U246" s="31" t="n">
        <v>59600</v>
      </c>
      <c r="V246" s="31" t="n">
        <v>22160</v>
      </c>
      <c r="W246" s="36" t="n">
        <v>-0.09899328859060408</v>
      </c>
      <c r="X246" s="36" t="n">
        <v>1.423285198555956</v>
      </c>
      <c r="Y246" s="31" t="n">
        <v>76211850</v>
      </c>
      <c r="Z246" s="31" t="n">
        <v>4092576345000</v>
      </c>
      <c r="AA246" s="31" t="n">
        <v>41930034000</v>
      </c>
      <c r="AB246" s="31" t="n">
        <v>57903447650</v>
      </c>
      <c r="AC246" s="36" t="n">
        <v>0.01024538834839989</v>
      </c>
      <c r="AD246" s="29" t="inlineStr">
        <is>
          <t>yfinance_download</t>
        </is>
      </c>
      <c r="AE246" s="29" t="inlineStr">
        <is>
          <t>058470.KQ</t>
        </is>
      </c>
    </row>
    <row r="247" ht="24" customHeight="1">
      <c r="A247" s="24" t="inlineStr">
        <is>
          <t>2024-05-24</t>
        </is>
      </c>
      <c r="B247" s="30" t="n">
        <v>52600</v>
      </c>
      <c r="C247" s="30" t="n">
        <v>53300</v>
      </c>
      <c r="D247" s="30" t="n">
        <v>51900</v>
      </c>
      <c r="E247" s="30" t="n">
        <v>52400</v>
      </c>
      <c r="F247" s="30" t="n">
        <v>45992.34375</v>
      </c>
      <c r="G247" s="30" t="n">
        <v>712980</v>
      </c>
      <c r="H247" s="35" t="n">
        <v>-0.02420856610800748</v>
      </c>
      <c r="I247" s="35" t="n">
        <v>-0.1208053691275168</v>
      </c>
      <c r="J247" s="30" t="n">
        <v>54340</v>
      </c>
      <c r="K247" s="30" t="n">
        <v>50741</v>
      </c>
      <c r="L247" s="30" t="n">
        <v>45998.5</v>
      </c>
      <c r="M247" s="35" t="n">
        <v>0.5606516008172822</v>
      </c>
      <c r="N247" s="35" t="n">
        <v>0.5668992998281566</v>
      </c>
      <c r="O247" s="35" t="n">
        <v>0.08041237113402055</v>
      </c>
      <c r="P247" s="35" t="n">
        <v>0.3139418254764292</v>
      </c>
      <c r="Q247" s="35" t="n">
        <v>0.4928774928774928</v>
      </c>
      <c r="R247" s="35" t="n">
        <v>-0.03570114096429888</v>
      </c>
      <c r="S247" s="35" t="n">
        <v>0.03269545338089519</v>
      </c>
      <c r="T247" s="35" t="n">
        <v>0.1391675815515723</v>
      </c>
      <c r="U247" s="30" t="n">
        <v>59600</v>
      </c>
      <c r="V247" s="30" t="n">
        <v>22160</v>
      </c>
      <c r="W247" s="35" t="n">
        <v>-0.1208053691275168</v>
      </c>
      <c r="X247" s="35" t="n">
        <v>1.364620938628159</v>
      </c>
      <c r="Y247" s="30" t="n">
        <v>76211850</v>
      </c>
      <c r="Z247" s="30" t="n">
        <v>3993500940000</v>
      </c>
      <c r="AA247" s="30" t="n">
        <v>37360152000</v>
      </c>
      <c r="AB247" s="30" t="n">
        <v>57866884500</v>
      </c>
      <c r="AC247" s="35" t="n">
        <v>0.009355238063372035</v>
      </c>
      <c r="AD247" s="24" t="inlineStr">
        <is>
          <t>yfinance_download</t>
        </is>
      </c>
      <c r="AE247" s="24" t="inlineStr">
        <is>
          <t>058470.KQ</t>
        </is>
      </c>
    </row>
    <row r="248" ht="24" customHeight="1">
      <c r="A248" s="29" t="inlineStr">
        <is>
          <t>2024-05-27</t>
        </is>
      </c>
      <c r="B248" s="31" t="n">
        <v>52700</v>
      </c>
      <c r="C248" s="31" t="n">
        <v>56000</v>
      </c>
      <c r="D248" s="31" t="n">
        <v>52600</v>
      </c>
      <c r="E248" s="31" t="n">
        <v>55700</v>
      </c>
      <c r="F248" s="31" t="n">
        <v>48888.80859375</v>
      </c>
      <c r="G248" s="31" t="n">
        <v>1002640</v>
      </c>
      <c r="H248" s="36" t="n">
        <v>0.06297709923664119</v>
      </c>
      <c r="I248" s="36" t="n">
        <v>-0.06543624161073824</v>
      </c>
      <c r="J248" s="31" t="n">
        <v>54560</v>
      </c>
      <c r="K248" s="31" t="n">
        <v>51003.33333333334</v>
      </c>
      <c r="L248" s="31" t="n">
        <v>46136.83333333334</v>
      </c>
      <c r="M248" s="36" t="n">
        <v>0.567528684737981</v>
      </c>
      <c r="N248" s="36" t="n">
        <v>0.5790815951865319</v>
      </c>
      <c r="O248" s="36" t="n">
        <v>0.08576998050682261</v>
      </c>
      <c r="P248" s="36" t="n">
        <v>0.3938938938938938</v>
      </c>
      <c r="Q248" s="36" t="n">
        <v>0.4245524296675192</v>
      </c>
      <c r="R248" s="36" t="n">
        <v>0.02089442815249276</v>
      </c>
      <c r="S248" s="36" t="n">
        <v>0.09208548460884902</v>
      </c>
      <c r="T248" s="36" t="n">
        <v>0.2072783495471802</v>
      </c>
      <c r="U248" s="31" t="n">
        <v>59600</v>
      </c>
      <c r="V248" s="31" t="n">
        <v>22160</v>
      </c>
      <c r="W248" s="36" t="n">
        <v>-0.06543624161073824</v>
      </c>
      <c r="X248" s="36" t="n">
        <v>1.513537906137184</v>
      </c>
      <c r="Y248" s="31" t="n">
        <v>76211850</v>
      </c>
      <c r="Z248" s="31" t="n">
        <v>4245000045000</v>
      </c>
      <c r="AA248" s="31" t="n">
        <v>55847048000</v>
      </c>
      <c r="AB248" s="31" t="n">
        <v>57996318025</v>
      </c>
      <c r="AC248" s="36" t="n">
        <v>0.01315595934228076</v>
      </c>
      <c r="AD248" s="29" t="inlineStr">
        <is>
          <t>yfinance_download</t>
        </is>
      </c>
      <c r="AE248" s="29" t="inlineStr">
        <is>
          <t>058470.KQ</t>
        </is>
      </c>
    </row>
    <row r="249" ht="24" customHeight="1">
      <c r="A249" s="24" t="inlineStr">
        <is>
          <t>2024-05-28</t>
        </is>
      </c>
      <c r="B249" s="30" t="n">
        <v>56500</v>
      </c>
      <c r="C249" s="30" t="n">
        <v>56600</v>
      </c>
      <c r="D249" s="30" t="n">
        <v>54800</v>
      </c>
      <c r="E249" s="30" t="n">
        <v>55200</v>
      </c>
      <c r="F249" s="30" t="n">
        <v>48449.94921875</v>
      </c>
      <c r="G249" s="30" t="n">
        <v>843670</v>
      </c>
      <c r="H249" s="35" t="n">
        <v>-0.008976660682226245</v>
      </c>
      <c r="I249" s="35" t="n">
        <v>-0.0738255033557047</v>
      </c>
      <c r="J249" s="30" t="n">
        <v>54810</v>
      </c>
      <c r="K249" s="30" t="n">
        <v>51266.66666666666</v>
      </c>
      <c r="L249" s="30" t="n">
        <v>46278</v>
      </c>
      <c r="M249" s="35" t="n">
        <v>0.5616002332869496</v>
      </c>
      <c r="N249" s="35" t="n">
        <v>0.5784223710800226</v>
      </c>
      <c r="O249" s="35" t="n">
        <v>0.09960159362549792</v>
      </c>
      <c r="P249" s="35" t="n">
        <v>0.4010152284263959</v>
      </c>
      <c r="Q249" s="35" t="n">
        <v>0.4427600627286983</v>
      </c>
      <c r="R249" s="35" t="n">
        <v>0.007115489874110592</v>
      </c>
      <c r="S249" s="35" t="n">
        <v>0.07672301690507166</v>
      </c>
      <c r="T249" s="35" t="n">
        <v>0.1927913911577857</v>
      </c>
      <c r="U249" s="30" t="n">
        <v>59600</v>
      </c>
      <c r="V249" s="30" t="n">
        <v>22940</v>
      </c>
      <c r="W249" s="35" t="n">
        <v>-0.0738255033557047</v>
      </c>
      <c r="X249" s="35" t="n">
        <v>1.406277244986923</v>
      </c>
      <c r="Y249" s="30" t="n">
        <v>76211850</v>
      </c>
      <c r="Z249" s="30" t="n">
        <v>4206894120000</v>
      </c>
      <c r="AA249" s="30" t="n">
        <v>46570584000</v>
      </c>
      <c r="AB249" s="30" t="n">
        <v>59118365525</v>
      </c>
      <c r="AC249" s="35" t="n">
        <v>0.01107006325131853</v>
      </c>
      <c r="AD249" s="24" t="inlineStr">
        <is>
          <t>yfinance_download</t>
        </is>
      </c>
      <c r="AE249" s="24" t="inlineStr">
        <is>
          <t>058470.KQ</t>
        </is>
      </c>
    </row>
    <row r="250" ht="24" customHeight="1">
      <c r="A250" s="29" t="inlineStr">
        <is>
          <t>2024-05-29</t>
        </is>
      </c>
      <c r="B250" s="31" t="n">
        <v>55500</v>
      </c>
      <c r="C250" s="31" t="n">
        <v>55500</v>
      </c>
      <c r="D250" s="31" t="n">
        <v>53600</v>
      </c>
      <c r="E250" s="31" t="n">
        <v>54500</v>
      </c>
      <c r="F250" s="31" t="n">
        <v>47835.546875</v>
      </c>
      <c r="G250" s="31" t="n">
        <v>788475</v>
      </c>
      <c r="H250" s="36" t="n">
        <v>-0.0126811594202898</v>
      </c>
      <c r="I250" s="36" t="n">
        <v>-0.08557046979865768</v>
      </c>
      <c r="J250" s="31" t="n">
        <v>55000</v>
      </c>
      <c r="K250" s="31" t="n">
        <v>51493.33333333334</v>
      </c>
      <c r="L250" s="31" t="n">
        <v>46409.16666666666</v>
      </c>
      <c r="M250" s="36" t="n">
        <v>0.5648738759670995</v>
      </c>
      <c r="N250" s="36" t="n">
        <v>0.5758538189302137</v>
      </c>
      <c r="O250" s="36" t="n">
        <v>0.07495069033530566</v>
      </c>
      <c r="P250" s="36" t="n">
        <v>0.3325183374083129</v>
      </c>
      <c r="Q250" s="36" t="n">
        <v>0.4060887512899898</v>
      </c>
      <c r="R250" s="36" t="n">
        <v>-0.009090909090909038</v>
      </c>
      <c r="S250" s="36" t="n">
        <v>0.05838943552563425</v>
      </c>
      <c r="T250" s="36" t="n">
        <v>0.1743369664757322</v>
      </c>
      <c r="U250" s="31" t="n">
        <v>59600</v>
      </c>
      <c r="V250" s="31" t="n">
        <v>23860</v>
      </c>
      <c r="W250" s="36" t="n">
        <v>-0.08557046979865768</v>
      </c>
      <c r="X250" s="36" t="n">
        <v>1.284157585917854</v>
      </c>
      <c r="Y250" s="31" t="n">
        <v>76211850</v>
      </c>
      <c r="Z250" s="31" t="n">
        <v>4153545825000</v>
      </c>
      <c r="AA250" s="31" t="n">
        <v>42971887500</v>
      </c>
      <c r="AB250" s="31" t="n">
        <v>59946529100</v>
      </c>
      <c r="AC250" s="36" t="n">
        <v>0.0103458320458039</v>
      </c>
      <c r="AD250" s="29" t="inlineStr">
        <is>
          <t>yfinance_download</t>
        </is>
      </c>
      <c r="AE250" s="29" t="inlineStr">
        <is>
          <t>058470.KQ</t>
        </is>
      </c>
    </row>
    <row r="251" ht="24" customHeight="1">
      <c r="A251" s="24" t="inlineStr">
        <is>
          <t>2024-05-30</t>
        </is>
      </c>
      <c r="B251" s="30" t="n">
        <v>53700</v>
      </c>
      <c r="C251" s="30" t="n">
        <v>54300</v>
      </c>
      <c r="D251" s="30" t="n">
        <v>52200</v>
      </c>
      <c r="E251" s="30" t="n">
        <v>53200</v>
      </c>
      <c r="F251" s="30" t="n">
        <v>46694.515625</v>
      </c>
      <c r="G251" s="30" t="n">
        <v>487435</v>
      </c>
      <c r="H251" s="35" t="n">
        <v>-0.02385321100917426</v>
      </c>
      <c r="I251" s="35" t="n">
        <v>-0.1073825503355704</v>
      </c>
      <c r="J251" s="30" t="n">
        <v>55110</v>
      </c>
      <c r="K251" s="30" t="n">
        <v>51686.66666666666</v>
      </c>
      <c r="L251" s="30" t="n">
        <v>46519.5</v>
      </c>
      <c r="M251" s="35" t="n">
        <v>0.5735017159787623</v>
      </c>
      <c r="N251" s="35" t="n">
        <v>0.5784191796295678</v>
      </c>
      <c r="O251" s="35" t="n">
        <v>0.04313725490196085</v>
      </c>
      <c r="P251" s="35" t="n">
        <v>0.2788461538461537</v>
      </c>
      <c r="Q251" s="35" t="n">
        <v>0.3313313313313313</v>
      </c>
      <c r="R251" s="35" t="n">
        <v>-0.03465795681364547</v>
      </c>
      <c r="S251" s="35" t="n">
        <v>0.02927898877853741</v>
      </c>
      <c r="T251" s="35" t="n">
        <v>0.14360644460925</v>
      </c>
      <c r="U251" s="30" t="n">
        <v>59600</v>
      </c>
      <c r="V251" s="30" t="n">
        <v>24840</v>
      </c>
      <c r="W251" s="35" t="n">
        <v>-0.1073825503355704</v>
      </c>
      <c r="X251" s="35" t="n">
        <v>1.14170692431562</v>
      </c>
      <c r="Y251" s="30" t="n">
        <v>76211850</v>
      </c>
      <c r="Z251" s="30" t="n">
        <v>4054470420000</v>
      </c>
      <c r="AA251" s="30" t="n">
        <v>25931542000</v>
      </c>
      <c r="AB251" s="30" t="n">
        <v>60112474450</v>
      </c>
      <c r="AC251" s="35" t="n">
        <v>0.006395790155992801</v>
      </c>
      <c r="AD251" s="24" t="inlineStr">
        <is>
          <t>yfinance_download</t>
        </is>
      </c>
      <c r="AE251" s="24" t="inlineStr">
        <is>
          <t>058470.KQ</t>
        </is>
      </c>
    </row>
    <row r="252" ht="24" customHeight="1">
      <c r="A252" s="29" t="inlineStr">
        <is>
          <t>2024-05-31</t>
        </is>
      </c>
      <c r="B252" s="31" t="n">
        <v>52900</v>
      </c>
      <c r="C252" s="31" t="n">
        <v>53800</v>
      </c>
      <c r="D252" s="31" t="n">
        <v>52600</v>
      </c>
      <c r="E252" s="31" t="n">
        <v>53600</v>
      </c>
      <c r="F252" s="31" t="n">
        <v>47045.6015625</v>
      </c>
      <c r="G252" s="31" t="n">
        <v>380515</v>
      </c>
      <c r="H252" s="36" t="n">
        <v>0.007518796992481258</v>
      </c>
      <c r="I252" s="36" t="n">
        <v>-0.1006711409395973</v>
      </c>
      <c r="J252" s="31" t="n">
        <v>55280</v>
      </c>
      <c r="K252" s="31" t="n">
        <v>51888.33333333334</v>
      </c>
      <c r="L252" s="31" t="n">
        <v>46640.33333333334</v>
      </c>
      <c r="M252" s="36" t="n">
        <v>0.5695226270926996</v>
      </c>
      <c r="N252" s="36" t="n">
        <v>0.5782523997722991</v>
      </c>
      <c r="O252" s="36" t="n">
        <v>0.06772908366533859</v>
      </c>
      <c r="P252" s="36" t="n">
        <v>0.2915662650602409</v>
      </c>
      <c r="Q252" s="36" t="n">
        <v>0.370843989769821</v>
      </c>
      <c r="R252" s="36" t="n">
        <v>-0.03039073806078152</v>
      </c>
      <c r="S252" s="36" t="n">
        <v>0.03298750521954186</v>
      </c>
      <c r="T252" s="36" t="n">
        <v>0.1492199169531379</v>
      </c>
      <c r="U252" s="31" t="n">
        <v>59600</v>
      </c>
      <c r="V252" s="31" t="n">
        <v>24840</v>
      </c>
      <c r="W252" s="36" t="n">
        <v>-0.1006711409395973</v>
      </c>
      <c r="X252" s="36" t="n">
        <v>1.15780998389694</v>
      </c>
      <c r="Y252" s="31" t="n">
        <v>76211850</v>
      </c>
      <c r="Z252" s="31" t="n">
        <v>4084955160000</v>
      </c>
      <c r="AA252" s="31" t="n">
        <v>20395604000</v>
      </c>
      <c r="AB252" s="31" t="n">
        <v>60022131850</v>
      </c>
      <c r="AC252" s="36" t="n">
        <v>0.004992858722101616</v>
      </c>
      <c r="AD252" s="29" t="inlineStr">
        <is>
          <t>yfinance_download</t>
        </is>
      </c>
      <c r="AE252" s="29" t="inlineStr">
        <is>
          <t>058470.KQ</t>
        </is>
      </c>
    </row>
    <row r="253" ht="24" customHeight="1">
      <c r="A253" s="24" t="inlineStr">
        <is>
          <t>2024-06-03</t>
        </is>
      </c>
      <c r="B253" s="30" t="n">
        <v>53600</v>
      </c>
      <c r="C253" s="30" t="n">
        <v>55300</v>
      </c>
      <c r="D253" s="30" t="n">
        <v>52100</v>
      </c>
      <c r="E253" s="30" t="n">
        <v>54400</v>
      </c>
      <c r="F253" s="30" t="n">
        <v>47747.7734375</v>
      </c>
      <c r="G253" s="30" t="n">
        <v>780370</v>
      </c>
      <c r="H253" s="35" t="n">
        <v>0.0149253731343284</v>
      </c>
      <c r="I253" s="35" t="n">
        <v>-0.08724832214765099</v>
      </c>
      <c r="J253" s="30" t="n">
        <v>55405</v>
      </c>
      <c r="K253" s="30" t="n">
        <v>52115</v>
      </c>
      <c r="L253" s="30" t="n">
        <v>46758.66666666666</v>
      </c>
      <c r="M253" s="35" t="n">
        <v>0.5601913695180063</v>
      </c>
      <c r="N253" s="35" t="n">
        <v>0.5768058877572804</v>
      </c>
      <c r="O253" s="35" t="n">
        <v>0.04816955684007707</v>
      </c>
      <c r="P253" s="35" t="n">
        <v>0.3333333333333333</v>
      </c>
      <c r="Q253" s="35" t="n">
        <v>0.3532338308457712</v>
      </c>
      <c r="R253" s="35" t="n">
        <v>-0.01813915711578373</v>
      </c>
      <c r="S253" s="35" t="n">
        <v>0.0438453420320446</v>
      </c>
      <c r="T253" s="35" t="n">
        <v>0.1634206849354132</v>
      </c>
      <c r="U253" s="30" t="n">
        <v>59600</v>
      </c>
      <c r="V253" s="30" t="n">
        <v>24840</v>
      </c>
      <c r="W253" s="35" t="n">
        <v>-0.08724832214765099</v>
      </c>
      <c r="X253" s="35" t="n">
        <v>1.190016103059581</v>
      </c>
      <c r="Y253" s="30" t="n">
        <v>76211850</v>
      </c>
      <c r="Z253" s="30" t="n">
        <v>4145924640000</v>
      </c>
      <c r="AA253" s="30" t="n">
        <v>42452128000</v>
      </c>
      <c r="AB253" s="30" t="n">
        <v>60960964125</v>
      </c>
      <c r="AC253" s="35" t="n">
        <v>0.0102394837548229</v>
      </c>
      <c r="AD253" s="24" t="inlineStr">
        <is>
          <t>yfinance_download</t>
        </is>
      </c>
      <c r="AE253" s="24" t="inlineStr">
        <is>
          <t>058470.KQ</t>
        </is>
      </c>
    </row>
    <row r="254" ht="24" customHeight="1">
      <c r="A254" s="29" t="inlineStr">
        <is>
          <t>2024-06-04</t>
        </is>
      </c>
      <c r="B254" s="31" t="n">
        <v>54500</v>
      </c>
      <c r="C254" s="31" t="n">
        <v>55200</v>
      </c>
      <c r="D254" s="31" t="n">
        <v>53300</v>
      </c>
      <c r="E254" s="31" t="n">
        <v>53500</v>
      </c>
      <c r="F254" s="31" t="n">
        <v>46957.828125</v>
      </c>
      <c r="G254" s="31" t="n">
        <v>480630</v>
      </c>
      <c r="H254" s="36" t="n">
        <v>-0.01654411764705888</v>
      </c>
      <c r="I254" s="36" t="n">
        <v>-0.1023489932885906</v>
      </c>
      <c r="J254" s="31" t="n">
        <v>55340</v>
      </c>
      <c r="K254" s="31" t="n">
        <v>52316.66666666666</v>
      </c>
      <c r="L254" s="31" t="n">
        <v>46863.66666666666</v>
      </c>
      <c r="M254" s="36" t="n">
        <v>0.5274475189223653</v>
      </c>
      <c r="N254" s="36" t="n">
        <v>0.5782167885899656</v>
      </c>
      <c r="O254" s="36" t="n">
        <v>-0.02372262773722633</v>
      </c>
      <c r="P254" s="36" t="n">
        <v>0.2922705314009661</v>
      </c>
      <c r="Q254" s="36" t="n">
        <v>0.3080684596577017</v>
      </c>
      <c r="R254" s="36" t="n">
        <v>-0.03324900614383808</v>
      </c>
      <c r="S254" s="36" t="n">
        <v>0.02261866836572168</v>
      </c>
      <c r="T254" s="36" t="n">
        <v>0.1416093491048502</v>
      </c>
      <c r="U254" s="31" t="n">
        <v>59600</v>
      </c>
      <c r="V254" s="31" t="n">
        <v>24840</v>
      </c>
      <c r="W254" s="36" t="n">
        <v>-0.1023489932885906</v>
      </c>
      <c r="X254" s="36" t="n">
        <v>1.15378421900161</v>
      </c>
      <c r="Y254" s="31" t="n">
        <v>76211850</v>
      </c>
      <c r="Z254" s="31" t="n">
        <v>4077333975000</v>
      </c>
      <c r="AA254" s="31" t="n">
        <v>25713705000</v>
      </c>
      <c r="AB254" s="31" t="n">
        <v>56587576675</v>
      </c>
      <c r="AC254" s="36" t="n">
        <v>0.006306499579789757</v>
      </c>
      <c r="AD254" s="29" t="inlineStr">
        <is>
          <t>yfinance_download</t>
        </is>
      </c>
      <c r="AE254" s="29" t="inlineStr">
        <is>
          <t>058470.KQ</t>
        </is>
      </c>
    </row>
    <row r="255" ht="24" customHeight="1">
      <c r="A255" s="24" t="inlineStr">
        <is>
          <t>2024-06-05</t>
        </is>
      </c>
      <c r="B255" s="30" t="n">
        <v>54100</v>
      </c>
      <c r="C255" s="30" t="n">
        <v>54200</v>
      </c>
      <c r="D255" s="30" t="n">
        <v>52300</v>
      </c>
      <c r="E255" s="30" t="n">
        <v>53100</v>
      </c>
      <c r="F255" s="30" t="n">
        <v>46606.7421875</v>
      </c>
      <c r="G255" s="30" t="n">
        <v>591690</v>
      </c>
      <c r="H255" s="35" t="n">
        <v>-0.00747663551401867</v>
      </c>
      <c r="I255" s="35" t="n">
        <v>-0.1090604026845637</v>
      </c>
      <c r="J255" s="30" t="n">
        <v>55015</v>
      </c>
      <c r="K255" s="30" t="n">
        <v>52518.33333333334</v>
      </c>
      <c r="L255" s="30" t="n">
        <v>46976</v>
      </c>
      <c r="M255" s="35" t="n">
        <v>0.4116662742864796</v>
      </c>
      <c r="N255" s="35" t="n">
        <v>0.5779986323510634</v>
      </c>
      <c r="O255" s="35" t="n">
        <v>-0.1090604026845637</v>
      </c>
      <c r="P255" s="35" t="n">
        <v>0.2951219512195122</v>
      </c>
      <c r="Q255" s="35" t="n">
        <v>0.3402322059565877</v>
      </c>
      <c r="R255" s="35" t="n">
        <v>-0.03480868853948926</v>
      </c>
      <c r="S255" s="35" t="n">
        <v>0.01107549744533642</v>
      </c>
      <c r="T255" s="35" t="n">
        <v>0.1303644414168936</v>
      </c>
      <c r="U255" s="30" t="n">
        <v>59600</v>
      </c>
      <c r="V255" s="30" t="n">
        <v>24840</v>
      </c>
      <c r="W255" s="35" t="n">
        <v>-0.1090604026845637</v>
      </c>
      <c r="X255" s="35" t="n">
        <v>1.13768115942029</v>
      </c>
      <c r="Y255" s="30" t="n">
        <v>76211850</v>
      </c>
      <c r="Z255" s="30" t="n">
        <v>4046849235000</v>
      </c>
      <c r="AA255" s="30" t="n">
        <v>31418739000</v>
      </c>
      <c r="AB255" s="30" t="n">
        <v>50441416225</v>
      </c>
      <c r="AC255" s="35" t="n">
        <v>0.007763753274589188</v>
      </c>
      <c r="AD255" s="24" t="inlineStr">
        <is>
          <t>yfinance_download</t>
        </is>
      </c>
      <c r="AE255" s="24" t="inlineStr">
        <is>
          <t>058470.KQ</t>
        </is>
      </c>
    </row>
    <row r="256" ht="24" customHeight="1">
      <c r="A256" s="29" t="inlineStr">
        <is>
          <t>2024-06-07</t>
        </is>
      </c>
      <c r="B256" s="31" t="n">
        <v>53900</v>
      </c>
      <c r="C256" s="31" t="n">
        <v>55600</v>
      </c>
      <c r="D256" s="31" t="n">
        <v>53300</v>
      </c>
      <c r="E256" s="31" t="n">
        <v>53300</v>
      </c>
      <c r="F256" s="31" t="n">
        <v>46782.2890625</v>
      </c>
      <c r="G256" s="31" t="n">
        <v>929840</v>
      </c>
      <c r="H256" s="36" t="n">
        <v>0.003766478342749568</v>
      </c>
      <c r="I256" s="36" t="n">
        <v>-0.1057046979865772</v>
      </c>
      <c r="J256" s="31" t="n">
        <v>54735</v>
      </c>
      <c r="K256" s="31" t="n">
        <v>52688.33333333334</v>
      </c>
      <c r="L256" s="31" t="n">
        <v>47088.5</v>
      </c>
      <c r="M256" s="36" t="n">
        <v>0.412195212545482</v>
      </c>
      <c r="N256" s="36" t="n">
        <v>0.5699023797062578</v>
      </c>
      <c r="O256" s="36" t="n">
        <v>-0.09507640067911716</v>
      </c>
      <c r="P256" s="36" t="n">
        <v>0.2366589327146171</v>
      </c>
      <c r="Q256" s="36" t="n">
        <v>0.3391959798994975</v>
      </c>
      <c r="R256" s="36" t="n">
        <v>-0.02621722846441943</v>
      </c>
      <c r="S256" s="36" t="n">
        <v>0.01160914813526071</v>
      </c>
      <c r="T256" s="36" t="n">
        <v>0.1319111885067479</v>
      </c>
      <c r="U256" s="31" t="n">
        <v>59600</v>
      </c>
      <c r="V256" s="31" t="n">
        <v>25240</v>
      </c>
      <c r="W256" s="36" t="n">
        <v>-0.1057046979865772</v>
      </c>
      <c r="X256" s="36" t="n">
        <v>1.111727416798732</v>
      </c>
      <c r="Y256" s="31" t="n">
        <v>76211850</v>
      </c>
      <c r="Z256" s="31" t="n">
        <v>4062091605000</v>
      </c>
      <c r="AA256" s="31" t="n">
        <v>49560472000</v>
      </c>
      <c r="AB256" s="31" t="n">
        <v>50242876575</v>
      </c>
      <c r="AC256" s="36" t="n">
        <v>0.01220072731471549</v>
      </c>
      <c r="AD256" s="29" t="inlineStr">
        <is>
          <t>yfinance_download</t>
        </is>
      </c>
      <c r="AE256" s="29" t="inlineStr">
        <is>
          <t>058470.KQ</t>
        </is>
      </c>
    </row>
    <row r="257" ht="24" customHeight="1">
      <c r="A257" s="24" t="inlineStr">
        <is>
          <t>2024-06-10</t>
        </is>
      </c>
      <c r="B257" s="30" t="n">
        <v>52600</v>
      </c>
      <c r="C257" s="30" t="n">
        <v>55000</v>
      </c>
      <c r="D257" s="30" t="n">
        <v>52200</v>
      </c>
      <c r="E257" s="30" t="n">
        <v>54900</v>
      </c>
      <c r="F257" s="30" t="n">
        <v>48186.6328125</v>
      </c>
      <c r="G257" s="30" t="n">
        <v>727545</v>
      </c>
      <c r="H257" s="35" t="n">
        <v>0.03001876172607876</v>
      </c>
      <c r="I257" s="35" t="n">
        <v>-0.07885906040268453</v>
      </c>
      <c r="J257" s="30" t="n">
        <v>54550</v>
      </c>
      <c r="K257" s="30" t="n">
        <v>52795</v>
      </c>
      <c r="L257" s="30" t="n">
        <v>47199.33333333334</v>
      </c>
      <c r="M257" s="35" t="n">
        <v>0.430157896948423</v>
      </c>
      <c r="N257" s="35" t="n">
        <v>0.5141384663501852</v>
      </c>
      <c r="O257" s="35" t="n">
        <v>-0.06313993174061439</v>
      </c>
      <c r="P257" s="35" t="n">
        <v>0.1319587628865979</v>
      </c>
      <c r="Q257" s="35" t="n">
        <v>0.3197115384615385</v>
      </c>
      <c r="R257" s="35" t="n">
        <v>0.006416131989000817</v>
      </c>
      <c r="S257" s="35" t="n">
        <v>0.03987119992423516</v>
      </c>
      <c r="T257" s="35" t="n">
        <v>0.1631520219212135</v>
      </c>
      <c r="U257" s="30" t="n">
        <v>59600</v>
      </c>
      <c r="V257" s="30" t="n">
        <v>25940</v>
      </c>
      <c r="W257" s="35" t="n">
        <v>-0.07885906040268453</v>
      </c>
      <c r="X257" s="35" t="n">
        <v>1.116422513492676</v>
      </c>
      <c r="Y257" s="30" t="n">
        <v>76211850</v>
      </c>
      <c r="Z257" s="30" t="n">
        <v>4184030565000</v>
      </c>
      <c r="AA257" s="30" t="n">
        <v>39942220500</v>
      </c>
      <c r="AB257" s="30" t="n">
        <v>49881073900</v>
      </c>
      <c r="AC257" s="35" t="n">
        <v>0.009546350075480388</v>
      </c>
      <c r="AD257" s="24" t="inlineStr">
        <is>
          <t>yfinance_download</t>
        </is>
      </c>
      <c r="AE257" s="24" t="inlineStr">
        <is>
          <t>058470.KQ</t>
        </is>
      </c>
    </row>
    <row r="258" ht="24" customHeight="1">
      <c r="A258" s="29" t="inlineStr">
        <is>
          <t>2024-06-11</t>
        </is>
      </c>
      <c r="B258" s="31" t="n">
        <v>54200</v>
      </c>
      <c r="C258" s="31" t="n">
        <v>54200</v>
      </c>
      <c r="D258" s="31" t="n">
        <v>51300</v>
      </c>
      <c r="E258" s="31" t="n">
        <v>52000</v>
      </c>
      <c r="F258" s="31" t="n">
        <v>45641.2578125</v>
      </c>
      <c r="G258" s="31" t="n">
        <v>1625190</v>
      </c>
      <c r="H258" s="36" t="n">
        <v>-0.05282331511839711</v>
      </c>
      <c r="I258" s="36" t="n">
        <v>-0.12751677852349</v>
      </c>
      <c r="J258" s="31" t="n">
        <v>54290</v>
      </c>
      <c r="K258" s="31" t="n">
        <v>52856.66666666666</v>
      </c>
      <c r="L258" s="31" t="n">
        <v>47275.16666666666</v>
      </c>
      <c r="M258" s="36" t="n">
        <v>0.4600970004370728</v>
      </c>
      <c r="N258" s="36" t="n">
        <v>0.5263926869194258</v>
      </c>
      <c r="O258" s="36" t="n">
        <v>-0.09090909090909094</v>
      </c>
      <c r="P258" s="36" t="n">
        <v>0.07660455486542439</v>
      </c>
      <c r="Q258" s="36" t="n">
        <v>0.2121212121212122</v>
      </c>
      <c r="R258" s="36" t="n">
        <v>-0.04218088045680601</v>
      </c>
      <c r="S258" s="36" t="n">
        <v>-0.01620735321939837</v>
      </c>
      <c r="T258" s="36" t="n">
        <v>0.09994324010844324</v>
      </c>
      <c r="U258" s="31" t="n">
        <v>59600</v>
      </c>
      <c r="V258" s="31" t="n">
        <v>25940</v>
      </c>
      <c r="W258" s="36" t="n">
        <v>-0.12751677852349</v>
      </c>
      <c r="X258" s="36" t="n">
        <v>1.004626060138782</v>
      </c>
      <c r="Y258" s="31" t="n">
        <v>76211850</v>
      </c>
      <c r="Z258" s="31" t="n">
        <v>3963016200000</v>
      </c>
      <c r="AA258" s="31" t="n">
        <v>84509880000</v>
      </c>
      <c r="AB258" s="31" t="n">
        <v>51603681800</v>
      </c>
      <c r="AC258" s="36" t="n">
        <v>0.02132463652306039</v>
      </c>
      <c r="AD258" s="29" t="inlineStr">
        <is>
          <t>yfinance_download</t>
        </is>
      </c>
      <c r="AE258" s="29" t="inlineStr">
        <is>
          <t>058470.KQ</t>
        </is>
      </c>
    </row>
    <row r="259" ht="24" customHeight="1">
      <c r="A259" s="24" t="inlineStr">
        <is>
          <t>2024-06-12</t>
        </is>
      </c>
      <c r="B259" s="30" t="n">
        <v>53400</v>
      </c>
      <c r="C259" s="30" t="n">
        <v>55000</v>
      </c>
      <c r="D259" s="30" t="n">
        <v>52800</v>
      </c>
      <c r="E259" s="30" t="n">
        <v>53000</v>
      </c>
      <c r="F259" s="30" t="n">
        <v>46518.97265625</v>
      </c>
      <c r="G259" s="30" t="n">
        <v>1433900</v>
      </c>
      <c r="H259" s="35" t="n">
        <v>0.01923076923076916</v>
      </c>
      <c r="I259" s="35" t="n">
        <v>-0.1107382550335571</v>
      </c>
      <c r="J259" s="30" t="n">
        <v>54030</v>
      </c>
      <c r="K259" s="30" t="n">
        <v>52955</v>
      </c>
      <c r="L259" s="30" t="n">
        <v>47364.33333333334</v>
      </c>
      <c r="M259" s="35" t="n">
        <v>0.4612378004704883</v>
      </c>
      <c r="N259" s="35" t="n">
        <v>0.5246210831314355</v>
      </c>
      <c r="O259" s="35" t="n">
        <v>-0.0893470790378007</v>
      </c>
      <c r="P259" s="35" t="n">
        <v>0.1252653927813163</v>
      </c>
      <c r="Q259" s="35" t="n">
        <v>0.2529550827423168</v>
      </c>
      <c r="R259" s="35" t="n">
        <v>-0.01906348325004625</v>
      </c>
      <c r="S259" s="35" t="n">
        <v>0.0008497781134926274</v>
      </c>
      <c r="T259" s="35" t="n">
        <v>0.1189854531891086</v>
      </c>
      <c r="U259" s="30" t="n">
        <v>59600</v>
      </c>
      <c r="V259" s="30" t="n">
        <v>26120</v>
      </c>
      <c r="W259" s="35" t="n">
        <v>-0.1107382550335571</v>
      </c>
      <c r="X259" s="35" t="n">
        <v>1.029096477794793</v>
      </c>
      <c r="Y259" s="30" t="n">
        <v>76211850</v>
      </c>
      <c r="Z259" s="30" t="n">
        <v>4039228050000</v>
      </c>
      <c r="AA259" s="30" t="n">
        <v>75996700000</v>
      </c>
      <c r="AB259" s="30" t="n">
        <v>53542353550</v>
      </c>
      <c r="AC259" s="35" t="n">
        <v>0.01881465940008017</v>
      </c>
      <c r="AD259" s="24" t="inlineStr">
        <is>
          <t>yfinance_download</t>
        </is>
      </c>
      <c r="AE259" s="24" t="inlineStr">
        <is>
          <t>058470.KQ</t>
        </is>
      </c>
    </row>
    <row r="260" ht="24" customHeight="1">
      <c r="A260" s="29" t="inlineStr">
        <is>
          <t>2024-06-13</t>
        </is>
      </c>
      <c r="B260" s="31" t="n">
        <v>54600</v>
      </c>
      <c r="C260" s="31" t="n">
        <v>54700</v>
      </c>
      <c r="D260" s="31" t="n">
        <v>52800</v>
      </c>
      <c r="E260" s="31" t="n">
        <v>52800</v>
      </c>
      <c r="F260" s="31" t="n">
        <v>46343.4296875</v>
      </c>
      <c r="G260" s="31" t="n">
        <v>1114935</v>
      </c>
      <c r="H260" s="36" t="n">
        <v>-0.003773584905660377</v>
      </c>
      <c r="I260" s="36" t="n">
        <v>-0.1140939597315436</v>
      </c>
      <c r="J260" s="31" t="n">
        <v>53775</v>
      </c>
      <c r="K260" s="31" t="n">
        <v>53021.66666666666</v>
      </c>
      <c r="L260" s="31" t="n">
        <v>47456</v>
      </c>
      <c r="M260" s="36" t="n">
        <v>0.4612284880505415</v>
      </c>
      <c r="N260" s="36" t="n">
        <v>0.5200616056937033</v>
      </c>
      <c r="O260" s="36" t="n">
        <v>-0.08808290155440412</v>
      </c>
      <c r="P260" s="36" t="n">
        <v>0.08196721311475419</v>
      </c>
      <c r="Q260" s="36" t="n">
        <v>0.263157894736842</v>
      </c>
      <c r="R260" s="36" t="n">
        <v>-0.01813110181311017</v>
      </c>
      <c r="S260" s="36" t="n">
        <v>-0.004180680853739016</v>
      </c>
      <c r="T260" s="36" t="n">
        <v>0.112609575185435</v>
      </c>
      <c r="U260" s="31" t="n">
        <v>59600</v>
      </c>
      <c r="V260" s="31" t="n">
        <v>26120</v>
      </c>
      <c r="W260" s="36" t="n">
        <v>-0.1140939597315436</v>
      </c>
      <c r="X260" s="36" t="n">
        <v>1.021439509954058</v>
      </c>
      <c r="Y260" s="31" t="n">
        <v>76211850</v>
      </c>
      <c r="Z260" s="31" t="n">
        <v>4023985680000</v>
      </c>
      <c r="AA260" s="31" t="n">
        <v>58868568000</v>
      </c>
      <c r="AB260" s="31" t="n">
        <v>51448742500</v>
      </c>
      <c r="AC260" s="36" t="n">
        <v>0.01462941786611924</v>
      </c>
      <c r="AD260" s="29" t="inlineStr">
        <is>
          <t>yfinance_download</t>
        </is>
      </c>
      <c r="AE260" s="29" t="inlineStr">
        <is>
          <t>058470.KQ</t>
        </is>
      </c>
    </row>
    <row r="261" ht="24" customHeight="1">
      <c r="A261" s="24" t="inlineStr">
        <is>
          <t>2024-06-14</t>
        </is>
      </c>
      <c r="B261" s="30" t="n">
        <v>53100</v>
      </c>
      <c r="C261" s="30" t="n">
        <v>53300</v>
      </c>
      <c r="D261" s="30" t="n">
        <v>51800</v>
      </c>
      <c r="E261" s="30" t="n">
        <v>52200</v>
      </c>
      <c r="F261" s="30" t="n">
        <v>45816.796875</v>
      </c>
      <c r="G261" s="30" t="n">
        <v>816360</v>
      </c>
      <c r="H261" s="35" t="n">
        <v>-0.01136363636363635</v>
      </c>
      <c r="I261" s="35" t="n">
        <v>-0.1241610738255033</v>
      </c>
      <c r="J261" s="30" t="n">
        <v>53700</v>
      </c>
      <c r="K261" s="30" t="n">
        <v>53041.66666666666</v>
      </c>
      <c r="L261" s="30" t="n">
        <v>47546.83333333334</v>
      </c>
      <c r="M261" s="35" t="n">
        <v>0.3859805546721074</v>
      </c>
      <c r="N261" s="35" t="n">
        <v>0.5128312929338916</v>
      </c>
      <c r="O261" s="35" t="n">
        <v>-0.02793296089385477</v>
      </c>
      <c r="P261" s="35" t="n">
        <v>0.0235294117647058</v>
      </c>
      <c r="Q261" s="35" t="n">
        <v>0.2639225181598064</v>
      </c>
      <c r="R261" s="35" t="n">
        <v>-0.02793296089385477</v>
      </c>
      <c r="S261" s="35" t="n">
        <v>-0.01586802827965428</v>
      </c>
      <c r="T261" s="35" t="n">
        <v>0.09786491213925919</v>
      </c>
      <c r="U261" s="30" t="n">
        <v>59600</v>
      </c>
      <c r="V261" s="30" t="n">
        <v>26180</v>
      </c>
      <c r="W261" s="35" t="n">
        <v>-0.1241610738255033</v>
      </c>
      <c r="X261" s="35" t="n">
        <v>0.9938884644766999</v>
      </c>
      <c r="Y261" s="30" t="n">
        <v>76211850</v>
      </c>
      <c r="Z261" s="30" t="n">
        <v>3978258570000</v>
      </c>
      <c r="AA261" s="30" t="n">
        <v>42613992000</v>
      </c>
      <c r="AB261" s="30" t="n">
        <v>45345460000</v>
      </c>
      <c r="AC261" s="35" t="n">
        <v>0.01071172002779095</v>
      </c>
      <c r="AD261" s="24" t="inlineStr">
        <is>
          <t>yfinance_download</t>
        </is>
      </c>
      <c r="AE261" s="24" t="inlineStr">
        <is>
          <t>058470.KQ</t>
        </is>
      </c>
    </row>
    <row r="262" ht="24" customHeight="1">
      <c r="A262" s="29" t="inlineStr">
        <is>
          <t>2024-06-17</t>
        </is>
      </c>
      <c r="B262" s="31" t="n">
        <v>52500</v>
      </c>
      <c r="C262" s="31" t="n">
        <v>55000</v>
      </c>
      <c r="D262" s="31" t="n">
        <v>51600</v>
      </c>
      <c r="E262" s="31" t="n">
        <v>53300</v>
      </c>
      <c r="F262" s="31" t="n">
        <v>46782.2890625</v>
      </c>
      <c r="G262" s="31" t="n">
        <v>1252460</v>
      </c>
      <c r="H262" s="36" t="n">
        <v>0.02107279693486586</v>
      </c>
      <c r="I262" s="36" t="n">
        <v>-0.1057046979865772</v>
      </c>
      <c r="J262" s="31" t="n">
        <v>53705</v>
      </c>
      <c r="K262" s="31" t="n">
        <v>53083.33333333334</v>
      </c>
      <c r="L262" s="31" t="n">
        <v>47652.66666666666</v>
      </c>
      <c r="M262" s="36" t="n">
        <v>0.3924595026443763</v>
      </c>
      <c r="N262" s="36" t="n">
        <v>0.5143833096482479</v>
      </c>
      <c r="O262" s="36" t="n">
        <v>0.001879699248120259</v>
      </c>
      <c r="P262" s="36" t="n">
        <v>0.04921259842519676</v>
      </c>
      <c r="Q262" s="36" t="n">
        <v>0.312807881773399</v>
      </c>
      <c r="R262" s="36" t="n">
        <v>-0.007541197281444978</v>
      </c>
      <c r="S262" s="36" t="n">
        <v>0.004081632653061273</v>
      </c>
      <c r="T262" s="36" t="n">
        <v>0.1185103317058158</v>
      </c>
      <c r="U262" s="31" t="n">
        <v>59600</v>
      </c>
      <c r="V262" s="31" t="n">
        <v>26380</v>
      </c>
      <c r="W262" s="36" t="n">
        <v>-0.1057046979865772</v>
      </c>
      <c r="X262" s="36" t="n">
        <v>1.020470053070508</v>
      </c>
      <c r="Y262" s="31" t="n">
        <v>76211850</v>
      </c>
      <c r="Z262" s="31" t="n">
        <v>4062091605000</v>
      </c>
      <c r="AA262" s="31" t="n">
        <v>66756118000</v>
      </c>
      <c r="AB262" s="31" t="n">
        <v>45799972200</v>
      </c>
      <c r="AC262" s="36" t="n">
        <v>0.01643392726984058</v>
      </c>
      <c r="AD262" s="29" t="inlineStr">
        <is>
          <t>yfinance_download</t>
        </is>
      </c>
      <c r="AE262" s="29" t="inlineStr">
        <is>
          <t>058470.KQ</t>
        </is>
      </c>
    </row>
    <row r="263" ht="24" customHeight="1">
      <c r="A263" s="24" t="inlineStr">
        <is>
          <t>2024-06-18</t>
        </is>
      </c>
      <c r="B263" s="30" t="n">
        <v>54300</v>
      </c>
      <c r="C263" s="30" t="n">
        <v>54600</v>
      </c>
      <c r="D263" s="30" t="n">
        <v>52000</v>
      </c>
      <c r="E263" s="30" t="n">
        <v>52400</v>
      </c>
      <c r="F263" s="30" t="n">
        <v>45992.34375</v>
      </c>
      <c r="G263" s="30" t="n">
        <v>751440</v>
      </c>
      <c r="H263" s="35" t="n">
        <v>-0.01688555347091936</v>
      </c>
      <c r="I263" s="35" t="n">
        <v>-0.1208053691275168</v>
      </c>
      <c r="J263" s="30" t="n">
        <v>53640</v>
      </c>
      <c r="K263" s="30" t="n">
        <v>53095</v>
      </c>
      <c r="L263" s="30" t="n">
        <v>47747.66666666666</v>
      </c>
      <c r="M263" s="35" t="n">
        <v>0.3955291531566893</v>
      </c>
      <c r="N263" s="35" t="n">
        <v>0.5145594683007068</v>
      </c>
      <c r="O263" s="35" t="n">
        <v>-0.02420856610800748</v>
      </c>
      <c r="P263" s="35" t="n">
        <v>0.01353965183752415</v>
      </c>
      <c r="Q263" s="35" t="n">
        <v>0.2780487804878049</v>
      </c>
      <c r="R263" s="35" t="n">
        <v>-0.02311707680835196</v>
      </c>
      <c r="S263" s="35" t="n">
        <v>-0.01308974479706182</v>
      </c>
      <c r="T263" s="35" t="n">
        <v>0.09743582583442123</v>
      </c>
      <c r="U263" s="30" t="n">
        <v>59600</v>
      </c>
      <c r="V263" s="30" t="n">
        <v>26380</v>
      </c>
      <c r="W263" s="35" t="n">
        <v>-0.1208053691275168</v>
      </c>
      <c r="X263" s="35" t="n">
        <v>0.9863532979529948</v>
      </c>
      <c r="Y263" s="30" t="n">
        <v>76211850</v>
      </c>
      <c r="Z263" s="30" t="n">
        <v>3993500940000</v>
      </c>
      <c r="AA263" s="30" t="n">
        <v>39375456000</v>
      </c>
      <c r="AB263" s="30" t="n">
        <v>45880679850</v>
      </c>
      <c r="AC263" s="35" t="n">
        <v>0.009859883994418192</v>
      </c>
      <c r="AD263" s="24" t="inlineStr">
        <is>
          <t>yfinance_download</t>
        </is>
      </c>
      <c r="AE263" s="24" t="inlineStr">
        <is>
          <t>058470.KQ</t>
        </is>
      </c>
    </row>
    <row r="264" ht="24" customHeight="1">
      <c r="A264" s="29" t="inlineStr">
        <is>
          <t>2024-06-19</t>
        </is>
      </c>
      <c r="B264" s="31" t="n">
        <v>52900</v>
      </c>
      <c r="C264" s="31" t="n">
        <v>53200</v>
      </c>
      <c r="D264" s="31" t="n">
        <v>51400</v>
      </c>
      <c r="E264" s="31" t="n">
        <v>52100</v>
      </c>
      <c r="F264" s="31" t="n">
        <v>45729.02734375</v>
      </c>
      <c r="G264" s="31" t="n">
        <v>653135</v>
      </c>
      <c r="H264" s="36" t="n">
        <v>-0.005725190839694694</v>
      </c>
      <c r="I264" s="36" t="n">
        <v>-0.1258389261744967</v>
      </c>
      <c r="J264" s="31" t="n">
        <v>53515</v>
      </c>
      <c r="K264" s="31" t="n">
        <v>53126.66666666666</v>
      </c>
      <c r="L264" s="31" t="n">
        <v>47836</v>
      </c>
      <c r="M264" s="36" t="n">
        <v>0.3902073645045251</v>
      </c>
      <c r="N264" s="36" t="n">
        <v>0.5110089343535883</v>
      </c>
      <c r="O264" s="36" t="n">
        <v>-0.04578754578754574</v>
      </c>
      <c r="P264" s="36" t="n">
        <v>0.03784860557768921</v>
      </c>
      <c r="Q264" s="36" t="n">
        <v>0.2554216867469878</v>
      </c>
      <c r="R264" s="36" t="n">
        <v>-0.02644118471456602</v>
      </c>
      <c r="S264" s="36" t="n">
        <v>-0.01932488392521015</v>
      </c>
      <c r="T264" s="36" t="n">
        <v>0.08913788778325937</v>
      </c>
      <c r="U264" s="31" t="n">
        <v>59600</v>
      </c>
      <c r="V264" s="31" t="n">
        <v>27120</v>
      </c>
      <c r="W264" s="36" t="n">
        <v>-0.1258389261744967</v>
      </c>
      <c r="X264" s="36" t="n">
        <v>0.9210914454277286</v>
      </c>
      <c r="Y264" s="31" t="n">
        <v>76211850</v>
      </c>
      <c r="Z264" s="31" t="n">
        <v>3970637385000</v>
      </c>
      <c r="AA264" s="31" t="n">
        <v>34028333500</v>
      </c>
      <c r="AB264" s="31" t="n">
        <v>45163603175</v>
      </c>
      <c r="AC264" s="36" t="n">
        <v>0.008569992724228582</v>
      </c>
      <c r="AD264" s="29" t="inlineStr">
        <is>
          <t>yfinance_download</t>
        </is>
      </c>
      <c r="AE264" s="29" t="inlineStr">
        <is>
          <t>058470.KQ</t>
        </is>
      </c>
    </row>
    <row r="265" ht="24" customHeight="1">
      <c r="A265" s="24" t="inlineStr">
        <is>
          <t>2024-06-20</t>
        </is>
      </c>
      <c r="B265" s="30" t="n">
        <v>52000</v>
      </c>
      <c r="C265" s="30" t="n">
        <v>52400</v>
      </c>
      <c r="D265" s="30" t="n">
        <v>50600</v>
      </c>
      <c r="E265" s="30" t="n">
        <v>51300</v>
      </c>
      <c r="F265" s="30" t="n">
        <v>45026.8515625</v>
      </c>
      <c r="G265" s="30" t="n">
        <v>534505</v>
      </c>
      <c r="H265" s="35" t="n">
        <v>-0.01535508637236083</v>
      </c>
      <c r="I265" s="35" t="n">
        <v>-0.1392617449664429</v>
      </c>
      <c r="J265" s="30" t="n">
        <v>53330</v>
      </c>
      <c r="K265" s="30" t="n">
        <v>53153.33333333334</v>
      </c>
      <c r="L265" s="30" t="n">
        <v>47922.66666666666</v>
      </c>
      <c r="M265" s="35" t="n">
        <v>0.3912789646270205</v>
      </c>
      <c r="N265" s="35" t="n">
        <v>0.5116281843296259</v>
      </c>
      <c r="O265" s="35" t="n">
        <v>-0.06727272727272726</v>
      </c>
      <c r="P265" s="35" t="n">
        <v>0.03219315895372232</v>
      </c>
      <c r="Q265" s="35" t="n">
        <v>0.254278728606357</v>
      </c>
      <c r="R265" s="35" t="n">
        <v>-0.03806487905494094</v>
      </c>
      <c r="S265" s="35" t="n">
        <v>-0.03486767841464944</v>
      </c>
      <c r="T265" s="35" t="n">
        <v>0.07047465360859162</v>
      </c>
      <c r="U265" s="30" t="n">
        <v>59600</v>
      </c>
      <c r="V265" s="30" t="n">
        <v>27120</v>
      </c>
      <c r="W265" s="35" t="n">
        <v>-0.1392617449664429</v>
      </c>
      <c r="X265" s="35" t="n">
        <v>0.8915929203539823</v>
      </c>
      <c r="Y265" s="30" t="n">
        <v>76211850</v>
      </c>
      <c r="Z265" s="30" t="n">
        <v>3909667905000</v>
      </c>
      <c r="AA265" s="30" t="n">
        <v>27420106500</v>
      </c>
      <c r="AB265" s="30" t="n">
        <v>44483163500</v>
      </c>
      <c r="AC265" s="35" t="n">
        <v>0.007013410644145235</v>
      </c>
      <c r="AD265" s="24" t="inlineStr">
        <is>
          <t>yfinance_download</t>
        </is>
      </c>
      <c r="AE265" s="24" t="inlineStr">
        <is>
          <t>058470.KQ</t>
        </is>
      </c>
    </row>
    <row r="266" ht="24" customHeight="1">
      <c r="A266" s="29" t="inlineStr">
        <is>
          <t>2024-06-21</t>
        </is>
      </c>
      <c r="B266" s="31" t="n">
        <v>50600</v>
      </c>
      <c r="C266" s="31" t="n">
        <v>50800</v>
      </c>
      <c r="D266" s="31" t="n">
        <v>48600</v>
      </c>
      <c r="E266" s="31" t="n">
        <v>49400</v>
      </c>
      <c r="F266" s="31" t="n">
        <v>43359.19140625</v>
      </c>
      <c r="G266" s="31" t="n">
        <v>1170545</v>
      </c>
      <c r="H266" s="36" t="n">
        <v>-0.03703703703703709</v>
      </c>
      <c r="I266" s="36" t="n">
        <v>-0.1711409395973155</v>
      </c>
      <c r="J266" s="31" t="n">
        <v>53115</v>
      </c>
      <c r="K266" s="31" t="n">
        <v>53150</v>
      </c>
      <c r="L266" s="31" t="n">
        <v>47997.66666666666</v>
      </c>
      <c r="M266" s="36" t="n">
        <v>0.4032742427520138</v>
      </c>
      <c r="N266" s="36" t="n">
        <v>0.5175214831384143</v>
      </c>
      <c r="O266" s="36" t="n">
        <v>-0.08007448789571692</v>
      </c>
      <c r="P266" s="36" t="n">
        <v>-0.004032258064516125</v>
      </c>
      <c r="Q266" s="36" t="n">
        <v>0.2227722772277227</v>
      </c>
      <c r="R266" s="36" t="n">
        <v>-0.06994257742633903</v>
      </c>
      <c r="S266" s="36" t="n">
        <v>-0.07055503292568199</v>
      </c>
      <c r="T266" s="36" t="n">
        <v>0.02921669803393234</v>
      </c>
      <c r="U266" s="31" t="n">
        <v>59600</v>
      </c>
      <c r="V266" s="31" t="n">
        <v>27120</v>
      </c>
      <c r="W266" s="36" t="n">
        <v>-0.1711409395973155</v>
      </c>
      <c r="X266" s="36" t="n">
        <v>0.8215339233038348</v>
      </c>
      <c r="Y266" s="31" t="n">
        <v>76211850</v>
      </c>
      <c r="Z266" s="31" t="n">
        <v>3764865390000</v>
      </c>
      <c r="AA266" s="31" t="n">
        <v>57824923000</v>
      </c>
      <c r="AB266" s="31" t="n">
        <v>45277907950</v>
      </c>
      <c r="AC266" s="36" t="n">
        <v>0.01535909441904376</v>
      </c>
      <c r="AD266" s="29" t="inlineStr">
        <is>
          <t>yfinance_download</t>
        </is>
      </c>
      <c r="AE266" s="29" t="inlineStr">
        <is>
          <t>058470.KQ</t>
        </is>
      </c>
    </row>
    <row r="267" ht="24" customHeight="1">
      <c r="A267" s="24" t="inlineStr">
        <is>
          <t>2024-06-24</t>
        </is>
      </c>
      <c r="B267" s="30" t="n">
        <v>48600</v>
      </c>
      <c r="C267" s="30" t="n">
        <v>49300</v>
      </c>
      <c r="D267" s="30" t="n">
        <v>48400</v>
      </c>
      <c r="E267" s="30" t="n">
        <v>49100</v>
      </c>
      <c r="F267" s="30" t="n">
        <v>43095.87890625</v>
      </c>
      <c r="G267" s="30" t="n">
        <v>415280</v>
      </c>
      <c r="H267" s="35" t="n">
        <v>-0.006072874493927127</v>
      </c>
      <c r="I267" s="35" t="n">
        <v>-0.1761744966442953</v>
      </c>
      <c r="J267" s="30" t="n">
        <v>52950</v>
      </c>
      <c r="K267" s="30" t="n">
        <v>53151.66666666666</v>
      </c>
      <c r="L267" s="30" t="n">
        <v>48075.16666666666</v>
      </c>
      <c r="M267" s="35" t="n">
        <v>0.396213322722771</v>
      </c>
      <c r="N267" s="35" t="n">
        <v>0.5170444922106974</v>
      </c>
      <c r="O267" s="35" t="n">
        <v>-0.06297709923664119</v>
      </c>
      <c r="P267" s="35" t="n">
        <v>0.002040816326530637</v>
      </c>
      <c r="Q267" s="35" t="n">
        <v>0.2336683417085428</v>
      </c>
      <c r="R267" s="35" t="n">
        <v>-0.07271010387157695</v>
      </c>
      <c r="S267" s="35" t="n">
        <v>-0.07622840299771094</v>
      </c>
      <c r="T267" s="35" t="n">
        <v>0.02131731212580301</v>
      </c>
      <c r="U267" s="30" t="n">
        <v>59600</v>
      </c>
      <c r="V267" s="30" t="n">
        <v>27120</v>
      </c>
      <c r="W267" s="35" t="n">
        <v>-0.1761744966442953</v>
      </c>
      <c r="X267" s="35" t="n">
        <v>0.8104719764011798</v>
      </c>
      <c r="Y267" s="30" t="n">
        <v>76211850</v>
      </c>
      <c r="Z267" s="30" t="n">
        <v>3742001835000</v>
      </c>
      <c r="AA267" s="30" t="n">
        <v>20390248000</v>
      </c>
      <c r="AB267" s="30" t="n">
        <v>44429412750</v>
      </c>
      <c r="AC267" s="35" t="n">
        <v>0.00544902137922121</v>
      </c>
      <c r="AD267" s="24" t="inlineStr">
        <is>
          <t>yfinance_download</t>
        </is>
      </c>
      <c r="AE267" s="24" t="inlineStr">
        <is>
          <t>058470.KQ</t>
        </is>
      </c>
    </row>
    <row r="268" ht="24" customHeight="1">
      <c r="A268" s="29" t="inlineStr">
        <is>
          <t>2024-06-25</t>
        </is>
      </c>
      <c r="B268" s="31" t="n">
        <v>47600</v>
      </c>
      <c r="C268" s="31" t="n">
        <v>48300</v>
      </c>
      <c r="D268" s="31" t="n">
        <v>46900</v>
      </c>
      <c r="E268" s="31" t="n">
        <v>47800</v>
      </c>
      <c r="F268" s="31" t="n">
        <v>41954.84765625</v>
      </c>
      <c r="G268" s="31" t="n">
        <v>945600</v>
      </c>
      <c r="H268" s="36" t="n">
        <v>-0.02647657841140527</v>
      </c>
      <c r="I268" s="36" t="n">
        <v>-0.197986577181208</v>
      </c>
      <c r="J268" s="31" t="n">
        <v>52555</v>
      </c>
      <c r="K268" s="31" t="n">
        <v>53131.66666666666</v>
      </c>
      <c r="L268" s="31" t="n">
        <v>48135.16666666666</v>
      </c>
      <c r="M268" s="36" t="n">
        <v>0.3183802039430362</v>
      </c>
      <c r="N268" s="36" t="n">
        <v>0.5200046379922022</v>
      </c>
      <c r="O268" s="36" t="n">
        <v>-0.1418312387791741</v>
      </c>
      <c r="P268" s="36" t="n">
        <v>-0.02448979591836731</v>
      </c>
      <c r="Q268" s="36" t="n">
        <v>0.1773399014778325</v>
      </c>
      <c r="R268" s="36" t="n">
        <v>-0.09047664351631624</v>
      </c>
      <c r="S268" s="36" t="n">
        <v>-0.1003481915994855</v>
      </c>
      <c r="T268" s="36" t="n">
        <v>-0.006963031186485225</v>
      </c>
      <c r="U268" s="31" t="n">
        <v>59600</v>
      </c>
      <c r="V268" s="31" t="n">
        <v>27120</v>
      </c>
      <c r="W268" s="36" t="n">
        <v>-0.197986577181208</v>
      </c>
      <c r="X268" s="36" t="n">
        <v>0.7625368731563422</v>
      </c>
      <c r="Y268" s="31" t="n">
        <v>76211850</v>
      </c>
      <c r="Z268" s="31" t="n">
        <v>3642926430000</v>
      </c>
      <c r="AA268" s="31" t="n">
        <v>45199680000</v>
      </c>
      <c r="AB268" s="31" t="n">
        <v>43897044350</v>
      </c>
      <c r="AC268" s="36" t="n">
        <v>0.0124075193031005</v>
      </c>
      <c r="AD268" s="29" t="inlineStr">
        <is>
          <t>yfinance_download</t>
        </is>
      </c>
      <c r="AE268" s="29" t="inlineStr">
        <is>
          <t>058470.KQ</t>
        </is>
      </c>
    </row>
    <row r="269" ht="24" customHeight="1">
      <c r="A269" s="24" t="inlineStr">
        <is>
          <t>2024-06-26</t>
        </is>
      </c>
      <c r="B269" s="30" t="n">
        <v>48000</v>
      </c>
      <c r="C269" s="30" t="n">
        <v>48300</v>
      </c>
      <c r="D269" s="30" t="n">
        <v>46200</v>
      </c>
      <c r="E269" s="30" t="n">
        <v>46500</v>
      </c>
      <c r="F269" s="30" t="n">
        <v>40813.81640625</v>
      </c>
      <c r="G269" s="30" t="n">
        <v>922005</v>
      </c>
      <c r="H269" s="35" t="n">
        <v>-0.02719665271966532</v>
      </c>
      <c r="I269" s="35" t="n">
        <v>-0.2197986577181208</v>
      </c>
      <c r="J269" s="30" t="n">
        <v>52120</v>
      </c>
      <c r="K269" s="30" t="n">
        <v>53055</v>
      </c>
      <c r="L269" s="30" t="n">
        <v>48176</v>
      </c>
      <c r="M269" s="35" t="n">
        <v>0.3260343579110488</v>
      </c>
      <c r="N269" s="35" t="n">
        <v>0.5152066061920527</v>
      </c>
      <c r="O269" s="35" t="n">
        <v>-0.1576086956521739</v>
      </c>
      <c r="P269" s="35" t="n">
        <v>-0.09001956947162426</v>
      </c>
      <c r="Q269" s="35" t="n">
        <v>0.1177884615384615</v>
      </c>
      <c r="R269" s="35" t="n">
        <v>-0.1078280890253261</v>
      </c>
      <c r="S269" s="35" t="n">
        <v>-0.1235510319479786</v>
      </c>
      <c r="T269" s="35" t="n">
        <v>-0.03478910660909995</v>
      </c>
      <c r="U269" s="30" t="n">
        <v>59600</v>
      </c>
      <c r="V269" s="30" t="n">
        <v>27120</v>
      </c>
      <c r="W269" s="35" t="n">
        <v>-0.2197986577181208</v>
      </c>
      <c r="X269" s="35" t="n">
        <v>0.7146017699115044</v>
      </c>
      <c r="Y269" s="30" t="n">
        <v>76211850</v>
      </c>
      <c r="Z269" s="30" t="n">
        <v>3543851025000</v>
      </c>
      <c r="AA269" s="30" t="n">
        <v>42873232500</v>
      </c>
      <c r="AB269" s="30" t="n">
        <v>43712176775</v>
      </c>
      <c r="AC269" s="35" t="n">
        <v>0.01209792177988069</v>
      </c>
      <c r="AD269" s="24" t="inlineStr">
        <is>
          <t>yfinance_download</t>
        </is>
      </c>
      <c r="AE269" s="24" t="inlineStr">
        <is>
          <t>058470.KQ</t>
        </is>
      </c>
    </row>
    <row r="270" ht="24" customHeight="1">
      <c r="A270" s="29" t="inlineStr">
        <is>
          <t>2024-06-27</t>
        </is>
      </c>
      <c r="B270" s="31" t="n">
        <v>46200</v>
      </c>
      <c r="C270" s="31" t="n">
        <v>47000</v>
      </c>
      <c r="D270" s="31" t="n">
        <v>45600</v>
      </c>
      <c r="E270" s="31" t="n">
        <v>46500</v>
      </c>
      <c r="F270" s="31" t="n">
        <v>40813.81640625</v>
      </c>
      <c r="G270" s="31" t="n">
        <v>474430</v>
      </c>
      <c r="H270" s="36" t="n">
        <v>0</v>
      </c>
      <c r="I270" s="36" t="n">
        <v>-0.2197986577181208</v>
      </c>
      <c r="J270" s="31" t="n">
        <v>51720</v>
      </c>
      <c r="K270" s="31" t="n">
        <v>52970</v>
      </c>
      <c r="L270" s="31" t="n">
        <v>48226</v>
      </c>
      <c r="M270" s="36" t="n">
        <v>0.3268993473799532</v>
      </c>
      <c r="N270" s="36" t="n">
        <v>0.5147174350086002</v>
      </c>
      <c r="O270" s="36" t="n">
        <v>-0.1467889908256881</v>
      </c>
      <c r="P270" s="36" t="n">
        <v>-0.09883720930232553</v>
      </c>
      <c r="Q270" s="36" t="n">
        <v>0.1481481481481481</v>
      </c>
      <c r="R270" s="36" t="n">
        <v>-0.1009280742459396</v>
      </c>
      <c r="S270" s="36" t="n">
        <v>-0.1221446101566924</v>
      </c>
      <c r="T270" s="36" t="n">
        <v>-0.03578982291709865</v>
      </c>
      <c r="U270" s="31" t="n">
        <v>59600</v>
      </c>
      <c r="V270" s="31" t="n">
        <v>27340</v>
      </c>
      <c r="W270" s="36" t="n">
        <v>-0.2197986577181208</v>
      </c>
      <c r="X270" s="36" t="n">
        <v>0.7008046817849305</v>
      </c>
      <c r="Y270" s="31" t="n">
        <v>76211850</v>
      </c>
      <c r="Z270" s="31" t="n">
        <v>3543851025000</v>
      </c>
      <c r="AA270" s="31" t="n">
        <v>22060995000</v>
      </c>
      <c r="AB270" s="31" t="n">
        <v>42666632150</v>
      </c>
      <c r="AC270" s="36" t="n">
        <v>0.00622514740161799</v>
      </c>
      <c r="AD270" s="29" t="inlineStr">
        <is>
          <t>yfinance_download</t>
        </is>
      </c>
      <c r="AE270" s="29" t="inlineStr">
        <is>
          <t>058470.KQ</t>
        </is>
      </c>
    </row>
    <row r="271" ht="24" customHeight="1">
      <c r="A271" s="24" t="inlineStr">
        <is>
          <t>2024-06-28</t>
        </is>
      </c>
      <c r="B271" s="30" t="n">
        <v>46500</v>
      </c>
      <c r="C271" s="30" t="n">
        <v>47700</v>
      </c>
      <c r="D271" s="30" t="n">
        <v>46500</v>
      </c>
      <c r="E271" s="30" t="n">
        <v>47000</v>
      </c>
      <c r="F271" s="30" t="n">
        <v>41252.67578125</v>
      </c>
      <c r="G271" s="30" t="n">
        <v>426165</v>
      </c>
      <c r="H271" s="35" t="n">
        <v>0.010752688172043</v>
      </c>
      <c r="I271" s="35" t="n">
        <v>-0.2114093959731543</v>
      </c>
      <c r="J271" s="30" t="n">
        <v>51410</v>
      </c>
      <c r="K271" s="30" t="n">
        <v>52901.66666666666</v>
      </c>
      <c r="L271" s="30" t="n">
        <v>48245.16666666666</v>
      </c>
      <c r="M271" s="35" t="n">
        <v>0.3273022247314459</v>
      </c>
      <c r="N271" s="35" t="n">
        <v>0.5149850016784215</v>
      </c>
      <c r="O271" s="35" t="n">
        <v>-0.1165413533834586</v>
      </c>
      <c r="P271" s="35" t="n">
        <v>-0.08023483365949124</v>
      </c>
      <c r="Q271" s="35" t="n">
        <v>0.05145413870246096</v>
      </c>
      <c r="R271" s="35" t="n">
        <v>-0.08578097646372296</v>
      </c>
      <c r="S271" s="35" t="n">
        <v>-0.1115591821303676</v>
      </c>
      <c r="T271" s="35" t="n">
        <v>-0.02580914841210336</v>
      </c>
      <c r="U271" s="30" t="n">
        <v>59600</v>
      </c>
      <c r="V271" s="30" t="n">
        <v>27500</v>
      </c>
      <c r="W271" s="35" t="n">
        <v>-0.2114093959731543</v>
      </c>
      <c r="X271" s="35" t="n">
        <v>0.709090909090909</v>
      </c>
      <c r="Y271" s="30" t="n">
        <v>76211850</v>
      </c>
      <c r="Z271" s="30" t="n">
        <v>3581956950000</v>
      </c>
      <c r="AA271" s="30" t="n">
        <v>20029755000</v>
      </c>
      <c r="AB271" s="30" t="n">
        <v>42371542800</v>
      </c>
      <c r="AC271" s="35" t="n">
        <v>0.005591846937188902</v>
      </c>
      <c r="AD271" s="24" t="inlineStr">
        <is>
          <t>yfinance_download</t>
        </is>
      </c>
      <c r="AE271" s="24" t="inlineStr">
        <is>
          <t>058470.KQ</t>
        </is>
      </c>
    </row>
    <row r="272" ht="24" customHeight="1">
      <c r="A272" s="29" t="inlineStr">
        <is>
          <t>2024-07-01</t>
        </is>
      </c>
      <c r="B272" s="31" t="n">
        <v>47000</v>
      </c>
      <c r="C272" s="31" t="n">
        <v>47800</v>
      </c>
      <c r="D272" s="31" t="n">
        <v>46500</v>
      </c>
      <c r="E272" s="31" t="n">
        <v>46900</v>
      </c>
      <c r="F272" s="31" t="n">
        <v>41164.90234375</v>
      </c>
      <c r="G272" s="31" t="n">
        <v>398915</v>
      </c>
      <c r="H272" s="36" t="n">
        <v>-0.002127659574468033</v>
      </c>
      <c r="I272" s="36" t="n">
        <v>-0.2130872483221476</v>
      </c>
      <c r="J272" s="31" t="n">
        <v>51075</v>
      </c>
      <c r="K272" s="31" t="n">
        <v>52790</v>
      </c>
      <c r="L272" s="31" t="n">
        <v>48279.33333333334</v>
      </c>
      <c r="M272" s="36" t="n">
        <v>0.3238009843892475</v>
      </c>
      <c r="N272" s="36" t="n">
        <v>0.5044186231036928</v>
      </c>
      <c r="O272" s="36" t="n">
        <v>-0.125</v>
      </c>
      <c r="P272" s="36" t="n">
        <v>-0.125</v>
      </c>
      <c r="Q272" s="36" t="n">
        <v>0.09579439252336441</v>
      </c>
      <c r="R272" s="36" t="n">
        <v>-0.08174253548702892</v>
      </c>
      <c r="S272" s="36" t="n">
        <v>-0.1115741617730631</v>
      </c>
      <c r="T272" s="36" t="n">
        <v>-0.02856985045361027</v>
      </c>
      <c r="U272" s="31" t="n">
        <v>59600</v>
      </c>
      <c r="V272" s="31" t="n">
        <v>27500</v>
      </c>
      <c r="W272" s="36" t="n">
        <v>-0.2130872483221476</v>
      </c>
      <c r="X272" s="36" t="n">
        <v>0.7054545454545456</v>
      </c>
      <c r="Y272" s="31" t="n">
        <v>76211850</v>
      </c>
      <c r="Z272" s="31" t="n">
        <v>3574335765000</v>
      </c>
      <c r="AA272" s="31" t="n">
        <v>18709113500</v>
      </c>
      <c r="AB272" s="31" t="n">
        <v>42287218275</v>
      </c>
      <c r="AC272" s="36" t="n">
        <v>0.005234290992804925</v>
      </c>
      <c r="AD272" s="29" t="inlineStr">
        <is>
          <t>yfinance_download</t>
        </is>
      </c>
      <c r="AE272" s="29" t="inlineStr">
        <is>
          <t>058470.KQ</t>
        </is>
      </c>
    </row>
    <row r="273" ht="24" customHeight="1">
      <c r="A273" s="24" t="inlineStr">
        <is>
          <t>2024-07-02</t>
        </is>
      </c>
      <c r="B273" s="30" t="n">
        <v>46800</v>
      </c>
      <c r="C273" s="30" t="n">
        <v>46800</v>
      </c>
      <c r="D273" s="30" t="n">
        <v>44000</v>
      </c>
      <c r="E273" s="30" t="n">
        <v>44700</v>
      </c>
      <c r="F273" s="30" t="n">
        <v>39233.92578125</v>
      </c>
      <c r="G273" s="30" t="n">
        <v>1293435</v>
      </c>
      <c r="H273" s="35" t="n">
        <v>-0.04690831556503194</v>
      </c>
      <c r="I273" s="35" t="n">
        <v>-0.25</v>
      </c>
      <c r="J273" s="30" t="n">
        <v>50590</v>
      </c>
      <c r="K273" s="30" t="n">
        <v>52636.66666666666</v>
      </c>
      <c r="L273" s="30" t="n">
        <v>48301</v>
      </c>
      <c r="M273" s="35" t="n">
        <v>0.3434446100960601</v>
      </c>
      <c r="N273" s="35" t="n">
        <v>0.5125737554012361</v>
      </c>
      <c r="O273" s="35" t="n">
        <v>-0.1783088235294118</v>
      </c>
      <c r="P273" s="35" t="n">
        <v>-0.1706864564007421</v>
      </c>
      <c r="Q273" s="35" t="n">
        <v>0.06175771971496435</v>
      </c>
      <c r="R273" s="35" t="n">
        <v>-0.1164261711800751</v>
      </c>
      <c r="S273" s="35" t="n">
        <v>-0.1507820910645304</v>
      </c>
      <c r="T273" s="35" t="n">
        <v>-0.07455332187739383</v>
      </c>
      <c r="U273" s="30" t="n">
        <v>59600</v>
      </c>
      <c r="V273" s="30" t="n">
        <v>27500</v>
      </c>
      <c r="W273" s="35" t="n">
        <v>-0.25</v>
      </c>
      <c r="X273" s="35" t="n">
        <v>0.6254545454545455</v>
      </c>
      <c r="Y273" s="30" t="n">
        <v>76211850</v>
      </c>
      <c r="Z273" s="30" t="n">
        <v>3406669695000</v>
      </c>
      <c r="AA273" s="30" t="n">
        <v>57816544500</v>
      </c>
      <c r="AB273" s="30" t="n">
        <v>43055439100</v>
      </c>
      <c r="AC273" s="35" t="n">
        <v>0.01697157331832255</v>
      </c>
      <c r="AD273" s="24" t="inlineStr">
        <is>
          <t>yfinance_download</t>
        </is>
      </c>
      <c r="AE273" s="24" t="inlineStr">
        <is>
          <t>058470.KQ</t>
        </is>
      </c>
    </row>
    <row r="274" ht="24" customHeight="1">
      <c r="A274" s="29" t="inlineStr">
        <is>
          <t>2024-07-03</t>
        </is>
      </c>
      <c r="B274" s="31" t="n">
        <v>44300</v>
      </c>
      <c r="C274" s="31" t="n">
        <v>44500</v>
      </c>
      <c r="D274" s="31" t="n">
        <v>42900</v>
      </c>
      <c r="E274" s="31" t="n">
        <v>44200</v>
      </c>
      <c r="F274" s="31" t="n">
        <v>38795.0703125</v>
      </c>
      <c r="G274" s="31" t="n">
        <v>802440</v>
      </c>
      <c r="H274" s="36" t="n">
        <v>-0.01118568232662187</v>
      </c>
      <c r="I274" s="36" t="n">
        <v>-0.2583892617449665</v>
      </c>
      <c r="J274" s="31" t="n">
        <v>50125</v>
      </c>
      <c r="K274" s="31" t="n">
        <v>52483.33333333334</v>
      </c>
      <c r="L274" s="31" t="n">
        <v>48329.33333333334</v>
      </c>
      <c r="M274" s="36" t="n">
        <v>0.3425219792772372</v>
      </c>
      <c r="N274" s="36" t="n">
        <v>0.5126948629414758</v>
      </c>
      <c r="O274" s="36" t="n">
        <v>-0.1738317757009346</v>
      </c>
      <c r="P274" s="36" t="n">
        <v>-0.1722846441947565</v>
      </c>
      <c r="Q274" s="36" t="n">
        <v>0.08333333333333326</v>
      </c>
      <c r="R274" s="36" t="n">
        <v>-0.1182044887780549</v>
      </c>
      <c r="S274" s="36" t="n">
        <v>-0.1578278818672595</v>
      </c>
      <c r="T274" s="36" t="n">
        <v>-0.0854415537837615</v>
      </c>
      <c r="U274" s="31" t="n">
        <v>59600</v>
      </c>
      <c r="V274" s="31" t="n">
        <v>27500</v>
      </c>
      <c r="W274" s="36" t="n">
        <v>-0.2583892617449665</v>
      </c>
      <c r="X274" s="36" t="n">
        <v>0.6072727272727272</v>
      </c>
      <c r="Y274" s="31" t="n">
        <v>76211850</v>
      </c>
      <c r="Z274" s="31" t="n">
        <v>3368563770000</v>
      </c>
      <c r="AA274" s="31" t="n">
        <v>35467848000</v>
      </c>
      <c r="AB274" s="31" t="n">
        <v>43543146250</v>
      </c>
      <c r="AC274" s="36" t="n">
        <v>0.01052907126647628</v>
      </c>
      <c r="AD274" s="29" t="inlineStr">
        <is>
          <t>yfinance_download</t>
        </is>
      </c>
      <c r="AE274" s="29" t="inlineStr">
        <is>
          <t>058470.KQ</t>
        </is>
      </c>
    </row>
    <row r="275" ht="24" customHeight="1">
      <c r="A275" s="24" t="inlineStr">
        <is>
          <t>2024-07-04</t>
        </is>
      </c>
      <c r="B275" s="30" t="n">
        <v>44300</v>
      </c>
      <c r="C275" s="30" t="n">
        <v>45200</v>
      </c>
      <c r="D275" s="30" t="n">
        <v>44200</v>
      </c>
      <c r="E275" s="30" t="n">
        <v>44600</v>
      </c>
      <c r="F275" s="30" t="n">
        <v>39146.15625</v>
      </c>
      <c r="G275" s="30" t="n">
        <v>560400</v>
      </c>
      <c r="H275" s="35" t="n">
        <v>0.009049773755656076</v>
      </c>
      <c r="I275" s="35" t="n">
        <v>-0.2516778523489933</v>
      </c>
      <c r="J275" s="30" t="n">
        <v>49700</v>
      </c>
      <c r="K275" s="30" t="n">
        <v>52350</v>
      </c>
      <c r="L275" s="30" t="n">
        <v>48356.83333333334</v>
      </c>
      <c r="M275" s="35" t="n">
        <v>0.3486437652466766</v>
      </c>
      <c r="N275" s="35" t="n">
        <v>0.5125882928360372</v>
      </c>
      <c r="O275" s="35" t="n">
        <v>-0.160075329566855</v>
      </c>
      <c r="P275" s="35" t="n">
        <v>-0.1520912547528517</v>
      </c>
      <c r="Q275" s="35" t="n">
        <v>0.07990314769975781</v>
      </c>
      <c r="R275" s="35" t="n">
        <v>-0.1026156941649899</v>
      </c>
      <c r="S275" s="35" t="n">
        <v>-0.1480420248328558</v>
      </c>
      <c r="T275" s="35" t="n">
        <v>-0.0776898128840805</v>
      </c>
      <c r="U275" s="30" t="n">
        <v>59600</v>
      </c>
      <c r="V275" s="30" t="n">
        <v>27500</v>
      </c>
      <c r="W275" s="35" t="n">
        <v>-0.2516778523489933</v>
      </c>
      <c r="X275" s="35" t="n">
        <v>0.6218181818181818</v>
      </c>
      <c r="Y275" s="30" t="n">
        <v>76211850</v>
      </c>
      <c r="Z275" s="30" t="n">
        <v>3399048510000</v>
      </c>
      <c r="AA275" s="30" t="n">
        <v>24993840000</v>
      </c>
      <c r="AB275" s="30" t="n">
        <v>43221901300</v>
      </c>
      <c r="AC275" s="35" t="n">
        <v>0.007353187201202963</v>
      </c>
      <c r="AD275" s="24" t="inlineStr">
        <is>
          <t>yfinance_download</t>
        </is>
      </c>
      <c r="AE275" s="24" t="inlineStr">
        <is>
          <t>058470.KQ</t>
        </is>
      </c>
    </row>
    <row r="276" ht="24" customHeight="1">
      <c r="A276" s="29" t="inlineStr">
        <is>
          <t>2024-07-05</t>
        </is>
      </c>
      <c r="B276" s="31" t="n">
        <v>45200</v>
      </c>
      <c r="C276" s="31" t="n">
        <v>45300</v>
      </c>
      <c r="D276" s="31" t="n">
        <v>43600</v>
      </c>
      <c r="E276" s="31" t="n">
        <v>44000</v>
      </c>
      <c r="F276" s="31" t="n">
        <v>38619.5234375</v>
      </c>
      <c r="G276" s="31" t="n">
        <v>588360</v>
      </c>
      <c r="H276" s="36" t="n">
        <v>-0.01345291479820632</v>
      </c>
      <c r="I276" s="36" t="n">
        <v>-0.261744966442953</v>
      </c>
      <c r="J276" s="31" t="n">
        <v>49235</v>
      </c>
      <c r="K276" s="31" t="n">
        <v>52210</v>
      </c>
      <c r="L276" s="31" t="n">
        <v>48373.5</v>
      </c>
      <c r="M276" s="36" t="n">
        <v>0.3459876781343055</v>
      </c>
      <c r="N276" s="36" t="n">
        <v>0.5130957762850316</v>
      </c>
      <c r="O276" s="36" t="n">
        <v>-0.1744840525328331</v>
      </c>
      <c r="P276" s="36" t="n">
        <v>-0.1603053435114504</v>
      </c>
      <c r="Q276" s="36" t="n">
        <v>0.04761904761904767</v>
      </c>
      <c r="R276" s="36" t="n">
        <v>-0.1063268000406216</v>
      </c>
      <c r="S276" s="36" t="n">
        <v>-0.1572495690480751</v>
      </c>
      <c r="T276" s="36" t="n">
        <v>-0.09041107217794864</v>
      </c>
      <c r="U276" s="31" t="n">
        <v>59600</v>
      </c>
      <c r="V276" s="31" t="n">
        <v>27500</v>
      </c>
      <c r="W276" s="36" t="n">
        <v>-0.261744966442953</v>
      </c>
      <c r="X276" s="36" t="n">
        <v>0.6000000000000001</v>
      </c>
      <c r="Y276" s="31" t="n">
        <v>76211850</v>
      </c>
      <c r="Z276" s="31" t="n">
        <v>3353321400000</v>
      </c>
      <c r="AA276" s="31" t="n">
        <v>25887840000</v>
      </c>
      <c r="AB276" s="31" t="n">
        <v>42038269700</v>
      </c>
      <c r="AC276" s="36" t="n">
        <v>0.007720059282119513</v>
      </c>
      <c r="AD276" s="29" t="inlineStr">
        <is>
          <t>yfinance_download</t>
        </is>
      </c>
      <c r="AE276" s="29" t="inlineStr">
        <is>
          <t>058470.KQ</t>
        </is>
      </c>
    </row>
    <row r="277" ht="24" customHeight="1">
      <c r="A277" s="24" t="inlineStr">
        <is>
          <t>2024-07-08</t>
        </is>
      </c>
      <c r="B277" s="30" t="n">
        <v>43700</v>
      </c>
      <c r="C277" s="30" t="n">
        <v>44700</v>
      </c>
      <c r="D277" s="30" t="n">
        <v>43300</v>
      </c>
      <c r="E277" s="30" t="n">
        <v>44700</v>
      </c>
      <c r="F277" s="30" t="n">
        <v>39233.92578125</v>
      </c>
      <c r="G277" s="30" t="n">
        <v>557810</v>
      </c>
      <c r="H277" s="35" t="n">
        <v>0.01590909090909087</v>
      </c>
      <c r="I277" s="35" t="n">
        <v>-0.25</v>
      </c>
      <c r="J277" s="30" t="n">
        <v>48725</v>
      </c>
      <c r="K277" s="30" t="n">
        <v>52126.66666666666</v>
      </c>
      <c r="L277" s="30" t="n">
        <v>48397.66666666666</v>
      </c>
      <c r="M277" s="35" t="n">
        <v>0.3278641995330483</v>
      </c>
      <c r="N277" s="35" t="n">
        <v>0.5040473230113383</v>
      </c>
      <c r="O277" s="35" t="n">
        <v>-0.1857923497267759</v>
      </c>
      <c r="P277" s="35" t="n">
        <v>-0.1006036217303823</v>
      </c>
      <c r="Q277" s="35" t="n">
        <v>0.06937799043062198</v>
      </c>
      <c r="R277" s="35" t="n">
        <v>-0.08260646485377121</v>
      </c>
      <c r="S277" s="35" t="n">
        <v>-0.1424734620795498</v>
      </c>
      <c r="T277" s="35" t="n">
        <v>-0.07640175490553947</v>
      </c>
      <c r="U277" s="30" t="n">
        <v>59600</v>
      </c>
      <c r="V277" s="30" t="n">
        <v>27500</v>
      </c>
      <c r="W277" s="35" t="n">
        <v>-0.25</v>
      </c>
      <c r="X277" s="35" t="n">
        <v>0.6254545454545455</v>
      </c>
      <c r="Y277" s="30" t="n">
        <v>76211850</v>
      </c>
      <c r="Z277" s="30" t="n">
        <v>3406669695000</v>
      </c>
      <c r="AA277" s="30" t="n">
        <v>24934107000</v>
      </c>
      <c r="AB277" s="30" t="n">
        <v>41287864025</v>
      </c>
      <c r="AC277" s="35" t="n">
        <v>0.00731920298483766</v>
      </c>
      <c r="AD277" s="24" t="inlineStr">
        <is>
          <t>yfinance_download</t>
        </is>
      </c>
      <c r="AE277" s="24" t="inlineStr">
        <is>
          <t>058470.KQ</t>
        </is>
      </c>
    </row>
    <row r="278" ht="24" customHeight="1">
      <c r="A278" s="29" t="inlineStr">
        <is>
          <t>2024-07-09</t>
        </is>
      </c>
      <c r="B278" s="31" t="n">
        <v>45000</v>
      </c>
      <c r="C278" s="31" t="n">
        <v>48300</v>
      </c>
      <c r="D278" s="31" t="n">
        <v>44700</v>
      </c>
      <c r="E278" s="31" t="n">
        <v>47400</v>
      </c>
      <c r="F278" s="31" t="n">
        <v>41603.76171875</v>
      </c>
      <c r="G278" s="31" t="n">
        <v>1828485</v>
      </c>
      <c r="H278" s="36" t="n">
        <v>0.06040268456375841</v>
      </c>
      <c r="I278" s="36" t="n">
        <v>-0.2046979865771812</v>
      </c>
      <c r="J278" s="31" t="n">
        <v>48495</v>
      </c>
      <c r="K278" s="31" t="n">
        <v>52078.33333333334</v>
      </c>
      <c r="L278" s="31" t="n">
        <v>48454.33333333334</v>
      </c>
      <c r="M278" s="36" t="n">
        <v>0.3747872179353776</v>
      </c>
      <c r="N278" s="36" t="n">
        <v>0.5190208738041111</v>
      </c>
      <c r="O278" s="36" t="n">
        <v>-0.08846153846153848</v>
      </c>
      <c r="P278" s="36" t="n">
        <v>-0.05765407554671964</v>
      </c>
      <c r="Q278" s="36" t="n">
        <v>0.1674876847290641</v>
      </c>
      <c r="R278" s="36" t="n">
        <v>-0.02257964738632845</v>
      </c>
      <c r="S278" s="36" t="n">
        <v>-0.0898326239318975</v>
      </c>
      <c r="T278" s="36" t="n">
        <v>-0.0217593197718815</v>
      </c>
      <c r="U278" s="31" t="n">
        <v>59600</v>
      </c>
      <c r="V278" s="31" t="n">
        <v>27500</v>
      </c>
      <c r="W278" s="36" t="n">
        <v>-0.2046979865771812</v>
      </c>
      <c r="X278" s="36" t="n">
        <v>0.7236363636363636</v>
      </c>
      <c r="Y278" s="31" t="n">
        <v>76211850</v>
      </c>
      <c r="Z278" s="31" t="n">
        <v>3612441690000</v>
      </c>
      <c r="AA278" s="31" t="n">
        <v>86670189000</v>
      </c>
      <c r="AB278" s="31" t="n">
        <v>41395879475</v>
      </c>
      <c r="AC278" s="36" t="n">
        <v>0.02399213508135546</v>
      </c>
      <c r="AD278" s="29" t="inlineStr">
        <is>
          <t>yfinance_download</t>
        </is>
      </c>
      <c r="AE278" s="29" t="inlineStr">
        <is>
          <t>058470.KQ</t>
        </is>
      </c>
    </row>
    <row r="279" ht="24" customHeight="1">
      <c r="A279" s="24" t="inlineStr">
        <is>
          <t>2024-07-10</t>
        </is>
      </c>
      <c r="B279" s="30" t="n">
        <v>47400</v>
      </c>
      <c r="C279" s="30" t="n">
        <v>49000</v>
      </c>
      <c r="D279" s="30" t="n">
        <v>46800</v>
      </c>
      <c r="E279" s="30" t="n">
        <v>48300</v>
      </c>
      <c r="F279" s="30" t="n">
        <v>42393.70703125</v>
      </c>
      <c r="G279" s="30" t="n">
        <v>879245</v>
      </c>
      <c r="H279" s="35" t="n">
        <v>0.018987341772152</v>
      </c>
      <c r="I279" s="35" t="n">
        <v>-0.1895973154362416</v>
      </c>
      <c r="J279" s="30" t="n">
        <v>48260</v>
      </c>
      <c r="K279" s="30" t="n">
        <v>52031.66666666666</v>
      </c>
      <c r="L279" s="30" t="n">
        <v>48517.66666666666</v>
      </c>
      <c r="M279" s="35" t="n">
        <v>0.374584960551461</v>
      </c>
      <c r="N279" s="35" t="n">
        <v>0.5194743991906788</v>
      </c>
      <c r="O279" s="35" t="n">
        <v>-0.08867924528301885</v>
      </c>
      <c r="P279" s="35" t="n">
        <v>-0.0547945205479452</v>
      </c>
      <c r="Q279" s="35" t="n">
        <v>0.1867321867321867</v>
      </c>
      <c r="R279" s="35" t="n">
        <v>0.0008288437629506706</v>
      </c>
      <c r="S279" s="35" t="n">
        <v>-0.07171914539222901</v>
      </c>
      <c r="T279" s="35" t="n">
        <v>-0.004486338309756532</v>
      </c>
      <c r="U279" s="30" t="n">
        <v>59600</v>
      </c>
      <c r="V279" s="30" t="n">
        <v>27500</v>
      </c>
      <c r="W279" s="35" t="n">
        <v>-0.1895973154362416</v>
      </c>
      <c r="X279" s="35" t="n">
        <v>0.7563636363636363</v>
      </c>
      <c r="Y279" s="30" t="n">
        <v>76211850</v>
      </c>
      <c r="Z279" s="30" t="n">
        <v>3681032355000</v>
      </c>
      <c r="AA279" s="30" t="n">
        <v>42467533500</v>
      </c>
      <c r="AB279" s="30" t="n">
        <v>39719421150</v>
      </c>
      <c r="AC279" s="35" t="n">
        <v>0.01153685417687669</v>
      </c>
      <c r="AD279" s="24" t="inlineStr">
        <is>
          <t>yfinance_download</t>
        </is>
      </c>
      <c r="AE279" s="24" t="inlineStr">
        <is>
          <t>058470.KQ</t>
        </is>
      </c>
    </row>
    <row r="280" ht="24" customHeight="1">
      <c r="A280" s="29" t="inlineStr">
        <is>
          <t>2024-07-11</t>
        </is>
      </c>
      <c r="B280" s="31" t="n">
        <v>49200</v>
      </c>
      <c r="C280" s="31" t="n">
        <v>49800</v>
      </c>
      <c r="D280" s="31" t="n">
        <v>48300</v>
      </c>
      <c r="E280" s="31" t="n">
        <v>48800</v>
      </c>
      <c r="F280" s="31" t="n">
        <v>42832.5625</v>
      </c>
      <c r="G280" s="31" t="n">
        <v>859980</v>
      </c>
      <c r="H280" s="36" t="n">
        <v>0.01035196687370599</v>
      </c>
      <c r="I280" s="36" t="n">
        <v>-0.1812080536912751</v>
      </c>
      <c r="J280" s="31" t="n">
        <v>48060</v>
      </c>
      <c r="K280" s="31" t="n">
        <v>51930</v>
      </c>
      <c r="L280" s="31" t="n">
        <v>48588.5</v>
      </c>
      <c r="M280" s="36" t="n">
        <v>0.378221108660296</v>
      </c>
      <c r="N280" s="36" t="n">
        <v>0.4961592753831081</v>
      </c>
      <c r="O280" s="36" t="n">
        <v>-0.0757575757575758</v>
      </c>
      <c r="P280" s="36" t="n">
        <v>-0.1111111111111112</v>
      </c>
      <c r="Q280" s="36" t="n">
        <v>0.2109181141439207</v>
      </c>
      <c r="R280" s="36" t="n">
        <v>0.01539741989180188</v>
      </c>
      <c r="S280" s="36" t="n">
        <v>-0.06027344502214516</v>
      </c>
      <c r="T280" s="36" t="n">
        <v>0.004352881854759794</v>
      </c>
      <c r="U280" s="31" t="n">
        <v>59600</v>
      </c>
      <c r="V280" s="31" t="n">
        <v>27500</v>
      </c>
      <c r="W280" s="36" t="n">
        <v>-0.1812080536912751</v>
      </c>
      <c r="X280" s="36" t="n">
        <v>0.7745454545454546</v>
      </c>
      <c r="Y280" s="31" t="n">
        <v>76211850</v>
      </c>
      <c r="Z280" s="31" t="n">
        <v>3719138280000</v>
      </c>
      <c r="AA280" s="31" t="n">
        <v>41967024000</v>
      </c>
      <c r="AB280" s="31" t="n">
        <v>38874343950</v>
      </c>
      <c r="AC280" s="36" t="n">
        <v>0.01128407196518652</v>
      </c>
      <c r="AD280" s="29" t="inlineStr">
        <is>
          <t>yfinance_download</t>
        </is>
      </c>
      <c r="AE280" s="29" t="inlineStr">
        <is>
          <t>058470.KQ</t>
        </is>
      </c>
    </row>
    <row r="281" ht="24" customHeight="1">
      <c r="A281" s="24" t="inlineStr">
        <is>
          <t>2024-07-12</t>
        </is>
      </c>
      <c r="B281" s="30" t="n">
        <v>47200</v>
      </c>
      <c r="C281" s="30" t="n">
        <v>49700</v>
      </c>
      <c r="D281" s="30" t="n">
        <v>47100</v>
      </c>
      <c r="E281" s="30" t="n">
        <v>48800</v>
      </c>
      <c r="F281" s="30" t="n">
        <v>42832.5625</v>
      </c>
      <c r="G281" s="30" t="n">
        <v>641435</v>
      </c>
      <c r="H281" s="35" t="n">
        <v>0</v>
      </c>
      <c r="I281" s="35" t="n">
        <v>-0.1812080536912751</v>
      </c>
      <c r="J281" s="30" t="n">
        <v>47890</v>
      </c>
      <c r="K281" s="30" t="n">
        <v>51813.33333333334</v>
      </c>
      <c r="L281" s="30" t="n">
        <v>48664.33333333334</v>
      </c>
      <c r="M281" s="35" t="n">
        <v>0.3773023208819496</v>
      </c>
      <c r="N281" s="35" t="n">
        <v>0.4947724334446902</v>
      </c>
      <c r="O281" s="35" t="n">
        <v>-0.06513409961685823</v>
      </c>
      <c r="P281" s="35" t="n">
        <v>-0.1254480286738351</v>
      </c>
      <c r="Q281" s="35" t="n">
        <v>0.2292191435768263</v>
      </c>
      <c r="R281" s="35" t="n">
        <v>0.01900187930674457</v>
      </c>
      <c r="S281" s="35" t="n">
        <v>-0.05815748841996915</v>
      </c>
      <c r="T281" s="35" t="n">
        <v>0.002787804894755164</v>
      </c>
      <c r="U281" s="30" t="n">
        <v>59600</v>
      </c>
      <c r="V281" s="30" t="n">
        <v>27500</v>
      </c>
      <c r="W281" s="35" t="n">
        <v>-0.1812080536912751</v>
      </c>
      <c r="X281" s="35" t="n">
        <v>0.7745454545454546</v>
      </c>
      <c r="Y281" s="30" t="n">
        <v>76211850</v>
      </c>
      <c r="Z281" s="30" t="n">
        <v>3719138280000</v>
      </c>
      <c r="AA281" s="30" t="n">
        <v>31302028000</v>
      </c>
      <c r="AB281" s="30" t="n">
        <v>38308745750</v>
      </c>
      <c r="AC281" s="35" t="n">
        <v>0.008416473291227021</v>
      </c>
      <c r="AD281" s="24" t="inlineStr">
        <is>
          <t>yfinance_download</t>
        </is>
      </c>
      <c r="AE281" s="24" t="inlineStr">
        <is>
          <t>058470.KQ</t>
        </is>
      </c>
    </row>
    <row r="282" ht="24" customHeight="1">
      <c r="A282" s="29" t="inlineStr">
        <is>
          <t>2024-07-15</t>
        </is>
      </c>
      <c r="B282" s="31" t="n">
        <v>48600</v>
      </c>
      <c r="C282" s="31" t="n">
        <v>48800</v>
      </c>
      <c r="D282" s="31" t="n">
        <v>47300</v>
      </c>
      <c r="E282" s="31" t="n">
        <v>48100</v>
      </c>
      <c r="F282" s="31" t="n">
        <v>42218.16015625</v>
      </c>
      <c r="G282" s="31" t="n">
        <v>333505</v>
      </c>
      <c r="H282" s="36" t="n">
        <v>-0.01434426229508201</v>
      </c>
      <c r="I282" s="36" t="n">
        <v>-0.1929530201342282</v>
      </c>
      <c r="J282" s="31" t="n">
        <v>47630</v>
      </c>
      <c r="K282" s="31" t="n">
        <v>51741.66666666666</v>
      </c>
      <c r="L282" s="31" t="n">
        <v>48736.66666666666</v>
      </c>
      <c r="M282" s="36" t="n">
        <v>0.3680447659195192</v>
      </c>
      <c r="N282" s="36" t="n">
        <v>0.4799627555925378</v>
      </c>
      <c r="O282" s="36" t="n">
        <v>-0.09756097560975607</v>
      </c>
      <c r="P282" s="36" t="n">
        <v>-0.08206106870229013</v>
      </c>
      <c r="Q282" s="36" t="n">
        <v>0.2201927955352614</v>
      </c>
      <c r="R282" s="36" t="n">
        <v>0.009867730422002952</v>
      </c>
      <c r="S282" s="36" t="n">
        <v>-0.07038170397809629</v>
      </c>
      <c r="T282" s="36" t="n">
        <v>-0.01306340195609046</v>
      </c>
      <c r="U282" s="31" t="n">
        <v>59600</v>
      </c>
      <c r="V282" s="31" t="n">
        <v>27500</v>
      </c>
      <c r="W282" s="36" t="n">
        <v>-0.1929530201342282</v>
      </c>
      <c r="X282" s="36" t="n">
        <v>0.749090909090909</v>
      </c>
      <c r="Y282" s="31" t="n">
        <v>76211850</v>
      </c>
      <c r="Z282" s="31" t="n">
        <v>3665789985000</v>
      </c>
      <c r="AA282" s="31" t="n">
        <v>16041590500</v>
      </c>
      <c r="AB282" s="31" t="n">
        <v>35773019375</v>
      </c>
      <c r="AC282" s="36" t="n">
        <v>0.00437602551309278</v>
      </c>
      <c r="AD282" s="29" t="inlineStr">
        <is>
          <t>yfinance_download</t>
        </is>
      </c>
      <c r="AE282" s="29" t="inlineStr">
        <is>
          <t>058470.KQ</t>
        </is>
      </c>
    </row>
    <row r="283" ht="24" customHeight="1">
      <c r="A283" s="24" t="inlineStr">
        <is>
          <t>2024-07-16</t>
        </is>
      </c>
      <c r="B283" s="30" t="n">
        <v>48400</v>
      </c>
      <c r="C283" s="30" t="n">
        <v>49900</v>
      </c>
      <c r="D283" s="30" t="n">
        <v>48100</v>
      </c>
      <c r="E283" s="30" t="n">
        <v>48700</v>
      </c>
      <c r="F283" s="30" t="n">
        <v>42744.79296875</v>
      </c>
      <c r="G283" s="30" t="n">
        <v>540035</v>
      </c>
      <c r="H283" s="35" t="n">
        <v>0.01247401247401236</v>
      </c>
      <c r="I283" s="35" t="n">
        <v>-0.1828859060402684</v>
      </c>
      <c r="J283" s="30" t="n">
        <v>47445</v>
      </c>
      <c r="K283" s="30" t="n">
        <v>51663.33333333334</v>
      </c>
      <c r="L283" s="30" t="n">
        <v>48810.66666666666</v>
      </c>
      <c r="M283" s="35" t="n">
        <v>0.37007686285013</v>
      </c>
      <c r="N283" s="35" t="n">
        <v>0.4789728808820989</v>
      </c>
      <c r="O283" s="35" t="n">
        <v>-0.07061068702290074</v>
      </c>
      <c r="P283" s="35" t="n">
        <v>-0.08801498127340823</v>
      </c>
      <c r="Q283" s="35" t="n">
        <v>0.2230035158211954</v>
      </c>
      <c r="R283" s="35" t="n">
        <v>0.02645168089366634</v>
      </c>
      <c r="S283" s="35" t="n">
        <v>-0.05735853926059753</v>
      </c>
      <c r="T283" s="35" t="n">
        <v>-0.002267263986013957</v>
      </c>
      <c r="U283" s="30" t="n">
        <v>59600</v>
      </c>
      <c r="V283" s="30" t="n">
        <v>27500</v>
      </c>
      <c r="W283" s="35" t="n">
        <v>-0.1828859060402684</v>
      </c>
      <c r="X283" s="35" t="n">
        <v>0.770909090909091</v>
      </c>
      <c r="Y283" s="30" t="n">
        <v>76211850</v>
      </c>
      <c r="Z283" s="30" t="n">
        <v>3711517095000</v>
      </c>
      <c r="AA283" s="30" t="n">
        <v>26299704500</v>
      </c>
      <c r="AB283" s="30" t="n">
        <v>35119231800</v>
      </c>
      <c r="AC283" s="35" t="n">
        <v>0.007085971538546827</v>
      </c>
      <c r="AD283" s="24" t="inlineStr">
        <is>
          <t>yfinance_download</t>
        </is>
      </c>
      <c r="AE283" s="24" t="inlineStr">
        <is>
          <t>058470.KQ</t>
        </is>
      </c>
    </row>
    <row r="284" ht="24" customHeight="1">
      <c r="A284" s="29" t="inlineStr">
        <is>
          <t>2024-07-17</t>
        </is>
      </c>
      <c r="B284" s="31" t="n">
        <v>48700</v>
      </c>
      <c r="C284" s="31" t="n">
        <v>48700</v>
      </c>
      <c r="D284" s="31" t="n">
        <v>45100</v>
      </c>
      <c r="E284" s="31" t="n">
        <v>45400</v>
      </c>
      <c r="F284" s="31" t="n">
        <v>39848.328125</v>
      </c>
      <c r="G284" s="31" t="n">
        <v>827120</v>
      </c>
      <c r="H284" s="36" t="n">
        <v>-0.06776180698151946</v>
      </c>
      <c r="I284" s="36" t="n">
        <v>-0.238255033557047</v>
      </c>
      <c r="J284" s="31" t="n">
        <v>47110</v>
      </c>
      <c r="K284" s="31" t="n">
        <v>51521.66666666666</v>
      </c>
      <c r="L284" s="31" t="n">
        <v>48839</v>
      </c>
      <c r="M284" s="36" t="n">
        <v>0.4350615803732519</v>
      </c>
      <c r="N284" s="36" t="n">
        <v>0.4975065681306793</v>
      </c>
      <c r="O284" s="36" t="n">
        <v>-0.1285988483685221</v>
      </c>
      <c r="P284" s="36" t="n">
        <v>-0.1576994434137291</v>
      </c>
      <c r="Q284" s="36" t="n">
        <v>0.08095238095238089</v>
      </c>
      <c r="R284" s="36" t="n">
        <v>-0.03629802589683717</v>
      </c>
      <c r="S284" s="36" t="n">
        <v>-0.1188173260440591</v>
      </c>
      <c r="T284" s="36" t="n">
        <v>-0.07041503716292308</v>
      </c>
      <c r="U284" s="31" t="n">
        <v>59600</v>
      </c>
      <c r="V284" s="31" t="n">
        <v>27500</v>
      </c>
      <c r="W284" s="36" t="n">
        <v>-0.238255033557047</v>
      </c>
      <c r="X284" s="36" t="n">
        <v>0.6509090909090909</v>
      </c>
      <c r="Y284" s="31" t="n">
        <v>76211850</v>
      </c>
      <c r="Z284" s="31" t="n">
        <v>3460017990000</v>
      </c>
      <c r="AA284" s="31" t="n">
        <v>37551248000</v>
      </c>
      <c r="AB284" s="31" t="n">
        <v>35295377525</v>
      </c>
      <c r="AC284" s="36" t="n">
        <v>0.01085290542087615</v>
      </c>
      <c r="AD284" s="29" t="inlineStr">
        <is>
          <t>yfinance_download</t>
        </is>
      </c>
      <c r="AE284" s="29" t="inlineStr">
        <is>
          <t>058470.KQ</t>
        </is>
      </c>
    </row>
    <row r="285" ht="24" customHeight="1">
      <c r="A285" s="24" t="inlineStr">
        <is>
          <t>2024-07-18</t>
        </is>
      </c>
      <c r="B285" s="30" t="n">
        <v>43200</v>
      </c>
      <c r="C285" s="30" t="n">
        <v>45800</v>
      </c>
      <c r="D285" s="30" t="n">
        <v>43100</v>
      </c>
      <c r="E285" s="30" t="n">
        <v>45400</v>
      </c>
      <c r="F285" s="30" t="n">
        <v>39848.328125</v>
      </c>
      <c r="G285" s="30" t="n">
        <v>1140335</v>
      </c>
      <c r="H285" s="35" t="n">
        <v>0</v>
      </c>
      <c r="I285" s="35" t="n">
        <v>-0.238255033557047</v>
      </c>
      <c r="J285" s="30" t="n">
        <v>46815</v>
      </c>
      <c r="K285" s="30" t="n">
        <v>51366.66666666666</v>
      </c>
      <c r="L285" s="30" t="n">
        <v>48827.33333333334</v>
      </c>
      <c r="M285" s="35" t="n">
        <v>0.434329844262502</v>
      </c>
      <c r="N285" s="35" t="n">
        <v>0.4962412570396449</v>
      </c>
      <c r="O285" s="35" t="n">
        <v>-0.115009746588694</v>
      </c>
      <c r="P285" s="35" t="n">
        <v>-0.170018281535649</v>
      </c>
      <c r="Q285" s="35" t="n">
        <v>-0.02991452991452992</v>
      </c>
      <c r="R285" s="35" t="n">
        <v>-0.03022535512122182</v>
      </c>
      <c r="S285" s="35" t="n">
        <v>-0.1161583387410772</v>
      </c>
      <c r="T285" s="35" t="n">
        <v>-0.07019292472795302</v>
      </c>
      <c r="U285" s="30" t="n">
        <v>59600</v>
      </c>
      <c r="V285" s="30" t="n">
        <v>27500</v>
      </c>
      <c r="W285" s="35" t="n">
        <v>-0.238255033557047</v>
      </c>
      <c r="X285" s="35" t="n">
        <v>0.6509090909090909</v>
      </c>
      <c r="Y285" s="30" t="n">
        <v>76211850</v>
      </c>
      <c r="Z285" s="30" t="n">
        <v>3460017990000</v>
      </c>
      <c r="AA285" s="30" t="n">
        <v>51771209000</v>
      </c>
      <c r="AB285" s="30" t="n">
        <v>36512932650</v>
      </c>
      <c r="AC285" s="35" t="n">
        <v>0.01496269937024229</v>
      </c>
      <c r="AD285" s="24" t="inlineStr">
        <is>
          <t>yfinance_download</t>
        </is>
      </c>
      <c r="AE285" s="24" t="inlineStr">
        <is>
          <t>058470.KQ</t>
        </is>
      </c>
    </row>
    <row r="286" ht="24" customHeight="1">
      <c r="A286" s="29" t="inlineStr">
        <is>
          <t>2024-07-19</t>
        </is>
      </c>
      <c r="B286" s="31" t="n">
        <v>44900</v>
      </c>
      <c r="C286" s="31" t="n">
        <v>45200</v>
      </c>
      <c r="D286" s="31" t="n">
        <v>43600</v>
      </c>
      <c r="E286" s="31" t="n">
        <v>43900</v>
      </c>
      <c r="F286" s="31" t="n">
        <v>38531.75</v>
      </c>
      <c r="G286" s="31" t="n">
        <v>494430</v>
      </c>
      <c r="H286" s="36" t="n">
        <v>-0.03303964757709255</v>
      </c>
      <c r="I286" s="36" t="n">
        <v>-0.2634228187919463</v>
      </c>
      <c r="J286" s="31" t="n">
        <v>46540</v>
      </c>
      <c r="K286" s="31" t="n">
        <v>51266.66666666666</v>
      </c>
      <c r="L286" s="31" t="n">
        <v>48809.83333333334</v>
      </c>
      <c r="M286" s="36" t="n">
        <v>0.4307252827132074</v>
      </c>
      <c r="N286" s="36" t="n">
        <v>0.4680168833438007</v>
      </c>
      <c r="O286" s="36" t="n">
        <v>-0.111336032388664</v>
      </c>
      <c r="P286" s="36" t="n">
        <v>-0.1202404809619239</v>
      </c>
      <c r="Q286" s="36" t="n">
        <v>-0.04565217391304344</v>
      </c>
      <c r="R286" s="36" t="n">
        <v>-0.05672539750752037</v>
      </c>
      <c r="S286" s="36" t="n">
        <v>-0.1436931079323797</v>
      </c>
      <c r="T286" s="36" t="n">
        <v>-0.1005910694224866</v>
      </c>
      <c r="U286" s="31" t="n">
        <v>59600</v>
      </c>
      <c r="V286" s="31" t="n">
        <v>27500</v>
      </c>
      <c r="W286" s="36" t="n">
        <v>-0.2634228187919463</v>
      </c>
      <c r="X286" s="36" t="n">
        <v>0.5963636363636364</v>
      </c>
      <c r="Y286" s="31" t="n">
        <v>76211850</v>
      </c>
      <c r="Z286" s="31" t="n">
        <v>3345700215000</v>
      </c>
      <c r="AA286" s="31" t="n">
        <v>21705477000</v>
      </c>
      <c r="AB286" s="31" t="n">
        <v>34706960350</v>
      </c>
      <c r="AC286" s="36" t="n">
        <v>0.006487573782817239</v>
      </c>
      <c r="AD286" s="29" t="inlineStr">
        <is>
          <t>yfinance_download</t>
        </is>
      </c>
      <c r="AE286" s="29" t="inlineStr">
        <is>
          <t>058470.KQ</t>
        </is>
      </c>
    </row>
    <row r="287" ht="24" customHeight="1">
      <c r="A287" s="24" t="inlineStr">
        <is>
          <t>2024-07-22</t>
        </is>
      </c>
      <c r="B287" s="30" t="n">
        <v>43300</v>
      </c>
      <c r="C287" s="30" t="n">
        <v>43800</v>
      </c>
      <c r="D287" s="30" t="n">
        <v>42000</v>
      </c>
      <c r="E287" s="30" t="n">
        <v>42400</v>
      </c>
      <c r="F287" s="30" t="n">
        <v>37215.1796875</v>
      </c>
      <c r="G287" s="30" t="n">
        <v>864470</v>
      </c>
      <c r="H287" s="35" t="n">
        <v>-0.03416856492027331</v>
      </c>
      <c r="I287" s="35" t="n">
        <v>-0.2885906040268457</v>
      </c>
      <c r="J287" s="30" t="n">
        <v>46205</v>
      </c>
      <c r="K287" s="30" t="n">
        <v>51165</v>
      </c>
      <c r="L287" s="30" t="n">
        <v>48789.83333333334</v>
      </c>
      <c r="M287" s="35" t="n">
        <v>0.4425759227488049</v>
      </c>
      <c r="N287" s="35" t="n">
        <v>0.4696514532815968</v>
      </c>
      <c r="O287" s="35" t="n">
        <v>-0.1364562118126272</v>
      </c>
      <c r="P287" s="35" t="n">
        <v>-0.1257731958762887</v>
      </c>
      <c r="Q287" s="35" t="n">
        <v>-0.0535714285714286</v>
      </c>
      <c r="R287" s="35" t="n">
        <v>-0.0823503949788984</v>
      </c>
      <c r="S287" s="35" t="n">
        <v>-0.1713085116779048</v>
      </c>
      <c r="T287" s="35" t="n">
        <v>-0.1309664923361766</v>
      </c>
      <c r="U287" s="30" t="n">
        <v>59600</v>
      </c>
      <c r="V287" s="30" t="n">
        <v>27500</v>
      </c>
      <c r="W287" s="35" t="n">
        <v>-0.2885906040268457</v>
      </c>
      <c r="X287" s="35" t="n">
        <v>0.5418181818181818</v>
      </c>
      <c r="Y287" s="30" t="n">
        <v>76211850</v>
      </c>
      <c r="Z287" s="30" t="n">
        <v>3231382440000</v>
      </c>
      <c r="AA287" s="30" t="n">
        <v>36653528000</v>
      </c>
      <c r="AB287" s="30" t="n">
        <v>35520124350</v>
      </c>
      <c r="AC287" s="35" t="n">
        <v>0.01134298668776575</v>
      </c>
      <c r="AD287" s="24" t="inlineStr">
        <is>
          <t>yfinance_download</t>
        </is>
      </c>
      <c r="AE287" s="24" t="inlineStr">
        <is>
          <t>058470.KQ</t>
        </is>
      </c>
    </row>
    <row r="288" ht="24" customHeight="1">
      <c r="A288" s="29" t="inlineStr">
        <is>
          <t>2024-07-23</t>
        </is>
      </c>
      <c r="B288" s="31" t="n">
        <v>42800</v>
      </c>
      <c r="C288" s="31" t="n">
        <v>43100</v>
      </c>
      <c r="D288" s="31" t="n">
        <v>41600</v>
      </c>
      <c r="E288" s="31" t="n">
        <v>41800</v>
      </c>
      <c r="F288" s="31" t="n">
        <v>36688.546875</v>
      </c>
      <c r="G288" s="31" t="n">
        <v>727890</v>
      </c>
      <c r="H288" s="36" t="n">
        <v>-0.01415094339622647</v>
      </c>
      <c r="I288" s="36" t="n">
        <v>-0.2986577181208053</v>
      </c>
      <c r="J288" s="31" t="n">
        <v>45905</v>
      </c>
      <c r="K288" s="31" t="n">
        <v>51006.66666666666</v>
      </c>
      <c r="L288" s="31" t="n">
        <v>48763.16666666666</v>
      </c>
      <c r="M288" s="36" t="n">
        <v>0.4374917471578788</v>
      </c>
      <c r="N288" s="36" t="n">
        <v>0.4535557747450782</v>
      </c>
      <c r="O288" s="36" t="n">
        <v>-0.1255230125523012</v>
      </c>
      <c r="P288" s="36" t="n">
        <v>-0.1851851851851852</v>
      </c>
      <c r="Q288" s="36" t="n">
        <v>-0.07111111111111112</v>
      </c>
      <c r="R288" s="36" t="n">
        <v>-0.08942381004247901</v>
      </c>
      <c r="S288" s="36" t="n">
        <v>-0.1804992811397202</v>
      </c>
      <c r="T288" s="36" t="n">
        <v>-0.1427956210117609</v>
      </c>
      <c r="U288" s="31" t="n">
        <v>59600</v>
      </c>
      <c r="V288" s="31" t="n">
        <v>27500</v>
      </c>
      <c r="W288" s="36" t="n">
        <v>-0.2986577181208053</v>
      </c>
      <c r="X288" s="36" t="n">
        <v>0.52</v>
      </c>
      <c r="Y288" s="31" t="n">
        <v>76211850</v>
      </c>
      <c r="Z288" s="31" t="n">
        <v>3185655330000</v>
      </c>
      <c r="AA288" s="31" t="n">
        <v>30425802000</v>
      </c>
      <c r="AB288" s="31" t="n">
        <v>34781430450</v>
      </c>
      <c r="AC288" s="36" t="n">
        <v>0.009550876930556075</v>
      </c>
      <c r="AD288" s="29" t="inlineStr">
        <is>
          <t>yfinance_download</t>
        </is>
      </c>
      <c r="AE288" s="29" t="inlineStr">
        <is>
          <t>058470.KQ</t>
        </is>
      </c>
    </row>
    <row r="289" ht="24" customHeight="1">
      <c r="A289" s="24" t="inlineStr">
        <is>
          <t>2024-07-24</t>
        </is>
      </c>
      <c r="B289" s="30" t="n">
        <v>41900</v>
      </c>
      <c r="C289" s="30" t="n">
        <v>43400</v>
      </c>
      <c r="D289" s="30" t="n">
        <v>41800</v>
      </c>
      <c r="E289" s="30" t="n">
        <v>42400</v>
      </c>
      <c r="F289" s="30" t="n">
        <v>37215.1796875</v>
      </c>
      <c r="G289" s="30" t="n">
        <v>710700</v>
      </c>
      <c r="H289" s="35" t="n">
        <v>0.0143540669856459</v>
      </c>
      <c r="I289" s="35" t="n">
        <v>-0.2885906040268457</v>
      </c>
      <c r="J289" s="30" t="n">
        <v>45700</v>
      </c>
      <c r="K289" s="30" t="n">
        <v>50876.66666666666</v>
      </c>
      <c r="L289" s="30" t="n">
        <v>48754.83333333334</v>
      </c>
      <c r="M289" s="35" t="n">
        <v>0.4360538475934044</v>
      </c>
      <c r="N289" s="35" t="n">
        <v>0.4532743382438315</v>
      </c>
      <c r="O289" s="35" t="n">
        <v>-0.08817204301075265</v>
      </c>
      <c r="P289" s="35" t="n">
        <v>-0.1553784860557769</v>
      </c>
      <c r="Q289" s="35" t="n">
        <v>-0.02304147465437789</v>
      </c>
      <c r="R289" s="35" t="n">
        <v>-0.07221006564551424</v>
      </c>
      <c r="S289" s="35" t="n">
        <v>-0.1666120684007075</v>
      </c>
      <c r="T289" s="35" t="n">
        <v>-0.1303426326962456</v>
      </c>
      <c r="U289" s="30" t="n">
        <v>59600</v>
      </c>
      <c r="V289" s="30" t="n">
        <v>27500</v>
      </c>
      <c r="W289" s="35" t="n">
        <v>-0.2885906040268457</v>
      </c>
      <c r="X289" s="35" t="n">
        <v>0.5418181818181818</v>
      </c>
      <c r="Y289" s="30" t="n">
        <v>76211850</v>
      </c>
      <c r="Z289" s="30" t="n">
        <v>3231382440000</v>
      </c>
      <c r="AA289" s="30" t="n">
        <v>30133680000</v>
      </c>
      <c r="AB289" s="30" t="n">
        <v>34144452825</v>
      </c>
      <c r="AC289" s="35" t="n">
        <v>0.00932532145591532</v>
      </c>
      <c r="AD289" s="24" t="inlineStr">
        <is>
          <t>yfinance_download</t>
        </is>
      </c>
      <c r="AE289" s="24" t="inlineStr">
        <is>
          <t>058470.KQ</t>
        </is>
      </c>
    </row>
    <row r="290" ht="24" customHeight="1">
      <c r="A290" s="29" t="inlineStr">
        <is>
          <t>2024-07-25</t>
        </is>
      </c>
      <c r="B290" s="31" t="n">
        <v>42300</v>
      </c>
      <c r="C290" s="31" t="n">
        <v>42300</v>
      </c>
      <c r="D290" s="31" t="n">
        <v>40000</v>
      </c>
      <c r="E290" s="31" t="n">
        <v>40700</v>
      </c>
      <c r="F290" s="31" t="n">
        <v>35723.05859375</v>
      </c>
      <c r="G290" s="31" t="n">
        <v>514980</v>
      </c>
      <c r="H290" s="36" t="n">
        <v>-0.04009433962264153</v>
      </c>
      <c r="I290" s="36" t="n">
        <v>-0.3171140939597316</v>
      </c>
      <c r="J290" s="31" t="n">
        <v>45410</v>
      </c>
      <c r="K290" s="31" t="n">
        <v>50710</v>
      </c>
      <c r="L290" s="31" t="n">
        <v>48739</v>
      </c>
      <c r="M290" s="36" t="n">
        <v>0.453746181629526</v>
      </c>
      <c r="N290" s="36" t="n">
        <v>0.4590105553671239</v>
      </c>
      <c r="O290" s="36" t="n">
        <v>-0.1247311827956989</v>
      </c>
      <c r="P290" s="36" t="n">
        <v>-0.1972386587771203</v>
      </c>
      <c r="Q290" s="36" t="n">
        <v>-0.04460093896713613</v>
      </c>
      <c r="R290" s="36" t="n">
        <v>-0.10372164721427</v>
      </c>
      <c r="S290" s="36" t="n">
        <v>-0.1973969631236443</v>
      </c>
      <c r="T290" s="36" t="n">
        <v>-0.164939781283982</v>
      </c>
      <c r="U290" s="31" t="n">
        <v>59600</v>
      </c>
      <c r="V290" s="31" t="n">
        <v>27500</v>
      </c>
      <c r="W290" s="36" t="n">
        <v>-0.3171140939597316</v>
      </c>
      <c r="X290" s="36" t="n">
        <v>0.48</v>
      </c>
      <c r="Y290" s="31" t="n">
        <v>76211850</v>
      </c>
      <c r="Z290" s="31" t="n">
        <v>3101822295000</v>
      </c>
      <c r="AA290" s="31" t="n">
        <v>20959686000</v>
      </c>
      <c r="AB290" s="31" t="n">
        <v>34089387375</v>
      </c>
      <c r="AC290" s="36" t="n">
        <v>0.006757216889499468</v>
      </c>
      <c r="AD290" s="29" t="inlineStr">
        <is>
          <t>yfinance_download</t>
        </is>
      </c>
      <c r="AE290" s="29" t="inlineStr">
        <is>
          <t>058470.KQ</t>
        </is>
      </c>
    </row>
    <row r="291" ht="24" customHeight="1">
      <c r="A291" s="24" t="inlineStr">
        <is>
          <t>2024-07-26</t>
        </is>
      </c>
      <c r="B291" s="30" t="n">
        <v>40700</v>
      </c>
      <c r="C291" s="30" t="n">
        <v>41100</v>
      </c>
      <c r="D291" s="30" t="n">
        <v>39940</v>
      </c>
      <c r="E291" s="30" t="n">
        <v>40100</v>
      </c>
      <c r="F291" s="30" t="n">
        <v>35196.4296875</v>
      </c>
      <c r="G291" s="30" t="n">
        <v>429185</v>
      </c>
      <c r="H291" s="35" t="n">
        <v>-0.01474201474201475</v>
      </c>
      <c r="I291" s="35" t="n">
        <v>-0.3271812080536913</v>
      </c>
      <c r="J291" s="30" t="n">
        <v>45065</v>
      </c>
      <c r="K291" s="30" t="n">
        <v>50528.33333333334</v>
      </c>
      <c r="L291" s="30" t="n">
        <v>48722.33333333334</v>
      </c>
      <c r="M291" s="35" t="n">
        <v>0.4500870609326318</v>
      </c>
      <c r="N291" s="35" t="n">
        <v>0.4592017407133971</v>
      </c>
      <c r="O291" s="35" t="n">
        <v>-0.1468085106382979</v>
      </c>
      <c r="P291" s="35" t="n">
        <v>-0.2137254901960784</v>
      </c>
      <c r="Q291" s="35" t="n">
        <v>-0.04750593824228033</v>
      </c>
      <c r="R291" s="35" t="n">
        <v>-0.1101741928325751</v>
      </c>
      <c r="S291" s="35" t="n">
        <v>-0.2063858561203286</v>
      </c>
      <c r="T291" s="35" t="n">
        <v>-0.1769688096492369</v>
      </c>
      <c r="U291" s="30" t="n">
        <v>59600</v>
      </c>
      <c r="V291" s="30" t="n">
        <v>27500</v>
      </c>
      <c r="W291" s="35" t="n">
        <v>-0.3271812080536913</v>
      </c>
      <c r="X291" s="35" t="n">
        <v>0.4581818181818182</v>
      </c>
      <c r="Y291" s="30" t="n">
        <v>76211850</v>
      </c>
      <c r="Z291" s="30" t="n">
        <v>3056095185000</v>
      </c>
      <c r="AA291" s="30" t="n">
        <v>17210318500</v>
      </c>
      <c r="AB291" s="30" t="n">
        <v>33948415550</v>
      </c>
      <c r="AC291" s="35" t="n">
        <v>0.005631473320749989</v>
      </c>
      <c r="AD291" s="24" t="inlineStr">
        <is>
          <t>yfinance_download</t>
        </is>
      </c>
      <c r="AE291" s="24" t="inlineStr">
        <is>
          <t>058470.KQ</t>
        </is>
      </c>
    </row>
    <row r="292" ht="24" customHeight="1">
      <c r="A292" s="29" t="inlineStr">
        <is>
          <t>2024-07-29</t>
        </is>
      </c>
      <c r="B292" s="31" t="n">
        <v>40200</v>
      </c>
      <c r="C292" s="31" t="n">
        <v>40300</v>
      </c>
      <c r="D292" s="31" t="n">
        <v>39640</v>
      </c>
      <c r="E292" s="31" t="n">
        <v>40100</v>
      </c>
      <c r="F292" s="31" t="n">
        <v>35196.4296875</v>
      </c>
      <c r="G292" s="31" t="n">
        <v>438385</v>
      </c>
      <c r="H292" s="36" t="n">
        <v>0</v>
      </c>
      <c r="I292" s="36" t="n">
        <v>-0.3271812080536913</v>
      </c>
      <c r="J292" s="31" t="n">
        <v>44725</v>
      </c>
      <c r="K292" s="31" t="n">
        <v>50360</v>
      </c>
      <c r="L292" s="31" t="n">
        <v>48725</v>
      </c>
      <c r="M292" s="36" t="n">
        <v>0.4504884828476066</v>
      </c>
      <c r="N292" s="36" t="n">
        <v>0.458561654798719</v>
      </c>
      <c r="O292" s="36" t="n">
        <v>-0.1449893390191898</v>
      </c>
      <c r="P292" s="36" t="n">
        <v>-0.201195219123506</v>
      </c>
      <c r="Q292" s="36" t="n">
        <v>0.008044243338360957</v>
      </c>
      <c r="R292" s="36" t="n">
        <v>-0.1034097261039687</v>
      </c>
      <c r="S292" s="36" t="n">
        <v>-0.2037331215250199</v>
      </c>
      <c r="T292" s="36" t="n">
        <v>-0.1770138532580811</v>
      </c>
      <c r="U292" s="31" t="n">
        <v>59600</v>
      </c>
      <c r="V292" s="31" t="n">
        <v>27500</v>
      </c>
      <c r="W292" s="36" t="n">
        <v>-0.3271812080536913</v>
      </c>
      <c r="X292" s="36" t="n">
        <v>0.4581818181818182</v>
      </c>
      <c r="Y292" s="31" t="n">
        <v>76211850</v>
      </c>
      <c r="Z292" s="31" t="n">
        <v>3056095185000</v>
      </c>
      <c r="AA292" s="31" t="n">
        <v>17579238500</v>
      </c>
      <c r="AB292" s="31" t="n">
        <v>33891921800</v>
      </c>
      <c r="AC292" s="36" t="n">
        <v>0.005752189456101643</v>
      </c>
      <c r="AD292" s="29" t="inlineStr">
        <is>
          <t>yfinance_download</t>
        </is>
      </c>
      <c r="AE292" s="29" t="inlineStr">
        <is>
          <t>058470.KQ</t>
        </is>
      </c>
    </row>
    <row r="293" ht="24" customHeight="1">
      <c r="A293" s="24" t="inlineStr">
        <is>
          <t>2024-07-30</t>
        </is>
      </c>
      <c r="B293" s="30" t="n">
        <v>39660</v>
      </c>
      <c r="C293" s="30" t="n">
        <v>39920</v>
      </c>
      <c r="D293" s="30" t="n">
        <v>38680</v>
      </c>
      <c r="E293" s="30" t="n">
        <v>39420</v>
      </c>
      <c r="F293" s="30" t="n">
        <v>34599.58203125</v>
      </c>
      <c r="G293" s="30" t="n">
        <v>538280</v>
      </c>
      <c r="H293" s="35" t="n">
        <v>-0.01695760598503737</v>
      </c>
      <c r="I293" s="35" t="n">
        <v>-0.3385906040268456</v>
      </c>
      <c r="J293" s="30" t="n">
        <v>44461</v>
      </c>
      <c r="K293" s="30" t="n">
        <v>50152</v>
      </c>
      <c r="L293" s="30" t="n">
        <v>48724.66666666666</v>
      </c>
      <c r="M293" s="35" t="n">
        <v>0.4276291494617059</v>
      </c>
      <c r="N293" s="35" t="n">
        <v>0.4527470777748047</v>
      </c>
      <c r="O293" s="35" t="n">
        <v>-0.1181208053691275</v>
      </c>
      <c r="P293" s="35" t="n">
        <v>-0.2404624277456647</v>
      </c>
      <c r="Q293" s="35" t="n">
        <v>-0.001013684744044618</v>
      </c>
      <c r="R293" s="35" t="n">
        <v>-0.1133802658509705</v>
      </c>
      <c r="S293" s="35" t="n">
        <v>-0.2139894720051044</v>
      </c>
      <c r="T293" s="35" t="n">
        <v>-0.1909641933585999</v>
      </c>
      <c r="U293" s="30" t="n">
        <v>59600</v>
      </c>
      <c r="V293" s="30" t="n">
        <v>27500</v>
      </c>
      <c r="W293" s="35" t="n">
        <v>-0.3385906040268456</v>
      </c>
      <c r="X293" s="35" t="n">
        <v>0.4334545454545455</v>
      </c>
      <c r="Y293" s="30" t="n">
        <v>76211850</v>
      </c>
      <c r="Z293" s="30" t="n">
        <v>3004271127000</v>
      </c>
      <c r="AA293" s="30" t="n">
        <v>21218997600</v>
      </c>
      <c r="AB293" s="30" t="n">
        <v>32062044455</v>
      </c>
      <c r="AC293" s="35" t="n">
        <v>0.007062943623596593</v>
      </c>
      <c r="AD293" s="24" t="inlineStr">
        <is>
          <t>yfinance_download</t>
        </is>
      </c>
      <c r="AE293" s="24" t="inlineStr">
        <is>
          <t>058470.KQ</t>
        </is>
      </c>
    </row>
    <row r="294" ht="24" customHeight="1">
      <c r="A294" s="29" t="inlineStr">
        <is>
          <t>2024-07-31</t>
        </is>
      </c>
      <c r="B294" s="31" t="n">
        <v>39060</v>
      </c>
      <c r="C294" s="31" t="n">
        <v>40600</v>
      </c>
      <c r="D294" s="31" t="n">
        <v>38360</v>
      </c>
      <c r="E294" s="31" t="n">
        <v>40100</v>
      </c>
      <c r="F294" s="31" t="n">
        <v>35196.4296875</v>
      </c>
      <c r="G294" s="31" t="n">
        <v>530050</v>
      </c>
      <c r="H294" s="36" t="n">
        <v>0.01725012683916805</v>
      </c>
      <c r="I294" s="36" t="n">
        <v>-0.3271812080536913</v>
      </c>
      <c r="J294" s="31" t="n">
        <v>44256</v>
      </c>
      <c r="K294" s="31" t="n">
        <v>49907</v>
      </c>
      <c r="L294" s="31" t="n">
        <v>48724.66666666666</v>
      </c>
      <c r="M294" s="36" t="n">
        <v>0.434835514669165</v>
      </c>
      <c r="N294" s="36" t="n">
        <v>0.4375287542699116</v>
      </c>
      <c r="O294" s="36" t="n">
        <v>-0.09276018099547512</v>
      </c>
      <c r="P294" s="36" t="n">
        <v>-0.2682481751824818</v>
      </c>
      <c r="Q294" s="36" t="n">
        <v>0</v>
      </c>
      <c r="R294" s="36" t="n">
        <v>-0.09390817064352852</v>
      </c>
      <c r="S294" s="36" t="n">
        <v>-0.1965055002304286</v>
      </c>
      <c r="T294" s="36" t="n">
        <v>-0.1770082230766072</v>
      </c>
      <c r="U294" s="31" t="n">
        <v>59600</v>
      </c>
      <c r="V294" s="31" t="n">
        <v>27500</v>
      </c>
      <c r="W294" s="36" t="n">
        <v>-0.3271812080536913</v>
      </c>
      <c r="X294" s="36" t="n">
        <v>0.4581818181818182</v>
      </c>
      <c r="Y294" s="31" t="n">
        <v>76211850</v>
      </c>
      <c r="Z294" s="31" t="n">
        <v>3056095185000</v>
      </c>
      <c r="AA294" s="31" t="n">
        <v>21255005000</v>
      </c>
      <c r="AB294" s="31" t="n">
        <v>31351402305</v>
      </c>
      <c r="AC294" s="36" t="n">
        <v>0.006954955167733102</v>
      </c>
      <c r="AD294" s="29" t="inlineStr">
        <is>
          <t>yfinance_download</t>
        </is>
      </c>
      <c r="AE294" s="29" t="inlineStr">
        <is>
          <t>058470.KQ</t>
        </is>
      </c>
    </row>
    <row r="295" ht="24" customHeight="1">
      <c r="A295" s="24" t="inlineStr">
        <is>
          <t>2024-08-01</t>
        </is>
      </c>
      <c r="B295" s="30" t="n">
        <v>42000</v>
      </c>
      <c r="C295" s="30" t="n">
        <v>42000</v>
      </c>
      <c r="D295" s="30" t="n">
        <v>39880</v>
      </c>
      <c r="E295" s="30" t="n">
        <v>40300</v>
      </c>
      <c r="F295" s="30" t="n">
        <v>35371.97265625</v>
      </c>
      <c r="G295" s="30" t="n">
        <v>537435</v>
      </c>
      <c r="H295" s="35" t="n">
        <v>0.004987531172069737</v>
      </c>
      <c r="I295" s="35" t="n">
        <v>-0.3238255033557047</v>
      </c>
      <c r="J295" s="30" t="n">
        <v>44041</v>
      </c>
      <c r="K295" s="30" t="n">
        <v>49585.33333333334</v>
      </c>
      <c r="L295" s="30" t="n">
        <v>48739.16666666666</v>
      </c>
      <c r="M295" s="35" t="n">
        <v>0.4333937408252612</v>
      </c>
      <c r="N295" s="35" t="n">
        <v>0.3935502774877608</v>
      </c>
      <c r="O295" s="35" t="n">
        <v>-0.0964125560538116</v>
      </c>
      <c r="P295" s="35" t="n">
        <v>-0.3238255033557047</v>
      </c>
      <c r="Q295" s="35" t="n">
        <v>0.04512448132780089</v>
      </c>
      <c r="R295" s="35" t="n">
        <v>-0.08494357530482954</v>
      </c>
      <c r="S295" s="35" t="n">
        <v>-0.1872596735593859</v>
      </c>
      <c r="T295" s="35" t="n">
        <v>-0.1731495887975105</v>
      </c>
      <c r="U295" s="30" t="n">
        <v>59600</v>
      </c>
      <c r="V295" s="30" t="n">
        <v>27500</v>
      </c>
      <c r="W295" s="35" t="n">
        <v>-0.3238255033557047</v>
      </c>
      <c r="X295" s="35" t="n">
        <v>0.4654545454545456</v>
      </c>
      <c r="Y295" s="30" t="n">
        <v>76211850</v>
      </c>
      <c r="Z295" s="30" t="n">
        <v>3071337555000</v>
      </c>
      <c r="AA295" s="30" t="n">
        <v>21658630500</v>
      </c>
      <c r="AB295" s="30" t="n">
        <v>31184641830</v>
      </c>
      <c r="AC295" s="35" t="n">
        <v>0.007051856108990924</v>
      </c>
      <c r="AD295" s="24" t="inlineStr">
        <is>
          <t>yfinance_download</t>
        </is>
      </c>
      <c r="AE295" s="24" t="inlineStr">
        <is>
          <t>058470.KQ</t>
        </is>
      </c>
    </row>
    <row r="296" ht="24" customHeight="1">
      <c r="A296" s="29" t="inlineStr">
        <is>
          <t>2024-08-02</t>
        </is>
      </c>
      <c r="B296" s="31" t="n">
        <v>39160</v>
      </c>
      <c r="C296" s="31" t="n">
        <v>39400</v>
      </c>
      <c r="D296" s="31" t="n">
        <v>37020</v>
      </c>
      <c r="E296" s="31" t="n">
        <v>37880</v>
      </c>
      <c r="F296" s="31" t="n">
        <v>33247.8984375</v>
      </c>
      <c r="G296" s="31" t="n">
        <v>1033865</v>
      </c>
      <c r="H296" s="36" t="n">
        <v>-0.06004962779156331</v>
      </c>
      <c r="I296" s="36" t="n">
        <v>-0.3644295302013423</v>
      </c>
      <c r="J296" s="31" t="n">
        <v>43735</v>
      </c>
      <c r="K296" s="31" t="n">
        <v>49235</v>
      </c>
      <c r="L296" s="31" t="n">
        <v>48725.33333333334</v>
      </c>
      <c r="M296" s="36" t="n">
        <v>0.4754021115277672</v>
      </c>
      <c r="N296" s="36" t="n">
        <v>0.4086215529080327</v>
      </c>
      <c r="O296" s="36" t="n">
        <v>-0.139090909090909</v>
      </c>
      <c r="P296" s="36" t="n">
        <v>-0.3568760611205433</v>
      </c>
      <c r="Q296" s="36" t="n">
        <v>-0.04198280222559436</v>
      </c>
      <c r="R296" s="36" t="n">
        <v>-0.1338744712472848</v>
      </c>
      <c r="S296" s="36" t="n">
        <v>-0.2306286178531533</v>
      </c>
      <c r="T296" s="36" t="n">
        <v>-0.2225809982486866</v>
      </c>
      <c r="U296" s="31" t="n">
        <v>59600</v>
      </c>
      <c r="V296" s="31" t="n">
        <v>27500</v>
      </c>
      <c r="W296" s="36" t="n">
        <v>-0.3644295302013423</v>
      </c>
      <c r="X296" s="36" t="n">
        <v>0.3774545454545455</v>
      </c>
      <c r="Y296" s="31" t="n">
        <v>76211850</v>
      </c>
      <c r="Z296" s="31" t="n">
        <v>2886904878000</v>
      </c>
      <c r="AA296" s="31" t="n">
        <v>39162806200</v>
      </c>
      <c r="AB296" s="31" t="n">
        <v>31848390140</v>
      </c>
      <c r="AC296" s="36" t="n">
        <v>0.01356567252992809</v>
      </c>
      <c r="AD296" s="29" t="inlineStr">
        <is>
          <t>yfinance_download</t>
        </is>
      </c>
      <c r="AE296" s="29" t="inlineStr">
        <is>
          <t>058470.KQ</t>
        </is>
      </c>
    </row>
    <row r="297" ht="24" customHeight="1">
      <c r="A297" s="24" t="inlineStr">
        <is>
          <t>2024-08-05</t>
        </is>
      </c>
      <c r="B297" s="30" t="n">
        <v>36760</v>
      </c>
      <c r="C297" s="30" t="n">
        <v>38120</v>
      </c>
      <c r="D297" s="30" t="n">
        <v>32800</v>
      </c>
      <c r="E297" s="30" t="n">
        <v>33800</v>
      </c>
      <c r="F297" s="30" t="n">
        <v>29666.81640625</v>
      </c>
      <c r="G297" s="30" t="n">
        <v>1151110</v>
      </c>
      <c r="H297" s="35" t="n">
        <v>-0.1077085533262936</v>
      </c>
      <c r="I297" s="35" t="n">
        <v>-0.4328859060402684</v>
      </c>
      <c r="J297" s="30" t="n">
        <v>43190</v>
      </c>
      <c r="K297" s="30" t="n">
        <v>48821.66666666666</v>
      </c>
      <c r="L297" s="30" t="n">
        <v>48682.83333333334</v>
      </c>
      <c r="M297" s="35" t="n">
        <v>0.5859463203380716</v>
      </c>
      <c r="N297" s="35" t="n">
        <v>0.4577388302632005</v>
      </c>
      <c r="O297" s="35" t="n">
        <v>-0.243847874720358</v>
      </c>
      <c r="P297" s="35" t="n">
        <v>-0.4232081911262798</v>
      </c>
      <c r="Q297" s="35" t="n">
        <v>-0.1311053984575835</v>
      </c>
      <c r="R297" s="35" t="n">
        <v>-0.2174114378328317</v>
      </c>
      <c r="S297" s="35" t="n">
        <v>-0.3076844297272385</v>
      </c>
      <c r="T297" s="35" t="n">
        <v>-0.3057100894565846</v>
      </c>
      <c r="U297" s="30" t="n">
        <v>59600</v>
      </c>
      <c r="V297" s="30" t="n">
        <v>27500</v>
      </c>
      <c r="W297" s="35" t="n">
        <v>-0.4328859060402684</v>
      </c>
      <c r="X297" s="35" t="n">
        <v>0.229090909090909</v>
      </c>
      <c r="Y297" s="30" t="n">
        <v>76211850</v>
      </c>
      <c r="Z297" s="30" t="n">
        <v>2575960530000</v>
      </c>
      <c r="AA297" s="30" t="n">
        <v>38907518000</v>
      </c>
      <c r="AB297" s="30" t="n">
        <v>32547060690</v>
      </c>
      <c r="AC297" s="35" t="n">
        <v>0.01510408158311339</v>
      </c>
      <c r="AD297" s="24" t="inlineStr">
        <is>
          <t>yfinance_download</t>
        </is>
      </c>
      <c r="AE297" s="24" t="inlineStr">
        <is>
          <t>058470.KQ</t>
        </is>
      </c>
    </row>
    <row r="298" ht="24" customHeight="1">
      <c r="A298" s="29" t="inlineStr">
        <is>
          <t>2024-08-06</t>
        </is>
      </c>
      <c r="B298" s="31" t="n">
        <v>36760</v>
      </c>
      <c r="C298" s="31" t="n">
        <v>37880</v>
      </c>
      <c r="D298" s="31" t="n">
        <v>36000</v>
      </c>
      <c r="E298" s="31" t="n">
        <v>37300</v>
      </c>
      <c r="F298" s="31" t="n">
        <v>32738.822265625</v>
      </c>
      <c r="G298" s="31" t="n">
        <v>1035310</v>
      </c>
      <c r="H298" s="36" t="n">
        <v>0.1035502958579881</v>
      </c>
      <c r="I298" s="36" t="n">
        <v>-0.3741610738255033</v>
      </c>
      <c r="J298" s="31" t="n">
        <v>42685</v>
      </c>
      <c r="K298" s="31" t="n">
        <v>48490</v>
      </c>
      <c r="L298" s="31" t="n">
        <v>48657</v>
      </c>
      <c r="M298" s="36" t="n">
        <v>0.6715984344525662</v>
      </c>
      <c r="N298" s="36" t="n">
        <v>0.5110898659661771</v>
      </c>
      <c r="O298" s="36" t="n">
        <v>-0.2130801687763713</v>
      </c>
      <c r="P298" s="36" t="n">
        <v>-0.3479020979020979</v>
      </c>
      <c r="Q298" s="36" t="n">
        <v>-0.07673267326732669</v>
      </c>
      <c r="R298" s="36" t="n">
        <v>-0.12615672953028</v>
      </c>
      <c r="S298" s="36" t="n">
        <v>-0.2307692307692307</v>
      </c>
      <c r="T298" s="36" t="n">
        <v>-0.2334093758349262</v>
      </c>
      <c r="U298" s="31" t="n">
        <v>59600</v>
      </c>
      <c r="V298" s="31" t="n">
        <v>27500</v>
      </c>
      <c r="W298" s="36" t="n">
        <v>-0.3741610738255033</v>
      </c>
      <c r="X298" s="36" t="n">
        <v>0.3563636363636364</v>
      </c>
      <c r="Y298" s="31" t="n">
        <v>76211850</v>
      </c>
      <c r="Z298" s="31" t="n">
        <v>2842702005000</v>
      </c>
      <c r="AA298" s="31" t="n">
        <v>38617063000</v>
      </c>
      <c r="AB298" s="31" t="n">
        <v>30144404390</v>
      </c>
      <c r="AC298" s="36" t="n">
        <v>0.01358463283596973</v>
      </c>
      <c r="AD298" s="29" t="inlineStr">
        <is>
          <t>yfinance_download</t>
        </is>
      </c>
      <c r="AE298" s="29" t="inlineStr">
        <is>
          <t>058470.KQ</t>
        </is>
      </c>
    </row>
    <row r="299" ht="24" customHeight="1">
      <c r="A299" s="24" t="inlineStr">
        <is>
          <t>2024-08-07</t>
        </is>
      </c>
      <c r="B299" s="30" t="n">
        <v>37980</v>
      </c>
      <c r="C299" s="30" t="n">
        <v>40600</v>
      </c>
      <c r="D299" s="30" t="n">
        <v>37780</v>
      </c>
      <c r="E299" s="30" t="n">
        <v>39400</v>
      </c>
      <c r="F299" s="30" t="n">
        <v>34582.02734375</v>
      </c>
      <c r="G299" s="30" t="n">
        <v>948840</v>
      </c>
      <c r="H299" s="35" t="n">
        <v>0.05630026809651478</v>
      </c>
      <c r="I299" s="35" t="n">
        <v>-0.3389261744966443</v>
      </c>
      <c r="J299" s="30" t="n">
        <v>42240</v>
      </c>
      <c r="K299" s="30" t="n">
        <v>48176.66666666666</v>
      </c>
      <c r="L299" s="30" t="n">
        <v>48620.33333333334</v>
      </c>
      <c r="M299" s="35" t="n">
        <v>0.7059179321618098</v>
      </c>
      <c r="N299" s="35" t="n">
        <v>0.5249027754827761</v>
      </c>
      <c r="O299" s="35" t="n">
        <v>-0.1842650103519669</v>
      </c>
      <c r="P299" s="35" t="n">
        <v>-0.3230240549828178</v>
      </c>
      <c r="Q299" s="35" t="n">
        <v>-0.1004566210045662</v>
      </c>
      <c r="R299" s="35" t="n">
        <v>-0.06723484848484851</v>
      </c>
      <c r="S299" s="35" t="n">
        <v>-0.1821767107174981</v>
      </c>
      <c r="T299" s="35" t="n">
        <v>-0.1896394512583899</v>
      </c>
      <c r="U299" s="30" t="n">
        <v>59600</v>
      </c>
      <c r="V299" s="30" t="n">
        <v>27500</v>
      </c>
      <c r="W299" s="35" t="n">
        <v>-0.3389261744966443</v>
      </c>
      <c r="X299" s="35" t="n">
        <v>0.4327272727272726</v>
      </c>
      <c r="Y299" s="30" t="n">
        <v>76211850</v>
      </c>
      <c r="Z299" s="30" t="n">
        <v>3002746890000</v>
      </c>
      <c r="AA299" s="30" t="n">
        <v>37384296000</v>
      </c>
      <c r="AB299" s="30" t="n">
        <v>29890242515</v>
      </c>
      <c r="AC299" s="35" t="n">
        <v>0.01245003237685478</v>
      </c>
      <c r="AD299" s="24" t="inlineStr">
        <is>
          <t>yfinance_download</t>
        </is>
      </c>
      <c r="AE299" s="24" t="inlineStr">
        <is>
          <t>058470.KQ</t>
        </is>
      </c>
    </row>
    <row r="300" ht="24" customHeight="1">
      <c r="A300" s="29" t="inlineStr">
        <is>
          <t>2024-08-08</t>
        </is>
      </c>
      <c r="B300" s="31" t="n">
        <v>38980</v>
      </c>
      <c r="C300" s="31" t="n">
        <v>41100</v>
      </c>
      <c r="D300" s="31" t="n">
        <v>38360</v>
      </c>
      <c r="E300" s="31" t="n">
        <v>38480</v>
      </c>
      <c r="F300" s="31" t="n">
        <v>33774.52734375</v>
      </c>
      <c r="G300" s="31" t="n">
        <v>920385</v>
      </c>
      <c r="H300" s="36" t="n">
        <v>-0.02335025380710665</v>
      </c>
      <c r="I300" s="36" t="n">
        <v>-0.3543624161073825</v>
      </c>
      <c r="J300" s="31" t="n">
        <v>41724</v>
      </c>
      <c r="K300" s="31" t="n">
        <v>47853</v>
      </c>
      <c r="L300" s="31" t="n">
        <v>48578.5</v>
      </c>
      <c r="M300" s="36" t="n">
        <v>0.7036785820884848</v>
      </c>
      <c r="N300" s="36" t="n">
        <v>0.5261096292712852</v>
      </c>
      <c r="O300" s="36" t="n">
        <v>-0.2114754098360656</v>
      </c>
      <c r="P300" s="36" t="n">
        <v>-0.335405872193437</v>
      </c>
      <c r="Q300" s="36" t="n">
        <v>-0.1154022988505747</v>
      </c>
      <c r="R300" s="36" t="n">
        <v>-0.07774901735212347</v>
      </c>
      <c r="S300" s="36" t="n">
        <v>-0.1958706873132301</v>
      </c>
      <c r="T300" s="36" t="n">
        <v>-0.2078800292310384</v>
      </c>
      <c r="U300" s="31" t="n">
        <v>59600</v>
      </c>
      <c r="V300" s="31" t="n">
        <v>27500</v>
      </c>
      <c r="W300" s="36" t="n">
        <v>-0.3543624161073825</v>
      </c>
      <c r="X300" s="36" t="n">
        <v>0.3992727272727272</v>
      </c>
      <c r="Y300" s="31" t="n">
        <v>76211850</v>
      </c>
      <c r="Z300" s="31" t="n">
        <v>2932631988000</v>
      </c>
      <c r="AA300" s="31" t="n">
        <v>35416414800</v>
      </c>
      <c r="AB300" s="31" t="n">
        <v>29562712055</v>
      </c>
      <c r="AC300" s="36" t="n">
        <v>0.01207666524300355</v>
      </c>
      <c r="AD300" s="29" t="inlineStr">
        <is>
          <t>yfinance_download</t>
        </is>
      </c>
      <c r="AE300" s="29" t="inlineStr">
        <is>
          <t>058470.KQ</t>
        </is>
      </c>
    </row>
    <row r="301" ht="24" customHeight="1">
      <c r="A301" s="24" t="inlineStr">
        <is>
          <t>2024-08-09</t>
        </is>
      </c>
      <c r="B301" s="30" t="n">
        <v>40800</v>
      </c>
      <c r="C301" s="30" t="n">
        <v>42200</v>
      </c>
      <c r="D301" s="30" t="n">
        <v>39160</v>
      </c>
      <c r="E301" s="30" t="n">
        <v>39160</v>
      </c>
      <c r="F301" s="30" t="n">
        <v>34371.37890625</v>
      </c>
      <c r="G301" s="30" t="n">
        <v>793800</v>
      </c>
      <c r="H301" s="35" t="n">
        <v>0.01767151767151764</v>
      </c>
      <c r="I301" s="35" t="n">
        <v>-0.3429530201342282</v>
      </c>
      <c r="J301" s="30" t="n">
        <v>41242</v>
      </c>
      <c r="K301" s="30" t="n">
        <v>47610.66666666666</v>
      </c>
      <c r="L301" s="30" t="n">
        <v>48542.33333333334</v>
      </c>
      <c r="M301" s="35" t="n">
        <v>0.7100668515546756</v>
      </c>
      <c r="N301" s="35" t="n">
        <v>0.50978692882689</v>
      </c>
      <c r="O301" s="35" t="n">
        <v>-0.1975409836065574</v>
      </c>
      <c r="P301" s="35" t="n">
        <v>-0.2707635009310987</v>
      </c>
      <c r="Q301" s="35" t="n">
        <v>-0.09977011494252874</v>
      </c>
      <c r="R301" s="35" t="n">
        <v>-0.05048251782163815</v>
      </c>
      <c r="S301" s="35" t="n">
        <v>-0.1774952391620925</v>
      </c>
      <c r="T301" s="35" t="n">
        <v>-0.1932814656622742</v>
      </c>
      <c r="U301" s="30" t="n">
        <v>59600</v>
      </c>
      <c r="V301" s="30" t="n">
        <v>27500</v>
      </c>
      <c r="W301" s="35" t="n">
        <v>-0.3429530201342282</v>
      </c>
      <c r="X301" s="35" t="n">
        <v>0.4239999999999999</v>
      </c>
      <c r="Y301" s="30" t="n">
        <v>76211850</v>
      </c>
      <c r="Z301" s="30" t="n">
        <v>2984456046000</v>
      </c>
      <c r="AA301" s="30" t="n">
        <v>31085208000</v>
      </c>
      <c r="AB301" s="30" t="n">
        <v>29551871055</v>
      </c>
      <c r="AC301" s="35" t="n">
        <v>0.0104157030697982</v>
      </c>
      <c r="AD301" s="24" t="inlineStr">
        <is>
          <t>yfinance_download</t>
        </is>
      </c>
      <c r="AE301" s="24" t="inlineStr">
        <is>
          <t>058470.KQ</t>
        </is>
      </c>
    </row>
    <row r="302" ht="24" customHeight="1">
      <c r="A302" s="29" t="inlineStr">
        <is>
          <t>2024-08-12</t>
        </is>
      </c>
      <c r="B302" s="31" t="n">
        <v>39440</v>
      </c>
      <c r="C302" s="31" t="n">
        <v>41700</v>
      </c>
      <c r="D302" s="31" t="n">
        <v>39400</v>
      </c>
      <c r="E302" s="31" t="n">
        <v>40600</v>
      </c>
      <c r="F302" s="31" t="n">
        <v>35635.2890625</v>
      </c>
      <c r="G302" s="31" t="n">
        <v>602230</v>
      </c>
      <c r="H302" s="36" t="n">
        <v>0.03677221654749752</v>
      </c>
      <c r="I302" s="36" t="n">
        <v>-0.3187919463087249</v>
      </c>
      <c r="J302" s="31" t="n">
        <v>40867</v>
      </c>
      <c r="K302" s="31" t="n">
        <v>47400.66666666666</v>
      </c>
      <c r="L302" s="31" t="n">
        <v>48531.5</v>
      </c>
      <c r="M302" s="36" t="n">
        <v>0.7288428848947959</v>
      </c>
      <c r="N302" s="36" t="n">
        <v>0.5167230414538149</v>
      </c>
      <c r="O302" s="36" t="n">
        <v>-0.1559251559251559</v>
      </c>
      <c r="P302" s="36" t="n">
        <v>-0.2368421052631579</v>
      </c>
      <c r="Q302" s="36" t="n">
        <v>-0.03102625298329353</v>
      </c>
      <c r="R302" s="36" t="n">
        <v>-0.006533388797807516</v>
      </c>
      <c r="S302" s="36" t="n">
        <v>-0.1434719624196565</v>
      </c>
      <c r="T302" s="36" t="n">
        <v>-0.1634299372572453</v>
      </c>
      <c r="U302" s="31" t="n">
        <v>59600</v>
      </c>
      <c r="V302" s="31" t="n">
        <v>27500</v>
      </c>
      <c r="W302" s="36" t="n">
        <v>-0.3187919463087249</v>
      </c>
      <c r="X302" s="36" t="n">
        <v>0.4763636363636363</v>
      </c>
      <c r="Y302" s="31" t="n">
        <v>76211850</v>
      </c>
      <c r="Z302" s="31" t="n">
        <v>3094201110000</v>
      </c>
      <c r="AA302" s="31" t="n">
        <v>24450538000</v>
      </c>
      <c r="AB302" s="31" t="n">
        <v>29972318430</v>
      </c>
      <c r="AC302" s="36" t="n">
        <v>0.007902051977481192</v>
      </c>
      <c r="AD302" s="29" t="inlineStr">
        <is>
          <t>yfinance_download</t>
        </is>
      </c>
      <c r="AE302" s="29" t="inlineStr">
        <is>
          <t>058470.KQ</t>
        </is>
      </c>
    </row>
    <row r="303" ht="24" customHeight="1">
      <c r="A303" s="24" t="inlineStr">
        <is>
          <t>2024-08-13</t>
        </is>
      </c>
      <c r="B303" s="30" t="n">
        <v>40800</v>
      </c>
      <c r="C303" s="30" t="n">
        <v>41600</v>
      </c>
      <c r="D303" s="30" t="n">
        <v>39860</v>
      </c>
      <c r="E303" s="30" t="n">
        <v>41100</v>
      </c>
      <c r="F303" s="30" t="n">
        <v>36074.14453125</v>
      </c>
      <c r="G303" s="30" t="n">
        <v>416410</v>
      </c>
      <c r="H303" s="35" t="n">
        <v>0.01231527093596063</v>
      </c>
      <c r="I303" s="35" t="n">
        <v>-0.3104026845637584</v>
      </c>
      <c r="J303" s="30" t="n">
        <v>40487</v>
      </c>
      <c r="K303" s="30" t="n">
        <v>47190.66666666666</v>
      </c>
      <c r="L303" s="30" t="n">
        <v>48526.5</v>
      </c>
      <c r="M303" s="35" t="n">
        <v>0.7287855944372312</v>
      </c>
      <c r="N303" s="35" t="n">
        <v>0.5170798538265967</v>
      </c>
      <c r="O303" s="35" t="n">
        <v>-0.1560574948665298</v>
      </c>
      <c r="P303" s="35" t="n">
        <v>-0.2346368715083799</v>
      </c>
      <c r="Q303" s="35" t="n">
        <v>-0.01438848920863312</v>
      </c>
      <c r="R303" s="35" t="n">
        <v>0.01514066243485557</v>
      </c>
      <c r="S303" s="35" t="n">
        <v>-0.1290650693639985</v>
      </c>
      <c r="T303" s="35" t="n">
        <v>-0.1530400914963989</v>
      </c>
      <c r="U303" s="30" t="n">
        <v>59600</v>
      </c>
      <c r="V303" s="30" t="n">
        <v>27500</v>
      </c>
      <c r="W303" s="35" t="n">
        <v>-0.3104026845637584</v>
      </c>
      <c r="X303" s="35" t="n">
        <v>0.4945454545454546</v>
      </c>
      <c r="Y303" s="30" t="n">
        <v>76211850</v>
      </c>
      <c r="Z303" s="30" t="n">
        <v>3132307035000</v>
      </c>
      <c r="AA303" s="30" t="n">
        <v>17114451000</v>
      </c>
      <c r="AB303" s="30" t="n">
        <v>29513055755</v>
      </c>
      <c r="AC303" s="35" t="n">
        <v>0.005463848469758968</v>
      </c>
      <c r="AD303" s="24" t="inlineStr">
        <is>
          <t>yfinance_download</t>
        </is>
      </c>
      <c r="AE303" s="24" t="inlineStr">
        <is>
          <t>058470.KQ</t>
        </is>
      </c>
    </row>
    <row r="304" ht="24" customHeight="1">
      <c r="A304" s="29" t="inlineStr">
        <is>
          <t>2024-08-14</t>
        </is>
      </c>
      <c r="B304" s="31" t="n">
        <v>42500</v>
      </c>
      <c r="C304" s="31" t="n">
        <v>43000</v>
      </c>
      <c r="D304" s="31" t="n">
        <v>41600</v>
      </c>
      <c r="E304" s="31" t="n">
        <v>42300</v>
      </c>
      <c r="F304" s="31" t="n">
        <v>37127.40625</v>
      </c>
      <c r="G304" s="31" t="n">
        <v>623935</v>
      </c>
      <c r="H304" s="36" t="n">
        <v>0.02919708029197077</v>
      </c>
      <c r="I304" s="36" t="n">
        <v>-0.290268456375839</v>
      </c>
      <c r="J304" s="31" t="n">
        <v>40332</v>
      </c>
      <c r="K304" s="31" t="n">
        <v>46985.66666666666</v>
      </c>
      <c r="L304" s="31" t="n">
        <v>48534</v>
      </c>
      <c r="M304" s="36" t="n">
        <v>0.7031634278809328</v>
      </c>
      <c r="N304" s="36" t="n">
        <v>0.5198256662641101</v>
      </c>
      <c r="O304" s="36" t="n">
        <v>-0.06828193832599116</v>
      </c>
      <c r="P304" s="36" t="n">
        <v>-0.2252747252747253</v>
      </c>
      <c r="Q304" s="36" t="n">
        <v>0.02173913043478271</v>
      </c>
      <c r="R304" s="36" t="n">
        <v>0.04879500148765259</v>
      </c>
      <c r="S304" s="36" t="n">
        <v>-0.09972544818632623</v>
      </c>
      <c r="T304" s="36" t="n">
        <v>-0.1284460378291506</v>
      </c>
      <c r="U304" s="31" t="n">
        <v>59600</v>
      </c>
      <c r="V304" s="31" t="n">
        <v>27500</v>
      </c>
      <c r="W304" s="36" t="n">
        <v>-0.290268456375839</v>
      </c>
      <c r="X304" s="36" t="n">
        <v>0.5381818181818181</v>
      </c>
      <c r="Y304" s="31" t="n">
        <v>76211850</v>
      </c>
      <c r="Z304" s="31" t="n">
        <v>3223761255000</v>
      </c>
      <c r="AA304" s="31" t="n">
        <v>26392450500</v>
      </c>
      <c r="AB304" s="31" t="n">
        <v>28955115880</v>
      </c>
      <c r="AC304" s="36" t="n">
        <v>0.008186850207677678</v>
      </c>
      <c r="AD304" s="29" t="inlineStr">
        <is>
          <t>yfinance_download</t>
        </is>
      </c>
      <c r="AE304" s="29" t="inlineStr">
        <is>
          <t>058470.KQ</t>
        </is>
      </c>
    </row>
    <row r="305" ht="24" customHeight="1">
      <c r="A305" s="24" t="inlineStr">
        <is>
          <t>2024-08-16</t>
        </is>
      </c>
      <c r="B305" s="30" t="n">
        <v>43900</v>
      </c>
      <c r="C305" s="30" t="n">
        <v>44500</v>
      </c>
      <c r="D305" s="30" t="n">
        <v>43300</v>
      </c>
      <c r="E305" s="30" t="n">
        <v>44400</v>
      </c>
      <c r="F305" s="30" t="n">
        <v>38970.609375</v>
      </c>
      <c r="G305" s="30" t="n">
        <v>672990</v>
      </c>
      <c r="H305" s="35" t="n">
        <v>0.04964539007092195</v>
      </c>
      <c r="I305" s="35" t="n">
        <v>-0.2550335570469798</v>
      </c>
      <c r="J305" s="30" t="n">
        <v>40282</v>
      </c>
      <c r="K305" s="30" t="n">
        <v>46809</v>
      </c>
      <c r="L305" s="30" t="n">
        <v>48563.16666666666</v>
      </c>
      <c r="M305" s="35" t="n">
        <v>0.7272609828682765</v>
      </c>
      <c r="N305" s="35" t="n">
        <v>0.530784741614896</v>
      </c>
      <c r="O305" s="35" t="n">
        <v>-0.02202643171806162</v>
      </c>
      <c r="P305" s="35" t="n">
        <v>-0.1927272727272727</v>
      </c>
      <c r="Q305" s="35" t="n">
        <v>0.08557457212713926</v>
      </c>
      <c r="R305" s="35" t="n">
        <v>0.1022292835509657</v>
      </c>
      <c r="S305" s="35" t="n">
        <v>-0.05146446196244314</v>
      </c>
      <c r="T305" s="35" t="n">
        <v>-0.08572683686882032</v>
      </c>
      <c r="U305" s="30" t="n">
        <v>59600</v>
      </c>
      <c r="V305" s="30" t="n">
        <v>27500</v>
      </c>
      <c r="W305" s="35" t="n">
        <v>-0.2550335570469798</v>
      </c>
      <c r="X305" s="35" t="n">
        <v>0.6145454545454545</v>
      </c>
      <c r="Y305" s="30" t="n">
        <v>76211850</v>
      </c>
      <c r="Z305" s="30" t="n">
        <v>3383806140000</v>
      </c>
      <c r="AA305" s="30" t="n">
        <v>29880756000</v>
      </c>
      <c r="AB305" s="30" t="n">
        <v>27860593230</v>
      </c>
      <c r="AC305" s="35" t="n">
        <v>0.008830516514164137</v>
      </c>
      <c r="AD305" s="24" t="inlineStr">
        <is>
          <t>yfinance_download</t>
        </is>
      </c>
      <c r="AE305" s="24" t="inlineStr">
        <is>
          <t>058470.KQ</t>
        </is>
      </c>
    </row>
    <row r="306" ht="24" customHeight="1">
      <c r="A306" s="29" t="inlineStr">
        <is>
          <t>2024-08-19</t>
        </is>
      </c>
      <c r="B306" s="31" t="n">
        <v>43900</v>
      </c>
      <c r="C306" s="31" t="n">
        <v>44100</v>
      </c>
      <c r="D306" s="31" t="n">
        <v>41800</v>
      </c>
      <c r="E306" s="31" t="n">
        <v>41900</v>
      </c>
      <c r="F306" s="31" t="n">
        <v>36776.3203125</v>
      </c>
      <c r="G306" s="31" t="n">
        <v>479115</v>
      </c>
      <c r="H306" s="36" t="n">
        <v>-0.05630630630630629</v>
      </c>
      <c r="I306" s="36" t="n">
        <v>-0.2969798657718121</v>
      </c>
      <c r="J306" s="31" t="n">
        <v>40182</v>
      </c>
      <c r="K306" s="31" t="n">
        <v>46612.33333333334</v>
      </c>
      <c r="L306" s="31" t="n">
        <v>48572.33333333334</v>
      </c>
      <c r="M306" s="36" t="n">
        <v>0.7456891563952665</v>
      </c>
      <c r="N306" s="36" t="n">
        <v>0.5403437520334343</v>
      </c>
      <c r="O306" s="36" t="n">
        <v>-0.04555808656036442</v>
      </c>
      <c r="P306" s="36" t="n">
        <v>-0.2197392923649907</v>
      </c>
      <c r="Q306" s="36" t="n">
        <v>0.02696078431372539</v>
      </c>
      <c r="R306" s="36" t="n">
        <v>0.04275546264496533</v>
      </c>
      <c r="S306" s="36" t="n">
        <v>-0.1010962763789269</v>
      </c>
      <c r="T306" s="36" t="n">
        <v>-0.1373690097929549</v>
      </c>
      <c r="U306" s="31" t="n">
        <v>59600</v>
      </c>
      <c r="V306" s="31" t="n">
        <v>27500</v>
      </c>
      <c r="W306" s="36" t="n">
        <v>-0.2969798657718121</v>
      </c>
      <c r="X306" s="36" t="n">
        <v>0.5236363636363637</v>
      </c>
      <c r="Y306" s="31" t="n">
        <v>76211850</v>
      </c>
      <c r="Z306" s="31" t="n">
        <v>3193276515000</v>
      </c>
      <c r="AA306" s="31" t="n">
        <v>20074918500</v>
      </c>
      <c r="AB306" s="31" t="n">
        <v>27779065305</v>
      </c>
      <c r="AC306" s="36" t="n">
        <v>0.006286620781413914</v>
      </c>
      <c r="AD306" s="29" t="inlineStr">
        <is>
          <t>yfinance_download</t>
        </is>
      </c>
      <c r="AE306" s="29" t="inlineStr">
        <is>
          <t>058470.KQ</t>
        </is>
      </c>
    </row>
    <row r="307" ht="24" customHeight="1">
      <c r="A307" s="24" t="inlineStr">
        <is>
          <t>2024-08-20</t>
        </is>
      </c>
      <c r="B307" s="30" t="n">
        <v>42800</v>
      </c>
      <c r="C307" s="30" t="n">
        <v>43100</v>
      </c>
      <c r="D307" s="30" t="n">
        <v>40900</v>
      </c>
      <c r="E307" s="30" t="n">
        <v>41000</v>
      </c>
      <c r="F307" s="30" t="n">
        <v>35986.375</v>
      </c>
      <c r="G307" s="30" t="n">
        <v>518050</v>
      </c>
      <c r="H307" s="35" t="n">
        <v>-0.02147971360381862</v>
      </c>
      <c r="I307" s="35" t="n">
        <v>-0.3120805369127517</v>
      </c>
      <c r="J307" s="30" t="n">
        <v>40112</v>
      </c>
      <c r="K307" s="30" t="n">
        <v>46422.33333333334</v>
      </c>
      <c r="L307" s="30" t="n">
        <v>48581.66666666666</v>
      </c>
      <c r="M307" s="35" t="n">
        <v>0.7396006684772164</v>
      </c>
      <c r="N307" s="35" t="n">
        <v>0.539927032210191</v>
      </c>
      <c r="O307" s="35" t="n">
        <v>-0.03301886792452835</v>
      </c>
      <c r="P307" s="35" t="n">
        <v>-0.2175572519083969</v>
      </c>
      <c r="Q307" s="35" t="n">
        <v>0.02808425275827475</v>
      </c>
      <c r="R307" s="35" t="n">
        <v>0.02213801356202638</v>
      </c>
      <c r="S307" s="35" t="n">
        <v>-0.1168044116696705</v>
      </c>
      <c r="T307" s="35" t="n">
        <v>-0.1560602422038492</v>
      </c>
      <c r="U307" s="30" t="n">
        <v>59600</v>
      </c>
      <c r="V307" s="30" t="n">
        <v>27500</v>
      </c>
      <c r="W307" s="35" t="n">
        <v>-0.3120805369127517</v>
      </c>
      <c r="X307" s="35" t="n">
        <v>0.490909090909091</v>
      </c>
      <c r="Y307" s="30" t="n">
        <v>76211850</v>
      </c>
      <c r="Z307" s="30" t="n">
        <v>3124685850000</v>
      </c>
      <c r="AA307" s="30" t="n">
        <v>21240050000</v>
      </c>
      <c r="AB307" s="30" t="n">
        <v>27008391405</v>
      </c>
      <c r="AC307" s="35" t="n">
        <v>0.006797499339013553</v>
      </c>
      <c r="AD307" s="24" t="inlineStr">
        <is>
          <t>yfinance_download</t>
        </is>
      </c>
      <c r="AE307" s="24" t="inlineStr">
        <is>
          <t>058470.KQ</t>
        </is>
      </c>
    </row>
    <row r="308" ht="24" customHeight="1">
      <c r="A308" s="29" t="inlineStr">
        <is>
          <t>2024-08-21</t>
        </is>
      </c>
      <c r="B308" s="31" t="n">
        <v>40200</v>
      </c>
      <c r="C308" s="31" t="n">
        <v>41200</v>
      </c>
      <c r="D308" s="31" t="n">
        <v>39980</v>
      </c>
      <c r="E308" s="31" t="n">
        <v>40600</v>
      </c>
      <c r="F308" s="31" t="n">
        <v>35635.2890625</v>
      </c>
      <c r="G308" s="31" t="n">
        <v>404505</v>
      </c>
      <c r="H308" s="36" t="n">
        <v>-0.009756097560975618</v>
      </c>
      <c r="I308" s="36" t="n">
        <v>-0.3187919463087249</v>
      </c>
      <c r="J308" s="31" t="n">
        <v>40052</v>
      </c>
      <c r="K308" s="31" t="n">
        <v>46170.66666666666</v>
      </c>
      <c r="L308" s="31" t="n">
        <v>48587</v>
      </c>
      <c r="M308" s="36" t="n">
        <v>0.7386998001731527</v>
      </c>
      <c r="N308" s="36" t="n">
        <v>0.5219487015838231</v>
      </c>
      <c r="O308" s="36" t="n">
        <v>-0.0287081339712919</v>
      </c>
      <c r="P308" s="36" t="n">
        <v>-0.2710951526032316</v>
      </c>
      <c r="Q308" s="36" t="n">
        <v>0.0160160160160161</v>
      </c>
      <c r="R308" s="36" t="n">
        <v>0.01368221312294016</v>
      </c>
      <c r="S308" s="36" t="n">
        <v>-0.1206538061684186</v>
      </c>
      <c r="T308" s="36" t="n">
        <v>-0.1643855352254718</v>
      </c>
      <c r="U308" s="31" t="n">
        <v>59600</v>
      </c>
      <c r="V308" s="31" t="n">
        <v>27500</v>
      </c>
      <c r="W308" s="36" t="n">
        <v>-0.3187919463087249</v>
      </c>
      <c r="X308" s="36" t="n">
        <v>0.4763636363636363</v>
      </c>
      <c r="Y308" s="31" t="n">
        <v>76211850</v>
      </c>
      <c r="Z308" s="31" t="n">
        <v>3094201110000</v>
      </c>
      <c r="AA308" s="31" t="n">
        <v>16422903000</v>
      </c>
      <c r="AB308" s="31" t="n">
        <v>26308246455</v>
      </c>
      <c r="AC308" s="36" t="n">
        <v>0.005307639166350115</v>
      </c>
      <c r="AD308" s="29" t="inlineStr">
        <is>
          <t>yfinance_download</t>
        </is>
      </c>
      <c r="AE308" s="29" t="inlineStr">
        <is>
          <t>058470.KQ</t>
        </is>
      </c>
    </row>
    <row r="309" ht="24" customHeight="1">
      <c r="A309" s="24" t="inlineStr">
        <is>
          <t>2024-08-22</t>
        </is>
      </c>
      <c r="B309" s="30" t="n">
        <v>40800</v>
      </c>
      <c r="C309" s="30" t="n">
        <v>40900</v>
      </c>
      <c r="D309" s="30" t="n">
        <v>39760</v>
      </c>
      <c r="E309" s="30" t="n">
        <v>40200</v>
      </c>
      <c r="F309" s="30" t="n">
        <v>35284.19921875</v>
      </c>
      <c r="G309" s="30" t="n">
        <v>424230</v>
      </c>
      <c r="H309" s="35" t="n">
        <v>-0.009852216748768461</v>
      </c>
      <c r="I309" s="35" t="n">
        <v>-0.325503355704698</v>
      </c>
      <c r="J309" s="30" t="n">
        <v>39942</v>
      </c>
      <c r="K309" s="30" t="n">
        <v>45920.66666666666</v>
      </c>
      <c r="L309" s="30" t="n">
        <v>48593.66666666666</v>
      </c>
      <c r="M309" s="35" t="n">
        <v>0.7372745667736277</v>
      </c>
      <c r="N309" s="35" t="n">
        <v>0.5219822685031849</v>
      </c>
      <c r="O309" s="35" t="n">
        <v>-0.05188679245283023</v>
      </c>
      <c r="P309" s="35" t="n">
        <v>-0.2717391304347826</v>
      </c>
      <c r="Q309" s="35" t="n">
        <v>0.02030456852791884</v>
      </c>
      <c r="R309" s="35" t="n">
        <v>0.006459366080817208</v>
      </c>
      <c r="S309" s="35" t="n">
        <v>-0.1245771693210028</v>
      </c>
      <c r="T309" s="35" t="n">
        <v>-0.1727317002901613</v>
      </c>
      <c r="U309" s="30" t="n">
        <v>59600</v>
      </c>
      <c r="V309" s="30" t="n">
        <v>27500</v>
      </c>
      <c r="W309" s="35" t="n">
        <v>-0.325503355704698</v>
      </c>
      <c r="X309" s="35" t="n">
        <v>0.4618181818181819</v>
      </c>
      <c r="Y309" s="30" t="n">
        <v>76211850</v>
      </c>
      <c r="Z309" s="30" t="n">
        <v>3063716370000</v>
      </c>
      <c r="AA309" s="30" t="n">
        <v>17054046000</v>
      </c>
      <c r="AB309" s="30" t="n">
        <v>25654264755</v>
      </c>
      <c r="AC309" s="35" t="n">
        <v>0.005566457184807874</v>
      </c>
      <c r="AD309" s="24" t="inlineStr">
        <is>
          <t>yfinance_download</t>
        </is>
      </c>
      <c r="AE309" s="24" t="inlineStr">
        <is>
          <t>058470.KQ</t>
        </is>
      </c>
    </row>
    <row r="310" ht="24" customHeight="1">
      <c r="A310" s="29" t="inlineStr">
        <is>
          <t>2024-08-23</t>
        </is>
      </c>
      <c r="B310" s="31" t="n">
        <v>39240</v>
      </c>
      <c r="C310" s="31" t="n">
        <v>41100</v>
      </c>
      <c r="D310" s="31" t="n">
        <v>39240</v>
      </c>
      <c r="E310" s="31" t="n">
        <v>40400</v>
      </c>
      <c r="F310" s="31" t="n">
        <v>35459.74609375</v>
      </c>
      <c r="G310" s="31" t="n">
        <v>288775</v>
      </c>
      <c r="H310" s="36" t="n">
        <v>0.004975124378109541</v>
      </c>
      <c r="I310" s="36" t="n">
        <v>-0.3221476510067114</v>
      </c>
      <c r="J310" s="31" t="n">
        <v>39927</v>
      </c>
      <c r="K310" s="31" t="n">
        <v>45685.66666666666</v>
      </c>
      <c r="L310" s="31" t="n">
        <v>48589.5</v>
      </c>
      <c r="M310" s="36" t="n">
        <v>0.7233138253497777</v>
      </c>
      <c r="N310" s="36" t="n">
        <v>0.5220886577300003</v>
      </c>
      <c r="O310" s="36" t="n">
        <v>-0.007371007371007376</v>
      </c>
      <c r="P310" s="36" t="n">
        <v>-0.2587155963302752</v>
      </c>
      <c r="Q310" s="36" t="n">
        <v>-0.01222493887530562</v>
      </c>
      <c r="R310" s="36" t="n">
        <v>0.01184662008164894</v>
      </c>
      <c r="S310" s="36" t="n">
        <v>-0.1156963890935887</v>
      </c>
      <c r="T310" s="36" t="n">
        <v>-0.1685446444190617</v>
      </c>
      <c r="U310" s="31" t="n">
        <v>59600</v>
      </c>
      <c r="V310" s="31" t="n">
        <v>27500</v>
      </c>
      <c r="W310" s="36" t="n">
        <v>-0.3221476510067114</v>
      </c>
      <c r="X310" s="36" t="n">
        <v>0.469090909090909</v>
      </c>
      <c r="Y310" s="31" t="n">
        <v>76211850</v>
      </c>
      <c r="Z310" s="31" t="n">
        <v>3078958740000</v>
      </c>
      <c r="AA310" s="31" t="n">
        <v>11666510000</v>
      </c>
      <c r="AB310" s="31" t="n">
        <v>25189605955</v>
      </c>
      <c r="AC310" s="36" t="n">
        <v>0.003789108911540659</v>
      </c>
      <c r="AD310" s="29" t="inlineStr">
        <is>
          <t>yfinance_download</t>
        </is>
      </c>
      <c r="AE310" s="29" t="inlineStr">
        <is>
          <t>058470.KQ</t>
        </is>
      </c>
    </row>
    <row r="311" ht="24" customHeight="1">
      <c r="A311" s="24" t="inlineStr">
        <is>
          <t>2024-08-26</t>
        </is>
      </c>
      <c r="B311" s="30" t="n">
        <v>41100</v>
      </c>
      <c r="C311" s="30" t="n">
        <v>41200</v>
      </c>
      <c r="D311" s="30" t="n">
        <v>38860</v>
      </c>
      <c r="E311" s="30" t="n">
        <v>38920</v>
      </c>
      <c r="F311" s="30" t="n">
        <v>34160.72265625</v>
      </c>
      <c r="G311" s="30" t="n">
        <v>476275</v>
      </c>
      <c r="H311" s="35" t="n">
        <v>-0.03663366336633667</v>
      </c>
      <c r="I311" s="35" t="n">
        <v>-0.3469798657718121</v>
      </c>
      <c r="J311" s="30" t="n">
        <v>39868</v>
      </c>
      <c r="K311" s="30" t="n">
        <v>45447.66666666666</v>
      </c>
      <c r="L311" s="30" t="n">
        <v>48567.16666666666</v>
      </c>
      <c r="M311" s="35" t="n">
        <v>0.7335829714849281</v>
      </c>
      <c r="N311" s="35" t="n">
        <v>0.5247683140737405</v>
      </c>
      <c r="O311" s="35" t="n">
        <v>-0.02942643391521194</v>
      </c>
      <c r="P311" s="35" t="n">
        <v>-0.2684210526315789</v>
      </c>
      <c r="Q311" s="35" t="n">
        <v>-0.06442307692307692</v>
      </c>
      <c r="R311" s="35" t="n">
        <v>-0.02377846894752689</v>
      </c>
      <c r="S311" s="35" t="n">
        <v>-0.1436304027342804</v>
      </c>
      <c r="T311" s="35" t="n">
        <v>-0.1986355665521631</v>
      </c>
      <c r="U311" s="30" t="n">
        <v>59600</v>
      </c>
      <c r="V311" s="30" t="n">
        <v>27500</v>
      </c>
      <c r="W311" s="35" t="n">
        <v>-0.3469798657718121</v>
      </c>
      <c r="X311" s="35" t="n">
        <v>0.4152727272727272</v>
      </c>
      <c r="Y311" s="30" t="n">
        <v>76211850</v>
      </c>
      <c r="Z311" s="30" t="n">
        <v>2966165202000</v>
      </c>
      <c r="AA311" s="30" t="n">
        <v>18536623000</v>
      </c>
      <c r="AB311" s="30" t="n">
        <v>25255921180</v>
      </c>
      <c r="AC311" s="35" t="n">
        <v>0.006249356235283621</v>
      </c>
      <c r="AD311" s="24" t="inlineStr">
        <is>
          <t>yfinance_download</t>
        </is>
      </c>
      <c r="AE311" s="24" t="inlineStr">
        <is>
          <t>058470.KQ</t>
        </is>
      </c>
    </row>
    <row r="312" ht="24" customHeight="1">
      <c r="A312" s="29" t="inlineStr">
        <is>
          <t>2024-08-27</t>
        </is>
      </c>
      <c r="B312" s="31" t="n">
        <v>38400</v>
      </c>
      <c r="C312" s="31" t="n">
        <v>38900</v>
      </c>
      <c r="D312" s="31" t="n">
        <v>38100</v>
      </c>
      <c r="E312" s="31" t="n">
        <v>38260</v>
      </c>
      <c r="F312" s="31" t="n">
        <v>33581.43359375</v>
      </c>
      <c r="G312" s="31" t="n">
        <v>431775</v>
      </c>
      <c r="H312" s="36" t="n">
        <v>-0.01695786228160334</v>
      </c>
      <c r="I312" s="36" t="n">
        <v>-0.3580536912751678</v>
      </c>
      <c r="J312" s="31" t="n">
        <v>39776</v>
      </c>
      <c r="K312" s="31" t="n">
        <v>45192</v>
      </c>
      <c r="L312" s="31" t="n">
        <v>48540.16666666666</v>
      </c>
      <c r="M312" s="36" t="n">
        <v>0.7359043888878724</v>
      </c>
      <c r="N312" s="36" t="n">
        <v>0.5247404643610977</v>
      </c>
      <c r="O312" s="36" t="n">
        <v>-0.04588528678304238</v>
      </c>
      <c r="P312" s="36" t="n">
        <v>-0.2861940298507463</v>
      </c>
      <c r="Q312" s="36" t="n">
        <v>-0.07807228915662645</v>
      </c>
      <c r="R312" s="36" t="n">
        <v>-0.03811343523732902</v>
      </c>
      <c r="S312" s="36" t="n">
        <v>-0.1533899805275269</v>
      </c>
      <c r="T312" s="36" t="n">
        <v>-0.2117868019955981</v>
      </c>
      <c r="U312" s="31" t="n">
        <v>59600</v>
      </c>
      <c r="V312" s="31" t="n">
        <v>27500</v>
      </c>
      <c r="W312" s="36" t="n">
        <v>-0.3580536912751678</v>
      </c>
      <c r="X312" s="36" t="n">
        <v>0.3912727272727272</v>
      </c>
      <c r="Y312" s="31" t="n">
        <v>76211850</v>
      </c>
      <c r="Z312" s="31" t="n">
        <v>2915865381000</v>
      </c>
      <c r="AA312" s="31" t="n">
        <v>16519711500</v>
      </c>
      <c r="AB312" s="31" t="n">
        <v>25202944830</v>
      </c>
      <c r="AC312" s="36" t="n">
        <v>0.005665457537115291</v>
      </c>
      <c r="AD312" s="29" t="inlineStr">
        <is>
          <t>yfinance_download</t>
        </is>
      </c>
      <c r="AE312" s="29" t="inlineStr">
        <is>
          <t>058470.KQ</t>
        </is>
      </c>
    </row>
    <row r="313" ht="24" customHeight="1">
      <c r="A313" s="24" t="inlineStr">
        <is>
          <t>2024-08-28</t>
        </is>
      </c>
      <c r="B313" s="30" t="n">
        <v>38300</v>
      </c>
      <c r="C313" s="30" t="n">
        <v>39880</v>
      </c>
      <c r="D313" s="30" t="n">
        <v>38200</v>
      </c>
      <c r="E313" s="30" t="n">
        <v>39880</v>
      </c>
      <c r="F313" s="30" t="n">
        <v>35003.33203125</v>
      </c>
      <c r="G313" s="30" t="n">
        <v>472790</v>
      </c>
      <c r="H313" s="35" t="n">
        <v>0.0423418714061683</v>
      </c>
      <c r="I313" s="35" t="n">
        <v>-0.3308724832214766</v>
      </c>
      <c r="J313" s="30" t="n">
        <v>39799</v>
      </c>
      <c r="K313" s="30" t="n">
        <v>44950</v>
      </c>
      <c r="L313" s="30" t="n">
        <v>48532.5</v>
      </c>
      <c r="M313" s="35" t="n">
        <v>0.7491751092652554</v>
      </c>
      <c r="N313" s="35" t="n">
        <v>0.5321568663102192</v>
      </c>
      <c r="O313" s="35" t="n">
        <v>0.01166920345002542</v>
      </c>
      <c r="P313" s="35" t="n">
        <v>-0.2669117647058824</v>
      </c>
      <c r="Q313" s="35" t="n">
        <v>-0.02254901960784317</v>
      </c>
      <c r="R313" s="35" t="n">
        <v>0.002035227015754204</v>
      </c>
      <c r="S313" s="35" t="n">
        <v>-0.1127919911012236</v>
      </c>
      <c r="T313" s="35" t="n">
        <v>-0.1782825941379488</v>
      </c>
      <c r="U313" s="30" t="n">
        <v>59600</v>
      </c>
      <c r="V313" s="30" t="n">
        <v>27500</v>
      </c>
      <c r="W313" s="35" t="n">
        <v>-0.3308724832214766</v>
      </c>
      <c r="X313" s="35" t="n">
        <v>0.4501818181818182</v>
      </c>
      <c r="Y313" s="30" t="n">
        <v>76211850</v>
      </c>
      <c r="Z313" s="30" t="n">
        <v>3039328578000</v>
      </c>
      <c r="AA313" s="30" t="n">
        <v>18854865200</v>
      </c>
      <c r="AB313" s="30" t="n">
        <v>25084738210</v>
      </c>
      <c r="AC313" s="35" t="n">
        <v>0.006203628438359652</v>
      </c>
      <c r="AD313" s="24" t="inlineStr">
        <is>
          <t>yfinance_download</t>
        </is>
      </c>
      <c r="AE313" s="24" t="inlineStr">
        <is>
          <t>058470.KQ</t>
        </is>
      </c>
    </row>
    <row r="314" ht="24" customHeight="1">
      <c r="A314" s="29" t="inlineStr">
        <is>
          <t>2024-08-29</t>
        </is>
      </c>
      <c r="B314" s="31" t="n">
        <v>38500</v>
      </c>
      <c r="C314" s="31" t="n">
        <v>39200</v>
      </c>
      <c r="D314" s="31" t="n">
        <v>37760</v>
      </c>
      <c r="E314" s="31" t="n">
        <v>38820</v>
      </c>
      <c r="F314" s="31" t="n">
        <v>34072.953125</v>
      </c>
      <c r="G314" s="31" t="n">
        <v>479685</v>
      </c>
      <c r="H314" s="36" t="n">
        <v>-0.026579739217653</v>
      </c>
      <c r="I314" s="36" t="n">
        <v>-0.3486577181208054</v>
      </c>
      <c r="J314" s="31" t="n">
        <v>39735</v>
      </c>
      <c r="K314" s="31" t="n">
        <v>44705.33333333334</v>
      </c>
      <c r="L314" s="31" t="n">
        <v>48511</v>
      </c>
      <c r="M314" s="36" t="n">
        <v>0.7532105712594923</v>
      </c>
      <c r="N314" s="36" t="n">
        <v>0.5335141318019667</v>
      </c>
      <c r="O314" s="36" t="n">
        <v>-0.03192019950124692</v>
      </c>
      <c r="P314" s="36" t="n">
        <v>-0.2743925233644859</v>
      </c>
      <c r="Q314" s="36" t="n">
        <v>-0.06231884057971016</v>
      </c>
      <c r="R314" s="36" t="n">
        <v>-0.02302755756889396</v>
      </c>
      <c r="S314" s="36" t="n">
        <v>-0.1316472307554655</v>
      </c>
      <c r="T314" s="36" t="n">
        <v>-0.1997691245284574</v>
      </c>
      <c r="U314" s="31" t="n">
        <v>59600</v>
      </c>
      <c r="V314" s="31" t="n">
        <v>27500</v>
      </c>
      <c r="W314" s="36" t="n">
        <v>-0.3486577181208054</v>
      </c>
      <c r="X314" s="36" t="n">
        <v>0.4116363636363636</v>
      </c>
      <c r="Y314" s="31" t="n">
        <v>76211850</v>
      </c>
      <c r="Z314" s="31" t="n">
        <v>2958544017000</v>
      </c>
      <c r="AA314" s="31" t="n">
        <v>18621371700</v>
      </c>
      <c r="AB314" s="31" t="n">
        <v>24953056545</v>
      </c>
      <c r="AC314" s="36" t="n">
        <v>0.006294099933278093</v>
      </c>
      <c r="AD314" s="29" t="inlineStr">
        <is>
          <t>yfinance_download</t>
        </is>
      </c>
      <c r="AE314" s="29" t="inlineStr">
        <is>
          <t>058470.KQ</t>
        </is>
      </c>
    </row>
    <row r="315" ht="24" customHeight="1">
      <c r="A315" s="24" t="inlineStr">
        <is>
          <t>2024-08-30</t>
        </is>
      </c>
      <c r="B315" s="30" t="n">
        <v>38880</v>
      </c>
      <c r="C315" s="30" t="n">
        <v>39480</v>
      </c>
      <c r="D315" s="30" t="n">
        <v>38300</v>
      </c>
      <c r="E315" s="30" t="n">
        <v>39140</v>
      </c>
      <c r="F315" s="30" t="n">
        <v>34353.82421875</v>
      </c>
      <c r="G315" s="30" t="n">
        <v>416995</v>
      </c>
      <c r="H315" s="35" t="n">
        <v>0.008243173621844457</v>
      </c>
      <c r="I315" s="35" t="n">
        <v>-0.3432885906040268</v>
      </c>
      <c r="J315" s="30" t="n">
        <v>39677</v>
      </c>
      <c r="K315" s="30" t="n">
        <v>44472.66666666666</v>
      </c>
      <c r="L315" s="30" t="n">
        <v>48495.5</v>
      </c>
      <c r="M315" s="35" t="n">
        <v>0.7536163351447526</v>
      </c>
      <c r="N315" s="35" t="n">
        <v>0.5341462599624928</v>
      </c>
      <c r="O315" s="35" t="n">
        <v>-0.02878411910669976</v>
      </c>
      <c r="P315" s="35" t="n">
        <v>-0.2629001883239171</v>
      </c>
      <c r="Q315" s="35" t="n">
        <v>-0.04536585365853663</v>
      </c>
      <c r="R315" s="35" t="n">
        <v>-0.01353428938679835</v>
      </c>
      <c r="S315" s="35" t="n">
        <v>-0.1199088578752492</v>
      </c>
      <c r="T315" s="35" t="n">
        <v>-0.1929148065284407</v>
      </c>
      <c r="U315" s="30" t="n">
        <v>59600</v>
      </c>
      <c r="V315" s="30" t="n">
        <v>27500</v>
      </c>
      <c r="W315" s="35" t="n">
        <v>-0.3432885906040268</v>
      </c>
      <c r="X315" s="35" t="n">
        <v>0.4232727272727272</v>
      </c>
      <c r="Y315" s="30" t="n">
        <v>76211850</v>
      </c>
      <c r="Z315" s="30" t="n">
        <v>2982931809000</v>
      </c>
      <c r="AA315" s="30" t="n">
        <v>16321184300</v>
      </c>
      <c r="AB315" s="30" t="n">
        <v>24686184235</v>
      </c>
      <c r="AC315" s="35" t="n">
        <v>0.005471524441409046</v>
      </c>
      <c r="AD315" s="24" t="inlineStr">
        <is>
          <t>yfinance_download</t>
        </is>
      </c>
      <c r="AE315" s="24" t="inlineStr">
        <is>
          <t>058470.KQ</t>
        </is>
      </c>
    </row>
    <row r="316" ht="24" customHeight="1">
      <c r="A316" s="29" t="inlineStr">
        <is>
          <t>2024-09-02</t>
        </is>
      </c>
      <c r="B316" s="31" t="n">
        <v>39100</v>
      </c>
      <c r="C316" s="31" t="n">
        <v>39460</v>
      </c>
      <c r="D316" s="31" t="n">
        <v>38440</v>
      </c>
      <c r="E316" s="31" t="n">
        <v>38800</v>
      </c>
      <c r="F316" s="31" t="n">
        <v>34055.3984375</v>
      </c>
      <c r="G316" s="31" t="n">
        <v>266450</v>
      </c>
      <c r="H316" s="36" t="n">
        <v>-0.008686765457332601</v>
      </c>
      <c r="I316" s="36" t="n">
        <v>-0.3489932885906041</v>
      </c>
      <c r="J316" s="31" t="n">
        <v>39723</v>
      </c>
      <c r="K316" s="31" t="n">
        <v>44231</v>
      </c>
      <c r="L316" s="31" t="n">
        <v>48459.66666666666</v>
      </c>
      <c r="M316" s="36" t="n">
        <v>0.7210301471277977</v>
      </c>
      <c r="N316" s="36" t="n">
        <v>0.5339315976540353</v>
      </c>
      <c r="O316" s="36" t="n">
        <v>0.02428722280887019</v>
      </c>
      <c r="P316" s="36" t="n">
        <v>-0.2720450281425891</v>
      </c>
      <c r="Q316" s="36" t="n">
        <v>-0.09976798143851506</v>
      </c>
      <c r="R316" s="36" t="n">
        <v>-0.02323590866752256</v>
      </c>
      <c r="S316" s="36" t="n">
        <v>-0.1227871854581628</v>
      </c>
      <c r="T316" s="36" t="n">
        <v>-0.1993341541763253</v>
      </c>
      <c r="U316" s="31" t="n">
        <v>59600</v>
      </c>
      <c r="V316" s="31" t="n">
        <v>27500</v>
      </c>
      <c r="W316" s="36" t="n">
        <v>-0.3489932885906041</v>
      </c>
      <c r="X316" s="36" t="n">
        <v>0.4109090909090909</v>
      </c>
      <c r="Y316" s="31" t="n">
        <v>76211850</v>
      </c>
      <c r="Z316" s="31" t="n">
        <v>2957019780000</v>
      </c>
      <c r="AA316" s="31" t="n">
        <v>10338260000</v>
      </c>
      <c r="AB316" s="31" t="n">
        <v>23244956925</v>
      </c>
      <c r="AC316" s="36" t="n">
        <v>0.003496175463526997</v>
      </c>
      <c r="AD316" s="29" t="inlineStr">
        <is>
          <t>yfinance_download</t>
        </is>
      </c>
      <c r="AE316" s="29" t="inlineStr">
        <is>
          <t>058470.KQ</t>
        </is>
      </c>
    </row>
    <row r="317" ht="24" customHeight="1">
      <c r="A317" s="24" t="inlineStr">
        <is>
          <t>2024-09-03</t>
        </is>
      </c>
      <c r="B317" s="30" t="n">
        <v>38600</v>
      </c>
      <c r="C317" s="30" t="n">
        <v>38640</v>
      </c>
      <c r="D317" s="30" t="n">
        <v>37060</v>
      </c>
      <c r="E317" s="30" t="n">
        <v>37600</v>
      </c>
      <c r="F317" s="30" t="n">
        <v>33002.13671875</v>
      </c>
      <c r="G317" s="30" t="n">
        <v>495295</v>
      </c>
      <c r="H317" s="35" t="n">
        <v>-0.03092783505154639</v>
      </c>
      <c r="I317" s="35" t="n">
        <v>-0.3691275167785235</v>
      </c>
      <c r="J317" s="30" t="n">
        <v>39913</v>
      </c>
      <c r="K317" s="30" t="n">
        <v>43942.66666666666</v>
      </c>
      <c r="L317" s="30" t="n">
        <v>48368.83333333334</v>
      </c>
      <c r="M317" s="35" t="n">
        <v>0.6085586465272249</v>
      </c>
      <c r="N317" s="35" t="n">
        <v>0.5315996985689527</v>
      </c>
      <c r="O317" s="35" t="n">
        <v>0.1124260355029585</v>
      </c>
      <c r="P317" s="35" t="n">
        <v>-0.3151183970856102</v>
      </c>
      <c r="Q317" s="35" t="n">
        <v>-0.2247422680412371</v>
      </c>
      <c r="R317" s="35" t="n">
        <v>-0.0579510435196553</v>
      </c>
      <c r="S317" s="35" t="n">
        <v>-0.1443395940164456</v>
      </c>
      <c r="T317" s="35" t="n">
        <v>-0.2226399230909711</v>
      </c>
      <c r="U317" s="30" t="n">
        <v>59600</v>
      </c>
      <c r="V317" s="30" t="n">
        <v>27500</v>
      </c>
      <c r="W317" s="35" t="n">
        <v>-0.3691275167785235</v>
      </c>
      <c r="X317" s="35" t="n">
        <v>0.3672727272727272</v>
      </c>
      <c r="Y317" s="30" t="n">
        <v>76211850</v>
      </c>
      <c r="Z317" s="30" t="n">
        <v>2865565560000</v>
      </c>
      <c r="AA317" s="30" t="n">
        <v>18623092000</v>
      </c>
      <c r="AB317" s="30" t="n">
        <v>22230735625</v>
      </c>
      <c r="AC317" s="35" t="n">
        <v>0.006498923723804106</v>
      </c>
      <c r="AD317" s="24" t="inlineStr">
        <is>
          <t>yfinance_download</t>
        </is>
      </c>
      <c r="AE317" s="24" t="inlineStr">
        <is>
          <t>058470.KQ</t>
        </is>
      </c>
    </row>
    <row r="318" ht="24" customHeight="1">
      <c r="A318" s="29" t="inlineStr">
        <is>
          <t>2024-09-04</t>
        </is>
      </c>
      <c r="B318" s="31" t="n">
        <v>36060</v>
      </c>
      <c r="C318" s="31" t="n">
        <v>36960</v>
      </c>
      <c r="D318" s="31" t="n">
        <v>36040</v>
      </c>
      <c r="E318" s="31" t="n">
        <v>36260</v>
      </c>
      <c r="F318" s="31" t="n">
        <v>31826</v>
      </c>
      <c r="G318" s="31" t="n">
        <v>529915</v>
      </c>
      <c r="H318" s="36" t="n">
        <v>-0.03563829787234041</v>
      </c>
      <c r="I318" s="36" t="n">
        <v>-0.3916107382550336</v>
      </c>
      <c r="J318" s="31" t="n">
        <v>39861</v>
      </c>
      <c r="K318" s="31" t="n">
        <v>43680.33333333334</v>
      </c>
      <c r="L318" s="31" t="n">
        <v>48268.5</v>
      </c>
      <c r="M318" s="36" t="n">
        <v>0.5043479536971746</v>
      </c>
      <c r="N318" s="36" t="n">
        <v>0.5262375818100726</v>
      </c>
      <c r="O318" s="36" t="n">
        <v>-0.02788203753351204</v>
      </c>
      <c r="P318" s="36" t="n">
        <v>-0.3026923076923077</v>
      </c>
      <c r="Q318" s="36" t="n">
        <v>-0.2492753623188406</v>
      </c>
      <c r="R318" s="36" t="n">
        <v>-0.09033892777401475</v>
      </c>
      <c r="S318" s="36" t="n">
        <v>-0.1698781297456522</v>
      </c>
      <c r="T318" s="36" t="n">
        <v>-0.2487854397795664</v>
      </c>
      <c r="U318" s="31" t="n">
        <v>59600</v>
      </c>
      <c r="V318" s="31" t="n">
        <v>27500</v>
      </c>
      <c r="W318" s="36" t="n">
        <v>-0.3916107382550336</v>
      </c>
      <c r="X318" s="36" t="n">
        <v>0.3185454545454545</v>
      </c>
      <c r="Y318" s="31" t="n">
        <v>76211850</v>
      </c>
      <c r="Z318" s="31" t="n">
        <v>2763441681000</v>
      </c>
      <c r="AA318" s="31" t="n">
        <v>19214717900</v>
      </c>
      <c r="AB318" s="31" t="n">
        <v>21260618370</v>
      </c>
      <c r="AC318" s="36" t="n">
        <v>0.006953183789660007</v>
      </c>
      <c r="AD318" s="29" t="inlineStr">
        <is>
          <t>yfinance_download</t>
        </is>
      </c>
      <c r="AE318" s="29" t="inlineStr">
        <is>
          <t>058470.KQ</t>
        </is>
      </c>
    </row>
    <row r="319" ht="24" customHeight="1">
      <c r="A319" s="24" t="inlineStr">
        <is>
          <t>2024-09-05</t>
        </is>
      </c>
      <c r="B319" s="30" t="n">
        <v>36320</v>
      </c>
      <c r="C319" s="30" t="n">
        <v>36500</v>
      </c>
      <c r="D319" s="30" t="n">
        <v>35120</v>
      </c>
      <c r="E319" s="30" t="n">
        <v>35420</v>
      </c>
      <c r="F319" s="30" t="n">
        <v>31088.716796875</v>
      </c>
      <c r="G319" s="30" t="n">
        <v>420475</v>
      </c>
      <c r="H319" s="35" t="n">
        <v>-0.02316602316602312</v>
      </c>
      <c r="I319" s="35" t="n">
        <v>-0.4057046979865772</v>
      </c>
      <c r="J319" s="30" t="n">
        <v>39662</v>
      </c>
      <c r="K319" s="30" t="n">
        <v>43387.33333333334</v>
      </c>
      <c r="L319" s="30" t="n">
        <v>48171.16666666666</v>
      </c>
      <c r="M319" s="35" t="n">
        <v>0.4618276784790527</v>
      </c>
      <c r="N319" s="35" t="n">
        <v>0.5249165263903344</v>
      </c>
      <c r="O319" s="35" t="n">
        <v>-0.101015228426396</v>
      </c>
      <c r="P319" s="35" t="n">
        <v>-0.3316981132075472</v>
      </c>
      <c r="Q319" s="35" t="n">
        <v>-0.2479830148619957</v>
      </c>
      <c r="R319" s="35" t="n">
        <v>-0.106953759265796</v>
      </c>
      <c r="S319" s="35" t="n">
        <v>-0.1836327038613421</v>
      </c>
      <c r="T319" s="35" t="n">
        <v>-0.264705373546416</v>
      </c>
      <c r="U319" s="30" t="n">
        <v>59600</v>
      </c>
      <c r="V319" s="30" t="n">
        <v>27500</v>
      </c>
      <c r="W319" s="35" t="n">
        <v>-0.4057046979865772</v>
      </c>
      <c r="X319" s="35" t="n">
        <v>0.288</v>
      </c>
      <c r="Y319" s="30" t="n">
        <v>76211850</v>
      </c>
      <c r="Z319" s="30" t="n">
        <v>2699423727000</v>
      </c>
      <c r="AA319" s="30" t="n">
        <v>14893224500</v>
      </c>
      <c r="AB319" s="30" t="n">
        <v>20136064795</v>
      </c>
      <c r="AC319" s="35" t="n">
        <v>0.005517186631737715</v>
      </c>
      <c r="AD319" s="24" t="inlineStr">
        <is>
          <t>yfinance_download</t>
        </is>
      </c>
      <c r="AE319" s="24" t="inlineStr">
        <is>
          <t>058470.KQ</t>
        </is>
      </c>
    </row>
    <row r="320" ht="24" customHeight="1">
      <c r="A320" s="29" t="inlineStr">
        <is>
          <t>2024-09-06</t>
        </is>
      </c>
      <c r="B320" s="31" t="n">
        <v>35540</v>
      </c>
      <c r="C320" s="31" t="n">
        <v>35780</v>
      </c>
      <c r="D320" s="31" t="n">
        <v>34260</v>
      </c>
      <c r="E320" s="31" t="n">
        <v>34720</v>
      </c>
      <c r="F320" s="31" t="n">
        <v>30474.31640625</v>
      </c>
      <c r="G320" s="31" t="n">
        <v>443320</v>
      </c>
      <c r="H320" s="36" t="n">
        <v>-0.01976284584980237</v>
      </c>
      <c r="I320" s="36" t="n">
        <v>-0.4174496644295302</v>
      </c>
      <c r="J320" s="31" t="n">
        <v>39474</v>
      </c>
      <c r="K320" s="31" t="n">
        <v>43086</v>
      </c>
      <c r="L320" s="31" t="n">
        <v>48053.83333333334</v>
      </c>
      <c r="M320" s="36" t="n">
        <v>0.4601000376489502</v>
      </c>
      <c r="N320" s="36" t="n">
        <v>0.5256289838903364</v>
      </c>
      <c r="O320" s="36" t="n">
        <v>-0.09771309771309766</v>
      </c>
      <c r="P320" s="36" t="n">
        <v>-0.3424242424242424</v>
      </c>
      <c r="Q320" s="36" t="n">
        <v>-0.2885245901639344</v>
      </c>
      <c r="R320" s="36" t="n">
        <v>-0.1204337031970411</v>
      </c>
      <c r="S320" s="36" t="n">
        <v>-0.1941697999350137</v>
      </c>
      <c r="T320" s="36" t="n">
        <v>-0.277476996285416</v>
      </c>
      <c r="U320" s="31" t="n">
        <v>59600</v>
      </c>
      <c r="V320" s="31" t="n">
        <v>27500</v>
      </c>
      <c r="W320" s="36" t="n">
        <v>-0.4174496644295302</v>
      </c>
      <c r="X320" s="36" t="n">
        <v>0.2625454545454546</v>
      </c>
      <c r="Y320" s="31" t="n">
        <v>76211850</v>
      </c>
      <c r="Z320" s="31" t="n">
        <v>2646075432000</v>
      </c>
      <c r="AA320" s="31" t="n">
        <v>15392070400</v>
      </c>
      <c r="AB320" s="31" t="n">
        <v>19134847575</v>
      </c>
      <c r="AC320" s="36" t="n">
        <v>0.005816943165662558</v>
      </c>
      <c r="AD320" s="29" t="inlineStr">
        <is>
          <t>yfinance_download</t>
        </is>
      </c>
      <c r="AE320" s="29" t="inlineStr">
        <is>
          <t>058470.KQ</t>
        </is>
      </c>
    </row>
    <row r="321" ht="24" customHeight="1">
      <c r="A321" s="24" t="inlineStr">
        <is>
          <t>2024-09-09</t>
        </is>
      </c>
      <c r="B321" s="30" t="n">
        <v>33860</v>
      </c>
      <c r="C321" s="30" t="n">
        <v>35160</v>
      </c>
      <c r="D321" s="30" t="n">
        <v>33580</v>
      </c>
      <c r="E321" s="30" t="n">
        <v>35060</v>
      </c>
      <c r="F321" s="30" t="n">
        <v>30772.73828125</v>
      </c>
      <c r="G321" s="30" t="n">
        <v>279555</v>
      </c>
      <c r="H321" s="35" t="n">
        <v>0.009792626728110543</v>
      </c>
      <c r="I321" s="35" t="n">
        <v>-0.411744966442953</v>
      </c>
      <c r="J321" s="30" t="n">
        <v>39269</v>
      </c>
      <c r="K321" s="30" t="n">
        <v>42800.33333333334</v>
      </c>
      <c r="L321" s="30" t="n">
        <v>47921</v>
      </c>
      <c r="M321" s="35" t="n">
        <v>0.4558426173836512</v>
      </c>
      <c r="N321" s="35" t="n">
        <v>0.5265667609640804</v>
      </c>
      <c r="O321" s="35" t="n">
        <v>-0.1046986721144024</v>
      </c>
      <c r="P321" s="35" t="n">
        <v>-0.328352490421456</v>
      </c>
      <c r="Q321" s="35" t="n">
        <v>-0.3125490196078431</v>
      </c>
      <c r="R321" s="35" t="n">
        <v>-0.1071837836461331</v>
      </c>
      <c r="S321" s="35" t="n">
        <v>-0.1808475011876856</v>
      </c>
      <c r="T321" s="35" t="n">
        <v>-0.2683792074455875</v>
      </c>
      <c r="U321" s="30" t="n">
        <v>59600</v>
      </c>
      <c r="V321" s="30" t="n">
        <v>27500</v>
      </c>
      <c r="W321" s="35" t="n">
        <v>-0.411744966442953</v>
      </c>
      <c r="X321" s="35" t="n">
        <v>0.274909090909091</v>
      </c>
      <c r="Y321" s="30" t="n">
        <v>76211850</v>
      </c>
      <c r="Z321" s="30" t="n">
        <v>2671987461000</v>
      </c>
      <c r="AA321" s="30" t="n">
        <v>9801198300</v>
      </c>
      <c r="AB321" s="30" t="n">
        <v>18070647090</v>
      </c>
      <c r="AC321" s="35" t="n">
        <v>0.003668130349807805</v>
      </c>
      <c r="AD321" s="24" t="inlineStr">
        <is>
          <t>yfinance_download</t>
        </is>
      </c>
      <c r="AE321" s="24" t="inlineStr">
        <is>
          <t>058470.KQ</t>
        </is>
      </c>
    </row>
    <row r="322" ht="24" customHeight="1">
      <c r="A322" s="29" t="inlineStr">
        <is>
          <t>2024-09-10</t>
        </is>
      </c>
      <c r="B322" s="31" t="n">
        <v>35000</v>
      </c>
      <c r="C322" s="31" t="n">
        <v>35180</v>
      </c>
      <c r="D322" s="31" t="n">
        <v>34380</v>
      </c>
      <c r="E322" s="31" t="n">
        <v>34740</v>
      </c>
      <c r="F322" s="31" t="n">
        <v>30491.87109375</v>
      </c>
      <c r="G322" s="31" t="n">
        <v>185175</v>
      </c>
      <c r="H322" s="36" t="n">
        <v>-0.00912721049629206</v>
      </c>
      <c r="I322" s="36" t="n">
        <v>-0.4171140939597315</v>
      </c>
      <c r="J322" s="31" t="n">
        <v>38976</v>
      </c>
      <c r="K322" s="31" t="n">
        <v>42491</v>
      </c>
      <c r="L322" s="31" t="n">
        <v>47787.16666666666</v>
      </c>
      <c r="M322" s="36" t="n">
        <v>0.4281683540224511</v>
      </c>
      <c r="N322" s="36" t="n">
        <v>0.5235466391749919</v>
      </c>
      <c r="O322" s="36" t="n">
        <v>-0.1443349753694582</v>
      </c>
      <c r="P322" s="36" t="n">
        <v>-0.3482176360225141</v>
      </c>
      <c r="Q322" s="36" t="n">
        <v>-0.3161417322834645</v>
      </c>
      <c r="R322" s="36" t="n">
        <v>-0.1086822660098522</v>
      </c>
      <c r="S322" s="36" t="n">
        <v>-0.182415099668165</v>
      </c>
      <c r="T322" s="36" t="n">
        <v>-0.2730265796605086</v>
      </c>
      <c r="U322" s="31" t="n">
        <v>59600</v>
      </c>
      <c r="V322" s="31" t="n">
        <v>27500</v>
      </c>
      <c r="W322" s="36" t="n">
        <v>-0.4171140939597315</v>
      </c>
      <c r="X322" s="36" t="n">
        <v>0.2632727272727273</v>
      </c>
      <c r="Y322" s="31" t="n">
        <v>76211850</v>
      </c>
      <c r="Z322" s="31" t="n">
        <v>2647599669000</v>
      </c>
      <c r="AA322" s="31" t="n">
        <v>6432979500</v>
      </c>
      <c r="AB322" s="31" t="n">
        <v>17169769165</v>
      </c>
      <c r="AC322" s="36" t="n">
        <v>0.002429740256928548</v>
      </c>
      <c r="AD322" s="29" t="inlineStr">
        <is>
          <t>yfinance_download</t>
        </is>
      </c>
      <c r="AE322" s="29" t="inlineStr">
        <is>
          <t>058470.KQ</t>
        </is>
      </c>
    </row>
    <row r="323" ht="24" customHeight="1">
      <c r="A323" s="24" t="inlineStr">
        <is>
          <t>2024-09-11</t>
        </is>
      </c>
      <c r="B323" s="30" t="n">
        <v>34780</v>
      </c>
      <c r="C323" s="30" t="n">
        <v>35200</v>
      </c>
      <c r="D323" s="30" t="n">
        <v>34200</v>
      </c>
      <c r="E323" s="30" t="n">
        <v>34400</v>
      </c>
      <c r="F323" s="30" t="n">
        <v>30193.4453125</v>
      </c>
      <c r="G323" s="30" t="n">
        <v>291760</v>
      </c>
      <c r="H323" s="35" t="n">
        <v>-0.009786989061600471</v>
      </c>
      <c r="I323" s="35" t="n">
        <v>-0.4228187919463087</v>
      </c>
      <c r="J323" s="30" t="n">
        <v>38641</v>
      </c>
      <c r="K323" s="30" t="n">
        <v>42191</v>
      </c>
      <c r="L323" s="30" t="n">
        <v>47643</v>
      </c>
      <c r="M323" s="35" t="n">
        <v>0.4217982883967246</v>
      </c>
      <c r="N323" s="35" t="n">
        <v>0.523151357023878</v>
      </c>
      <c r="O323" s="35" t="n">
        <v>-0.1630170316301703</v>
      </c>
      <c r="P323" s="35" t="n">
        <v>-0.3435114503816794</v>
      </c>
      <c r="Q323" s="35" t="n">
        <v>-0.3346228239845261</v>
      </c>
      <c r="R323" s="35" t="n">
        <v>-0.1097538883569266</v>
      </c>
      <c r="S323" s="35" t="n">
        <v>-0.1846602355952691</v>
      </c>
      <c r="T323" s="35" t="n">
        <v>-0.2779631845181874</v>
      </c>
      <c r="U323" s="30" t="n">
        <v>59600</v>
      </c>
      <c r="V323" s="30" t="n">
        <v>27500</v>
      </c>
      <c r="W323" s="35" t="n">
        <v>-0.4228187919463087</v>
      </c>
      <c r="X323" s="35" t="n">
        <v>0.250909090909091</v>
      </c>
      <c r="Y323" s="30" t="n">
        <v>76211850</v>
      </c>
      <c r="Z323" s="30" t="n">
        <v>2621687640000</v>
      </c>
      <c r="AA323" s="30" t="n">
        <v>10036544000</v>
      </c>
      <c r="AB323" s="30" t="n">
        <v>16815873815</v>
      </c>
      <c r="AC323" s="35" t="n">
        <v>0.003828276048934647</v>
      </c>
      <c r="AD323" s="24" t="inlineStr">
        <is>
          <t>yfinance_download</t>
        </is>
      </c>
      <c r="AE323" s="24" t="inlineStr">
        <is>
          <t>058470.KQ</t>
        </is>
      </c>
    </row>
    <row r="324" ht="24" customHeight="1">
      <c r="A324" s="29" t="inlineStr">
        <is>
          <t>2024-09-12</t>
        </is>
      </c>
      <c r="B324" s="31" t="n">
        <v>35700</v>
      </c>
      <c r="C324" s="31" t="n">
        <v>37340</v>
      </c>
      <c r="D324" s="31" t="n">
        <v>35660</v>
      </c>
      <c r="E324" s="31" t="n">
        <v>36340</v>
      </c>
      <c r="F324" s="31" t="n">
        <v>31896.21484375</v>
      </c>
      <c r="G324" s="31" t="n">
        <v>774810</v>
      </c>
      <c r="H324" s="36" t="n">
        <v>0.05639534883720931</v>
      </c>
      <c r="I324" s="36" t="n">
        <v>-0.390268456375839</v>
      </c>
      <c r="J324" s="31" t="n">
        <v>38343</v>
      </c>
      <c r="K324" s="31" t="n">
        <v>41928.33333333334</v>
      </c>
      <c r="L324" s="31" t="n">
        <v>47527.5</v>
      </c>
      <c r="M324" s="36" t="n">
        <v>0.4630860844716631</v>
      </c>
      <c r="N324" s="36" t="n">
        <v>0.5387780201999828</v>
      </c>
      <c r="O324" s="36" t="n">
        <v>-0.1408983451536643</v>
      </c>
      <c r="P324" s="36" t="n">
        <v>-0.3024952015355087</v>
      </c>
      <c r="Q324" s="36" t="n">
        <v>-0.2760956175298804</v>
      </c>
      <c r="R324" s="36" t="n">
        <v>-0.05223900059984876</v>
      </c>
      <c r="S324" s="36" t="n">
        <v>-0.1332829828675915</v>
      </c>
      <c r="T324" s="36" t="n">
        <v>-0.2353900373467992</v>
      </c>
      <c r="U324" s="31" t="n">
        <v>59600</v>
      </c>
      <c r="V324" s="31" t="n">
        <v>27500</v>
      </c>
      <c r="W324" s="36" t="n">
        <v>-0.390268456375839</v>
      </c>
      <c r="X324" s="36" t="n">
        <v>0.3214545454545454</v>
      </c>
      <c r="Y324" s="31" t="n">
        <v>76211850</v>
      </c>
      <c r="Z324" s="31" t="n">
        <v>2769538629000</v>
      </c>
      <c r="AA324" s="31" t="n">
        <v>28156595400</v>
      </c>
      <c r="AB324" s="31" t="n">
        <v>16904081060</v>
      </c>
      <c r="AC324" s="36" t="n">
        <v>0.01016652922084951</v>
      </c>
      <c r="AD324" s="29" t="inlineStr">
        <is>
          <t>yfinance_download</t>
        </is>
      </c>
      <c r="AE324" s="29" t="inlineStr">
        <is>
          <t>058470.KQ</t>
        </is>
      </c>
    </row>
    <row r="325" ht="24" customHeight="1">
      <c r="A325" s="24" t="inlineStr">
        <is>
          <t>2024-09-13</t>
        </is>
      </c>
      <c r="B325" s="30" t="n">
        <v>36120</v>
      </c>
      <c r="C325" s="30" t="n">
        <v>36500</v>
      </c>
      <c r="D325" s="30" t="n">
        <v>35460</v>
      </c>
      <c r="E325" s="30" t="n">
        <v>35820</v>
      </c>
      <c r="F325" s="30" t="n">
        <v>31439.8046875</v>
      </c>
      <c r="G325" s="30" t="n">
        <v>242845</v>
      </c>
      <c r="H325" s="35" t="n">
        <v>-0.01430930104567973</v>
      </c>
      <c r="I325" s="35" t="n">
        <v>-0.398993288590604</v>
      </c>
      <c r="J325" s="30" t="n">
        <v>37914</v>
      </c>
      <c r="K325" s="30" t="n">
        <v>41670.33333333334</v>
      </c>
      <c r="L325" s="30" t="n">
        <v>47411.83333333334</v>
      </c>
      <c r="M325" s="35" t="n">
        <v>0.4118375432127055</v>
      </c>
      <c r="N325" s="35" t="n">
        <v>0.5386998997017238</v>
      </c>
      <c r="O325" s="35" t="n">
        <v>-0.1932432432432433</v>
      </c>
      <c r="P325" s="35" t="n">
        <v>-0.3017543859649123</v>
      </c>
      <c r="Q325" s="35" t="n">
        <v>-0.2792756539235413</v>
      </c>
      <c r="R325" s="35" t="n">
        <v>-0.0552302579522076</v>
      </c>
      <c r="S325" s="35" t="n">
        <v>-0.1403956451832239</v>
      </c>
      <c r="T325" s="35" t="n">
        <v>-0.24449240871653</v>
      </c>
      <c r="U325" s="30" t="n">
        <v>59600</v>
      </c>
      <c r="V325" s="30" t="n">
        <v>27500</v>
      </c>
      <c r="W325" s="35" t="n">
        <v>-0.398993288590604</v>
      </c>
      <c r="X325" s="35" t="n">
        <v>0.3025454545454545</v>
      </c>
      <c r="Y325" s="30" t="n">
        <v>76211850</v>
      </c>
      <c r="Z325" s="30" t="n">
        <v>2729908467000</v>
      </c>
      <c r="AA325" s="30" t="n">
        <v>8698707900</v>
      </c>
      <c r="AB325" s="30" t="n">
        <v>15844978655</v>
      </c>
      <c r="AC325" s="35" t="n">
        <v>0.003186446727116583</v>
      </c>
      <c r="AD325" s="24" t="inlineStr">
        <is>
          <t>yfinance_download</t>
        </is>
      </c>
      <c r="AE325" s="24" t="inlineStr">
        <is>
          <t>058470.KQ</t>
        </is>
      </c>
    </row>
    <row r="326" ht="24" customHeight="1">
      <c r="A326" s="29" t="inlineStr">
        <is>
          <t>2024-09-19</t>
        </is>
      </c>
      <c r="B326" s="31" t="n">
        <v>36000</v>
      </c>
      <c r="C326" s="31" t="n">
        <v>36340</v>
      </c>
      <c r="D326" s="31" t="n">
        <v>35160</v>
      </c>
      <c r="E326" s="31" t="n">
        <v>36260</v>
      </c>
      <c r="F326" s="31" t="n">
        <v>31826</v>
      </c>
      <c r="G326" s="31" t="n">
        <v>398250</v>
      </c>
      <c r="H326" s="36" t="n">
        <v>0.01228364042434404</v>
      </c>
      <c r="I326" s="36" t="n">
        <v>-0.3916107382550336</v>
      </c>
      <c r="J326" s="31" t="n">
        <v>37632</v>
      </c>
      <c r="K326" s="31" t="n">
        <v>41451.33333333334</v>
      </c>
      <c r="L326" s="31" t="n">
        <v>47300.66666666666</v>
      </c>
      <c r="M326" s="36" t="n">
        <v>0.3811737982046483</v>
      </c>
      <c r="N326" s="36" t="n">
        <v>0.5358036633966627</v>
      </c>
      <c r="O326" s="36" t="n">
        <v>-0.1346062052505966</v>
      </c>
      <c r="P326" s="36" t="n">
        <v>-0.2659919028340081</v>
      </c>
      <c r="Q326" s="36" t="n">
        <v>-0.2689516129032258</v>
      </c>
      <c r="R326" s="36" t="n">
        <v>-0.03645833333333337</v>
      </c>
      <c r="S326" s="36" t="n">
        <v>-0.1252392363735787</v>
      </c>
      <c r="T326" s="36" t="n">
        <v>-0.233414610083015</v>
      </c>
      <c r="U326" s="31" t="n">
        <v>59600</v>
      </c>
      <c r="V326" s="31" t="n">
        <v>27500</v>
      </c>
      <c r="W326" s="36" t="n">
        <v>-0.3916107382550336</v>
      </c>
      <c r="X326" s="36" t="n">
        <v>0.3185454545454545</v>
      </c>
      <c r="Y326" s="31" t="n">
        <v>76211850</v>
      </c>
      <c r="Z326" s="31" t="n">
        <v>2763441681000</v>
      </c>
      <c r="AA326" s="31" t="n">
        <v>14440545000</v>
      </c>
      <c r="AB326" s="31" t="n">
        <v>15563259980</v>
      </c>
      <c r="AC326" s="36" t="n">
        <v>0.00522556531563005</v>
      </c>
      <c r="AD326" s="29" t="inlineStr">
        <is>
          <t>yfinance_download</t>
        </is>
      </c>
      <c r="AE326" s="29" t="inlineStr">
        <is>
          <t>058470.KQ</t>
        </is>
      </c>
    </row>
    <row r="327" ht="24" customHeight="1">
      <c r="A327" s="24" t="inlineStr">
        <is>
          <t>2024-09-20</t>
        </is>
      </c>
      <c r="B327" s="30" t="n">
        <v>37100</v>
      </c>
      <c r="C327" s="30" t="n">
        <v>37280</v>
      </c>
      <c r="D327" s="30" t="n">
        <v>35600</v>
      </c>
      <c r="E327" s="30" t="n">
        <v>35800</v>
      </c>
      <c r="F327" s="30" t="n">
        <v>31422.25</v>
      </c>
      <c r="G327" s="30" t="n">
        <v>383960</v>
      </c>
      <c r="H327" s="35" t="n">
        <v>-0.01268615554329844</v>
      </c>
      <c r="I327" s="35" t="n">
        <v>-0.3993288590604027</v>
      </c>
      <c r="J327" s="30" t="n">
        <v>37372</v>
      </c>
      <c r="K327" s="30" t="n">
        <v>41229.66666666666</v>
      </c>
      <c r="L327" s="30" t="n">
        <v>47190.66666666666</v>
      </c>
      <c r="M327" s="35" t="n">
        <v>0.3779871509790736</v>
      </c>
      <c r="N327" s="35" t="n">
        <v>0.5360537596669639</v>
      </c>
      <c r="O327" s="35" t="n">
        <v>-0.1268292682926829</v>
      </c>
      <c r="P327" s="35" t="n">
        <v>-0.2708757637474541</v>
      </c>
      <c r="Q327" s="35" t="n">
        <v>-0.2693877551020408</v>
      </c>
      <c r="R327" s="35" t="n">
        <v>-0.0420635770095259</v>
      </c>
      <c r="S327" s="35" t="n">
        <v>-0.1316931982633863</v>
      </c>
      <c r="T327" s="35" t="n">
        <v>-0.2413754132173028</v>
      </c>
      <c r="U327" s="30" t="n">
        <v>59600</v>
      </c>
      <c r="V327" s="30" t="n">
        <v>27500</v>
      </c>
      <c r="W327" s="35" t="n">
        <v>-0.3993288590604027</v>
      </c>
      <c r="X327" s="35" t="n">
        <v>0.3018181818181818</v>
      </c>
      <c r="Y327" s="30" t="n">
        <v>76211850</v>
      </c>
      <c r="Z327" s="30" t="n">
        <v>2728384230000</v>
      </c>
      <c r="AA327" s="30" t="n">
        <v>13745768000</v>
      </c>
      <c r="AB327" s="30" t="n">
        <v>15188545880</v>
      </c>
      <c r="AC327" s="35" t="n">
        <v>0.005038061666263186</v>
      </c>
      <c r="AD327" s="24" t="inlineStr">
        <is>
          <t>yfinance_download</t>
        </is>
      </c>
      <c r="AE327" s="24" t="inlineStr">
        <is>
          <t>058470.KQ</t>
        </is>
      </c>
    </row>
    <row r="328" ht="24" customHeight="1">
      <c r="A328" s="29" t="inlineStr">
        <is>
          <t>2024-09-23</t>
        </is>
      </c>
      <c r="B328" s="31" t="n">
        <v>36060</v>
      </c>
      <c r="C328" s="31" t="n">
        <v>38240</v>
      </c>
      <c r="D328" s="31" t="n">
        <v>36060</v>
      </c>
      <c r="E328" s="31" t="n">
        <v>37800</v>
      </c>
      <c r="F328" s="31" t="n">
        <v>33177.68359375</v>
      </c>
      <c r="G328" s="31" t="n">
        <v>571855</v>
      </c>
      <c r="H328" s="36" t="n">
        <v>0.05586592178770955</v>
      </c>
      <c r="I328" s="36" t="n">
        <v>-0.3657718120805369</v>
      </c>
      <c r="J328" s="31" t="n">
        <v>37232</v>
      </c>
      <c r="K328" s="31" t="n">
        <v>41063</v>
      </c>
      <c r="L328" s="31" t="n">
        <v>47097.33333333334</v>
      </c>
      <c r="M328" s="36" t="n">
        <v>0.437551268221651</v>
      </c>
      <c r="N328" s="36" t="n">
        <v>0.5481840876385466</v>
      </c>
      <c r="O328" s="36" t="n">
        <v>-0.06896551724137934</v>
      </c>
      <c r="P328" s="36" t="n">
        <v>-0.2092050209205021</v>
      </c>
      <c r="Q328" s="36" t="n">
        <v>-0.2285714285714285</v>
      </c>
      <c r="R328" s="36" t="n">
        <v>0.01525569402664373</v>
      </c>
      <c r="S328" s="36" t="n">
        <v>-0.07946326376543356</v>
      </c>
      <c r="T328" s="36" t="n">
        <v>-0.1974067887778501</v>
      </c>
      <c r="U328" s="31" t="n">
        <v>59600</v>
      </c>
      <c r="V328" s="31" t="n">
        <v>27500</v>
      </c>
      <c r="W328" s="36" t="n">
        <v>-0.3657718120805369</v>
      </c>
      <c r="X328" s="36" t="n">
        <v>0.3745454545454545</v>
      </c>
      <c r="Y328" s="31" t="n">
        <v>76211850</v>
      </c>
      <c r="Z328" s="31" t="n">
        <v>2880807930000</v>
      </c>
      <c r="AA328" s="31" t="n">
        <v>21616119000</v>
      </c>
      <c r="AB328" s="31" t="n">
        <v>15448206680</v>
      </c>
      <c r="AC328" s="36" t="n">
        <v>0.007503491911034833</v>
      </c>
      <c r="AD328" s="29" t="inlineStr">
        <is>
          <t>yfinance_download</t>
        </is>
      </c>
      <c r="AE328" s="29" t="inlineStr">
        <is>
          <t>058470.KQ</t>
        </is>
      </c>
    </row>
    <row r="329" ht="24" customHeight="1">
      <c r="A329" s="24" t="inlineStr">
        <is>
          <t>2024-09-24</t>
        </is>
      </c>
      <c r="B329" s="30" t="n">
        <v>37800</v>
      </c>
      <c r="C329" s="30" t="n">
        <v>39860</v>
      </c>
      <c r="D329" s="30" t="n">
        <v>37580</v>
      </c>
      <c r="E329" s="30" t="n">
        <v>39300</v>
      </c>
      <c r="F329" s="30" t="n">
        <v>34494.25390625</v>
      </c>
      <c r="G329" s="30" t="n">
        <v>544525</v>
      </c>
      <c r="H329" s="35" t="n">
        <v>0.03968253968253976</v>
      </c>
      <c r="I329" s="35" t="n">
        <v>-0.3406040268456376</v>
      </c>
      <c r="J329" s="30" t="n">
        <v>37187</v>
      </c>
      <c r="K329" s="30" t="n">
        <v>40943</v>
      </c>
      <c r="L329" s="30" t="n">
        <v>46999</v>
      </c>
      <c r="M329" s="35" t="n">
        <v>0.4622132176395212</v>
      </c>
      <c r="N329" s="35" t="n">
        <v>0.5528554215030046</v>
      </c>
      <c r="O329" s="35" t="n">
        <v>-0.02238805970149249</v>
      </c>
      <c r="P329" s="35" t="n">
        <v>-0.1548387096774193</v>
      </c>
      <c r="Q329" s="35" t="n">
        <v>-0.2309197651663405</v>
      </c>
      <c r="R329" s="35" t="n">
        <v>0.05682093204614524</v>
      </c>
      <c r="S329" s="35" t="n">
        <v>-0.04012895977334341</v>
      </c>
      <c r="T329" s="35" t="n">
        <v>-0.1638119959999149</v>
      </c>
      <c r="U329" s="30" t="n">
        <v>59600</v>
      </c>
      <c r="V329" s="30" t="n">
        <v>27500</v>
      </c>
      <c r="W329" s="35" t="n">
        <v>-0.3406040268456376</v>
      </c>
      <c r="X329" s="35" t="n">
        <v>0.4290909090909092</v>
      </c>
      <c r="Y329" s="30" t="n">
        <v>76211850</v>
      </c>
      <c r="Z329" s="30" t="n">
        <v>2995125705000</v>
      </c>
      <c r="AA329" s="30" t="n">
        <v>21399832500</v>
      </c>
      <c r="AB329" s="30" t="n">
        <v>15665496005</v>
      </c>
      <c r="AC329" s="35" t="n">
        <v>0.007144886261126059</v>
      </c>
      <c r="AD329" s="24" t="inlineStr">
        <is>
          <t>yfinance_download</t>
        </is>
      </c>
      <c r="AE329" s="24" t="inlineStr">
        <is>
          <t>058470.KQ</t>
        </is>
      </c>
    </row>
    <row r="330" ht="24" customHeight="1">
      <c r="A330" s="29" t="inlineStr">
        <is>
          <t>2024-09-25</t>
        </is>
      </c>
      <c r="B330" s="31" t="n">
        <v>39900</v>
      </c>
      <c r="C330" s="31" t="n">
        <v>40500</v>
      </c>
      <c r="D330" s="31" t="n">
        <v>39340</v>
      </c>
      <c r="E330" s="31" t="n">
        <v>39360</v>
      </c>
      <c r="F330" s="31" t="n">
        <v>34546.91796875</v>
      </c>
      <c r="G330" s="31" t="n">
        <v>436815</v>
      </c>
      <c r="H330" s="36" t="n">
        <v>0.001526717557251978</v>
      </c>
      <c r="I330" s="36" t="n">
        <v>-0.3395973154362416</v>
      </c>
      <c r="J330" s="31" t="n">
        <v>37135</v>
      </c>
      <c r="K330" s="31" t="n">
        <v>40824</v>
      </c>
      <c r="L330" s="31" t="n">
        <v>46897</v>
      </c>
      <c r="M330" s="36" t="n">
        <v>0.4618101846694848</v>
      </c>
      <c r="N330" s="36" t="n">
        <v>0.5528902520000724</v>
      </c>
      <c r="O330" s="36" t="n">
        <v>-0.02574257425742577</v>
      </c>
      <c r="P330" s="36" t="n">
        <v>-0.1535483870967742</v>
      </c>
      <c r="Q330" s="36" t="n">
        <v>-0.2372093023255814</v>
      </c>
      <c r="R330" s="36" t="n">
        <v>0.05991652080247745</v>
      </c>
      <c r="S330" s="36" t="n">
        <v>-0.03586125808348029</v>
      </c>
      <c r="T330" s="36" t="n">
        <v>-0.1607139049406145</v>
      </c>
      <c r="U330" s="31" t="n">
        <v>59600</v>
      </c>
      <c r="V330" s="31" t="n">
        <v>27500</v>
      </c>
      <c r="W330" s="36" t="n">
        <v>-0.3395973154362416</v>
      </c>
      <c r="X330" s="36" t="n">
        <v>0.4312727272727273</v>
      </c>
      <c r="Y330" s="31" t="n">
        <v>76211850</v>
      </c>
      <c r="Z330" s="31" t="n">
        <v>2999698416000</v>
      </c>
      <c r="AA330" s="31" t="n">
        <v>17193038400</v>
      </c>
      <c r="AB330" s="31" t="n">
        <v>15941822425</v>
      </c>
      <c r="AC330" s="36" t="n">
        <v>0.005731588985177502</v>
      </c>
      <c r="AD330" s="29" t="inlineStr">
        <is>
          <t>yfinance_download</t>
        </is>
      </c>
      <c r="AE330" s="29" t="inlineStr">
        <is>
          <t>058470.KQ</t>
        </is>
      </c>
    </row>
    <row r="331" ht="24" customHeight="1">
      <c r="A331" s="24" t="inlineStr">
        <is>
          <t>2024-09-26</t>
        </is>
      </c>
      <c r="B331" s="30" t="n">
        <v>40700</v>
      </c>
      <c r="C331" s="30" t="n">
        <v>40900</v>
      </c>
      <c r="D331" s="30" t="n">
        <v>39720</v>
      </c>
      <c r="E331" s="30" t="n">
        <v>40200</v>
      </c>
      <c r="F331" s="30" t="n">
        <v>35284.19921875</v>
      </c>
      <c r="G331" s="30" t="n">
        <v>431835</v>
      </c>
      <c r="H331" s="35" t="n">
        <v>0.02134146341463405</v>
      </c>
      <c r="I331" s="35" t="n">
        <v>-0.325503355704698</v>
      </c>
      <c r="J331" s="30" t="n">
        <v>37199</v>
      </c>
      <c r="K331" s="30" t="n">
        <v>40710.66666666666</v>
      </c>
      <c r="L331" s="30" t="n">
        <v>46806.16666666666</v>
      </c>
      <c r="M331" s="35" t="n">
        <v>0.4479678075125983</v>
      </c>
      <c r="N331" s="35" t="n">
        <v>0.5543717865855903</v>
      </c>
      <c r="O331" s="35" t="n">
        <v>0.03288797533401855</v>
      </c>
      <c r="P331" s="35" t="n">
        <v>-0.1446808510638298</v>
      </c>
      <c r="Q331" s="35" t="n">
        <v>-0.213307240704501</v>
      </c>
      <c r="R331" s="35" t="n">
        <v>0.08067421167235689</v>
      </c>
      <c r="S331" s="35" t="n">
        <v>-0.01254380506337405</v>
      </c>
      <c r="T331" s="35" t="n">
        <v>-0.1411388100570793</v>
      </c>
      <c r="U331" s="30" t="n">
        <v>59600</v>
      </c>
      <c r="V331" s="30" t="n">
        <v>27500</v>
      </c>
      <c r="W331" s="35" t="n">
        <v>-0.325503355704698</v>
      </c>
      <c r="X331" s="35" t="n">
        <v>0.4618181818181819</v>
      </c>
      <c r="Y331" s="30" t="n">
        <v>76211850</v>
      </c>
      <c r="Z331" s="30" t="n">
        <v>3063716370000</v>
      </c>
      <c r="AA331" s="30" t="n">
        <v>17359767000</v>
      </c>
      <c r="AB331" s="30" t="n">
        <v>15882979625</v>
      </c>
      <c r="AC331" s="35" t="n">
        <v>0.005666244816258889</v>
      </c>
      <c r="AD331" s="24" t="inlineStr">
        <is>
          <t>yfinance_download</t>
        </is>
      </c>
      <c r="AE331" s="24" t="inlineStr">
        <is>
          <t>058470.KQ</t>
        </is>
      </c>
    </row>
    <row r="332" ht="24" customHeight="1">
      <c r="A332" s="29" t="inlineStr">
        <is>
          <t>2024-09-27</t>
        </is>
      </c>
      <c r="B332" s="31" t="n">
        <v>40400</v>
      </c>
      <c r="C332" s="31" t="n">
        <v>40900</v>
      </c>
      <c r="D332" s="31" t="n">
        <v>39660</v>
      </c>
      <c r="E332" s="31" t="n">
        <v>39800</v>
      </c>
      <c r="F332" s="31" t="n">
        <v>34933.11328125</v>
      </c>
      <c r="G332" s="31" t="n">
        <v>327815</v>
      </c>
      <c r="H332" s="36" t="n">
        <v>-0.00995024875621886</v>
      </c>
      <c r="I332" s="36" t="n">
        <v>-0.3322147651006712</v>
      </c>
      <c r="J332" s="31" t="n">
        <v>37276</v>
      </c>
      <c r="K332" s="31" t="n">
        <v>40592.33333333334</v>
      </c>
      <c r="L332" s="31" t="n">
        <v>46691.16666666666</v>
      </c>
      <c r="M332" s="36" t="n">
        <v>0.4447149010889825</v>
      </c>
      <c r="N332" s="36" t="n">
        <v>0.5546111996664049</v>
      </c>
      <c r="O332" s="36" t="n">
        <v>0.04025091479351794</v>
      </c>
      <c r="P332" s="36" t="n">
        <v>-0.1513859275053305</v>
      </c>
      <c r="Q332" s="36" t="n">
        <v>-0.2574626865671642</v>
      </c>
      <c r="R332" s="36" t="n">
        <v>0.06771112780341237</v>
      </c>
      <c r="S332" s="36" t="n">
        <v>-0.01951928525090951</v>
      </c>
      <c r="T332" s="36" t="n">
        <v>-0.1475903721974534</v>
      </c>
      <c r="U332" s="31" t="n">
        <v>59600</v>
      </c>
      <c r="V332" s="31" t="n">
        <v>27500</v>
      </c>
      <c r="W332" s="36" t="n">
        <v>-0.3322147651006712</v>
      </c>
      <c r="X332" s="36" t="n">
        <v>0.4472727272727273</v>
      </c>
      <c r="Y332" s="31" t="n">
        <v>76211850</v>
      </c>
      <c r="Z332" s="31" t="n">
        <v>3033231630000</v>
      </c>
      <c r="AA332" s="31" t="n">
        <v>13047037000</v>
      </c>
      <c r="AB332" s="31" t="n">
        <v>15709345900</v>
      </c>
      <c r="AC332" s="36" t="n">
        <v>0.004301365207641594</v>
      </c>
      <c r="AD332" s="29" t="inlineStr">
        <is>
          <t>yfinance_download</t>
        </is>
      </c>
      <c r="AE332" s="29" t="inlineStr">
        <is>
          <t>058470.KQ</t>
        </is>
      </c>
    </row>
    <row r="333" ht="24" customHeight="1">
      <c r="A333" s="24" t="inlineStr">
        <is>
          <t>2024-09-30</t>
        </is>
      </c>
      <c r="B333" s="30" t="n">
        <v>39660</v>
      </c>
      <c r="C333" s="30" t="n">
        <v>39980</v>
      </c>
      <c r="D333" s="30" t="n">
        <v>37760</v>
      </c>
      <c r="E333" s="30" t="n">
        <v>37800</v>
      </c>
      <c r="F333" s="30" t="n">
        <v>33177.68359375</v>
      </c>
      <c r="G333" s="30" t="n">
        <v>547210</v>
      </c>
      <c r="H333" s="35" t="n">
        <v>-0.05025125628140703</v>
      </c>
      <c r="I333" s="35" t="n">
        <v>-0.3657718120805369</v>
      </c>
      <c r="J333" s="30" t="n">
        <v>37172</v>
      </c>
      <c r="K333" s="30" t="n">
        <v>40477.33333333334</v>
      </c>
      <c r="L333" s="30" t="n">
        <v>46557</v>
      </c>
      <c r="M333" s="35" t="n">
        <v>0.4555797160068095</v>
      </c>
      <c r="N333" s="35" t="n">
        <v>0.5558050119545708</v>
      </c>
      <c r="O333" s="35" t="n">
        <v>-0.05215646940822471</v>
      </c>
      <c r="P333" s="35" t="n">
        <v>-0.1543624161073825</v>
      </c>
      <c r="Q333" s="35" t="n">
        <v>-0.2987012987012987</v>
      </c>
      <c r="R333" s="35" t="n">
        <v>0.01689443667276436</v>
      </c>
      <c r="S333" s="35" t="n">
        <v>-0.06614401475723042</v>
      </c>
      <c r="T333" s="35" t="n">
        <v>-0.1880920162381596</v>
      </c>
      <c r="U333" s="30" t="n">
        <v>59600</v>
      </c>
      <c r="V333" s="30" t="n">
        <v>27500</v>
      </c>
      <c r="W333" s="35" t="n">
        <v>-0.3657718120805369</v>
      </c>
      <c r="X333" s="35" t="n">
        <v>0.3745454545454545</v>
      </c>
      <c r="Y333" s="30" t="n">
        <v>76211850</v>
      </c>
      <c r="Z333" s="30" t="n">
        <v>2880807930000</v>
      </c>
      <c r="AA333" s="30" t="n">
        <v>20684538000</v>
      </c>
      <c r="AB333" s="30" t="n">
        <v>15800829540</v>
      </c>
      <c r="AC333" s="35" t="n">
        <v>0.007180117002802058</v>
      </c>
      <c r="AD333" s="24" t="inlineStr">
        <is>
          <t>yfinance_download</t>
        </is>
      </c>
      <c r="AE333" s="24" t="inlineStr">
        <is>
          <t>058470.KQ</t>
        </is>
      </c>
    </row>
    <row r="334" ht="24" customHeight="1">
      <c r="A334" s="29" t="inlineStr">
        <is>
          <t>2024-10-02</t>
        </is>
      </c>
      <c r="B334" s="31" t="n">
        <v>37520</v>
      </c>
      <c r="C334" s="31" t="n">
        <v>38740</v>
      </c>
      <c r="D334" s="31" t="n">
        <v>36880</v>
      </c>
      <c r="E334" s="31" t="n">
        <v>38000</v>
      </c>
      <c r="F334" s="31" t="n">
        <v>33353.2265625</v>
      </c>
      <c r="G334" s="31" t="n">
        <v>289870</v>
      </c>
      <c r="H334" s="36" t="n">
        <v>0.005291005291005346</v>
      </c>
      <c r="I334" s="36" t="n">
        <v>-0.3624161073825504</v>
      </c>
      <c r="J334" s="31" t="n">
        <v>37131</v>
      </c>
      <c r="K334" s="31" t="n">
        <v>40374</v>
      </c>
      <c r="L334" s="31" t="n">
        <v>46428.66666666666</v>
      </c>
      <c r="M334" s="36" t="n">
        <v>0.4470054817187007</v>
      </c>
      <c r="N334" s="36" t="n">
        <v>0.5556912951670767</v>
      </c>
      <c r="O334" s="36" t="n">
        <v>-0.0211231324059763</v>
      </c>
      <c r="P334" s="36" t="n">
        <v>-0.1402714932126696</v>
      </c>
      <c r="Q334" s="36" t="n">
        <v>-0.2883895131086143</v>
      </c>
      <c r="R334" s="36" t="n">
        <v>0.02340362500336646</v>
      </c>
      <c r="S334" s="36" t="n">
        <v>-0.05880021796205481</v>
      </c>
      <c r="T334" s="36" t="n">
        <v>-0.1815401404304812</v>
      </c>
      <c r="U334" s="31" t="n">
        <v>59600</v>
      </c>
      <c r="V334" s="31" t="n">
        <v>27500</v>
      </c>
      <c r="W334" s="36" t="n">
        <v>-0.3624161073825504</v>
      </c>
      <c r="X334" s="36" t="n">
        <v>0.3818181818181818</v>
      </c>
      <c r="Y334" s="31" t="n">
        <v>76211850</v>
      </c>
      <c r="Z334" s="31" t="n">
        <v>2896050300000</v>
      </c>
      <c r="AA334" s="31" t="n">
        <v>11015060000</v>
      </c>
      <c r="AB334" s="31" t="n">
        <v>15420513955</v>
      </c>
      <c r="AC334" s="36" t="n">
        <v>0.003803476755911318</v>
      </c>
      <c r="AD334" s="29" t="inlineStr">
        <is>
          <t>yfinance_download</t>
        </is>
      </c>
      <c r="AE334" s="29" t="inlineStr">
        <is>
          <t>058470.KQ</t>
        </is>
      </c>
    </row>
    <row r="335" ht="24" customHeight="1">
      <c r="A335" s="24" t="inlineStr">
        <is>
          <t>2024-10-04</t>
        </is>
      </c>
      <c r="B335" s="30" t="n">
        <v>38000</v>
      </c>
      <c r="C335" s="30" t="n">
        <v>39340</v>
      </c>
      <c r="D335" s="30" t="n">
        <v>38000</v>
      </c>
      <c r="E335" s="30" t="n">
        <v>39080</v>
      </c>
      <c r="F335" s="30" t="n">
        <v>34301.16015625</v>
      </c>
      <c r="G335" s="30" t="n">
        <v>199935</v>
      </c>
      <c r="H335" s="35" t="n">
        <v>0.0284210526315789</v>
      </c>
      <c r="I335" s="35" t="n">
        <v>-0.3442953020134228</v>
      </c>
      <c r="J335" s="30" t="n">
        <v>37128</v>
      </c>
      <c r="K335" s="30" t="n">
        <v>40282</v>
      </c>
      <c r="L335" s="30" t="n">
        <v>46316</v>
      </c>
      <c r="M335" s="35" t="n">
        <v>0.4579599016629033</v>
      </c>
      <c r="N335" s="35" t="n">
        <v>0.5587331843977608</v>
      </c>
      <c r="O335" s="35" t="n">
        <v>-0.001532958610117485</v>
      </c>
      <c r="P335" s="35" t="n">
        <v>-0.1237668161434977</v>
      </c>
      <c r="Q335" s="35" t="n">
        <v>-0.2570342205323194</v>
      </c>
      <c r="R335" s="35" t="n">
        <v>0.0525748761042879</v>
      </c>
      <c r="S335" s="35" t="n">
        <v>-0.02983963060424011</v>
      </c>
      <c r="T335" s="35" t="n">
        <v>-0.156231108040418</v>
      </c>
      <c r="U335" s="30" t="n">
        <v>59600</v>
      </c>
      <c r="V335" s="30" t="n">
        <v>27500</v>
      </c>
      <c r="W335" s="35" t="n">
        <v>-0.3442953020134228</v>
      </c>
      <c r="X335" s="35" t="n">
        <v>0.4210909090909092</v>
      </c>
      <c r="Y335" s="30" t="n">
        <v>76211850</v>
      </c>
      <c r="Z335" s="30" t="n">
        <v>2978359098000</v>
      </c>
      <c r="AA335" s="30" t="n">
        <v>7813459800</v>
      </c>
      <c r="AB335" s="30" t="n">
        <v>14995127730</v>
      </c>
      <c r="AC335" s="35" t="n">
        <v>0.002623410926253594</v>
      </c>
      <c r="AD335" s="24" t="inlineStr">
        <is>
          <t>yfinance_download</t>
        </is>
      </c>
      <c r="AE335" s="24" t="inlineStr">
        <is>
          <t>058470.KQ</t>
        </is>
      </c>
    </row>
    <row r="336" ht="24" customHeight="1">
      <c r="A336" s="29" t="inlineStr">
        <is>
          <t>2024-10-07</t>
        </is>
      </c>
      <c r="B336" s="31" t="n">
        <v>39000</v>
      </c>
      <c r="C336" s="31" t="n">
        <v>39640</v>
      </c>
      <c r="D336" s="31" t="n">
        <v>38620</v>
      </c>
      <c r="E336" s="31" t="n">
        <v>39140</v>
      </c>
      <c r="F336" s="31" t="n">
        <v>34353.82421875</v>
      </c>
      <c r="G336" s="31" t="n">
        <v>286835</v>
      </c>
      <c r="H336" s="36" t="n">
        <v>0.001535312180143356</v>
      </c>
      <c r="I336" s="36" t="n">
        <v>-0.3432885906040268</v>
      </c>
      <c r="J336" s="31" t="n">
        <v>37145</v>
      </c>
      <c r="K336" s="31" t="n">
        <v>40201</v>
      </c>
      <c r="L336" s="31" t="n">
        <v>46205.5</v>
      </c>
      <c r="M336" s="36" t="n">
        <v>0.4567306548738249</v>
      </c>
      <c r="N336" s="36" t="n">
        <v>0.5582179795114779</v>
      </c>
      <c r="O336" s="36" t="n">
        <v>0.008762886597938113</v>
      </c>
      <c r="P336" s="36" t="n">
        <v>-0.1104545454545455</v>
      </c>
      <c r="Q336" s="36" t="n">
        <v>-0.2530534351145038</v>
      </c>
      <c r="R336" s="36" t="n">
        <v>0.05370843989769813</v>
      </c>
      <c r="S336" s="36" t="n">
        <v>-0.02639237829904728</v>
      </c>
      <c r="T336" s="36" t="n">
        <v>-0.1529146963023883</v>
      </c>
      <c r="U336" s="31" t="n">
        <v>59600</v>
      </c>
      <c r="V336" s="31" t="n">
        <v>27500</v>
      </c>
      <c r="W336" s="36" t="n">
        <v>-0.3432885906040268</v>
      </c>
      <c r="X336" s="36" t="n">
        <v>0.4232727272727272</v>
      </c>
      <c r="Y336" s="31" t="n">
        <v>76211850</v>
      </c>
      <c r="Z336" s="31" t="n">
        <v>2982931809000</v>
      </c>
      <c r="AA336" s="31" t="n">
        <v>11226721900</v>
      </c>
      <c r="AB336" s="31" t="n">
        <v>15039550825</v>
      </c>
      <c r="AC336" s="36" t="n">
        <v>0.003763653552564332</v>
      </c>
      <c r="AD336" s="29" t="inlineStr">
        <is>
          <t>yfinance_download</t>
        </is>
      </c>
      <c r="AE336" s="29" t="inlineStr">
        <is>
          <t>058470.KQ</t>
        </is>
      </c>
    </row>
    <row r="337" ht="24" customHeight="1">
      <c r="A337" s="24" t="inlineStr">
        <is>
          <t>2024-10-08</t>
        </is>
      </c>
      <c r="B337" s="30" t="n">
        <v>39200</v>
      </c>
      <c r="C337" s="30" t="n">
        <v>39600</v>
      </c>
      <c r="D337" s="30" t="n">
        <v>38420</v>
      </c>
      <c r="E337" s="30" t="n">
        <v>38640</v>
      </c>
      <c r="F337" s="30" t="n">
        <v>33914.96484375</v>
      </c>
      <c r="G337" s="30" t="n">
        <v>251805</v>
      </c>
      <c r="H337" s="35" t="n">
        <v>-0.01277465508431275</v>
      </c>
      <c r="I337" s="35" t="n">
        <v>-0.3516778523489933</v>
      </c>
      <c r="J337" s="30" t="n">
        <v>37197</v>
      </c>
      <c r="K337" s="30" t="n">
        <v>40100</v>
      </c>
      <c r="L337" s="30" t="n">
        <v>46113.33333333334</v>
      </c>
      <c r="M337" s="35" t="n">
        <v>0.4443694356179069</v>
      </c>
      <c r="N337" s="35" t="n">
        <v>0.5575271770380155</v>
      </c>
      <c r="O337" s="35" t="n">
        <v>0.0276595744680852</v>
      </c>
      <c r="P337" s="35" t="n">
        <v>-0.1355704697986577</v>
      </c>
      <c r="Q337" s="35" t="n">
        <v>-0.2225352112676057</v>
      </c>
      <c r="R337" s="35" t="n">
        <v>0.03879345108476495</v>
      </c>
      <c r="S337" s="35" t="n">
        <v>-0.03640897755610972</v>
      </c>
      <c r="T337" s="35" t="n">
        <v>-0.1620644788202978</v>
      </c>
      <c r="U337" s="30" t="n">
        <v>59600</v>
      </c>
      <c r="V337" s="30" t="n">
        <v>27500</v>
      </c>
      <c r="W337" s="35" t="n">
        <v>-0.3516778523489933</v>
      </c>
      <c r="X337" s="35" t="n">
        <v>0.4050909090909092</v>
      </c>
      <c r="Y337" s="30" t="n">
        <v>76211850</v>
      </c>
      <c r="Z337" s="30" t="n">
        <v>2944825884000</v>
      </c>
      <c r="AA337" s="30" t="n">
        <v>9729745200</v>
      </c>
      <c r="AB337" s="30" t="n">
        <v>14594883485</v>
      </c>
      <c r="AC337" s="35" t="n">
        <v>0.003304013745893847</v>
      </c>
      <c r="AD337" s="24" t="inlineStr">
        <is>
          <t>yfinance_download</t>
        </is>
      </c>
      <c r="AE337" s="24" t="inlineStr">
        <is>
          <t>058470.KQ</t>
        </is>
      </c>
    </row>
    <row r="338" ht="24" customHeight="1">
      <c r="A338" s="29" t="inlineStr">
        <is>
          <t>2024-10-10</t>
        </is>
      </c>
      <c r="B338" s="31" t="n">
        <v>38520</v>
      </c>
      <c r="C338" s="31" t="n">
        <v>38900</v>
      </c>
      <c r="D338" s="31" t="n">
        <v>37680</v>
      </c>
      <c r="E338" s="31" t="n">
        <v>37680</v>
      </c>
      <c r="F338" s="31" t="n">
        <v>33072.35546875</v>
      </c>
      <c r="G338" s="31" t="n">
        <v>593465</v>
      </c>
      <c r="H338" s="36" t="n">
        <v>-0.02484472049689446</v>
      </c>
      <c r="I338" s="36" t="n">
        <v>-0.3677852348993289</v>
      </c>
      <c r="J338" s="31" t="n">
        <v>37268</v>
      </c>
      <c r="K338" s="31" t="n">
        <v>39938</v>
      </c>
      <c r="L338" s="31" t="n">
        <v>46008.16666666666</v>
      </c>
      <c r="M338" s="36" t="n">
        <v>0.4338569669747692</v>
      </c>
      <c r="N338" s="36" t="n">
        <v>0.5441036996900732</v>
      </c>
      <c r="O338" s="36" t="n">
        <v>0.03916161059018197</v>
      </c>
      <c r="P338" s="36" t="n">
        <v>-0.2050632911392405</v>
      </c>
      <c r="Q338" s="36" t="n">
        <v>-0.2508946322067594</v>
      </c>
      <c r="R338" s="36" t="n">
        <v>0.01105506064183759</v>
      </c>
      <c r="S338" s="36" t="n">
        <v>-0.05653763333166406</v>
      </c>
      <c r="T338" s="36" t="n">
        <v>-0.1810149647345217</v>
      </c>
      <c r="U338" s="31" t="n">
        <v>59600</v>
      </c>
      <c r="V338" s="31" t="n">
        <v>27500</v>
      </c>
      <c r="W338" s="36" t="n">
        <v>-0.3677852348993289</v>
      </c>
      <c r="X338" s="36" t="n">
        <v>0.3701818181818182</v>
      </c>
      <c r="Y338" s="31" t="n">
        <v>76211850</v>
      </c>
      <c r="Z338" s="31" t="n">
        <v>2871662508000</v>
      </c>
      <c r="AA338" s="31" t="n">
        <v>22361761200</v>
      </c>
      <c r="AB338" s="31" t="n">
        <v>14752235650</v>
      </c>
      <c r="AC338" s="36" t="n">
        <v>0.007787043615920621</v>
      </c>
      <c r="AD338" s="29" t="inlineStr">
        <is>
          <t>yfinance_download</t>
        </is>
      </c>
      <c r="AE338" s="29" t="inlineStr">
        <is>
          <t>058470.KQ</t>
        </is>
      </c>
    </row>
    <row r="339" ht="24" customHeight="1">
      <c r="A339" s="24" t="inlineStr">
        <is>
          <t>2024-10-11</t>
        </is>
      </c>
      <c r="B339" s="30" t="n">
        <v>38040</v>
      </c>
      <c r="C339" s="30" t="n">
        <v>40100</v>
      </c>
      <c r="D339" s="30" t="n">
        <v>37900</v>
      </c>
      <c r="E339" s="30" t="n">
        <v>39620</v>
      </c>
      <c r="F339" s="30" t="n">
        <v>34775.12890625</v>
      </c>
      <c r="G339" s="30" t="n">
        <v>582650</v>
      </c>
      <c r="H339" s="35" t="n">
        <v>0.05148619957537148</v>
      </c>
      <c r="I339" s="35" t="n">
        <v>-0.3352348993288591</v>
      </c>
      <c r="J339" s="30" t="n">
        <v>37478</v>
      </c>
      <c r="K339" s="30" t="n">
        <v>39793.33333333334</v>
      </c>
      <c r="L339" s="30" t="n">
        <v>45912.5</v>
      </c>
      <c r="M339" s="35" t="n">
        <v>0.4561511818130196</v>
      </c>
      <c r="N339" s="35" t="n">
        <v>0.5537643663423211</v>
      </c>
      <c r="O339" s="35" t="n">
        <v>0.1185770750988142</v>
      </c>
      <c r="P339" s="35" t="n">
        <v>-0.1797101449275362</v>
      </c>
      <c r="Q339" s="35" t="n">
        <v>-0.2246575342465753</v>
      </c>
      <c r="R339" s="35" t="n">
        <v>0.0571535300709749</v>
      </c>
      <c r="S339" s="35" t="n">
        <v>-0.00435583849891108</v>
      </c>
      <c r="T339" s="35" t="n">
        <v>-0.137054179145113</v>
      </c>
      <c r="U339" s="30" t="n">
        <v>59600</v>
      </c>
      <c r="V339" s="30" t="n">
        <v>27500</v>
      </c>
      <c r="W339" s="35" t="n">
        <v>-0.3352348993288591</v>
      </c>
      <c r="X339" s="35" t="n">
        <v>0.4407272727272726</v>
      </c>
      <c r="Y339" s="30" t="n">
        <v>76211850</v>
      </c>
      <c r="Z339" s="30" t="n">
        <v>3019513497000</v>
      </c>
      <c r="AA339" s="30" t="n">
        <v>23084593000</v>
      </c>
      <c r="AB339" s="30" t="n">
        <v>15161804075</v>
      </c>
      <c r="AC339" s="35" t="n">
        <v>0.007645136550287127</v>
      </c>
      <c r="AD339" s="24" t="inlineStr">
        <is>
          <t>yfinance_download</t>
        </is>
      </c>
      <c r="AE339" s="24" t="inlineStr">
        <is>
          <t>058470.KQ</t>
        </is>
      </c>
    </row>
    <row r="340" ht="24" customHeight="1">
      <c r="A340" s="29" t="inlineStr">
        <is>
          <t>2024-10-14</t>
        </is>
      </c>
      <c r="B340" s="31" t="n">
        <v>39740</v>
      </c>
      <c r="C340" s="31" t="n">
        <v>40700</v>
      </c>
      <c r="D340" s="31" t="n">
        <v>39520</v>
      </c>
      <c r="E340" s="31" t="n">
        <v>40100</v>
      </c>
      <c r="F340" s="31" t="n">
        <v>35196.4296875</v>
      </c>
      <c r="G340" s="31" t="n">
        <v>348890</v>
      </c>
      <c r="H340" s="36" t="n">
        <v>0.01211509338717809</v>
      </c>
      <c r="I340" s="36" t="n">
        <v>-0.3271812080536913</v>
      </c>
      <c r="J340" s="31" t="n">
        <v>37747</v>
      </c>
      <c r="K340" s="31" t="n">
        <v>39648.33333333334</v>
      </c>
      <c r="L340" s="31" t="n">
        <v>45789.16666666666</v>
      </c>
      <c r="M340" s="36" t="n">
        <v>0.4461921728376899</v>
      </c>
      <c r="N340" s="36" t="n">
        <v>0.5539535695617885</v>
      </c>
      <c r="O340" s="36" t="n">
        <v>0.1549539170506913</v>
      </c>
      <c r="P340" s="36" t="n">
        <v>-0.1782786885245902</v>
      </c>
      <c r="Q340" s="36" t="n">
        <v>-0.2695810564663024</v>
      </c>
      <c r="R340" s="36" t="n">
        <v>0.06233607968845201</v>
      </c>
      <c r="S340" s="36" t="n">
        <v>0.01139181974862336</v>
      </c>
      <c r="T340" s="36" t="n">
        <v>-0.1242470016561413</v>
      </c>
      <c r="U340" s="31" t="n">
        <v>59600</v>
      </c>
      <c r="V340" s="31" t="n">
        <v>27500</v>
      </c>
      <c r="W340" s="36" t="n">
        <v>-0.3271812080536913</v>
      </c>
      <c r="X340" s="36" t="n">
        <v>0.4581818181818182</v>
      </c>
      <c r="Y340" s="31" t="n">
        <v>76211850</v>
      </c>
      <c r="Z340" s="31" t="n">
        <v>3056095185000</v>
      </c>
      <c r="AA340" s="31" t="n">
        <v>13990489000</v>
      </c>
      <c r="AB340" s="31" t="n">
        <v>15091725005</v>
      </c>
      <c r="AC340" s="36" t="n">
        <v>0.004577897006830303</v>
      </c>
      <c r="AD340" s="29" t="inlineStr">
        <is>
          <t>yfinance_download</t>
        </is>
      </c>
      <c r="AE340" s="29" t="inlineStr">
        <is>
          <t>058470.KQ</t>
        </is>
      </c>
    </row>
    <row r="341" ht="24" customHeight="1">
      <c r="A341" s="24" t="inlineStr">
        <is>
          <t>2024-10-15</t>
        </is>
      </c>
      <c r="B341" s="30" t="n">
        <v>40900</v>
      </c>
      <c r="C341" s="30" t="n">
        <v>41200</v>
      </c>
      <c r="D341" s="30" t="n">
        <v>40000</v>
      </c>
      <c r="E341" s="30" t="n">
        <v>41000</v>
      </c>
      <c r="F341" s="30" t="n">
        <v>35986.375</v>
      </c>
      <c r="G341" s="30" t="n">
        <v>426925</v>
      </c>
      <c r="H341" s="35" t="n">
        <v>0.02244389027431426</v>
      </c>
      <c r="I341" s="35" t="n">
        <v>-0.3120805369127517</v>
      </c>
      <c r="J341" s="30" t="n">
        <v>38044</v>
      </c>
      <c r="K341" s="30" t="n">
        <v>39518.33333333334</v>
      </c>
      <c r="L341" s="30" t="n">
        <v>45665.83333333334</v>
      </c>
      <c r="M341" s="35" t="n">
        <v>0.4492659134427369</v>
      </c>
      <c r="N341" s="35" t="n">
        <v>0.5563196723872361</v>
      </c>
      <c r="O341" s="35" t="n">
        <v>0.1694238448374215</v>
      </c>
      <c r="P341" s="35" t="n">
        <v>-0.1598360655737705</v>
      </c>
      <c r="Q341" s="35" t="n">
        <v>-0.2652329749103942</v>
      </c>
      <c r="R341" s="35" t="n">
        <v>0.07769950583534846</v>
      </c>
      <c r="S341" s="35" t="n">
        <v>0.0374931466407995</v>
      </c>
      <c r="T341" s="35" t="n">
        <v>-0.1021733973247687</v>
      </c>
      <c r="U341" s="30" t="n">
        <v>59600</v>
      </c>
      <c r="V341" s="30" t="n">
        <v>27500</v>
      </c>
      <c r="W341" s="35" t="n">
        <v>-0.3120805369127517</v>
      </c>
      <c r="X341" s="35" t="n">
        <v>0.490909090909091</v>
      </c>
      <c r="Y341" s="30" t="n">
        <v>76211850</v>
      </c>
      <c r="Z341" s="30" t="n">
        <v>3124685850000</v>
      </c>
      <c r="AA341" s="30" t="n">
        <v>17503925000</v>
      </c>
      <c r="AB341" s="30" t="n">
        <v>15476861340</v>
      </c>
      <c r="AC341" s="35" t="n">
        <v>0.005601819139674473</v>
      </c>
      <c r="AD341" s="24" t="inlineStr">
        <is>
          <t>yfinance_download</t>
        </is>
      </c>
      <c r="AE341" s="24" t="inlineStr">
        <is>
          <t>058470.KQ</t>
        </is>
      </c>
    </row>
    <row r="342" ht="24" customHeight="1">
      <c r="A342" s="29" t="inlineStr">
        <is>
          <t>2024-10-16</t>
        </is>
      </c>
      <c r="B342" s="31" t="n">
        <v>39740</v>
      </c>
      <c r="C342" s="31" t="n">
        <v>40200</v>
      </c>
      <c r="D342" s="31" t="n">
        <v>38720</v>
      </c>
      <c r="E342" s="31" t="n">
        <v>39480</v>
      </c>
      <c r="F342" s="31" t="n">
        <v>34652.24609375</v>
      </c>
      <c r="G342" s="31" t="n">
        <v>555045</v>
      </c>
      <c r="H342" s="36" t="n">
        <v>-0.03707317073170735</v>
      </c>
      <c r="I342" s="36" t="n">
        <v>-0.3375838926174497</v>
      </c>
      <c r="J342" s="31" t="n">
        <v>38281</v>
      </c>
      <c r="K342" s="31" t="n">
        <v>39374.66666666666</v>
      </c>
      <c r="L342" s="31" t="n">
        <v>45558.16666666666</v>
      </c>
      <c r="M342" s="36" t="n">
        <v>0.4738662919347691</v>
      </c>
      <c r="N342" s="36" t="n">
        <v>0.5603580538560118</v>
      </c>
      <c r="O342" s="36" t="n">
        <v>0.1364421416234887</v>
      </c>
      <c r="P342" s="36" t="n">
        <v>-0.1792099792099792</v>
      </c>
      <c r="Q342" s="36" t="n">
        <v>-0.2465648854961832</v>
      </c>
      <c r="R342" s="36" t="n">
        <v>0.03132102087197297</v>
      </c>
      <c r="S342" s="36" t="n">
        <v>0.002675154921946588</v>
      </c>
      <c r="T342" s="36" t="n">
        <v>-0.1334155237443707</v>
      </c>
      <c r="U342" s="31" t="n">
        <v>59600</v>
      </c>
      <c r="V342" s="31" t="n">
        <v>27500</v>
      </c>
      <c r="W342" s="36" t="n">
        <v>-0.3375838926174497</v>
      </c>
      <c r="X342" s="36" t="n">
        <v>0.4356363636363636</v>
      </c>
      <c r="Y342" s="31" t="n">
        <v>76211850</v>
      </c>
      <c r="Z342" s="31" t="n">
        <v>3008843838000</v>
      </c>
      <c r="AA342" s="31" t="n">
        <v>21913176600</v>
      </c>
      <c r="AB342" s="31" t="n">
        <v>16250871195</v>
      </c>
      <c r="AC342" s="36" t="n">
        <v>0.007282922537636864</v>
      </c>
      <c r="AD342" s="29" t="inlineStr">
        <is>
          <t>yfinance_download</t>
        </is>
      </c>
      <c r="AE342" s="29" t="inlineStr">
        <is>
          <t>058470.KQ</t>
        </is>
      </c>
    </row>
    <row r="343" ht="24" customHeight="1">
      <c r="A343" s="24" t="inlineStr">
        <is>
          <t>2024-10-17</t>
        </is>
      </c>
      <c r="B343" s="30" t="n">
        <v>39960</v>
      </c>
      <c r="C343" s="30" t="n">
        <v>40100</v>
      </c>
      <c r="D343" s="30" t="n">
        <v>38840</v>
      </c>
      <c r="E343" s="30" t="n">
        <v>39660</v>
      </c>
      <c r="F343" s="30" t="n">
        <v>34810.23828125</v>
      </c>
      <c r="G343" s="30" t="n">
        <v>305790</v>
      </c>
      <c r="H343" s="35" t="n">
        <v>0.004559270516717229</v>
      </c>
      <c r="I343" s="35" t="n">
        <v>-0.3345637583892618</v>
      </c>
      <c r="J343" s="30" t="n">
        <v>38544</v>
      </c>
      <c r="K343" s="30" t="n">
        <v>39224</v>
      </c>
      <c r="L343" s="30" t="n">
        <v>45443.66666666666</v>
      </c>
      <c r="M343" s="35" t="n">
        <v>0.469911434899843</v>
      </c>
      <c r="N343" s="35" t="n">
        <v>0.5596786778384167</v>
      </c>
      <c r="O343" s="35" t="n">
        <v>0.152906976744186</v>
      </c>
      <c r="P343" s="35" t="n">
        <v>-0.1856262833675565</v>
      </c>
      <c r="Q343" s="35" t="n">
        <v>-0.2573033707865169</v>
      </c>
      <c r="R343" s="35" t="n">
        <v>0.02895392278953923</v>
      </c>
      <c r="S343" s="35" t="n">
        <v>0.01111564348358152</v>
      </c>
      <c r="T343" s="35" t="n">
        <v>-0.1272711268897022</v>
      </c>
      <c r="U343" s="30" t="n">
        <v>59600</v>
      </c>
      <c r="V343" s="30" t="n">
        <v>27500</v>
      </c>
      <c r="W343" s="35" t="n">
        <v>-0.3345637583892618</v>
      </c>
      <c r="X343" s="35" t="n">
        <v>0.4421818181818182</v>
      </c>
      <c r="Y343" s="30" t="n">
        <v>76211850</v>
      </c>
      <c r="Z343" s="30" t="n">
        <v>3022561971000</v>
      </c>
      <c r="AA343" s="30" t="n">
        <v>12127631400</v>
      </c>
      <c r="AB343" s="30" t="n">
        <v>16355425565</v>
      </c>
      <c r="AC343" s="35" t="n">
        <v>0.004012368155345921</v>
      </c>
      <c r="AD343" s="24" t="inlineStr">
        <is>
          <t>yfinance_download</t>
        </is>
      </c>
      <c r="AE343" s="24" t="inlineStr">
        <is>
          <t>058470.KQ</t>
        </is>
      </c>
    </row>
    <row r="344" ht="24" customHeight="1">
      <c r="A344" s="29" t="inlineStr">
        <is>
          <t>2024-10-18</t>
        </is>
      </c>
      <c r="B344" s="31" t="n">
        <v>39980</v>
      </c>
      <c r="C344" s="31" t="n">
        <v>39980</v>
      </c>
      <c r="D344" s="31" t="n">
        <v>36820</v>
      </c>
      <c r="E344" s="31" t="n">
        <v>36860</v>
      </c>
      <c r="F344" s="31" t="n">
        <v>32352.626953125</v>
      </c>
      <c r="G344" s="31" t="n">
        <v>792585</v>
      </c>
      <c r="H344" s="36" t="n">
        <v>-0.07060010085728696</v>
      </c>
      <c r="I344" s="36" t="n">
        <v>-0.3815436241610738</v>
      </c>
      <c r="J344" s="31" t="n">
        <v>38570</v>
      </c>
      <c r="K344" s="31" t="n">
        <v>39081.66666666666</v>
      </c>
      <c r="L344" s="31" t="n">
        <v>45301.66666666666</v>
      </c>
      <c r="M344" s="36" t="n">
        <v>0.5094025741449993</v>
      </c>
      <c r="N344" s="36" t="n">
        <v>0.5611140818318038</v>
      </c>
      <c r="O344" s="36" t="n">
        <v>0.01430930104567962</v>
      </c>
      <c r="P344" s="36" t="n">
        <v>-0.1881057268722467</v>
      </c>
      <c r="Q344" s="36" t="n">
        <v>-0.3161410018552876</v>
      </c>
      <c r="R344" s="36" t="n">
        <v>-0.04433497536945807</v>
      </c>
      <c r="S344" s="36" t="n">
        <v>-0.0568467738496311</v>
      </c>
      <c r="T344" s="36" t="n">
        <v>-0.1863434016408521</v>
      </c>
      <c r="U344" s="31" t="n">
        <v>59600</v>
      </c>
      <c r="V344" s="31" t="n">
        <v>27500</v>
      </c>
      <c r="W344" s="36" t="n">
        <v>-0.3815436241610738</v>
      </c>
      <c r="X344" s="36" t="n">
        <v>0.3403636363636364</v>
      </c>
      <c r="Y344" s="31" t="n">
        <v>76211850</v>
      </c>
      <c r="Z344" s="31" t="n">
        <v>2809168791000</v>
      </c>
      <c r="AA344" s="31" t="n">
        <v>29214683100</v>
      </c>
      <c r="AB344" s="31" t="n">
        <v>16408329950</v>
      </c>
      <c r="AC344" s="36" t="n">
        <v>0.01039976066714035</v>
      </c>
      <c r="AD344" s="29" t="inlineStr">
        <is>
          <t>yfinance_download</t>
        </is>
      </c>
      <c r="AE344" s="29" t="inlineStr">
        <is>
          <t>058470.KQ</t>
        </is>
      </c>
    </row>
    <row r="345" ht="24" customHeight="1">
      <c r="A345" s="24" t="inlineStr">
        <is>
          <t>2024-10-21</t>
        </is>
      </c>
      <c r="B345" s="30" t="n">
        <v>36860</v>
      </c>
      <c r="C345" s="30" t="n">
        <v>37700</v>
      </c>
      <c r="D345" s="30" t="n">
        <v>36660</v>
      </c>
      <c r="E345" s="30" t="n">
        <v>37300</v>
      </c>
      <c r="F345" s="30" t="n">
        <v>32738.822265625</v>
      </c>
      <c r="G345" s="30" t="n">
        <v>269515</v>
      </c>
      <c r="H345" s="35" t="n">
        <v>0.01193705914270216</v>
      </c>
      <c r="I345" s="35" t="n">
        <v>-0.3741610738255033</v>
      </c>
      <c r="J345" s="30" t="n">
        <v>38644</v>
      </c>
      <c r="K345" s="30" t="n">
        <v>38946.66666666666</v>
      </c>
      <c r="L345" s="30" t="n">
        <v>45156.66666666666</v>
      </c>
      <c r="M345" s="35" t="n">
        <v>0.5073171720902709</v>
      </c>
      <c r="N345" s="35" t="n">
        <v>0.5619058805642803</v>
      </c>
      <c r="O345" s="35" t="n">
        <v>0.04131769960915688</v>
      </c>
      <c r="P345" s="35" t="n">
        <v>-0.1784140969162996</v>
      </c>
      <c r="Q345" s="35" t="n">
        <v>-0.3180987202925045</v>
      </c>
      <c r="R345" s="35" t="n">
        <v>-0.03477900838422521</v>
      </c>
      <c r="S345" s="35" t="n">
        <v>-0.04228004108182126</v>
      </c>
      <c r="T345" s="35" t="n">
        <v>-0.1739868605595334</v>
      </c>
      <c r="U345" s="30" t="n">
        <v>59600</v>
      </c>
      <c r="V345" s="30" t="n">
        <v>27500</v>
      </c>
      <c r="W345" s="35" t="n">
        <v>-0.3741610738255033</v>
      </c>
      <c r="X345" s="35" t="n">
        <v>0.3563636363636364</v>
      </c>
      <c r="Y345" s="30" t="n">
        <v>76211850</v>
      </c>
      <c r="Z345" s="30" t="n">
        <v>2842702005000</v>
      </c>
      <c r="AA345" s="30" t="n">
        <v>10052909500</v>
      </c>
      <c r="AB345" s="30" t="n">
        <v>16476040030</v>
      </c>
      <c r="AC345" s="35" t="n">
        <v>0.003536392306445783</v>
      </c>
      <c r="AD345" s="24" t="inlineStr">
        <is>
          <t>yfinance_download</t>
        </is>
      </c>
      <c r="AE345" s="24" t="inlineStr">
        <is>
          <t>058470.KQ</t>
        </is>
      </c>
    </row>
    <row r="346" ht="24" customHeight="1">
      <c r="A346" s="29" t="inlineStr">
        <is>
          <t>2024-10-22</t>
        </is>
      </c>
      <c r="B346" s="31" t="n">
        <v>37160</v>
      </c>
      <c r="C346" s="31" t="n">
        <v>37420</v>
      </c>
      <c r="D346" s="31" t="n">
        <v>36000</v>
      </c>
      <c r="E346" s="31" t="n">
        <v>36000</v>
      </c>
      <c r="F346" s="31" t="n">
        <v>31597.791015625</v>
      </c>
      <c r="G346" s="31" t="n">
        <v>450810</v>
      </c>
      <c r="H346" s="36" t="n">
        <v>-0.0348525469168901</v>
      </c>
      <c r="I346" s="36" t="n">
        <v>-0.3959731543624161</v>
      </c>
      <c r="J346" s="31" t="n">
        <v>38631</v>
      </c>
      <c r="K346" s="31" t="n">
        <v>38815</v>
      </c>
      <c r="L346" s="31" t="n">
        <v>45040.83333333334</v>
      </c>
      <c r="M346" s="36" t="n">
        <v>0.5226394428884794</v>
      </c>
      <c r="N346" s="36" t="n">
        <v>0.5623367465288858</v>
      </c>
      <c r="O346" s="36" t="n">
        <v>-0.007170435741864267</v>
      </c>
      <c r="P346" s="36" t="n">
        <v>-0.1799544419134397</v>
      </c>
      <c r="Q346" s="36" t="n">
        <v>-0.2785571142284569</v>
      </c>
      <c r="R346" s="36" t="n">
        <v>-0.0681059252931584</v>
      </c>
      <c r="S346" s="36" t="n">
        <v>-0.07252350895272441</v>
      </c>
      <c r="T346" s="36" t="n">
        <v>-0.2007252678125405</v>
      </c>
      <c r="U346" s="31" t="n">
        <v>59600</v>
      </c>
      <c r="V346" s="31" t="n">
        <v>27500</v>
      </c>
      <c r="W346" s="36" t="n">
        <v>-0.3959731543624161</v>
      </c>
      <c r="X346" s="36" t="n">
        <v>0.3090909090909091</v>
      </c>
      <c r="Y346" s="31" t="n">
        <v>76211850</v>
      </c>
      <c r="Z346" s="31" t="n">
        <v>2743626600000</v>
      </c>
      <c r="AA346" s="31" t="n">
        <v>16229160000</v>
      </c>
      <c r="AB346" s="31" t="n">
        <v>16565470780</v>
      </c>
      <c r="AC346" s="36" t="n">
        <v>0.005915221845421676</v>
      </c>
      <c r="AD346" s="29" t="inlineStr">
        <is>
          <t>yfinance_download</t>
        </is>
      </c>
      <c r="AE346" s="29" t="inlineStr">
        <is>
          <t>058470.KQ</t>
        </is>
      </c>
    </row>
    <row r="347" ht="24" customHeight="1">
      <c r="A347" s="24" t="inlineStr">
        <is>
          <t>2024-10-23</t>
        </is>
      </c>
      <c r="B347" s="30" t="n">
        <v>35800</v>
      </c>
      <c r="C347" s="30" t="n">
        <v>37680</v>
      </c>
      <c r="D347" s="30" t="n">
        <v>35780</v>
      </c>
      <c r="E347" s="30" t="n">
        <v>37620</v>
      </c>
      <c r="F347" s="30" t="n">
        <v>33019.69140625</v>
      </c>
      <c r="G347" s="30" t="n">
        <v>531710</v>
      </c>
      <c r="H347" s="35" t="n">
        <v>0.04499999999999993</v>
      </c>
      <c r="I347" s="35" t="n">
        <v>-0.3687919463087248</v>
      </c>
      <c r="J347" s="30" t="n">
        <v>38722</v>
      </c>
      <c r="K347" s="30" t="n">
        <v>38735.33333333334</v>
      </c>
      <c r="L347" s="30" t="n">
        <v>44950.16666666666</v>
      </c>
      <c r="M347" s="35" t="n">
        <v>0.5435308656291982</v>
      </c>
      <c r="N347" s="35" t="n">
        <v>0.5667919415826568</v>
      </c>
      <c r="O347" s="35" t="n">
        <v>0.05083798882681556</v>
      </c>
      <c r="P347" s="35" t="n">
        <v>-0.1127358490566037</v>
      </c>
      <c r="Q347" s="35" t="n">
        <v>-0.2243298969072165</v>
      </c>
      <c r="R347" s="35" t="n">
        <v>-0.02845927379784097</v>
      </c>
      <c r="S347" s="35" t="n">
        <v>-0.02879369395728282</v>
      </c>
      <c r="T347" s="35" t="n">
        <v>-0.1630731810412271</v>
      </c>
      <c r="U347" s="30" t="n">
        <v>59600</v>
      </c>
      <c r="V347" s="30" t="n">
        <v>27500</v>
      </c>
      <c r="W347" s="35" t="n">
        <v>-0.3687919463087248</v>
      </c>
      <c r="X347" s="35" t="n">
        <v>0.3680000000000001</v>
      </c>
      <c r="Y347" s="30" t="n">
        <v>76211850</v>
      </c>
      <c r="Z347" s="30" t="n">
        <v>2867089797000</v>
      </c>
      <c r="AA347" s="30" t="n">
        <v>20002930200</v>
      </c>
      <c r="AB347" s="30" t="n">
        <v>16878328890</v>
      </c>
      <c r="AC347" s="35" t="n">
        <v>0.006976736557372639</v>
      </c>
      <c r="AD347" s="24" t="inlineStr">
        <is>
          <t>yfinance_download</t>
        </is>
      </c>
      <c r="AE347" s="24" t="inlineStr">
        <is>
          <t>058470.KQ</t>
        </is>
      </c>
    </row>
    <row r="348" ht="24" customHeight="1">
      <c r="A348" s="29" t="inlineStr">
        <is>
          <t>2024-10-24</t>
        </is>
      </c>
      <c r="B348" s="31" t="n">
        <v>37500</v>
      </c>
      <c r="C348" s="31" t="n">
        <v>37500</v>
      </c>
      <c r="D348" s="31" t="n">
        <v>36100</v>
      </c>
      <c r="E348" s="31" t="n">
        <v>36180</v>
      </c>
      <c r="F348" s="31" t="n">
        <v>31755.78125</v>
      </c>
      <c r="G348" s="31" t="n">
        <v>377205</v>
      </c>
      <c r="H348" s="36" t="n">
        <v>-0.03827751196172247</v>
      </c>
      <c r="I348" s="36" t="n">
        <v>-0.3929530201342282</v>
      </c>
      <c r="J348" s="31" t="n">
        <v>38641</v>
      </c>
      <c r="K348" s="31" t="n">
        <v>38641.66666666666</v>
      </c>
      <c r="L348" s="31" t="n">
        <v>44824.16666666666</v>
      </c>
      <c r="M348" s="36" t="n">
        <v>0.5245814865365337</v>
      </c>
      <c r="N348" s="36" t="n">
        <v>0.5712560492037918</v>
      </c>
      <c r="O348" s="36" t="n">
        <v>-0.04285714285714282</v>
      </c>
      <c r="P348" s="36" t="n">
        <v>-0.1344497607655503</v>
      </c>
      <c r="Q348" s="36" t="n">
        <v>-0.2947368421052632</v>
      </c>
      <c r="R348" s="36" t="n">
        <v>-0.06368882792888386</v>
      </c>
      <c r="S348" s="36" t="n">
        <v>-0.06370498166918259</v>
      </c>
      <c r="T348" s="36" t="n">
        <v>-0.1928461209540984</v>
      </c>
      <c r="U348" s="31" t="n">
        <v>59600</v>
      </c>
      <c r="V348" s="31" t="n">
        <v>27500</v>
      </c>
      <c r="W348" s="36" t="n">
        <v>-0.3929530201342282</v>
      </c>
      <c r="X348" s="36" t="n">
        <v>0.3156363636363637</v>
      </c>
      <c r="Y348" s="31" t="n">
        <v>76211850</v>
      </c>
      <c r="Z348" s="31" t="n">
        <v>2757344733000</v>
      </c>
      <c r="AA348" s="31" t="n">
        <v>13647276900</v>
      </c>
      <c r="AB348" s="31" t="n">
        <v>16479886785</v>
      </c>
      <c r="AC348" s="36" t="n">
        <v>0.00494942715601314</v>
      </c>
      <c r="AD348" s="29" t="inlineStr">
        <is>
          <t>yfinance_download</t>
        </is>
      </c>
      <c r="AE348" s="29" t="inlineStr">
        <is>
          <t>058470.KQ</t>
        </is>
      </c>
    </row>
    <row r="349" ht="24" customHeight="1">
      <c r="A349" s="24" t="inlineStr">
        <is>
          <t>2024-10-25</t>
        </is>
      </c>
      <c r="B349" s="30" t="n">
        <v>36480</v>
      </c>
      <c r="C349" s="30" t="n">
        <v>36720</v>
      </c>
      <c r="D349" s="30" t="n">
        <v>35820</v>
      </c>
      <c r="E349" s="30" t="n">
        <v>36120</v>
      </c>
      <c r="F349" s="30" t="n">
        <v>31703.119140625</v>
      </c>
      <c r="G349" s="30" t="n">
        <v>277105</v>
      </c>
      <c r="H349" s="35" t="n">
        <v>-0.001658374792703143</v>
      </c>
      <c r="I349" s="35" t="n">
        <v>-0.3939597315436242</v>
      </c>
      <c r="J349" s="30" t="n">
        <v>38482</v>
      </c>
      <c r="K349" s="30" t="n">
        <v>38537</v>
      </c>
      <c r="L349" s="30" t="n">
        <v>44706.83333333334</v>
      </c>
      <c r="M349" s="35" t="n">
        <v>0.5013763549341117</v>
      </c>
      <c r="N349" s="35" t="n">
        <v>0.5702679250077348</v>
      </c>
      <c r="O349" s="35" t="n">
        <v>-0.08091603053435115</v>
      </c>
      <c r="P349" s="35" t="n">
        <v>-0.1481132075471698</v>
      </c>
      <c r="Q349" s="35" t="n">
        <v>-0.2804780876494024</v>
      </c>
      <c r="R349" s="35" t="n">
        <v>-0.06137934618782803</v>
      </c>
      <c r="S349" s="35" t="n">
        <v>-0.0627189454290682</v>
      </c>
      <c r="T349" s="35" t="n">
        <v>-0.1920698178130861</v>
      </c>
      <c r="U349" s="30" t="n">
        <v>59600</v>
      </c>
      <c r="V349" s="30" t="n">
        <v>27500</v>
      </c>
      <c r="W349" s="35" t="n">
        <v>-0.3939597315436242</v>
      </c>
      <c r="X349" s="35" t="n">
        <v>0.3134545454545454</v>
      </c>
      <c r="Y349" s="30" t="n">
        <v>76211850</v>
      </c>
      <c r="Z349" s="30" t="n">
        <v>2752772022000</v>
      </c>
      <c r="AA349" s="30" t="n">
        <v>10009032600</v>
      </c>
      <c r="AB349" s="30" t="n">
        <v>15910346790</v>
      </c>
      <c r="AC349" s="35" t="n">
        <v>0.003635983118110898</v>
      </c>
      <c r="AD349" s="24" t="inlineStr">
        <is>
          <t>yfinance_download</t>
        </is>
      </c>
      <c r="AE349" s="24" t="inlineStr">
        <is>
          <t>058470.KQ</t>
        </is>
      </c>
    </row>
    <row r="350" ht="24" customHeight="1">
      <c r="A350" s="29" t="inlineStr">
        <is>
          <t>2024-10-28</t>
        </is>
      </c>
      <c r="B350" s="31" t="n">
        <v>36200</v>
      </c>
      <c r="C350" s="31" t="n">
        <v>36500</v>
      </c>
      <c r="D350" s="31" t="n">
        <v>35900</v>
      </c>
      <c r="E350" s="31" t="n">
        <v>36060</v>
      </c>
      <c r="F350" s="31" t="n">
        <v>31650.455078125</v>
      </c>
      <c r="G350" s="31" t="n">
        <v>254805</v>
      </c>
      <c r="H350" s="36" t="n">
        <v>-0.001661129568106268</v>
      </c>
      <c r="I350" s="36" t="n">
        <v>-0.3949664429530201</v>
      </c>
      <c r="J350" s="31" t="n">
        <v>38317</v>
      </c>
      <c r="K350" s="31" t="n">
        <v>38459.66666666666</v>
      </c>
      <c r="L350" s="31" t="n">
        <v>44584.83333333334</v>
      </c>
      <c r="M350" s="36" t="n">
        <v>0.5010605447693842</v>
      </c>
      <c r="N350" s="36" t="n">
        <v>0.5647238884392765</v>
      </c>
      <c r="O350" s="36" t="n">
        <v>-0.08384146341463417</v>
      </c>
      <c r="P350" s="36" t="n">
        <v>-0.114004914004914</v>
      </c>
      <c r="Q350" s="36" t="n">
        <v>-0.2887573964497041</v>
      </c>
      <c r="R350" s="36" t="n">
        <v>-0.05890335882245479</v>
      </c>
      <c r="S350" s="36" t="n">
        <v>-0.06239436985933311</v>
      </c>
      <c r="T350" s="36" t="n">
        <v>-0.1912047818951886</v>
      </c>
      <c r="U350" s="31" t="n">
        <v>59600</v>
      </c>
      <c r="V350" s="31" t="n">
        <v>27500</v>
      </c>
      <c r="W350" s="36" t="n">
        <v>-0.3949664429530201</v>
      </c>
      <c r="X350" s="36" t="n">
        <v>0.3112727272727274</v>
      </c>
      <c r="Y350" s="31" t="n">
        <v>76211850</v>
      </c>
      <c r="Z350" s="31" t="n">
        <v>2748199311000</v>
      </c>
      <c r="AA350" s="31" t="n">
        <v>9188268300</v>
      </c>
      <c r="AB350" s="31" t="n">
        <v>15510108285</v>
      </c>
      <c r="AC350" s="36" t="n">
        <v>0.003343377703073734</v>
      </c>
      <c r="AD350" s="29" t="inlineStr">
        <is>
          <t>yfinance_download</t>
        </is>
      </c>
      <c r="AE350" s="29" t="inlineStr">
        <is>
          <t>058470.KQ</t>
        </is>
      </c>
    </row>
    <row r="351" ht="24" customHeight="1">
      <c r="A351" s="24" t="inlineStr">
        <is>
          <t>2024-10-29</t>
        </is>
      </c>
      <c r="B351" s="30" t="n">
        <v>36040</v>
      </c>
      <c r="C351" s="30" t="n">
        <v>36180</v>
      </c>
      <c r="D351" s="30" t="n">
        <v>35000</v>
      </c>
      <c r="E351" s="30" t="n">
        <v>36180</v>
      </c>
      <c r="F351" s="30" t="n">
        <v>31755.78125</v>
      </c>
      <c r="G351" s="30" t="n">
        <v>266145</v>
      </c>
      <c r="H351" s="35" t="n">
        <v>0.003327787021630613</v>
      </c>
      <c r="I351" s="35" t="n">
        <v>-0.3929530201342282</v>
      </c>
      <c r="J351" s="30" t="n">
        <v>38116</v>
      </c>
      <c r="K351" s="30" t="n">
        <v>38394.33333333334</v>
      </c>
      <c r="L351" s="30" t="n">
        <v>44461.33333333334</v>
      </c>
      <c r="M351" s="35" t="n">
        <v>0.4930450716807963</v>
      </c>
      <c r="N351" s="35" t="n">
        <v>0.5641131549893869</v>
      </c>
      <c r="O351" s="35" t="n">
        <v>-0.09999999999999998</v>
      </c>
      <c r="P351" s="35" t="n">
        <v>-0.09775561097256857</v>
      </c>
      <c r="Q351" s="35" t="n">
        <v>-0.2905882352941176</v>
      </c>
      <c r="R351" s="35" t="n">
        <v>-0.05079231818658836</v>
      </c>
      <c r="S351" s="35" t="n">
        <v>-0.05767344139326125</v>
      </c>
      <c r="T351" s="35" t="n">
        <v>-0.1862592214958316</v>
      </c>
      <c r="U351" s="30" t="n">
        <v>59600</v>
      </c>
      <c r="V351" s="30" t="n">
        <v>27500</v>
      </c>
      <c r="W351" s="35" t="n">
        <v>-0.3929530201342282</v>
      </c>
      <c r="X351" s="35" t="n">
        <v>0.3156363636363637</v>
      </c>
      <c r="Y351" s="30" t="n">
        <v>76211850</v>
      </c>
      <c r="Z351" s="30" t="n">
        <v>2757344733000</v>
      </c>
      <c r="AA351" s="30" t="n">
        <v>9629126100</v>
      </c>
      <c r="AB351" s="30" t="n">
        <v>15123576240</v>
      </c>
      <c r="AC351" s="35" t="n">
        <v>0.003492173461213709</v>
      </c>
      <c r="AD351" s="24" t="inlineStr">
        <is>
          <t>yfinance_download</t>
        </is>
      </c>
      <c r="AE351" s="24" t="inlineStr">
        <is>
          <t>058470.KQ</t>
        </is>
      </c>
    </row>
    <row r="352" ht="24" customHeight="1">
      <c r="A352" s="29" t="inlineStr">
        <is>
          <t>2024-10-30</t>
        </is>
      </c>
      <c r="B352" s="31" t="n">
        <v>36220</v>
      </c>
      <c r="C352" s="31" t="n">
        <v>36580</v>
      </c>
      <c r="D352" s="31" t="n">
        <v>35540</v>
      </c>
      <c r="E352" s="31" t="n">
        <v>35740</v>
      </c>
      <c r="F352" s="31" t="n">
        <v>31369.5859375</v>
      </c>
      <c r="G352" s="31" t="n">
        <v>217955</v>
      </c>
      <c r="H352" s="36" t="n">
        <v>-0.01216141514648972</v>
      </c>
      <c r="I352" s="36" t="n">
        <v>-0.4003355704697986</v>
      </c>
      <c r="J352" s="31" t="n">
        <v>37913</v>
      </c>
      <c r="K352" s="31" t="n">
        <v>38321.66666666666</v>
      </c>
      <c r="L352" s="31" t="n">
        <v>44340.83333333334</v>
      </c>
      <c r="M352" s="36" t="n">
        <v>0.493414265870083</v>
      </c>
      <c r="N352" s="36" t="n">
        <v>0.564563170740222</v>
      </c>
      <c r="O352" s="36" t="n">
        <v>-0.1020100502512563</v>
      </c>
      <c r="P352" s="36" t="n">
        <v>-0.1087281795511222</v>
      </c>
      <c r="Q352" s="36" t="n">
        <v>-0.2880478087649403</v>
      </c>
      <c r="R352" s="36" t="n">
        <v>-0.05731543270118433</v>
      </c>
      <c r="S352" s="36" t="n">
        <v>-0.06736832949158433</v>
      </c>
      <c r="T352" s="36" t="n">
        <v>-0.1939709447649834</v>
      </c>
      <c r="U352" s="31" t="n">
        <v>59600</v>
      </c>
      <c r="V352" s="31" t="n">
        <v>27500</v>
      </c>
      <c r="W352" s="36" t="n">
        <v>-0.4003355704697986</v>
      </c>
      <c r="X352" s="36" t="n">
        <v>0.2996363636363637</v>
      </c>
      <c r="Y352" s="31" t="n">
        <v>76211850</v>
      </c>
      <c r="Z352" s="31" t="n">
        <v>2723811519000</v>
      </c>
      <c r="AA352" s="31" t="n">
        <v>7789711700</v>
      </c>
      <c r="AB352" s="31" t="n">
        <v>14860709975</v>
      </c>
      <c r="AC352" s="36" t="n">
        <v>0.002859857095714118</v>
      </c>
      <c r="AD352" s="29" t="inlineStr">
        <is>
          <t>yfinance_download</t>
        </is>
      </c>
      <c r="AE352" s="29" t="inlineStr">
        <is>
          <t>058470.KQ</t>
        </is>
      </c>
    </row>
    <row r="353" ht="24" customHeight="1">
      <c r="A353" s="24" t="inlineStr">
        <is>
          <t>2024-10-31</t>
        </is>
      </c>
      <c r="B353" s="30" t="n">
        <v>35220</v>
      </c>
      <c r="C353" s="30" t="n">
        <v>36520</v>
      </c>
      <c r="D353" s="30" t="n">
        <v>35120</v>
      </c>
      <c r="E353" s="30" t="n">
        <v>36520</v>
      </c>
      <c r="F353" s="30" t="n">
        <v>32054.205078125</v>
      </c>
      <c r="G353" s="30" t="n">
        <v>318005</v>
      </c>
      <c r="H353" s="35" t="n">
        <v>0.02182428651371016</v>
      </c>
      <c r="I353" s="35" t="n">
        <v>-0.387248322147651</v>
      </c>
      <c r="J353" s="30" t="n">
        <v>37849</v>
      </c>
      <c r="K353" s="30" t="n">
        <v>38273.33333333334</v>
      </c>
      <c r="L353" s="30" t="n">
        <v>44212.66666666666</v>
      </c>
      <c r="M353" s="35" t="n">
        <v>0.4713913698581227</v>
      </c>
      <c r="N353" s="35" t="n">
        <v>0.5655607548064829</v>
      </c>
      <c r="O353" s="35" t="n">
        <v>-0.03386243386243382</v>
      </c>
      <c r="P353" s="35" t="n">
        <v>-0.07356671740233389</v>
      </c>
      <c r="Q353" s="35" t="n">
        <v>-0.2963391136801542</v>
      </c>
      <c r="R353" s="35" t="n">
        <v>-0.03511321303072734</v>
      </c>
      <c r="S353" s="35" t="n">
        <v>-0.04581083434941657</v>
      </c>
      <c r="T353" s="35" t="n">
        <v>-0.1739923702106485</v>
      </c>
      <c r="U353" s="30" t="n">
        <v>59600</v>
      </c>
      <c r="V353" s="30" t="n">
        <v>27500</v>
      </c>
      <c r="W353" s="35" t="n">
        <v>-0.387248322147651</v>
      </c>
      <c r="X353" s="35" t="n">
        <v>0.3280000000000001</v>
      </c>
      <c r="Y353" s="30" t="n">
        <v>76211850</v>
      </c>
      <c r="Z353" s="30" t="n">
        <v>2783256762000</v>
      </c>
      <c r="AA353" s="30" t="n">
        <v>11613542600</v>
      </c>
      <c r="AB353" s="30" t="n">
        <v>14407160205</v>
      </c>
      <c r="AC353" s="35" t="n">
        <v>0.004172645067663362</v>
      </c>
      <c r="AD353" s="24" t="inlineStr">
        <is>
          <t>yfinance_download</t>
        </is>
      </c>
      <c r="AE353" s="24" t="inlineStr">
        <is>
          <t>058470.KQ</t>
        </is>
      </c>
    </row>
    <row r="354" ht="24" customHeight="1">
      <c r="A354" s="29" t="inlineStr">
        <is>
          <t>2024-11-01</t>
        </is>
      </c>
      <c r="B354" s="31" t="n">
        <v>36100</v>
      </c>
      <c r="C354" s="31" t="n">
        <v>36140</v>
      </c>
      <c r="D354" s="31" t="n">
        <v>34600</v>
      </c>
      <c r="E354" s="31" t="n">
        <v>34660</v>
      </c>
      <c r="F354" s="31" t="n">
        <v>30421.65234375</v>
      </c>
      <c r="G354" s="31" t="n">
        <v>360865</v>
      </c>
      <c r="H354" s="36" t="n">
        <v>-0.05093099671412926</v>
      </c>
      <c r="I354" s="36" t="n">
        <v>-0.4184563758389261</v>
      </c>
      <c r="J354" s="31" t="n">
        <v>37682</v>
      </c>
      <c r="K354" s="31" t="n">
        <v>38182.66666666666</v>
      </c>
      <c r="L354" s="31" t="n">
        <v>44044.83333333334</v>
      </c>
      <c r="M354" s="36" t="n">
        <v>0.502205673847736</v>
      </c>
      <c r="N354" s="36" t="n">
        <v>0.5735502082129239</v>
      </c>
      <c r="O354" s="36" t="n">
        <v>-0.08789473684210525</v>
      </c>
      <c r="P354" s="36" t="n">
        <v>-0.1356608478802993</v>
      </c>
      <c r="Q354" s="36" t="n">
        <v>-0.3675182481751825</v>
      </c>
      <c r="R354" s="36" t="n">
        <v>-0.08019744174937637</v>
      </c>
      <c r="S354" s="36" t="n">
        <v>-0.09225826727660014</v>
      </c>
      <c r="T354" s="36" t="n">
        <v>-0.2130745566070936</v>
      </c>
      <c r="U354" s="31" t="n">
        <v>59600</v>
      </c>
      <c r="V354" s="31" t="n">
        <v>27500</v>
      </c>
      <c r="W354" s="36" t="n">
        <v>-0.4184563758389261</v>
      </c>
      <c r="X354" s="36" t="n">
        <v>0.2603636363636364</v>
      </c>
      <c r="Y354" s="31" t="n">
        <v>76211850</v>
      </c>
      <c r="Z354" s="31" t="n">
        <v>2641502721000</v>
      </c>
      <c r="AA354" s="31" t="n">
        <v>12507580900</v>
      </c>
      <c r="AB354" s="31" t="n">
        <v>14481786250</v>
      </c>
      <c r="AC354" s="36" t="n">
        <v>0.004735024802573353</v>
      </c>
      <c r="AD354" s="29" t="inlineStr">
        <is>
          <t>yfinance_download</t>
        </is>
      </c>
      <c r="AE354" s="29" t="inlineStr">
        <is>
          <t>058470.KQ</t>
        </is>
      </c>
    </row>
    <row r="355" ht="24" customHeight="1">
      <c r="A355" s="24" t="inlineStr">
        <is>
          <t>2024-11-04</t>
        </is>
      </c>
      <c r="B355" s="30" t="n">
        <v>34660</v>
      </c>
      <c r="C355" s="30" t="n">
        <v>36400</v>
      </c>
      <c r="D355" s="30" t="n">
        <v>34360</v>
      </c>
      <c r="E355" s="30" t="n">
        <v>36260</v>
      </c>
      <c r="F355" s="30" t="n">
        <v>31826</v>
      </c>
      <c r="G355" s="30" t="n">
        <v>480985</v>
      </c>
      <c r="H355" s="35" t="n">
        <v>0.04616272360069251</v>
      </c>
      <c r="I355" s="35" t="n">
        <v>-0.3916107382550336</v>
      </c>
      <c r="J355" s="30" t="n">
        <v>37541</v>
      </c>
      <c r="K355" s="30" t="n">
        <v>38115.33333333334</v>
      </c>
      <c r="L355" s="30" t="n">
        <v>43850.33333333334</v>
      </c>
      <c r="M355" s="35" t="n">
        <v>0.5210432255407152</v>
      </c>
      <c r="N355" s="35" t="n">
        <v>0.5817747745413475</v>
      </c>
      <c r="O355" s="35" t="n">
        <v>-0.07215967246673494</v>
      </c>
      <c r="P355" s="35" t="n">
        <v>-0.1002481389578164</v>
      </c>
      <c r="Q355" s="35" t="n">
        <v>-0.3916107382550336</v>
      </c>
      <c r="R355" s="35" t="n">
        <v>-0.03412269252284172</v>
      </c>
      <c r="S355" s="35" t="n">
        <v>-0.04867682297588027</v>
      </c>
      <c r="T355" s="35" t="n">
        <v>-0.173096365668068</v>
      </c>
      <c r="U355" s="30" t="n">
        <v>59600</v>
      </c>
      <c r="V355" s="30" t="n">
        <v>27500</v>
      </c>
      <c r="W355" s="35" t="n">
        <v>-0.3916107382550336</v>
      </c>
      <c r="X355" s="35" t="n">
        <v>0.3185454545454545</v>
      </c>
      <c r="Y355" s="30" t="n">
        <v>76211850</v>
      </c>
      <c r="Z355" s="30" t="n">
        <v>2763441681000</v>
      </c>
      <c r="AA355" s="30" t="n">
        <v>17440516100</v>
      </c>
      <c r="AB355" s="30" t="n">
        <v>14963139065</v>
      </c>
      <c r="AC355" s="35" t="n">
        <v>0.006311157648056044</v>
      </c>
      <c r="AD355" s="24" t="inlineStr">
        <is>
          <t>yfinance_download</t>
        </is>
      </c>
      <c r="AE355" s="24" t="inlineStr">
        <is>
          <t>058470.KQ</t>
        </is>
      </c>
    </row>
    <row r="356" ht="24" customHeight="1">
      <c r="A356" s="29" t="inlineStr">
        <is>
          <t>2024-11-05</t>
        </is>
      </c>
      <c r="B356" s="31" t="n">
        <v>36220</v>
      </c>
      <c r="C356" s="31" t="n">
        <v>36900</v>
      </c>
      <c r="D356" s="31" t="n">
        <v>35800</v>
      </c>
      <c r="E356" s="31" t="n">
        <v>36300</v>
      </c>
      <c r="F356" s="31" t="n">
        <v>31861.109375</v>
      </c>
      <c r="G356" s="31" t="n">
        <v>214020</v>
      </c>
      <c r="H356" s="36" t="n">
        <v>0.001103143960286879</v>
      </c>
      <c r="I356" s="36" t="n">
        <v>-0.3909395973154363</v>
      </c>
      <c r="J356" s="31" t="n">
        <v>37399</v>
      </c>
      <c r="K356" s="31" t="n">
        <v>38089</v>
      </c>
      <c r="L356" s="31" t="n">
        <v>43662</v>
      </c>
      <c r="M356" s="36" t="n">
        <v>0.5209931452860327</v>
      </c>
      <c r="N356" s="36" t="n">
        <v>0.568658087005255</v>
      </c>
      <c r="O356" s="36" t="n">
        <v>-0.07256004087889623</v>
      </c>
      <c r="P356" s="36" t="n">
        <v>-0.0417106652587117</v>
      </c>
      <c r="Q356" s="36" t="n">
        <v>-0.3837011884550084</v>
      </c>
      <c r="R356" s="36" t="n">
        <v>-0.02938581245487848</v>
      </c>
      <c r="S356" s="36" t="n">
        <v>-0.04696894116411565</v>
      </c>
      <c r="T356" s="36" t="n">
        <v>-0.1686134396042325</v>
      </c>
      <c r="U356" s="31" t="n">
        <v>59600</v>
      </c>
      <c r="V356" s="31" t="n">
        <v>27500</v>
      </c>
      <c r="W356" s="36" t="n">
        <v>-0.3909395973154363</v>
      </c>
      <c r="X356" s="36" t="n">
        <v>0.3200000000000001</v>
      </c>
      <c r="Y356" s="31" t="n">
        <v>76211850</v>
      </c>
      <c r="Z356" s="31" t="n">
        <v>2766490155000</v>
      </c>
      <c r="AA356" s="31" t="n">
        <v>7768926000</v>
      </c>
      <c r="AB356" s="31" t="n">
        <v>14790249270</v>
      </c>
      <c r="AC356" s="36" t="n">
        <v>0.002808224705213166</v>
      </c>
      <c r="AD356" s="29" t="inlineStr">
        <is>
          <t>yfinance_download</t>
        </is>
      </c>
      <c r="AE356" s="29" t="inlineStr">
        <is>
          <t>058470.KQ</t>
        </is>
      </c>
    </row>
    <row r="357" ht="24" customHeight="1">
      <c r="A357" s="24" t="inlineStr">
        <is>
          <t>2024-11-06</t>
        </is>
      </c>
      <c r="B357" s="30" t="n">
        <v>36640</v>
      </c>
      <c r="C357" s="30" t="n">
        <v>36800</v>
      </c>
      <c r="D357" s="30" t="n">
        <v>34820</v>
      </c>
      <c r="E357" s="30" t="n">
        <v>35140</v>
      </c>
      <c r="F357" s="30" t="n">
        <v>30842.95703125</v>
      </c>
      <c r="G357" s="30" t="n">
        <v>339855</v>
      </c>
      <c r="H357" s="35" t="n">
        <v>-0.03195592286501381</v>
      </c>
      <c r="I357" s="35" t="n">
        <v>-0.4104026845637584</v>
      </c>
      <c r="J357" s="30" t="n">
        <v>37224</v>
      </c>
      <c r="K357" s="30" t="n">
        <v>38111.33333333334</v>
      </c>
      <c r="L357" s="30" t="n">
        <v>43466.5</v>
      </c>
      <c r="M357" s="35" t="n">
        <v>0.5300179831142366</v>
      </c>
      <c r="N357" s="35" t="n">
        <v>0.5270907582077314</v>
      </c>
      <c r="O357" s="35" t="n">
        <v>-0.09057971014492749</v>
      </c>
      <c r="P357" s="35" t="n">
        <v>0.03964497041420123</v>
      </c>
      <c r="Q357" s="35" t="n">
        <v>-0.4003412969283277</v>
      </c>
      <c r="R357" s="35" t="n">
        <v>-0.0559853857726198</v>
      </c>
      <c r="S357" s="35" t="n">
        <v>-0.07796455997341134</v>
      </c>
      <c r="T357" s="35" t="n">
        <v>-0.1915613173363395</v>
      </c>
      <c r="U357" s="30" t="n">
        <v>59600</v>
      </c>
      <c r="V357" s="30" t="n">
        <v>27500</v>
      </c>
      <c r="W357" s="35" t="n">
        <v>-0.4104026845637584</v>
      </c>
      <c r="X357" s="35" t="n">
        <v>0.2778181818181817</v>
      </c>
      <c r="Y357" s="30" t="n">
        <v>76211850</v>
      </c>
      <c r="Z357" s="30" t="n">
        <v>2678084409000</v>
      </c>
      <c r="AA357" s="30" t="n">
        <v>11942504700</v>
      </c>
      <c r="AB357" s="30" t="n">
        <v>14900887245</v>
      </c>
      <c r="AC357" s="35" t="n">
        <v>0.004459345889123542</v>
      </c>
      <c r="AD357" s="24" t="inlineStr">
        <is>
          <t>yfinance_download</t>
        </is>
      </c>
      <c r="AE357" s="24" t="inlineStr">
        <is>
          <t>058470.KQ</t>
        </is>
      </c>
    </row>
    <row r="358" ht="24" customHeight="1">
      <c r="A358" s="29" t="inlineStr">
        <is>
          <t>2024-11-07</t>
        </is>
      </c>
      <c r="B358" s="31" t="n">
        <v>34820</v>
      </c>
      <c r="C358" s="31" t="n">
        <v>35900</v>
      </c>
      <c r="D358" s="31" t="n">
        <v>34820</v>
      </c>
      <c r="E358" s="31" t="n">
        <v>35600</v>
      </c>
      <c r="F358" s="31" t="n">
        <v>31246.705078125</v>
      </c>
      <c r="G358" s="31" t="n">
        <v>244380</v>
      </c>
      <c r="H358" s="36" t="n">
        <v>0.01309049516220839</v>
      </c>
      <c r="I358" s="36" t="n">
        <v>-0.4026845637583892</v>
      </c>
      <c r="J358" s="31" t="n">
        <v>37120</v>
      </c>
      <c r="K358" s="31" t="n">
        <v>38083</v>
      </c>
      <c r="L358" s="31" t="n">
        <v>43286.5</v>
      </c>
      <c r="M358" s="36" t="n">
        <v>0.5275224325396569</v>
      </c>
      <c r="N358" s="36" t="n">
        <v>0.4827953712503235</v>
      </c>
      <c r="O358" s="36" t="n">
        <v>-0.05520169851380041</v>
      </c>
      <c r="P358" s="36" t="n">
        <v>-0.04557640750670244</v>
      </c>
      <c r="Q358" s="36" t="n">
        <v>-0.3776223776223776</v>
      </c>
      <c r="R358" s="36" t="n">
        <v>-0.04094827586206895</v>
      </c>
      <c r="S358" s="36" t="n">
        <v>-0.06519969540214798</v>
      </c>
      <c r="T358" s="36" t="n">
        <v>-0.1775726843242119</v>
      </c>
      <c r="U358" s="31" t="n">
        <v>59600</v>
      </c>
      <c r="V358" s="31" t="n">
        <v>27500</v>
      </c>
      <c r="W358" s="36" t="n">
        <v>-0.4026845637583892</v>
      </c>
      <c r="X358" s="36" t="n">
        <v>0.2945454545454544</v>
      </c>
      <c r="Y358" s="31" t="n">
        <v>76211850</v>
      </c>
      <c r="Z358" s="31" t="n">
        <v>2713141860000</v>
      </c>
      <c r="AA358" s="31" t="n">
        <v>8699928000</v>
      </c>
      <c r="AB358" s="31" t="n">
        <v>14217795585</v>
      </c>
      <c r="AC358" s="36" t="n">
        <v>0.003206587951873626</v>
      </c>
      <c r="AD358" s="29" t="inlineStr">
        <is>
          <t>yfinance_download</t>
        </is>
      </c>
      <c r="AE358" s="29" t="inlineStr">
        <is>
          <t>058470.KQ</t>
        </is>
      </c>
    </row>
    <row r="359" ht="24" customHeight="1">
      <c r="A359" s="24" t="inlineStr">
        <is>
          <t>2024-11-08</t>
        </is>
      </c>
      <c r="B359" s="30" t="n">
        <v>36000</v>
      </c>
      <c r="C359" s="30" t="n">
        <v>36580</v>
      </c>
      <c r="D359" s="30" t="n">
        <v>35220</v>
      </c>
      <c r="E359" s="30" t="n">
        <v>35420</v>
      </c>
      <c r="F359" s="30" t="n">
        <v>31088.716796875</v>
      </c>
      <c r="G359" s="30" t="n">
        <v>339040</v>
      </c>
      <c r="H359" s="35" t="n">
        <v>-0.005056179775280945</v>
      </c>
      <c r="I359" s="35" t="n">
        <v>-0.4057046979865772</v>
      </c>
      <c r="J359" s="30" t="n">
        <v>36910</v>
      </c>
      <c r="K359" s="30" t="n">
        <v>38016.66666666666</v>
      </c>
      <c r="L359" s="30" t="n">
        <v>43096.66666666666</v>
      </c>
      <c r="M359" s="35" t="n">
        <v>0.4877311911978853</v>
      </c>
      <c r="N359" s="35" t="n">
        <v>0.4682147584148512</v>
      </c>
      <c r="O359" s="35" t="n">
        <v>-0.1060070671378092</v>
      </c>
      <c r="P359" s="35" t="n">
        <v>-0.101015228426396</v>
      </c>
      <c r="Q359" s="35" t="n">
        <v>-0.3914089347079038</v>
      </c>
      <c r="R359" s="35" t="n">
        <v>-0.04036846383094017</v>
      </c>
      <c r="S359" s="35" t="n">
        <v>-0.06830337571240674</v>
      </c>
      <c r="T359" s="35" t="n">
        <v>-0.178126691932864</v>
      </c>
      <c r="U359" s="30" t="n">
        <v>59600</v>
      </c>
      <c r="V359" s="30" t="n">
        <v>27500</v>
      </c>
      <c r="W359" s="35" t="n">
        <v>-0.4057046979865772</v>
      </c>
      <c r="X359" s="35" t="n">
        <v>0.288</v>
      </c>
      <c r="Y359" s="30" t="n">
        <v>76211850</v>
      </c>
      <c r="Z359" s="30" t="n">
        <v>2699423727000</v>
      </c>
      <c r="AA359" s="30" t="n">
        <v>12008796800</v>
      </c>
      <c r="AB359" s="30" t="n">
        <v>13664005775</v>
      </c>
      <c r="AC359" s="35" t="n">
        <v>0.004448652014089672</v>
      </c>
      <c r="AD359" s="24" t="inlineStr">
        <is>
          <t>yfinance_download</t>
        </is>
      </c>
      <c r="AE359" s="24" t="inlineStr">
        <is>
          <t>058470.KQ</t>
        </is>
      </c>
    </row>
    <row r="360" ht="24" customHeight="1">
      <c r="A360" s="29" t="inlineStr">
        <is>
          <t>2024-11-11</t>
        </is>
      </c>
      <c r="B360" s="31" t="n">
        <v>35080</v>
      </c>
      <c r="C360" s="31" t="n">
        <v>35260</v>
      </c>
      <c r="D360" s="31" t="n">
        <v>33600</v>
      </c>
      <c r="E360" s="31" t="n">
        <v>33640</v>
      </c>
      <c r="F360" s="31" t="n">
        <v>29526.380859375</v>
      </c>
      <c r="G360" s="31" t="n">
        <v>419985</v>
      </c>
      <c r="H360" s="36" t="n">
        <v>-0.05025409373235457</v>
      </c>
      <c r="I360" s="36" t="n">
        <v>-0.4355704697986578</v>
      </c>
      <c r="J360" s="31" t="n">
        <v>36587</v>
      </c>
      <c r="K360" s="31" t="n">
        <v>37936</v>
      </c>
      <c r="L360" s="31" t="n">
        <v>42894.5</v>
      </c>
      <c r="M360" s="36" t="n">
        <v>0.5082899563961453</v>
      </c>
      <c r="N360" s="36" t="n">
        <v>0.476783350547737</v>
      </c>
      <c r="O360" s="36" t="n">
        <v>-0.1610972568578554</v>
      </c>
      <c r="P360" s="36" t="n">
        <v>-0.1257796257796258</v>
      </c>
      <c r="Q360" s="36" t="n">
        <v>-0.4189982728842833</v>
      </c>
      <c r="R360" s="36" t="n">
        <v>-0.08054773553447947</v>
      </c>
      <c r="S360" s="36" t="n">
        <v>-0.113243357233235</v>
      </c>
      <c r="T360" s="36" t="n">
        <v>-0.2157502710137663</v>
      </c>
      <c r="U360" s="31" t="n">
        <v>59600</v>
      </c>
      <c r="V360" s="31" t="n">
        <v>27500</v>
      </c>
      <c r="W360" s="36" t="n">
        <v>-0.4355704697986578</v>
      </c>
      <c r="X360" s="36" t="n">
        <v>0.2232727272727273</v>
      </c>
      <c r="Y360" s="31" t="n">
        <v>76211850</v>
      </c>
      <c r="Z360" s="31" t="n">
        <v>2563766634000</v>
      </c>
      <c r="AA360" s="31" t="n">
        <v>14128295400</v>
      </c>
      <c r="AB360" s="31" t="n">
        <v>13670896095</v>
      </c>
      <c r="AC360" s="36" t="n">
        <v>0.005510757185398334</v>
      </c>
      <c r="AD360" s="29" t="inlineStr">
        <is>
          <t>yfinance_download</t>
        </is>
      </c>
      <c r="AE360" s="29" t="inlineStr">
        <is>
          <t>058470.KQ</t>
        </is>
      </c>
    </row>
    <row r="361" ht="24" customHeight="1">
      <c r="A361" s="24" t="inlineStr">
        <is>
          <t>2024-11-12</t>
        </is>
      </c>
      <c r="B361" s="30" t="n">
        <v>33340</v>
      </c>
      <c r="C361" s="30" t="n">
        <v>33640</v>
      </c>
      <c r="D361" s="30" t="n">
        <v>32120</v>
      </c>
      <c r="E361" s="30" t="n">
        <v>32760</v>
      </c>
      <c r="F361" s="30" t="n">
        <v>28753.990234375</v>
      </c>
      <c r="G361" s="30" t="n">
        <v>496620</v>
      </c>
      <c r="H361" s="35" t="n">
        <v>-0.02615933412604043</v>
      </c>
      <c r="I361" s="35" t="n">
        <v>-0.4503355704697987</v>
      </c>
      <c r="J361" s="30" t="n">
        <v>36175</v>
      </c>
      <c r="K361" s="30" t="n">
        <v>37829.33333333334</v>
      </c>
      <c r="L361" s="30" t="n">
        <v>42720</v>
      </c>
      <c r="M361" s="35" t="n">
        <v>0.4985465563983947</v>
      </c>
      <c r="N361" s="35" t="n">
        <v>0.4776013728078015</v>
      </c>
      <c r="O361" s="35" t="n">
        <v>-0.2009756097560975</v>
      </c>
      <c r="P361" s="35" t="n">
        <v>-0.1634320735444331</v>
      </c>
      <c r="Q361" s="35" t="n">
        <v>-0.3899441340782123</v>
      </c>
      <c r="R361" s="35" t="n">
        <v>-0.09440221147201111</v>
      </c>
      <c r="S361" s="35" t="n">
        <v>-0.1340053573946145</v>
      </c>
      <c r="T361" s="35" t="n">
        <v>-0.2331460674157303</v>
      </c>
      <c r="U361" s="30" t="n">
        <v>59600</v>
      </c>
      <c r="V361" s="30" t="n">
        <v>27820</v>
      </c>
      <c r="W361" s="35" t="n">
        <v>-0.4503355704697987</v>
      </c>
      <c r="X361" s="35" t="n">
        <v>0.1775700934579438</v>
      </c>
      <c r="Y361" s="30" t="n">
        <v>76211850</v>
      </c>
      <c r="Z361" s="30" t="n">
        <v>2496700206000</v>
      </c>
      <c r="AA361" s="30" t="n">
        <v>16269271200</v>
      </c>
      <c r="AB361" s="30" t="n">
        <v>13609163405</v>
      </c>
      <c r="AC361" s="35" t="n">
        <v>0.006516309471558557</v>
      </c>
      <c r="AD361" s="24" t="inlineStr">
        <is>
          <t>yfinance_download</t>
        </is>
      </c>
      <c r="AE361" s="24" t="inlineStr">
        <is>
          <t>058470.KQ</t>
        </is>
      </c>
    </row>
    <row r="362" ht="24" customHeight="1">
      <c r="A362" s="29" t="inlineStr">
        <is>
          <t>2024-11-13</t>
        </is>
      </c>
      <c r="B362" s="31" t="n">
        <v>32440</v>
      </c>
      <c r="C362" s="31" t="n">
        <v>32720</v>
      </c>
      <c r="D362" s="31" t="n">
        <v>30400</v>
      </c>
      <c r="E362" s="31" t="n">
        <v>31100</v>
      </c>
      <c r="F362" s="31" t="n">
        <v>27296.98046875</v>
      </c>
      <c r="G362" s="31" t="n">
        <v>610285</v>
      </c>
      <c r="H362" s="36" t="n">
        <v>-0.05067155067155071</v>
      </c>
      <c r="I362" s="36" t="n">
        <v>-0.4781879194630873</v>
      </c>
      <c r="J362" s="31" t="n">
        <v>35756</v>
      </c>
      <c r="K362" s="31" t="n">
        <v>37671</v>
      </c>
      <c r="L362" s="31" t="n">
        <v>42535.83333333334</v>
      </c>
      <c r="M362" s="36" t="n">
        <v>0.5102924364470998</v>
      </c>
      <c r="N362" s="36" t="n">
        <v>0.4804837000988136</v>
      </c>
      <c r="O362" s="36" t="n">
        <v>-0.2122593718338399</v>
      </c>
      <c r="P362" s="36" t="n">
        <v>-0.2339901477832512</v>
      </c>
      <c r="Q362" s="36" t="n">
        <v>-0.4154135338345865</v>
      </c>
      <c r="R362" s="36" t="n">
        <v>-0.1302159078196666</v>
      </c>
      <c r="S362" s="36" t="n">
        <v>-0.1744312601205171</v>
      </c>
      <c r="T362" s="36" t="n">
        <v>-0.2688517524440178</v>
      </c>
      <c r="U362" s="31" t="n">
        <v>59600</v>
      </c>
      <c r="V362" s="31" t="n">
        <v>28520</v>
      </c>
      <c r="W362" s="36" t="n">
        <v>-0.4781879194630873</v>
      </c>
      <c r="X362" s="36" t="n">
        <v>0.09046283309957914</v>
      </c>
      <c r="Y362" s="31" t="n">
        <v>76211850</v>
      </c>
      <c r="Z362" s="31" t="n">
        <v>2370188535000</v>
      </c>
      <c r="AA362" s="31" t="n">
        <v>18979863500</v>
      </c>
      <c r="AB362" s="31" t="n">
        <v>13462497750</v>
      </c>
      <c r="AC362" s="36" t="n">
        <v>0.008007744202509191</v>
      </c>
      <c r="AD362" s="29" t="inlineStr">
        <is>
          <t>yfinance_download</t>
        </is>
      </c>
      <c r="AE362" s="29" t="inlineStr">
        <is>
          <t>058470.KQ</t>
        </is>
      </c>
    </row>
    <row r="363" ht="24" customHeight="1">
      <c r="A363" s="24" t="inlineStr">
        <is>
          <t>2024-11-14</t>
        </is>
      </c>
      <c r="B363" s="30" t="n">
        <v>31000</v>
      </c>
      <c r="C363" s="30" t="n">
        <v>31200</v>
      </c>
      <c r="D363" s="30" t="n">
        <v>28660</v>
      </c>
      <c r="E363" s="30" t="n">
        <v>30040</v>
      </c>
      <c r="F363" s="30" t="n">
        <v>26366.6015625</v>
      </c>
      <c r="G363" s="30" t="n">
        <v>1143645</v>
      </c>
      <c r="H363" s="35" t="n">
        <v>-0.0340836012861736</v>
      </c>
      <c r="I363" s="35" t="n">
        <v>-0.4959731543624161</v>
      </c>
      <c r="J363" s="30" t="n">
        <v>35275</v>
      </c>
      <c r="K363" s="30" t="n">
        <v>37486.66666666666</v>
      </c>
      <c r="L363" s="30" t="n">
        <v>42338.66666666666</v>
      </c>
      <c r="M363" s="35" t="n">
        <v>0.5127316385270582</v>
      </c>
      <c r="N363" s="35" t="n">
        <v>0.48316381223771</v>
      </c>
      <c r="O363" s="35" t="n">
        <v>-0.2425617750882502</v>
      </c>
      <c r="P363" s="35" t="n">
        <v>-0.2690997566909976</v>
      </c>
      <c r="Q363" s="35" t="n">
        <v>-0.4405959031657356</v>
      </c>
      <c r="R363" s="35" t="n">
        <v>-0.148405386250886</v>
      </c>
      <c r="S363" s="35" t="n">
        <v>-0.1986484083229593</v>
      </c>
      <c r="T363" s="35" t="n">
        <v>-0.2904830887447251</v>
      </c>
      <c r="U363" s="30" t="n">
        <v>59600</v>
      </c>
      <c r="V363" s="30" t="n">
        <v>28520</v>
      </c>
      <c r="W363" s="35" t="n">
        <v>-0.4959731543624161</v>
      </c>
      <c r="X363" s="35" t="n">
        <v>0.05329593267882182</v>
      </c>
      <c r="Y363" s="30" t="n">
        <v>76211850</v>
      </c>
      <c r="Z363" s="30" t="n">
        <v>2289403974000</v>
      </c>
      <c r="AA363" s="30" t="n">
        <v>34355095800</v>
      </c>
      <c r="AB363" s="30" t="n">
        <v>14573870970</v>
      </c>
      <c r="AC363" s="35" t="n">
        <v>0.01500613093633077</v>
      </c>
      <c r="AD363" s="24" t="inlineStr">
        <is>
          <t>yfinance_download</t>
        </is>
      </c>
      <c r="AE363" s="24" t="inlineStr">
        <is>
          <t>058470.KQ</t>
        </is>
      </c>
    </row>
    <row r="364" ht="24" customHeight="1">
      <c r="A364" s="29" t="inlineStr">
        <is>
          <t>2024-11-15</t>
        </is>
      </c>
      <c r="B364" s="31" t="n">
        <v>29800</v>
      </c>
      <c r="C364" s="31" t="n">
        <v>31760</v>
      </c>
      <c r="D364" s="31" t="n">
        <v>29660</v>
      </c>
      <c r="E364" s="31" t="n">
        <v>31080</v>
      </c>
      <c r="F364" s="31" t="n">
        <v>27279.427734375</v>
      </c>
      <c r="G364" s="31" t="n">
        <v>624395</v>
      </c>
      <c r="H364" s="36" t="n">
        <v>0.03462050599201061</v>
      </c>
      <c r="I364" s="36" t="n">
        <v>-0.478523489932886</v>
      </c>
      <c r="J364" s="31" t="n">
        <v>34986</v>
      </c>
      <c r="K364" s="31" t="n">
        <v>37299.66666666666</v>
      </c>
      <c r="L364" s="31" t="n">
        <v>42142.66666666666</v>
      </c>
      <c r="M364" s="36" t="n">
        <v>0.492386809177903</v>
      </c>
      <c r="N364" s="36" t="n">
        <v>0.4849162387587208</v>
      </c>
      <c r="O364" s="36" t="n">
        <v>-0.1568095496473142</v>
      </c>
      <c r="P364" s="36" t="n">
        <v>-0.2652482269503547</v>
      </c>
      <c r="Q364" s="36" t="n">
        <v>-0.4307692307692308</v>
      </c>
      <c r="R364" s="36" t="n">
        <v>-0.1116446578631453</v>
      </c>
      <c r="S364" s="36" t="n">
        <v>-0.1667485857782464</v>
      </c>
      <c r="T364" s="36" t="n">
        <v>-0.2625051412661752</v>
      </c>
      <c r="U364" s="31" t="n">
        <v>59600</v>
      </c>
      <c r="V364" s="31" t="n">
        <v>28520</v>
      </c>
      <c r="W364" s="36" t="n">
        <v>-0.478523489932886</v>
      </c>
      <c r="X364" s="36" t="n">
        <v>0.08976157082748948</v>
      </c>
      <c r="Y364" s="31" t="n">
        <v>76211850</v>
      </c>
      <c r="Z364" s="31" t="n">
        <v>2368664298000</v>
      </c>
      <c r="AA364" s="31" t="n">
        <v>19406196600</v>
      </c>
      <c r="AB364" s="31" t="n">
        <v>14083446645</v>
      </c>
      <c r="AC364" s="36" t="n">
        <v>0.008192886014445261</v>
      </c>
      <c r="AD364" s="29" t="inlineStr">
        <is>
          <t>yfinance_download</t>
        </is>
      </c>
      <c r="AE364" s="29" t="inlineStr">
        <is>
          <t>058470.KQ</t>
        </is>
      </c>
    </row>
    <row r="365" ht="24" customHeight="1">
      <c r="A365" s="24" t="inlineStr">
        <is>
          <t>2024-11-18</t>
        </is>
      </c>
      <c r="B365" s="30" t="n">
        <v>31100</v>
      </c>
      <c r="C365" s="30" t="n">
        <v>31620</v>
      </c>
      <c r="D365" s="30" t="n">
        <v>29920</v>
      </c>
      <c r="E365" s="30" t="n">
        <v>30280</v>
      </c>
      <c r="F365" s="30" t="n">
        <v>26577.25390625</v>
      </c>
      <c r="G365" s="30" t="n">
        <v>446975</v>
      </c>
      <c r="H365" s="35" t="n">
        <v>-0.02574002574002576</v>
      </c>
      <c r="I365" s="35" t="n">
        <v>-0.4919463087248322</v>
      </c>
      <c r="J365" s="30" t="n">
        <v>34635</v>
      </c>
      <c r="K365" s="30" t="n">
        <v>37064.33333333334</v>
      </c>
      <c r="L365" s="30" t="n">
        <v>41936.66666666666</v>
      </c>
      <c r="M365" s="35" t="n">
        <v>0.4902781518421075</v>
      </c>
      <c r="N365" s="35" t="n">
        <v>0.4733268641993968</v>
      </c>
      <c r="O365" s="35" t="n">
        <v>-0.1882037533512064</v>
      </c>
      <c r="P365" s="35" t="n">
        <v>-0.318018018018018</v>
      </c>
      <c r="Q365" s="35" t="n">
        <v>-0.4494545454545454</v>
      </c>
      <c r="R365" s="35" t="n">
        <v>-0.1257398585246138</v>
      </c>
      <c r="S365" s="35" t="n">
        <v>-0.1830420979737933</v>
      </c>
      <c r="T365" s="35" t="n">
        <v>-0.2779588268023209</v>
      </c>
      <c r="U365" s="30" t="n">
        <v>59600</v>
      </c>
      <c r="V365" s="30" t="n">
        <v>28520</v>
      </c>
      <c r="W365" s="35" t="n">
        <v>-0.4919463087248322</v>
      </c>
      <c r="X365" s="35" t="n">
        <v>0.06171107994389913</v>
      </c>
      <c r="Y365" s="30" t="n">
        <v>76211850</v>
      </c>
      <c r="Z365" s="30" t="n">
        <v>2307694818000</v>
      </c>
      <c r="AA365" s="30" t="n">
        <v>13534403000</v>
      </c>
      <c r="AB365" s="30" t="n">
        <v>14257521320</v>
      </c>
      <c r="AC365" s="35" t="n">
        <v>0.005864901586826721</v>
      </c>
      <c r="AD365" s="24" t="inlineStr">
        <is>
          <t>yfinance_download</t>
        </is>
      </c>
      <c r="AE365" s="24" t="inlineStr">
        <is>
          <t>058470.KQ</t>
        </is>
      </c>
    </row>
    <row r="366" ht="24" customHeight="1">
      <c r="A366" s="29" t="inlineStr">
        <is>
          <t>2024-11-19</t>
        </is>
      </c>
      <c r="B366" s="31" t="n">
        <v>30320</v>
      </c>
      <c r="C366" s="31" t="n">
        <v>30780</v>
      </c>
      <c r="D366" s="31" t="n">
        <v>29340</v>
      </c>
      <c r="E366" s="31" t="n">
        <v>30460</v>
      </c>
      <c r="F366" s="31" t="n">
        <v>26735.2421875</v>
      </c>
      <c r="G366" s="31" t="n">
        <v>447685</v>
      </c>
      <c r="H366" s="36" t="n">
        <v>0.005944517833553542</v>
      </c>
      <c r="I366" s="36" t="n">
        <v>-0.4889261744966443</v>
      </c>
      <c r="J366" s="31" t="n">
        <v>34358</v>
      </c>
      <c r="K366" s="31" t="n">
        <v>36873.66666666666</v>
      </c>
      <c r="L366" s="31" t="n">
        <v>41743</v>
      </c>
      <c r="M366" s="36" t="n">
        <v>0.4841060100756386</v>
      </c>
      <c r="N366" s="36" t="n">
        <v>0.4620828087328102</v>
      </c>
      <c r="O366" s="36" t="n">
        <v>-0.1538888888888889</v>
      </c>
      <c r="P366" s="36" t="n">
        <v>-0.2730310262529833</v>
      </c>
      <c r="Q366" s="36" t="n">
        <v>-0.4327746741154562</v>
      </c>
      <c r="R366" s="36" t="n">
        <v>-0.1134524710402235</v>
      </c>
      <c r="S366" s="36" t="n">
        <v>-0.1739362327225391</v>
      </c>
      <c r="T366" s="36" t="n">
        <v>-0.2702968162326618</v>
      </c>
      <c r="U366" s="31" t="n">
        <v>59600</v>
      </c>
      <c r="V366" s="31" t="n">
        <v>28520</v>
      </c>
      <c r="W366" s="36" t="n">
        <v>-0.4889261744966443</v>
      </c>
      <c r="X366" s="36" t="n">
        <v>0.06802244039270677</v>
      </c>
      <c r="Y366" s="31" t="n">
        <v>76211850</v>
      </c>
      <c r="Z366" s="31" t="n">
        <v>2321412951000</v>
      </c>
      <c r="AA366" s="31" t="n">
        <v>13636485100</v>
      </c>
      <c r="AB366" s="31" t="n">
        <v>14127887575</v>
      </c>
      <c r="AC366" s="36" t="n">
        <v>0.005874217723359294</v>
      </c>
      <c r="AD366" s="29" t="inlineStr">
        <is>
          <t>yfinance_download</t>
        </is>
      </c>
      <c r="AE366" s="29" t="inlineStr">
        <is>
          <t>058470.KQ</t>
        </is>
      </c>
    </row>
    <row r="367" ht="24" customHeight="1">
      <c r="A367" s="24" t="inlineStr">
        <is>
          <t>2024-11-20</t>
        </is>
      </c>
      <c r="B367" s="30" t="n">
        <v>30480</v>
      </c>
      <c r="C367" s="30" t="n">
        <v>30980</v>
      </c>
      <c r="D367" s="30" t="n">
        <v>30080</v>
      </c>
      <c r="E367" s="30" t="n">
        <v>30660</v>
      </c>
      <c r="F367" s="30" t="n">
        <v>26910.78515625</v>
      </c>
      <c r="G367" s="30" t="n">
        <v>190340</v>
      </c>
      <c r="H367" s="35" t="n">
        <v>0.006565988181221227</v>
      </c>
      <c r="I367" s="35" t="n">
        <v>-0.4855704697986577</v>
      </c>
      <c r="J367" s="30" t="n">
        <v>34010</v>
      </c>
      <c r="K367" s="30" t="n">
        <v>36701.33333333334</v>
      </c>
      <c r="L367" s="30" t="n">
        <v>41561.83333333334</v>
      </c>
      <c r="M367" s="35" t="n">
        <v>0.4461641028662373</v>
      </c>
      <c r="N367" s="35" t="n">
        <v>0.4613544827190791</v>
      </c>
      <c r="O367" s="35" t="n">
        <v>-0.1850079744816587</v>
      </c>
      <c r="P367" s="35" t="n">
        <v>-0.2521951219512195</v>
      </c>
      <c r="Q367" s="35" t="n">
        <v>-0.4148854961832061</v>
      </c>
      <c r="R367" s="35" t="n">
        <v>-0.09850044104675093</v>
      </c>
      <c r="S367" s="35" t="n">
        <v>-0.1646080069752235</v>
      </c>
      <c r="T367" s="35" t="n">
        <v>-0.2623039567551961</v>
      </c>
      <c r="U367" s="30" t="n">
        <v>59600</v>
      </c>
      <c r="V367" s="30" t="n">
        <v>28720</v>
      </c>
      <c r="W367" s="35" t="n">
        <v>-0.4855704697986577</v>
      </c>
      <c r="X367" s="35" t="n">
        <v>0.06754874651810594</v>
      </c>
      <c r="Y367" s="30" t="n">
        <v>76211850</v>
      </c>
      <c r="Z367" s="30" t="n">
        <v>2336655321000</v>
      </c>
      <c r="AA367" s="30" t="n">
        <v>5835824400</v>
      </c>
      <c r="AB367" s="30" t="n">
        <v>13419532285</v>
      </c>
      <c r="AC367" s="35" t="n">
        <v>0.002497511869873255</v>
      </c>
      <c r="AD367" s="24" t="inlineStr">
        <is>
          <t>yfinance_download</t>
        </is>
      </c>
      <c r="AE367" s="24" t="inlineStr">
        <is>
          <t>058470.KQ</t>
        </is>
      </c>
    </row>
    <row r="368" ht="24" customHeight="1">
      <c r="A368" s="29" t="inlineStr">
        <is>
          <t>2024-11-21</t>
        </is>
      </c>
      <c r="B368" s="31" t="n">
        <v>30800</v>
      </c>
      <c r="C368" s="31" t="n">
        <v>31000</v>
      </c>
      <c r="D368" s="31" t="n">
        <v>30160</v>
      </c>
      <c r="E368" s="31" t="n">
        <v>30700</v>
      </c>
      <c r="F368" s="31" t="n">
        <v>26945.89453125</v>
      </c>
      <c r="G368" s="31" t="n">
        <v>271610</v>
      </c>
      <c r="H368" s="36" t="n">
        <v>0.001304631441617854</v>
      </c>
      <c r="I368" s="36" t="n">
        <v>-0.4848993288590604</v>
      </c>
      <c r="J368" s="31" t="n">
        <v>33736</v>
      </c>
      <c r="K368" s="31" t="n">
        <v>36536.33333333334</v>
      </c>
      <c r="L368" s="31" t="n">
        <v>41353.5</v>
      </c>
      <c r="M368" s="36" t="n">
        <v>0.4346278635094748</v>
      </c>
      <c r="N368" s="36" t="n">
        <v>0.4613645121751403</v>
      </c>
      <c r="O368" s="36" t="n">
        <v>-0.1514648977335544</v>
      </c>
      <c r="P368" s="36" t="n">
        <v>-0.2438423645320197</v>
      </c>
      <c r="Q368" s="36" t="n">
        <v>-0.4488330341113106</v>
      </c>
      <c r="R368" s="36" t="n">
        <v>-0.08999288593787047</v>
      </c>
      <c r="S368" s="36" t="n">
        <v>-0.1597405322555631</v>
      </c>
      <c r="T368" s="36" t="n">
        <v>-0.2576202739792279</v>
      </c>
      <c r="U368" s="31" t="n">
        <v>59600</v>
      </c>
      <c r="V368" s="31" t="n">
        <v>28720</v>
      </c>
      <c r="W368" s="36" t="n">
        <v>-0.4848993288590604</v>
      </c>
      <c r="X368" s="36" t="n">
        <v>0.06894150417827305</v>
      </c>
      <c r="Y368" s="31" t="n">
        <v>76211850</v>
      </c>
      <c r="Z368" s="31" t="n">
        <v>2339703795000</v>
      </c>
      <c r="AA368" s="31" t="n">
        <v>8338427000</v>
      </c>
      <c r="AB368" s="31" t="n">
        <v>13154089790</v>
      </c>
      <c r="AC368" s="36" t="n">
        <v>0.003563881469876404</v>
      </c>
      <c r="AD368" s="29" t="inlineStr">
        <is>
          <t>yfinance_download</t>
        </is>
      </c>
      <c r="AE368" s="29" t="inlineStr">
        <is>
          <t>058470.KQ</t>
        </is>
      </c>
    </row>
    <row r="369" ht="24" customHeight="1">
      <c r="A369" s="24" t="inlineStr">
        <is>
          <t>2024-11-22</t>
        </is>
      </c>
      <c r="B369" s="30" t="n">
        <v>30820</v>
      </c>
      <c r="C369" s="30" t="n">
        <v>32180</v>
      </c>
      <c r="D369" s="30" t="n">
        <v>30580</v>
      </c>
      <c r="E369" s="30" t="n">
        <v>31340</v>
      </c>
      <c r="F369" s="30" t="n">
        <v>27507.6328125</v>
      </c>
      <c r="G369" s="30" t="n">
        <v>317300</v>
      </c>
      <c r="H369" s="35" t="n">
        <v>0.02084690553745938</v>
      </c>
      <c r="I369" s="35" t="n">
        <v>-0.4741610738255033</v>
      </c>
      <c r="J369" s="30" t="n">
        <v>33497</v>
      </c>
      <c r="K369" s="30" t="n">
        <v>36388.66666666666</v>
      </c>
      <c r="L369" s="30" t="n">
        <v>41154.66666666666</v>
      </c>
      <c r="M369" s="35" t="n">
        <v>0.4460506277458047</v>
      </c>
      <c r="N369" s="35" t="n">
        <v>0.4640489744578443</v>
      </c>
      <c r="O369" s="35" t="n">
        <v>-0.1323366555924695</v>
      </c>
      <c r="P369" s="35" t="n">
        <v>-0.2203980099502487</v>
      </c>
      <c r="Q369" s="35" t="n">
        <v>-0.4322463768115942</v>
      </c>
      <c r="R369" s="35" t="n">
        <v>-0.0643938263128041</v>
      </c>
      <c r="S369" s="35" t="n">
        <v>-0.1387428320172948</v>
      </c>
      <c r="T369" s="35" t="n">
        <v>-0.2384824726235988</v>
      </c>
      <c r="U369" s="30" t="n">
        <v>59600</v>
      </c>
      <c r="V369" s="30" t="n">
        <v>28720</v>
      </c>
      <c r="W369" s="35" t="n">
        <v>-0.4741610738255033</v>
      </c>
      <c r="X369" s="35" t="n">
        <v>0.09122562674094703</v>
      </c>
      <c r="Y369" s="30" t="n">
        <v>76211850</v>
      </c>
      <c r="Z369" s="30" t="n">
        <v>2388479379000</v>
      </c>
      <c r="AA369" s="30" t="n">
        <v>9944182000</v>
      </c>
      <c r="AB369" s="30" t="n">
        <v>13150847260</v>
      </c>
      <c r="AC369" s="35" t="n">
        <v>0.004163394537726088</v>
      </c>
      <c r="AD369" s="24" t="inlineStr">
        <is>
          <t>yfinance_download</t>
        </is>
      </c>
      <c r="AE369" s="24" t="inlineStr">
        <is>
          <t>058470.KQ</t>
        </is>
      </c>
    </row>
    <row r="370" ht="24" customHeight="1">
      <c r="A370" s="29" t="inlineStr">
        <is>
          <t>2024-11-25</t>
        </is>
      </c>
      <c r="B370" s="31" t="n">
        <v>31260</v>
      </c>
      <c r="C370" s="31" t="n">
        <v>33040</v>
      </c>
      <c r="D370" s="31" t="n">
        <v>31260</v>
      </c>
      <c r="E370" s="31" t="n">
        <v>32940</v>
      </c>
      <c r="F370" s="31" t="n">
        <v>28911.978515625</v>
      </c>
      <c r="G370" s="31" t="n">
        <v>471850</v>
      </c>
      <c r="H370" s="36" t="n">
        <v>0.05105296745373322</v>
      </c>
      <c r="I370" s="36" t="n">
        <v>-0.4473154362416107</v>
      </c>
      <c r="J370" s="31" t="n">
        <v>33341</v>
      </c>
      <c r="K370" s="31" t="n">
        <v>36264.33333333334</v>
      </c>
      <c r="L370" s="31" t="n">
        <v>40975</v>
      </c>
      <c r="M370" s="36" t="n">
        <v>0.4909292063591127</v>
      </c>
      <c r="N370" s="36" t="n">
        <v>0.4771595339797214</v>
      </c>
      <c r="O370" s="36" t="n">
        <v>-0.08652246256239604</v>
      </c>
      <c r="P370" s="36" t="n">
        <v>-0.1846534653465347</v>
      </c>
      <c r="Q370" s="36" t="n">
        <v>-0.3955963302752293</v>
      </c>
      <c r="R370" s="36" t="n">
        <v>-0.01202723373624071</v>
      </c>
      <c r="S370" s="36" t="n">
        <v>-0.09166950079508795</v>
      </c>
      <c r="T370" s="36" t="n">
        <v>-0.1960951799877975</v>
      </c>
      <c r="U370" s="31" t="n">
        <v>59600</v>
      </c>
      <c r="V370" s="31" t="n">
        <v>29400</v>
      </c>
      <c r="W370" s="36" t="n">
        <v>-0.4473154362416107</v>
      </c>
      <c r="X370" s="36" t="n">
        <v>0.120408163265306</v>
      </c>
      <c r="Y370" s="31" t="n">
        <v>76211850</v>
      </c>
      <c r="Z370" s="31" t="n">
        <v>2510418339000</v>
      </c>
      <c r="AA370" s="31" t="n">
        <v>15542739000</v>
      </c>
      <c r="AB370" s="31" t="n">
        <v>13468570795</v>
      </c>
      <c r="AC370" s="36" t="n">
        <v>0.006191294398443287</v>
      </c>
      <c r="AD370" s="29" t="inlineStr">
        <is>
          <t>yfinance_download</t>
        </is>
      </c>
      <c r="AE370" s="29" t="inlineStr">
        <is>
          <t>058470.KQ</t>
        </is>
      </c>
    </row>
    <row r="371" ht="24" customHeight="1">
      <c r="A371" s="24" t="inlineStr">
        <is>
          <t>2024-11-26</t>
        </is>
      </c>
      <c r="B371" s="30" t="n">
        <v>32920</v>
      </c>
      <c r="C371" s="30" t="n">
        <v>32920</v>
      </c>
      <c r="D371" s="30" t="n">
        <v>31860</v>
      </c>
      <c r="E371" s="30" t="n">
        <v>32220</v>
      </c>
      <c r="F371" s="30" t="n">
        <v>28280.025390625</v>
      </c>
      <c r="G371" s="30" t="n">
        <v>270360</v>
      </c>
      <c r="H371" s="35" t="n">
        <v>-0.02185792349726778</v>
      </c>
      <c r="I371" s="35" t="n">
        <v>-0.4593959731543624</v>
      </c>
      <c r="J371" s="30" t="n">
        <v>33143</v>
      </c>
      <c r="K371" s="30" t="n">
        <v>36152.66666666666</v>
      </c>
      <c r="L371" s="30" t="n">
        <v>40800.16666666666</v>
      </c>
      <c r="M371" s="35" t="n">
        <v>0.4940336877736949</v>
      </c>
      <c r="N371" s="35" t="n">
        <v>0.4736526848973605</v>
      </c>
      <c r="O371" s="35" t="n">
        <v>-0.1094527363184079</v>
      </c>
      <c r="P371" s="35" t="n">
        <v>-0.1721479958890031</v>
      </c>
      <c r="Q371" s="35" t="n">
        <v>-0.3943609022556391</v>
      </c>
      <c r="R371" s="35" t="n">
        <v>-0.02784901789216421</v>
      </c>
      <c r="S371" s="35" t="n">
        <v>-0.1087794353574655</v>
      </c>
      <c r="T371" s="35" t="n">
        <v>-0.2102973435566031</v>
      </c>
      <c r="U371" s="30" t="n">
        <v>59600</v>
      </c>
      <c r="V371" s="30" t="n">
        <v>29540</v>
      </c>
      <c r="W371" s="35" t="n">
        <v>-0.4593959731543624</v>
      </c>
      <c r="X371" s="35" t="n">
        <v>0.09072444143534186</v>
      </c>
      <c r="Y371" s="30" t="n">
        <v>76211850</v>
      </c>
      <c r="Z371" s="30" t="n">
        <v>2455545807000</v>
      </c>
      <c r="AA371" s="30" t="n">
        <v>8710999200</v>
      </c>
      <c r="AB371" s="30" t="n">
        <v>13422664450</v>
      </c>
      <c r="AC371" s="35" t="n">
        <v>0.003547479821051451</v>
      </c>
      <c r="AD371" s="24" t="inlineStr">
        <is>
          <t>yfinance_download</t>
        </is>
      </c>
      <c r="AE371" s="24" t="inlineStr">
        <is>
          <t>058470.KQ</t>
        </is>
      </c>
    </row>
    <row r="372" ht="24" customHeight="1">
      <c r="A372" s="29" t="inlineStr">
        <is>
          <t>2024-11-27</t>
        </is>
      </c>
      <c r="B372" s="31" t="n">
        <v>32220</v>
      </c>
      <c r="C372" s="31" t="n">
        <v>32340</v>
      </c>
      <c r="D372" s="31" t="n">
        <v>30920</v>
      </c>
      <c r="E372" s="31" t="n">
        <v>31440</v>
      </c>
      <c r="F372" s="31" t="n">
        <v>27595.40625</v>
      </c>
      <c r="G372" s="31" t="n">
        <v>307795</v>
      </c>
      <c r="H372" s="36" t="n">
        <v>-0.02420856610800748</v>
      </c>
      <c r="I372" s="36" t="n">
        <v>-0.4724832214765101</v>
      </c>
      <c r="J372" s="31" t="n">
        <v>32928</v>
      </c>
      <c r="K372" s="31" t="n">
        <v>36039</v>
      </c>
      <c r="L372" s="31" t="n">
        <v>40615.5</v>
      </c>
      <c r="M372" s="36" t="n">
        <v>0.4980812979810021</v>
      </c>
      <c r="N372" s="36" t="n">
        <v>0.4748162057823084</v>
      </c>
      <c r="O372" s="36" t="n">
        <v>-0.1203133743704533</v>
      </c>
      <c r="P372" s="36" t="n">
        <v>-0.178254051228437</v>
      </c>
      <c r="Q372" s="36" t="n">
        <v>-0.4134328358208955</v>
      </c>
      <c r="R372" s="36" t="n">
        <v>-0.04518950437317781</v>
      </c>
      <c r="S372" s="36" t="n">
        <v>-0.127611753933239</v>
      </c>
      <c r="T372" s="36" t="n">
        <v>-0.2259112900247442</v>
      </c>
      <c r="U372" s="31" t="n">
        <v>59600</v>
      </c>
      <c r="V372" s="31" t="n">
        <v>30040</v>
      </c>
      <c r="W372" s="36" t="n">
        <v>-0.4724832214765101</v>
      </c>
      <c r="X372" s="36" t="n">
        <v>0.04660452729693731</v>
      </c>
      <c r="Y372" s="31" t="n">
        <v>76211850</v>
      </c>
      <c r="Z372" s="31" t="n">
        <v>2396100564000</v>
      </c>
      <c r="AA372" s="31" t="n">
        <v>9677074800</v>
      </c>
      <c r="AB372" s="31" t="n">
        <v>13517032605</v>
      </c>
      <c r="AC372" s="36" t="n">
        <v>0.004038676400061145</v>
      </c>
      <c r="AD372" s="29" t="inlineStr">
        <is>
          <t>yfinance_download</t>
        </is>
      </c>
      <c r="AE372" s="29" t="inlineStr">
        <is>
          <t>058470.KQ</t>
        </is>
      </c>
    </row>
    <row r="373" ht="24" customHeight="1">
      <c r="A373" s="24" t="inlineStr">
        <is>
          <t>2024-11-28</t>
        </is>
      </c>
      <c r="B373" s="30" t="n">
        <v>31740</v>
      </c>
      <c r="C373" s="30" t="n">
        <v>31740</v>
      </c>
      <c r="D373" s="30" t="n">
        <v>30720</v>
      </c>
      <c r="E373" s="30" t="n">
        <v>31100</v>
      </c>
      <c r="F373" s="30" t="n">
        <v>27296.98046875</v>
      </c>
      <c r="G373" s="30" t="n">
        <v>248305</v>
      </c>
      <c r="H373" s="35" t="n">
        <v>-0.01081424936386766</v>
      </c>
      <c r="I373" s="35" t="n">
        <v>-0.4781879194630873</v>
      </c>
      <c r="J373" s="30" t="n">
        <v>32657</v>
      </c>
      <c r="K373" s="30" t="n">
        <v>35892.66666666666</v>
      </c>
      <c r="L373" s="30" t="n">
        <v>40421.33333333334</v>
      </c>
      <c r="M373" s="35" t="n">
        <v>0.4873262694118364</v>
      </c>
      <c r="N373" s="35" t="n">
        <v>0.465626268496982</v>
      </c>
      <c r="O373" s="35" t="n">
        <v>-0.1484118291347207</v>
      </c>
      <c r="P373" s="35" t="n">
        <v>-0.220160481444333</v>
      </c>
      <c r="Q373" s="35" t="n">
        <v>-0.4283088235294118</v>
      </c>
      <c r="R373" s="35" t="n">
        <v>-0.04767737391677129</v>
      </c>
      <c r="S373" s="35" t="n">
        <v>-0.1335277401140437</v>
      </c>
      <c r="T373" s="35" t="n">
        <v>-0.2306043013590184</v>
      </c>
      <c r="U373" s="30" t="n">
        <v>59600</v>
      </c>
      <c r="V373" s="30" t="n">
        <v>30040</v>
      </c>
      <c r="W373" s="35" t="n">
        <v>-0.4781879194630873</v>
      </c>
      <c r="X373" s="35" t="n">
        <v>0.03528628495339547</v>
      </c>
      <c r="Y373" s="30" t="n">
        <v>76211850</v>
      </c>
      <c r="Z373" s="30" t="n">
        <v>2370188535000</v>
      </c>
      <c r="AA373" s="30" t="n">
        <v>7722285500</v>
      </c>
      <c r="AB373" s="30" t="n">
        <v>13322469750</v>
      </c>
      <c r="AC373" s="35" t="n">
        <v>0.003258089129183979</v>
      </c>
      <c r="AD373" s="24" t="inlineStr">
        <is>
          <t>yfinance_download</t>
        </is>
      </c>
      <c r="AE373" s="24" t="inlineStr">
        <is>
          <t>058470.KQ</t>
        </is>
      </c>
    </row>
    <row r="374" ht="24" customHeight="1">
      <c r="A374" s="29" t="inlineStr">
        <is>
          <t>2024-11-29</t>
        </is>
      </c>
      <c r="B374" s="31" t="n">
        <v>30740</v>
      </c>
      <c r="C374" s="31" t="n">
        <v>31180</v>
      </c>
      <c r="D374" s="31" t="n">
        <v>30400</v>
      </c>
      <c r="E374" s="31" t="n">
        <v>30860</v>
      </c>
      <c r="F374" s="31" t="n">
        <v>27086.330078125</v>
      </c>
      <c r="G374" s="31" t="n">
        <v>241990</v>
      </c>
      <c r="H374" s="36" t="n">
        <v>-0.007717041800643032</v>
      </c>
      <c r="I374" s="36" t="n">
        <v>-0.4822147651006712</v>
      </c>
      <c r="J374" s="31" t="n">
        <v>32467</v>
      </c>
      <c r="K374" s="31" t="n">
        <v>35760</v>
      </c>
      <c r="L374" s="31" t="n">
        <v>40232.66666666666</v>
      </c>
      <c r="M374" s="36" t="n">
        <v>0.4596641114325943</v>
      </c>
      <c r="N374" s="36" t="n">
        <v>0.4632683070339352</v>
      </c>
      <c r="O374" s="36" t="n">
        <v>-0.1096364685516446</v>
      </c>
      <c r="P374" s="36" t="n">
        <v>-0.2050489438433797</v>
      </c>
      <c r="Q374" s="36" t="n">
        <v>-0.4231775700934579</v>
      </c>
      <c r="R374" s="36" t="n">
        <v>-0.0494964117411526</v>
      </c>
      <c r="S374" s="36" t="n">
        <v>-0.1370246085011185</v>
      </c>
      <c r="T374" s="36" t="n">
        <v>-0.2329616066546255</v>
      </c>
      <c r="U374" s="31" t="n">
        <v>59600</v>
      </c>
      <c r="V374" s="31" t="n">
        <v>30040</v>
      </c>
      <c r="W374" s="36" t="n">
        <v>-0.4822147651006712</v>
      </c>
      <c r="X374" s="36" t="n">
        <v>0.02729693741677752</v>
      </c>
      <c r="Y374" s="31" t="n">
        <v>76211850</v>
      </c>
      <c r="Z374" s="31" t="n">
        <v>2351897691000</v>
      </c>
      <c r="AA374" s="31" t="n">
        <v>7467811400</v>
      </c>
      <c r="AB374" s="31" t="n">
        <v>13070481275</v>
      </c>
      <c r="AC374" s="36" t="n">
        <v>0.003175227999320316</v>
      </c>
      <c r="AD374" s="29" t="inlineStr">
        <is>
          <t>yfinance_download</t>
        </is>
      </c>
      <c r="AE374" s="29" t="inlineStr">
        <is>
          <t>058470.KQ</t>
        </is>
      </c>
    </row>
    <row r="375" ht="24" customHeight="1">
      <c r="A375" s="24" t="inlineStr">
        <is>
          <t>2024-12-02</t>
        </is>
      </c>
      <c r="B375" s="30" t="n">
        <v>31240</v>
      </c>
      <c r="C375" s="30" t="n">
        <v>31780</v>
      </c>
      <c r="D375" s="30" t="n">
        <v>30800</v>
      </c>
      <c r="E375" s="30" t="n">
        <v>30860</v>
      </c>
      <c r="F375" s="30" t="n">
        <v>27086.330078125</v>
      </c>
      <c r="G375" s="30" t="n">
        <v>276110</v>
      </c>
      <c r="H375" s="35" t="n">
        <v>0</v>
      </c>
      <c r="I375" s="35" t="n">
        <v>-0.4822147651006712</v>
      </c>
      <c r="J375" s="30" t="n">
        <v>32197</v>
      </c>
      <c r="K375" s="30" t="n">
        <v>35622</v>
      </c>
      <c r="L375" s="30" t="n">
        <v>40047.33333333334</v>
      </c>
      <c r="M375" s="35" t="n">
        <v>0.4183447475546921</v>
      </c>
      <c r="N375" s="35" t="n">
        <v>0.4626912403633729</v>
      </c>
      <c r="O375" s="35" t="n">
        <v>-0.1489244346387204</v>
      </c>
      <c r="P375" s="35" t="n">
        <v>-0.2115482881962187</v>
      </c>
      <c r="Q375" s="35" t="n">
        <v>-0.4188323917137476</v>
      </c>
      <c r="R375" s="35" t="n">
        <v>-0.04152560797589833</v>
      </c>
      <c r="S375" s="35" t="n">
        <v>-0.1336814328224131</v>
      </c>
      <c r="T375" s="35" t="n">
        <v>-0.2294118626292221</v>
      </c>
      <c r="U375" s="30" t="n">
        <v>59600</v>
      </c>
      <c r="V375" s="30" t="n">
        <v>30040</v>
      </c>
      <c r="W375" s="35" t="n">
        <v>-0.4822147651006712</v>
      </c>
      <c r="X375" s="35" t="n">
        <v>0.02729693741677752</v>
      </c>
      <c r="Y375" s="30" t="n">
        <v>76211850</v>
      </c>
      <c r="Z375" s="30" t="n">
        <v>2351897691000</v>
      </c>
      <c r="AA375" s="30" t="n">
        <v>8520754600</v>
      </c>
      <c r="AB375" s="30" t="n">
        <v>12624493200</v>
      </c>
      <c r="AC375" s="35" t="n">
        <v>0.003622927405646235</v>
      </c>
      <c r="AD375" s="24" t="inlineStr">
        <is>
          <t>yfinance_download</t>
        </is>
      </c>
      <c r="AE375" s="24" t="inlineStr">
        <is>
          <t>058470.KQ</t>
        </is>
      </c>
    </row>
    <row r="376" ht="24" customHeight="1">
      <c r="A376" s="29" t="inlineStr">
        <is>
          <t>2024-12-03</t>
        </is>
      </c>
      <c r="B376" s="31" t="n">
        <v>30880</v>
      </c>
      <c r="C376" s="31" t="n">
        <v>31820</v>
      </c>
      <c r="D376" s="31" t="n">
        <v>30680</v>
      </c>
      <c r="E376" s="31" t="n">
        <v>31460</v>
      </c>
      <c r="F376" s="31" t="n">
        <v>27612.958984375</v>
      </c>
      <c r="G376" s="31" t="n">
        <v>355780</v>
      </c>
      <c r="H376" s="36" t="n">
        <v>0.01944264419961117</v>
      </c>
      <c r="I376" s="36" t="n">
        <v>-0.4721476510067114</v>
      </c>
      <c r="J376" s="31" t="n">
        <v>31955</v>
      </c>
      <c r="K376" s="31" t="n">
        <v>35499.66666666666</v>
      </c>
      <c r="L376" s="31" t="n">
        <v>39865.33333333334</v>
      </c>
      <c r="M376" s="36" t="n">
        <v>0.4284068929326598</v>
      </c>
      <c r="N376" s="36" t="n">
        <v>0.4649394194506282</v>
      </c>
      <c r="O376" s="36" t="n">
        <v>-0.1333333333333333</v>
      </c>
      <c r="P376" s="36" t="n">
        <v>-0.1891752577319588</v>
      </c>
      <c r="Q376" s="36" t="n">
        <v>-0.4097560975609756</v>
      </c>
      <c r="R376" s="36" t="n">
        <v>-0.01549053356282271</v>
      </c>
      <c r="S376" s="36" t="n">
        <v>-0.1137944957229645</v>
      </c>
      <c r="T376" s="36" t="n">
        <v>-0.210843172012442</v>
      </c>
      <c r="U376" s="31" t="n">
        <v>59600</v>
      </c>
      <c r="V376" s="31" t="n">
        <v>30040</v>
      </c>
      <c r="W376" s="36" t="n">
        <v>-0.4721476510067114</v>
      </c>
      <c r="X376" s="36" t="n">
        <v>0.04727030625832218</v>
      </c>
      <c r="Y376" s="31" t="n">
        <v>76211850</v>
      </c>
      <c r="Z376" s="31" t="n">
        <v>2397624801000</v>
      </c>
      <c r="AA376" s="31" t="n">
        <v>11192838800</v>
      </c>
      <c r="AB376" s="31" t="n">
        <v>12795688840</v>
      </c>
      <c r="AC376" s="36" t="n">
        <v>0.004668302895153444</v>
      </c>
      <c r="AD376" s="29" t="inlineStr">
        <is>
          <t>yfinance_download</t>
        </is>
      </c>
      <c r="AE376" s="29" t="inlineStr">
        <is>
          <t>058470.KQ</t>
        </is>
      </c>
    </row>
    <row r="377" ht="24" customHeight="1">
      <c r="A377" s="24" t="inlineStr">
        <is>
          <t>2024-12-04</t>
        </is>
      </c>
      <c r="B377" s="30" t="n">
        <v>30460</v>
      </c>
      <c r="C377" s="30" t="n">
        <v>31800</v>
      </c>
      <c r="D377" s="30" t="n">
        <v>30280</v>
      </c>
      <c r="E377" s="30" t="n">
        <v>31620</v>
      </c>
      <c r="F377" s="30" t="n">
        <v>27753.39453125</v>
      </c>
      <c r="G377" s="30" t="n">
        <v>352265</v>
      </c>
      <c r="H377" s="35" t="n">
        <v>0.005085823267641398</v>
      </c>
      <c r="I377" s="35" t="n">
        <v>-0.4694630872483222</v>
      </c>
      <c r="J377" s="30" t="n">
        <v>31779</v>
      </c>
      <c r="K377" s="30" t="n">
        <v>35400</v>
      </c>
      <c r="L377" s="30" t="n">
        <v>39671.33333333334</v>
      </c>
      <c r="M377" s="35" t="n">
        <v>0.4196258754699704</v>
      </c>
      <c r="N377" s="35" t="n">
        <v>0.4615676587783441</v>
      </c>
      <c r="O377" s="35" t="n">
        <v>-0.1001707455890722</v>
      </c>
      <c r="P377" s="35" t="n">
        <v>-0.1590425531914894</v>
      </c>
      <c r="Q377" s="35" t="n">
        <v>-0.4240437158469945</v>
      </c>
      <c r="R377" s="35" t="n">
        <v>-0.005003304068724623</v>
      </c>
      <c r="S377" s="35" t="n">
        <v>-0.1067796610169491</v>
      </c>
      <c r="T377" s="35" t="n">
        <v>-0.2029509133379267</v>
      </c>
      <c r="U377" s="30" t="n">
        <v>59600</v>
      </c>
      <c r="V377" s="30" t="n">
        <v>30040</v>
      </c>
      <c r="W377" s="35" t="n">
        <v>-0.4694630872483222</v>
      </c>
      <c r="X377" s="35" t="n">
        <v>0.05259653794940089</v>
      </c>
      <c r="Y377" s="30" t="n">
        <v>76211850</v>
      </c>
      <c r="Z377" s="30" t="n">
        <v>2409818697000</v>
      </c>
      <c r="AA377" s="30" t="n">
        <v>11138619300</v>
      </c>
      <c r="AB377" s="30" t="n">
        <v>12755494570</v>
      </c>
      <c r="AC377" s="35" t="n">
        <v>0.004622181458657676</v>
      </c>
      <c r="AD377" s="24" t="inlineStr">
        <is>
          <t>yfinance_download</t>
        </is>
      </c>
      <c r="AE377" s="24" t="inlineStr">
        <is>
          <t>058470.KQ</t>
        </is>
      </c>
    </row>
    <row r="378" ht="24" customHeight="1">
      <c r="A378" s="29" t="inlineStr">
        <is>
          <t>2024-12-05</t>
        </is>
      </c>
      <c r="B378" s="31" t="n">
        <v>31520</v>
      </c>
      <c r="C378" s="31" t="n">
        <v>32780</v>
      </c>
      <c r="D378" s="31" t="n">
        <v>30740</v>
      </c>
      <c r="E378" s="31" t="n">
        <v>32320</v>
      </c>
      <c r="F378" s="31" t="n">
        <v>28367.794921875</v>
      </c>
      <c r="G378" s="31" t="n">
        <v>467575</v>
      </c>
      <c r="H378" s="36" t="n">
        <v>0.0221378874130298</v>
      </c>
      <c r="I378" s="36" t="n">
        <v>-0.4577181208053691</v>
      </c>
      <c r="J378" s="31" t="n">
        <v>31615</v>
      </c>
      <c r="K378" s="31" t="n">
        <v>35334.33333333334</v>
      </c>
      <c r="L378" s="31" t="n">
        <v>39507.33333333334</v>
      </c>
      <c r="M378" s="36" t="n">
        <v>0.4259602794797023</v>
      </c>
      <c r="N378" s="36" t="n">
        <v>0.4590128602439573</v>
      </c>
      <c r="O378" s="36" t="n">
        <v>-0.09213483146067414</v>
      </c>
      <c r="P378" s="36" t="n">
        <v>-0.1086596800882516</v>
      </c>
      <c r="Q378" s="36" t="n">
        <v>-0.3784615384615385</v>
      </c>
      <c r="R378" s="36" t="n">
        <v>0.02229954135695089</v>
      </c>
      <c r="S378" s="36" t="n">
        <v>-0.08530890635170707</v>
      </c>
      <c r="T378" s="36" t="n">
        <v>-0.1819240309815899</v>
      </c>
      <c r="U378" s="31" t="n">
        <v>59600</v>
      </c>
      <c r="V378" s="31" t="n">
        <v>30040</v>
      </c>
      <c r="W378" s="36" t="n">
        <v>-0.4577181208053691</v>
      </c>
      <c r="X378" s="36" t="n">
        <v>0.07589880159786944</v>
      </c>
      <c r="Y378" s="31" t="n">
        <v>76211850</v>
      </c>
      <c r="Z378" s="31" t="n">
        <v>2463166992000</v>
      </c>
      <c r="AA378" s="31" t="n">
        <v>15112024000</v>
      </c>
      <c r="AB378" s="31" t="n">
        <v>13076099370</v>
      </c>
      <c r="AC378" s="36" t="n">
        <v>0.006135200759461947</v>
      </c>
      <c r="AD378" s="29" t="inlineStr">
        <is>
          <t>yfinance_download</t>
        </is>
      </c>
      <c r="AE378" s="29" t="inlineStr">
        <is>
          <t>058470.KQ</t>
        </is>
      </c>
    </row>
    <row r="379" ht="24" customHeight="1">
      <c r="A379" s="24" t="inlineStr">
        <is>
          <t>2024-12-06</t>
        </is>
      </c>
      <c r="B379" s="30" t="n">
        <v>32380</v>
      </c>
      <c r="C379" s="30" t="n">
        <v>32380</v>
      </c>
      <c r="D379" s="30" t="n">
        <v>30800</v>
      </c>
      <c r="E379" s="30" t="n">
        <v>31840</v>
      </c>
      <c r="F379" s="30" t="n">
        <v>27946.4921875</v>
      </c>
      <c r="G379" s="30" t="n">
        <v>383545</v>
      </c>
      <c r="H379" s="35" t="n">
        <v>-0.01485148514851486</v>
      </c>
      <c r="I379" s="35" t="n">
        <v>-0.4657718120805369</v>
      </c>
      <c r="J379" s="30" t="n">
        <v>31436</v>
      </c>
      <c r="K379" s="30" t="n">
        <v>35274.66666666666</v>
      </c>
      <c r="L379" s="30" t="n">
        <v>39331</v>
      </c>
      <c r="M379" s="35" t="n">
        <v>0.4275527171665469</v>
      </c>
      <c r="N379" s="35" t="n">
        <v>0.4576511262841436</v>
      </c>
      <c r="O379" s="35" t="n">
        <v>-0.101072840203275</v>
      </c>
      <c r="P379" s="35" t="n">
        <v>-0.101072840203275</v>
      </c>
      <c r="Q379" s="35" t="n">
        <v>-0.399245283018868</v>
      </c>
      <c r="R379" s="35" t="n">
        <v>0.01285150782542299</v>
      </c>
      <c r="S379" s="35" t="n">
        <v>-0.09736921681282118</v>
      </c>
      <c r="T379" s="35" t="n">
        <v>-0.190460451043706</v>
      </c>
      <c r="U379" s="30" t="n">
        <v>59600</v>
      </c>
      <c r="V379" s="30" t="n">
        <v>30040</v>
      </c>
      <c r="W379" s="35" t="n">
        <v>-0.4657718120805369</v>
      </c>
      <c r="X379" s="35" t="n">
        <v>0.05992010652463375</v>
      </c>
      <c r="Y379" s="30" t="n">
        <v>76211850</v>
      </c>
      <c r="Z379" s="30" t="n">
        <v>2426585304000</v>
      </c>
      <c r="AA379" s="30" t="n">
        <v>12212072800</v>
      </c>
      <c r="AB379" s="30" t="n">
        <v>13086263170</v>
      </c>
      <c r="AC379" s="35" t="n">
        <v>0.005032616318853302</v>
      </c>
      <c r="AD379" s="24" t="inlineStr">
        <is>
          <t>yfinance_download</t>
        </is>
      </c>
      <c r="AE379" s="24" t="inlineStr">
        <is>
          <t>058470.KQ</t>
        </is>
      </c>
    </row>
    <row r="380" ht="24" customHeight="1">
      <c r="A380" s="29" t="inlineStr">
        <is>
          <t>2024-12-09</t>
        </is>
      </c>
      <c r="B380" s="31" t="n">
        <v>31100</v>
      </c>
      <c r="C380" s="31" t="n">
        <v>31400</v>
      </c>
      <c r="D380" s="31" t="n">
        <v>30400</v>
      </c>
      <c r="E380" s="31" t="n">
        <v>30620</v>
      </c>
      <c r="F380" s="31" t="n">
        <v>26875.6796875</v>
      </c>
      <c r="G380" s="31" t="n">
        <v>342065</v>
      </c>
      <c r="H380" s="36" t="n">
        <v>-0.03831658291457285</v>
      </c>
      <c r="I380" s="36" t="n">
        <v>-0.486241610738255</v>
      </c>
      <c r="J380" s="31" t="n">
        <v>31285</v>
      </c>
      <c r="K380" s="31" t="n">
        <v>35206.33333333334</v>
      </c>
      <c r="L380" s="31" t="n">
        <v>39146.16666666666</v>
      </c>
      <c r="M380" s="36" t="n">
        <v>0.4126216220741039</v>
      </c>
      <c r="N380" s="36" t="n">
        <v>0.4623919531178415</v>
      </c>
      <c r="O380" s="36" t="n">
        <v>-0.08977407847800234</v>
      </c>
      <c r="P380" s="36" t="n">
        <v>-0.1180875576036866</v>
      </c>
      <c r="Q380" s="36" t="n">
        <v>-0.4200757575757575</v>
      </c>
      <c r="R380" s="36" t="n">
        <v>-0.02125619306376858</v>
      </c>
      <c r="S380" s="36" t="n">
        <v>-0.1302701218530757</v>
      </c>
      <c r="T380" s="36" t="n">
        <v>-0.2178033609080497</v>
      </c>
      <c r="U380" s="31" t="n">
        <v>59600</v>
      </c>
      <c r="V380" s="31" t="n">
        <v>30040</v>
      </c>
      <c r="W380" s="36" t="n">
        <v>-0.486241610738255</v>
      </c>
      <c r="X380" s="36" t="n">
        <v>0.01930758988015979</v>
      </c>
      <c r="Y380" s="31" t="n">
        <v>76211850</v>
      </c>
      <c r="Z380" s="31" t="n">
        <v>2333606847000</v>
      </c>
      <c r="AA380" s="31" t="n">
        <v>10474030300</v>
      </c>
      <c r="AB380" s="31" t="n">
        <v>12903549915</v>
      </c>
      <c r="AC380" s="36" t="n">
        <v>0.004488344004246059</v>
      </c>
      <c r="AD380" s="29" t="inlineStr">
        <is>
          <t>yfinance_download</t>
        </is>
      </c>
      <c r="AE380" s="29" t="inlineStr">
        <is>
          <t>058470.KQ</t>
        </is>
      </c>
    </row>
    <row r="381" ht="24" customHeight="1">
      <c r="A381" s="24" t="inlineStr">
        <is>
          <t>2024-12-10</t>
        </is>
      </c>
      <c r="B381" s="30" t="n">
        <v>31060</v>
      </c>
      <c r="C381" s="30" t="n">
        <v>31740</v>
      </c>
      <c r="D381" s="30" t="n">
        <v>30740</v>
      </c>
      <c r="E381" s="30" t="n">
        <v>31160</v>
      </c>
      <c r="F381" s="30" t="n">
        <v>27349.64453125</v>
      </c>
      <c r="G381" s="30" t="n">
        <v>365565</v>
      </c>
      <c r="H381" s="35" t="n">
        <v>0.01763553233180937</v>
      </c>
      <c r="I381" s="35" t="n">
        <v>-0.4771812080536912</v>
      </c>
      <c r="J381" s="30" t="n">
        <v>31205</v>
      </c>
      <c r="K381" s="30" t="n">
        <v>35141.33333333334</v>
      </c>
      <c r="L381" s="30" t="n">
        <v>38970.83333333334</v>
      </c>
      <c r="M381" s="35" t="n">
        <v>0.4112314762395974</v>
      </c>
      <c r="N381" s="35" t="n">
        <v>0.4635007017736227</v>
      </c>
      <c r="O381" s="35" t="n">
        <v>-0.04884004884004889</v>
      </c>
      <c r="P381" s="35" t="n">
        <v>-0.1112378779235597</v>
      </c>
      <c r="Q381" s="35" t="n">
        <v>-0.4030651340996169</v>
      </c>
      <c r="R381" s="35" t="n">
        <v>-0.001442076590290053</v>
      </c>
      <c r="S381" s="35" t="n">
        <v>-0.1132948854150858</v>
      </c>
      <c r="T381" s="35" t="n">
        <v>-0.2004276702662248</v>
      </c>
      <c r="U381" s="30" t="n">
        <v>59600</v>
      </c>
      <c r="V381" s="30" t="n">
        <v>30040</v>
      </c>
      <c r="W381" s="35" t="n">
        <v>-0.4771812080536912</v>
      </c>
      <c r="X381" s="35" t="n">
        <v>0.03728362183754985</v>
      </c>
      <c r="Y381" s="30" t="n">
        <v>76211850</v>
      </c>
      <c r="Z381" s="30" t="n">
        <v>2374761246000</v>
      </c>
      <c r="AA381" s="30" t="n">
        <v>11391005400</v>
      </c>
      <c r="AB381" s="30" t="n">
        <v>12659636625</v>
      </c>
      <c r="AC381" s="35" t="n">
        <v>0.004796695002155176</v>
      </c>
      <c r="AD381" s="24" t="inlineStr">
        <is>
          <t>yfinance_download</t>
        </is>
      </c>
      <c r="AE381" s="24" t="inlineStr">
        <is>
          <t>058470.KQ</t>
        </is>
      </c>
    </row>
    <row r="382" ht="24" customHeight="1">
      <c r="A382" s="29" t="inlineStr">
        <is>
          <t>2024-12-11</t>
        </is>
      </c>
      <c r="B382" s="31" t="n">
        <v>31040</v>
      </c>
      <c r="C382" s="31" t="n">
        <v>33180</v>
      </c>
      <c r="D382" s="31" t="n">
        <v>31040</v>
      </c>
      <c r="E382" s="31" t="n">
        <v>33080</v>
      </c>
      <c r="F382" s="31" t="n">
        <v>29034.861328125</v>
      </c>
      <c r="G382" s="31" t="n">
        <v>483955</v>
      </c>
      <c r="H382" s="36" t="n">
        <v>0.06161745827984588</v>
      </c>
      <c r="I382" s="36" t="n">
        <v>-0.4449664429530201</v>
      </c>
      <c r="J382" s="31" t="n">
        <v>31304</v>
      </c>
      <c r="K382" s="31" t="n">
        <v>35113.66666666666</v>
      </c>
      <c r="L382" s="31" t="n">
        <v>38802.33333333334</v>
      </c>
      <c r="M382" s="36" t="n">
        <v>0.4284254880508918</v>
      </c>
      <c r="N382" s="36" t="n">
        <v>0.4809053654373417</v>
      </c>
      <c r="O382" s="36" t="n">
        <v>0.06366559485530554</v>
      </c>
      <c r="P382" s="36" t="n">
        <v>-0.04778353483016695</v>
      </c>
      <c r="Q382" s="36" t="n">
        <v>-0.3793621013133208</v>
      </c>
      <c r="R382" s="36" t="n">
        <v>0.05673396371070782</v>
      </c>
      <c r="S382" s="36" t="n">
        <v>-0.05791667062207495</v>
      </c>
      <c r="T382" s="36" t="n">
        <v>-0.147473949161133</v>
      </c>
      <c r="U382" s="31" t="n">
        <v>59600</v>
      </c>
      <c r="V382" s="31" t="n">
        <v>30040</v>
      </c>
      <c r="W382" s="36" t="n">
        <v>-0.4449664429530201</v>
      </c>
      <c r="X382" s="36" t="n">
        <v>0.1011984021304926</v>
      </c>
      <c r="Y382" s="31" t="n">
        <v>76211850</v>
      </c>
      <c r="Z382" s="31" t="n">
        <v>2521087998000</v>
      </c>
      <c r="AA382" s="31" t="n">
        <v>16009231400</v>
      </c>
      <c r="AB382" s="31" t="n">
        <v>12511105020</v>
      </c>
      <c r="AC382" s="36" t="n">
        <v>0.006350127965664133</v>
      </c>
      <c r="AD382" s="29" t="inlineStr">
        <is>
          <t>yfinance_download</t>
        </is>
      </c>
      <c r="AE382" s="29" t="inlineStr">
        <is>
          <t>058470.KQ</t>
        </is>
      </c>
    </row>
    <row r="383" ht="24" customHeight="1">
      <c r="A383" s="24" t="inlineStr">
        <is>
          <t>2024-12-12</t>
        </is>
      </c>
      <c r="B383" s="30" t="n">
        <v>33740</v>
      </c>
      <c r="C383" s="30" t="n">
        <v>34680</v>
      </c>
      <c r="D383" s="30" t="n">
        <v>33440</v>
      </c>
      <c r="E383" s="30" t="n">
        <v>34180</v>
      </c>
      <c r="F383" s="30" t="n">
        <v>30000.34765625</v>
      </c>
      <c r="G383" s="30" t="n">
        <v>1006020</v>
      </c>
      <c r="H383" s="35" t="n">
        <v>0.03325272067714624</v>
      </c>
      <c r="I383" s="35" t="n">
        <v>-0.426510067114094</v>
      </c>
      <c r="J383" s="30" t="n">
        <v>31511</v>
      </c>
      <c r="K383" s="30" t="n">
        <v>35110</v>
      </c>
      <c r="L383" s="30" t="n">
        <v>38650.5</v>
      </c>
      <c r="M383" s="35" t="n">
        <v>0.4167337468649353</v>
      </c>
      <c r="N383" s="35" t="n">
        <v>0.4853717734584099</v>
      </c>
      <c r="O383" s="35" t="n">
        <v>0.1378162450066578</v>
      </c>
      <c r="P383" s="35" t="n">
        <v>-0.006395348837209269</v>
      </c>
      <c r="Q383" s="35" t="n">
        <v>-0.3477099236641221</v>
      </c>
      <c r="R383" s="35" t="n">
        <v>0.08470058074957953</v>
      </c>
      <c r="S383" s="35" t="n">
        <v>-0.02648818000569642</v>
      </c>
      <c r="T383" s="35" t="n">
        <v>-0.1156647391366218</v>
      </c>
      <c r="U383" s="30" t="n">
        <v>59600</v>
      </c>
      <c r="V383" s="30" t="n">
        <v>30040</v>
      </c>
      <c r="W383" s="35" t="n">
        <v>-0.426510067114094</v>
      </c>
      <c r="X383" s="35" t="n">
        <v>0.1378162450066578</v>
      </c>
      <c r="Y383" s="30" t="n">
        <v>76211850</v>
      </c>
      <c r="Z383" s="30" t="n">
        <v>2604921033000</v>
      </c>
      <c r="AA383" s="30" t="n">
        <v>34385763600</v>
      </c>
      <c r="AB383" s="30" t="n">
        <v>12512638410</v>
      </c>
      <c r="AC383" s="35" t="n">
        <v>0.01320030940070343</v>
      </c>
      <c r="AD383" s="24" t="inlineStr">
        <is>
          <t>yfinance_download</t>
        </is>
      </c>
      <c r="AE383" s="24" t="inlineStr">
        <is>
          <t>058470.KQ</t>
        </is>
      </c>
    </row>
    <row r="384" ht="24" customHeight="1">
      <c r="A384" s="29" t="inlineStr">
        <is>
          <t>2024-12-13</t>
        </is>
      </c>
      <c r="B384" s="31" t="n">
        <v>34820</v>
      </c>
      <c r="C384" s="31" t="n">
        <v>35200</v>
      </c>
      <c r="D384" s="31" t="n">
        <v>34220</v>
      </c>
      <c r="E384" s="31" t="n">
        <v>34520</v>
      </c>
      <c r="F384" s="31" t="n">
        <v>30298.7734375</v>
      </c>
      <c r="G384" s="31" t="n">
        <v>466905</v>
      </c>
      <c r="H384" s="36" t="n">
        <v>0.009947337624341746</v>
      </c>
      <c r="I384" s="36" t="n">
        <v>-0.4208053691275168</v>
      </c>
      <c r="J384" s="31" t="n">
        <v>31683</v>
      </c>
      <c r="K384" s="31" t="n">
        <v>35079.66666666666</v>
      </c>
      <c r="L384" s="31" t="n">
        <v>38504</v>
      </c>
      <c r="M384" s="36" t="n">
        <v>0.4038927075630134</v>
      </c>
      <c r="N384" s="36" t="n">
        <v>0.4716043435497922</v>
      </c>
      <c r="O384" s="36" t="n">
        <v>0.1106821106821108</v>
      </c>
      <c r="P384" s="36" t="n">
        <v>-0.0500825536598789</v>
      </c>
      <c r="Q384" s="36" t="n">
        <v>-0.3374280230326295</v>
      </c>
      <c r="R384" s="36" t="n">
        <v>0.0895432881987186</v>
      </c>
      <c r="S384" s="36" t="n">
        <v>-0.01595416148005957</v>
      </c>
      <c r="T384" s="36" t="n">
        <v>-0.1034697693746104</v>
      </c>
      <c r="U384" s="31" t="n">
        <v>59600</v>
      </c>
      <c r="V384" s="31" t="n">
        <v>30040</v>
      </c>
      <c r="W384" s="36" t="n">
        <v>-0.4208053691275168</v>
      </c>
      <c r="X384" s="36" t="n">
        <v>0.1491344873501996</v>
      </c>
      <c r="Y384" s="31" t="n">
        <v>76211850</v>
      </c>
      <c r="Z384" s="31" t="n">
        <v>2630833062000</v>
      </c>
      <c r="AA384" s="31" t="n">
        <v>16117560600</v>
      </c>
      <c r="AB384" s="31" t="n">
        <v>12348206610</v>
      </c>
      <c r="AC384" s="36" t="n">
        <v>0.006126409475691773</v>
      </c>
      <c r="AD384" s="29" t="inlineStr">
        <is>
          <t>yfinance_download</t>
        </is>
      </c>
      <c r="AE384" s="29" t="inlineStr">
        <is>
          <t>058470.KQ</t>
        </is>
      </c>
    </row>
    <row r="385" ht="24" customHeight="1">
      <c r="A385" s="24" t="inlineStr">
        <is>
          <t>2024-12-16</t>
        </is>
      </c>
      <c r="B385" s="30" t="n">
        <v>35100</v>
      </c>
      <c r="C385" s="30" t="n">
        <v>35580</v>
      </c>
      <c r="D385" s="30" t="n">
        <v>33640</v>
      </c>
      <c r="E385" s="30" t="n">
        <v>35320</v>
      </c>
      <c r="F385" s="30" t="n">
        <v>31000.9453125</v>
      </c>
      <c r="G385" s="30" t="n">
        <v>578710</v>
      </c>
      <c r="H385" s="35" t="n">
        <v>0.0231749710312863</v>
      </c>
      <c r="I385" s="35" t="n">
        <v>-0.4073825503355705</v>
      </c>
      <c r="J385" s="30" t="n">
        <v>31935</v>
      </c>
      <c r="K385" s="30" t="n">
        <v>35071.33333333334</v>
      </c>
      <c r="L385" s="30" t="n">
        <v>38370.83333333334</v>
      </c>
      <c r="M385" s="35" t="n">
        <v>0.3907119668797002</v>
      </c>
      <c r="N385" s="35" t="n">
        <v>0.47314362015734</v>
      </c>
      <c r="O385" s="35" t="n">
        <v>0.1664464993394981</v>
      </c>
      <c r="P385" s="35" t="n">
        <v>-0.01395868230039088</v>
      </c>
      <c r="Q385" s="35" t="n">
        <v>-0.3115009746588694</v>
      </c>
      <c r="R385" s="35" t="n">
        <v>0.1059965555033662</v>
      </c>
      <c r="S385" s="35" t="n">
        <v>0.007090311175318886</v>
      </c>
      <c r="T385" s="35" t="n">
        <v>-0.07950917580627648</v>
      </c>
      <c r="U385" s="30" t="n">
        <v>59600</v>
      </c>
      <c r="V385" s="30" t="n">
        <v>30040</v>
      </c>
      <c r="W385" s="35" t="n">
        <v>-0.4073825503355705</v>
      </c>
      <c r="X385" s="35" t="n">
        <v>0.1757656458055925</v>
      </c>
      <c r="Y385" s="30" t="n">
        <v>76211850</v>
      </c>
      <c r="Z385" s="30" t="n">
        <v>2691802542000</v>
      </c>
      <c r="AA385" s="30" t="n">
        <v>20440037200</v>
      </c>
      <c r="AB385" s="30" t="n">
        <v>12693488320</v>
      </c>
      <c r="AC385" s="35" t="n">
        <v>0.007593438553190875</v>
      </c>
      <c r="AD385" s="24" t="inlineStr">
        <is>
          <t>yfinance_download</t>
        </is>
      </c>
      <c r="AE385" s="24" t="inlineStr">
        <is>
          <t>058470.KQ</t>
        </is>
      </c>
    </row>
    <row r="386" ht="24" customHeight="1">
      <c r="A386" s="29" t="inlineStr">
        <is>
          <t>2024-12-17</t>
        </is>
      </c>
      <c r="B386" s="31" t="n">
        <v>35880</v>
      </c>
      <c r="C386" s="31" t="n">
        <v>38120</v>
      </c>
      <c r="D386" s="31" t="n">
        <v>35600</v>
      </c>
      <c r="E386" s="31" t="n">
        <v>37740</v>
      </c>
      <c r="F386" s="31" t="n">
        <v>33125.01953125</v>
      </c>
      <c r="G386" s="31" t="n">
        <v>1249435</v>
      </c>
      <c r="H386" s="36" t="n">
        <v>0.06851642129105318</v>
      </c>
      <c r="I386" s="36" t="n">
        <v>-0.3667785234899329</v>
      </c>
      <c r="J386" s="31" t="n">
        <v>32299</v>
      </c>
      <c r="K386" s="31" t="n">
        <v>35096</v>
      </c>
      <c r="L386" s="31" t="n">
        <v>38273.66666666666</v>
      </c>
      <c r="M386" s="36" t="n">
        <v>0.445596229204779</v>
      </c>
      <c r="N386" s="36" t="n">
        <v>0.4928981402613218</v>
      </c>
      <c r="O386" s="36" t="n">
        <v>0.2390019697964543</v>
      </c>
      <c r="P386" s="36" t="n">
        <v>0.04081632653061229</v>
      </c>
      <c r="Q386" s="36" t="n">
        <v>-0.2360323886639676</v>
      </c>
      <c r="R386" s="36" t="n">
        <v>0.1684572277779497</v>
      </c>
      <c r="S386" s="36" t="n">
        <v>0.07533622065192613</v>
      </c>
      <c r="T386" s="36" t="n">
        <v>-0.01394344240165124</v>
      </c>
      <c r="U386" s="31" t="n">
        <v>59600</v>
      </c>
      <c r="V386" s="31" t="n">
        <v>30040</v>
      </c>
      <c r="W386" s="36" t="n">
        <v>-0.3667785234899329</v>
      </c>
      <c r="X386" s="36" t="n">
        <v>0.2563249001331558</v>
      </c>
      <c r="Y386" s="31" t="n">
        <v>76211850</v>
      </c>
      <c r="Z386" s="31" t="n">
        <v>2876235219000</v>
      </c>
      <c r="AA386" s="31" t="n">
        <v>47153676900</v>
      </c>
      <c r="AB386" s="31" t="n">
        <v>14369347910</v>
      </c>
      <c r="AC386" s="36" t="n">
        <v>0.0163942352796842</v>
      </c>
      <c r="AD386" s="29" t="inlineStr">
        <is>
          <t>yfinance_download</t>
        </is>
      </c>
      <c r="AE386" s="29" t="inlineStr">
        <is>
          <t>058470.KQ</t>
        </is>
      </c>
    </row>
    <row r="387" ht="24" customHeight="1">
      <c r="A387" s="24" t="inlineStr">
        <is>
          <t>2024-12-18</t>
        </is>
      </c>
      <c r="B387" s="30" t="n">
        <v>37580</v>
      </c>
      <c r="C387" s="30" t="n">
        <v>38940</v>
      </c>
      <c r="D387" s="30" t="n">
        <v>37020</v>
      </c>
      <c r="E387" s="30" t="n">
        <v>38840</v>
      </c>
      <c r="F387" s="30" t="n">
        <v>34090.50390625</v>
      </c>
      <c r="G387" s="30" t="n">
        <v>645680</v>
      </c>
      <c r="H387" s="35" t="n">
        <v>0.02914679385267616</v>
      </c>
      <c r="I387" s="35" t="n">
        <v>-0.3483221476510067</v>
      </c>
      <c r="J387" s="30" t="n">
        <v>32708</v>
      </c>
      <c r="K387" s="30" t="n">
        <v>35146.66666666666</v>
      </c>
      <c r="L387" s="30" t="n">
        <v>38188.16666666666</v>
      </c>
      <c r="M387" s="35" t="n">
        <v>0.4497114842033917</v>
      </c>
      <c r="N387" s="35" t="n">
        <v>0.495335682876883</v>
      </c>
      <c r="O387" s="35" t="n">
        <v>0.2667971298108285</v>
      </c>
      <c r="P387" s="35" t="n">
        <v>0.08491620111731835</v>
      </c>
      <c r="Q387" s="35" t="n">
        <v>-0.2089613034623218</v>
      </c>
      <c r="R387" s="35" t="n">
        <v>0.187477069830011</v>
      </c>
      <c r="S387" s="35" t="n">
        <v>0.105083459787557</v>
      </c>
      <c r="T387" s="35" t="n">
        <v>0.01706898733900997</v>
      </c>
      <c r="U387" s="30" t="n">
        <v>59600</v>
      </c>
      <c r="V387" s="30" t="n">
        <v>30040</v>
      </c>
      <c r="W387" s="35" t="n">
        <v>-0.3483221476510067</v>
      </c>
      <c r="X387" s="35" t="n">
        <v>0.292942743009321</v>
      </c>
      <c r="Y387" s="30" t="n">
        <v>76211850</v>
      </c>
      <c r="Z387" s="30" t="n">
        <v>2960068254000</v>
      </c>
      <c r="AA387" s="30" t="n">
        <v>25078211200</v>
      </c>
      <c r="AB387" s="30" t="n">
        <v>15331467250</v>
      </c>
      <c r="AC387" s="35" t="n">
        <v>0.008472173290636561</v>
      </c>
      <c r="AD387" s="24" t="inlineStr">
        <is>
          <t>yfinance_download</t>
        </is>
      </c>
      <c r="AE387" s="24" t="inlineStr">
        <is>
          <t>058470.KQ</t>
        </is>
      </c>
    </row>
    <row r="388" ht="24" customHeight="1">
      <c r="A388" s="29" t="inlineStr">
        <is>
          <t>2024-12-19</t>
        </is>
      </c>
      <c r="B388" s="31" t="n">
        <v>37320</v>
      </c>
      <c r="C388" s="31" t="n">
        <v>38400</v>
      </c>
      <c r="D388" s="31" t="n">
        <v>37000</v>
      </c>
      <c r="E388" s="31" t="n">
        <v>37980</v>
      </c>
      <c r="F388" s="31" t="n">
        <v>33335.671875</v>
      </c>
      <c r="G388" s="31" t="n">
        <v>513540</v>
      </c>
      <c r="H388" s="36" t="n">
        <v>-0.02214212152420181</v>
      </c>
      <c r="I388" s="36" t="n">
        <v>-0.362751677852349</v>
      </c>
      <c r="J388" s="31" t="n">
        <v>33072</v>
      </c>
      <c r="K388" s="31" t="n">
        <v>35149.66666666666</v>
      </c>
      <c r="L388" s="31" t="n">
        <v>38106.33333333334</v>
      </c>
      <c r="M388" s="36" t="n">
        <v>0.4647441571185626</v>
      </c>
      <c r="N388" s="36" t="n">
        <v>0.4846780028634722</v>
      </c>
      <c r="O388" s="36" t="n">
        <v>0.2371335504885994</v>
      </c>
      <c r="P388" s="36" t="n">
        <v>0.004761904761904745</v>
      </c>
      <c r="Q388" s="36" t="n">
        <v>-0.205439330543933</v>
      </c>
      <c r="R388" s="36" t="n">
        <v>0.1484034833091437</v>
      </c>
      <c r="S388" s="36" t="n">
        <v>0.08052233781259188</v>
      </c>
      <c r="T388" s="36" t="n">
        <v>-0.00331528442341178</v>
      </c>
      <c r="U388" s="31" t="n">
        <v>59600</v>
      </c>
      <c r="V388" s="31" t="n">
        <v>30040</v>
      </c>
      <c r="W388" s="36" t="n">
        <v>-0.362751677852349</v>
      </c>
      <c r="X388" s="36" t="n">
        <v>0.2643142476697737</v>
      </c>
      <c r="Y388" s="31" t="n">
        <v>76211850</v>
      </c>
      <c r="Z388" s="31" t="n">
        <v>2894526063000</v>
      </c>
      <c r="AA388" s="31" t="n">
        <v>19504249200</v>
      </c>
      <c r="AB388" s="31" t="n">
        <v>15889758360</v>
      </c>
      <c r="AC388" s="36" t="n">
        <v>0.006738322190053121</v>
      </c>
      <c r="AD388" s="29" t="inlineStr">
        <is>
          <t>yfinance_download</t>
        </is>
      </c>
      <c r="AE388" s="29" t="inlineStr">
        <is>
          <t>058470.KQ</t>
        </is>
      </c>
    </row>
    <row r="389" ht="24" customHeight="1">
      <c r="A389" s="24" t="inlineStr">
        <is>
          <t>2024-12-20</t>
        </is>
      </c>
      <c r="B389" s="30" t="n">
        <v>37960</v>
      </c>
      <c r="C389" s="30" t="n">
        <v>38700</v>
      </c>
      <c r="D389" s="30" t="n">
        <v>36880</v>
      </c>
      <c r="E389" s="30" t="n">
        <v>38060</v>
      </c>
      <c r="F389" s="30" t="n">
        <v>33405.88671875</v>
      </c>
      <c r="G389" s="30" t="n">
        <v>428440</v>
      </c>
      <c r="H389" s="35" t="n">
        <v>0.002106371774618143</v>
      </c>
      <c r="I389" s="35" t="n">
        <v>-0.3614093959731544</v>
      </c>
      <c r="J389" s="30" t="n">
        <v>33408</v>
      </c>
      <c r="K389" s="30" t="n">
        <v>35129</v>
      </c>
      <c r="L389" s="30" t="n">
        <v>38036</v>
      </c>
      <c r="M389" s="35" t="n">
        <v>0.4642905733226633</v>
      </c>
      <c r="N389" s="35" t="n">
        <v>0.4777844938126671</v>
      </c>
      <c r="O389" s="35" t="n">
        <v>0.2144224633056797</v>
      </c>
      <c r="P389" s="35" t="n">
        <v>-0.03155216284987272</v>
      </c>
      <c r="Q389" s="35" t="n">
        <v>-0.181505376344086</v>
      </c>
      <c r="R389" s="35" t="n">
        <v>0.1392480842911878</v>
      </c>
      <c r="S389" s="35" t="n">
        <v>0.08343533832446126</v>
      </c>
      <c r="T389" s="35" t="n">
        <v>0.0006309811757283512</v>
      </c>
      <c r="U389" s="30" t="n">
        <v>59600</v>
      </c>
      <c r="V389" s="30" t="n">
        <v>30040</v>
      </c>
      <c r="W389" s="35" t="n">
        <v>-0.3614093959731544</v>
      </c>
      <c r="X389" s="35" t="n">
        <v>0.266977363515313</v>
      </c>
      <c r="Y389" s="30" t="n">
        <v>76211850</v>
      </c>
      <c r="Z389" s="30" t="n">
        <v>2900623011000</v>
      </c>
      <c r="AA389" s="30" t="n">
        <v>16306426400</v>
      </c>
      <c r="AB389" s="30" t="n">
        <v>16207870580</v>
      </c>
      <c r="AC389" s="35" t="n">
        <v>0.005621697938050316</v>
      </c>
      <c r="AD389" s="24" t="inlineStr">
        <is>
          <t>yfinance_download</t>
        </is>
      </c>
      <c r="AE389" s="24" t="inlineStr">
        <is>
          <t>058470.KQ</t>
        </is>
      </c>
    </row>
    <row r="390" ht="24" customHeight="1">
      <c r="A390" s="29" t="inlineStr">
        <is>
          <t>2024-12-23</t>
        </is>
      </c>
      <c r="B390" s="31" t="n">
        <v>38400</v>
      </c>
      <c r="C390" s="31" t="n">
        <v>39580</v>
      </c>
      <c r="D390" s="31" t="n">
        <v>37720</v>
      </c>
      <c r="E390" s="31" t="n">
        <v>38880</v>
      </c>
      <c r="F390" s="31" t="n">
        <v>34125.61328125</v>
      </c>
      <c r="G390" s="31" t="n">
        <v>485710</v>
      </c>
      <c r="H390" s="36" t="n">
        <v>0.02154492905937988</v>
      </c>
      <c r="I390" s="36" t="n">
        <v>-0.3476510067114094</v>
      </c>
      <c r="J390" s="31" t="n">
        <v>33705</v>
      </c>
      <c r="K390" s="31" t="n">
        <v>35121</v>
      </c>
      <c r="L390" s="31" t="n">
        <v>37972.5</v>
      </c>
      <c r="M390" s="36" t="n">
        <v>0.4410540453565958</v>
      </c>
      <c r="N390" s="36" t="n">
        <v>0.4798304508391828</v>
      </c>
      <c r="O390" s="36" t="n">
        <v>0.180327868852459</v>
      </c>
      <c r="P390" s="36" t="n">
        <v>-0.01219512195121952</v>
      </c>
      <c r="Q390" s="36" t="n">
        <v>-0.1638709677419354</v>
      </c>
      <c r="R390" s="36" t="n">
        <v>0.1535380507343125</v>
      </c>
      <c r="S390" s="36" t="n">
        <v>0.1070299820620142</v>
      </c>
      <c r="T390" s="36" t="n">
        <v>0.02389887418526571</v>
      </c>
      <c r="U390" s="31" t="n">
        <v>59600</v>
      </c>
      <c r="V390" s="31" t="n">
        <v>30040</v>
      </c>
      <c r="W390" s="36" t="n">
        <v>-0.3476510067114094</v>
      </c>
      <c r="X390" s="36" t="n">
        <v>0.2942743009320905</v>
      </c>
      <c r="Y390" s="31" t="n">
        <v>76211850</v>
      </c>
      <c r="Z390" s="31" t="n">
        <v>2963116728000</v>
      </c>
      <c r="AA390" s="31" t="n">
        <v>18884404800</v>
      </c>
      <c r="AB390" s="31" t="n">
        <v>16374953870</v>
      </c>
      <c r="AC390" s="36" t="n">
        <v>0.006373155880614366</v>
      </c>
      <c r="AD390" s="29" t="inlineStr">
        <is>
          <t>yfinance_download</t>
        </is>
      </c>
      <c r="AE390" s="29" t="inlineStr">
        <is>
          <t>058470.KQ</t>
        </is>
      </c>
    </row>
    <row r="391" ht="24" customHeight="1">
      <c r="A391" s="24" t="inlineStr">
        <is>
          <t>2024-12-24</t>
        </is>
      </c>
      <c r="B391" s="30" t="n">
        <v>39060</v>
      </c>
      <c r="C391" s="30" t="n">
        <v>40500</v>
      </c>
      <c r="D391" s="30" t="n">
        <v>38880</v>
      </c>
      <c r="E391" s="30" t="n">
        <v>40000</v>
      </c>
      <c r="F391" s="30" t="n">
        <v>35108.66015625</v>
      </c>
      <c r="G391" s="30" t="n">
        <v>555660</v>
      </c>
      <c r="H391" s="35" t="n">
        <v>0.0288065843621399</v>
      </c>
      <c r="I391" s="35" t="n">
        <v>-0.3288590604026845</v>
      </c>
      <c r="J391" s="30" t="n">
        <v>34094</v>
      </c>
      <c r="K391" s="30" t="n">
        <v>35117.66666666666</v>
      </c>
      <c r="L391" s="30" t="n">
        <v>37914.16666666666</v>
      </c>
      <c r="M391" s="35" t="n">
        <v>0.4310725143570711</v>
      </c>
      <c r="N391" s="35" t="n">
        <v>0.4814733824223904</v>
      </c>
      <c r="O391" s="35" t="n">
        <v>0.2414649286157666</v>
      </c>
      <c r="P391" s="35" t="n">
        <v>-0.00497512437810943</v>
      </c>
      <c r="Q391" s="35" t="n">
        <v>-0.148936170212766</v>
      </c>
      <c r="R391" s="35" t="n">
        <v>0.1732269607555581</v>
      </c>
      <c r="S391" s="35" t="n">
        <v>0.139027839738783</v>
      </c>
      <c r="T391" s="35" t="n">
        <v>0.05501461634833071</v>
      </c>
      <c r="U391" s="30" t="n">
        <v>59600</v>
      </c>
      <c r="V391" s="30" t="n">
        <v>30040</v>
      </c>
      <c r="W391" s="35" t="n">
        <v>-0.3288590604026845</v>
      </c>
      <c r="X391" s="35" t="n">
        <v>0.3315579227696406</v>
      </c>
      <c r="Y391" s="30" t="n">
        <v>76211850</v>
      </c>
      <c r="Z391" s="30" t="n">
        <v>3048474000000</v>
      </c>
      <c r="AA391" s="30" t="n">
        <v>22226400000</v>
      </c>
      <c r="AB391" s="30" t="n">
        <v>17050723910</v>
      </c>
      <c r="AC391" s="35" t="n">
        <v>0.00729099214885874</v>
      </c>
      <c r="AD391" s="24" t="inlineStr">
        <is>
          <t>yfinance_download</t>
        </is>
      </c>
      <c r="AE391" s="24" t="inlineStr">
        <is>
          <t>058470.KQ</t>
        </is>
      </c>
    </row>
    <row r="392" ht="24" customHeight="1">
      <c r="A392" s="29" t="inlineStr">
        <is>
          <t>2024-12-26</t>
        </is>
      </c>
      <c r="B392" s="31" t="n">
        <v>40300</v>
      </c>
      <c r="C392" s="31" t="n">
        <v>40300</v>
      </c>
      <c r="D392" s="31" t="n">
        <v>38060</v>
      </c>
      <c r="E392" s="31" t="n">
        <v>38980</v>
      </c>
      <c r="F392" s="31" t="n">
        <v>34213.38671875</v>
      </c>
      <c r="G392" s="31" t="n">
        <v>463485</v>
      </c>
      <c r="H392" s="36" t="n">
        <v>-0.02549999999999997</v>
      </c>
      <c r="I392" s="36" t="n">
        <v>-0.3459731543624162</v>
      </c>
      <c r="J392" s="31" t="n">
        <v>34471</v>
      </c>
      <c r="K392" s="31" t="n">
        <v>35104</v>
      </c>
      <c r="L392" s="31" t="n">
        <v>37848.16666666666</v>
      </c>
      <c r="M392" s="36" t="n">
        <v>0.4325021890260005</v>
      </c>
      <c r="N392" s="36" t="n">
        <v>0.4839452204690907</v>
      </c>
      <c r="O392" s="36" t="n">
        <v>0.2398218829516539</v>
      </c>
      <c r="P392" s="36" t="n">
        <v>-0.02060301507537687</v>
      </c>
      <c r="Q392" s="36" t="n">
        <v>-0.1688699360341152</v>
      </c>
      <c r="R392" s="36" t="n">
        <v>0.1308056047112065</v>
      </c>
      <c r="S392" s="36" t="n">
        <v>0.1104147675478577</v>
      </c>
      <c r="T392" s="36" t="n">
        <v>0.02990457485831555</v>
      </c>
      <c r="U392" s="31" t="n">
        <v>59600</v>
      </c>
      <c r="V392" s="31" t="n">
        <v>30040</v>
      </c>
      <c r="W392" s="36" t="n">
        <v>-0.3459731543624162</v>
      </c>
      <c r="X392" s="36" t="n">
        <v>0.2976031957390146</v>
      </c>
      <c r="Y392" s="31" t="n">
        <v>76211850</v>
      </c>
      <c r="Z392" s="31" t="n">
        <v>2970737913000</v>
      </c>
      <c r="AA392" s="31" t="n">
        <v>18066645300</v>
      </c>
      <c r="AB392" s="31" t="n">
        <v>17470202435</v>
      </c>
      <c r="AC392" s="36" t="n">
        <v>0.0060815345645067</v>
      </c>
      <c r="AD392" s="29" t="inlineStr">
        <is>
          <t>yfinance_download</t>
        </is>
      </c>
      <c r="AE392" s="29" t="inlineStr">
        <is>
          <t>058470.KQ</t>
        </is>
      </c>
    </row>
    <row r="393" ht="24" customHeight="1">
      <c r="A393" s="24" t="inlineStr">
        <is>
          <t>2024-12-27</t>
        </is>
      </c>
      <c r="B393" s="30" t="n">
        <v>38160</v>
      </c>
      <c r="C393" s="30" t="n">
        <v>39200</v>
      </c>
      <c r="D393" s="30" t="n">
        <v>38060</v>
      </c>
      <c r="E393" s="30" t="n">
        <v>38400</v>
      </c>
      <c r="F393" s="30" t="n">
        <v>36514.56640625</v>
      </c>
      <c r="G393" s="30" t="n">
        <v>380360</v>
      </c>
      <c r="H393" s="35" t="n">
        <v>-0.01487942534633147</v>
      </c>
      <c r="I393" s="35" t="n">
        <v>-0.3557046979865772</v>
      </c>
      <c r="J393" s="30" t="n">
        <v>34836</v>
      </c>
      <c r="K393" s="30" t="n">
        <v>35114</v>
      </c>
      <c r="L393" s="30" t="n">
        <v>37795.66666666666</v>
      </c>
      <c r="M393" s="35" t="n">
        <v>0.4354713098617519</v>
      </c>
      <c r="N393" s="35" t="n">
        <v>0.4735404734270404</v>
      </c>
      <c r="O393" s="35" t="n">
        <v>0.234726688102894</v>
      </c>
      <c r="P393" s="35" t="n">
        <v>0.01587301587301582</v>
      </c>
      <c r="Q393" s="35" t="n">
        <v>-0.1409395973154363</v>
      </c>
      <c r="R393" s="35" t="n">
        <v>0.1023079572855667</v>
      </c>
      <c r="S393" s="35" t="n">
        <v>0.09358090789998297</v>
      </c>
      <c r="T393" s="35" t="n">
        <v>0.01598948733099914</v>
      </c>
      <c r="U393" s="30" t="n">
        <v>59600</v>
      </c>
      <c r="V393" s="30" t="n">
        <v>30040</v>
      </c>
      <c r="W393" s="35" t="n">
        <v>-0.3557046979865772</v>
      </c>
      <c r="X393" s="35" t="n">
        <v>0.2782956058588548</v>
      </c>
      <c r="Y393" s="30" t="n">
        <v>76211850</v>
      </c>
      <c r="Z393" s="30" t="n">
        <v>2926535040000</v>
      </c>
      <c r="AA393" s="30" t="n">
        <v>14605824000</v>
      </c>
      <c r="AB393" s="30" t="n">
        <v>17814379360</v>
      </c>
      <c r="AC393" s="35" t="n">
        <v>0.004990824917647321</v>
      </c>
      <c r="AD393" s="24" t="inlineStr">
        <is>
          <t>yfinance_download</t>
        </is>
      </c>
      <c r="AE393" s="24" t="inlineStr">
        <is>
          <t>058470.KQ</t>
        </is>
      </c>
    </row>
    <row r="394" ht="24" customHeight="1">
      <c r="A394" s="29" t="inlineStr">
        <is>
          <t>2024-12-30</t>
        </is>
      </c>
      <c r="B394" s="31" t="n">
        <v>38080</v>
      </c>
      <c r="C394" s="31" t="n">
        <v>38800</v>
      </c>
      <c r="D394" s="31" t="n">
        <v>37840</v>
      </c>
      <c r="E394" s="31" t="n">
        <v>38320</v>
      </c>
      <c r="F394" s="31" t="n">
        <v>36438.4921875</v>
      </c>
      <c r="G394" s="31" t="n">
        <v>201565</v>
      </c>
      <c r="H394" s="36" t="n">
        <v>-0.002083333333333326</v>
      </c>
      <c r="I394" s="36" t="n">
        <v>-0.3570469798657718</v>
      </c>
      <c r="J394" s="31" t="n">
        <v>35209</v>
      </c>
      <c r="K394" s="31" t="n">
        <v>35119.33333333334</v>
      </c>
      <c r="L394" s="31" t="n">
        <v>37746.66666666666</v>
      </c>
      <c r="M394" s="36" t="n">
        <v>0.4327186982228605</v>
      </c>
      <c r="N394" s="36" t="n">
        <v>0.4734762698341602</v>
      </c>
      <c r="O394" s="36" t="n">
        <v>0.2417368762151653</v>
      </c>
      <c r="P394" s="36" t="n">
        <v>0.008421052631578885</v>
      </c>
      <c r="Q394" s="36" t="n">
        <v>-0.1330316742081448</v>
      </c>
      <c r="R394" s="36" t="n">
        <v>0.08835809026101282</v>
      </c>
      <c r="S394" s="36" t="n">
        <v>0.09113688566601486</v>
      </c>
      <c r="T394" s="36" t="n">
        <v>0.01518897915930784</v>
      </c>
      <c r="U394" s="31" t="n">
        <v>59600</v>
      </c>
      <c r="V394" s="31" t="n">
        <v>30040</v>
      </c>
      <c r="W394" s="36" t="n">
        <v>-0.3570469798657718</v>
      </c>
      <c r="X394" s="36" t="n">
        <v>0.2756324900133156</v>
      </c>
      <c r="Y394" s="31" t="n">
        <v>76211850</v>
      </c>
      <c r="Z394" s="31" t="n">
        <v>2920438092000</v>
      </c>
      <c r="AA394" s="31" t="n">
        <v>7723970800</v>
      </c>
      <c r="AB394" s="31" t="n">
        <v>17827187330</v>
      </c>
      <c r="AC394" s="36" t="n">
        <v>0.002644798676321333</v>
      </c>
      <c r="AD394" s="29" t="inlineStr">
        <is>
          <t>yfinance_download</t>
        </is>
      </c>
      <c r="AE394" s="29" t="inlineStr">
        <is>
          <t>058470.KQ</t>
        </is>
      </c>
    </row>
    <row r="395" ht="24" customHeight="1">
      <c r="A395" s="24" t="inlineStr">
        <is>
          <t>2025-01-02</t>
        </is>
      </c>
      <c r="B395" s="30" t="n">
        <v>38000</v>
      </c>
      <c r="C395" s="30" t="n">
        <v>40200</v>
      </c>
      <c r="D395" s="30" t="n">
        <v>38000</v>
      </c>
      <c r="E395" s="30" t="n">
        <v>39600</v>
      </c>
      <c r="F395" s="30" t="n">
        <v>37655.64453125</v>
      </c>
      <c r="G395" s="30" t="n">
        <v>552605</v>
      </c>
      <c r="H395" s="35" t="n">
        <v>0.03340292275574108</v>
      </c>
      <c r="I395" s="35" t="n">
        <v>-0.3355704697986577</v>
      </c>
      <c r="J395" s="30" t="n">
        <v>35646</v>
      </c>
      <c r="K395" s="30" t="n">
        <v>35128</v>
      </c>
      <c r="L395" s="30" t="n">
        <v>37705</v>
      </c>
      <c r="M395" s="35" t="n">
        <v>0.4374376408386986</v>
      </c>
      <c r="N395" s="35" t="n">
        <v>0.4748357286231905</v>
      </c>
      <c r="O395" s="35" t="n">
        <v>0.2832145171743357</v>
      </c>
      <c r="P395" s="35" t="n">
        <v>0.01330603889457516</v>
      </c>
      <c r="Q395" s="35" t="n">
        <v>-0.1121076233183856</v>
      </c>
      <c r="R395" s="35" t="n">
        <v>0.1109240868540651</v>
      </c>
      <c r="S395" s="35" t="n">
        <v>0.1273058528808928</v>
      </c>
      <c r="T395" s="35" t="n">
        <v>0.05025858639437741</v>
      </c>
      <c r="U395" s="30" t="n">
        <v>59600</v>
      </c>
      <c r="V395" s="30" t="n">
        <v>30040</v>
      </c>
      <c r="W395" s="35" t="n">
        <v>-0.3355704697986577</v>
      </c>
      <c r="X395" s="35" t="n">
        <v>0.3182423435419441</v>
      </c>
      <c r="Y395" s="30" t="n">
        <v>76211850</v>
      </c>
      <c r="Z395" s="30" t="n">
        <v>3017989260000</v>
      </c>
      <c r="AA395" s="30" t="n">
        <v>21883158000</v>
      </c>
      <c r="AB395" s="30" t="n">
        <v>18495307500</v>
      </c>
      <c r="AC395" s="35" t="n">
        <v>0.007250906519130555</v>
      </c>
      <c r="AD395" s="24" t="inlineStr">
        <is>
          <t>yfinance_download</t>
        </is>
      </c>
      <c r="AE395" s="24" t="inlineStr">
        <is>
          <t>058470.KQ</t>
        </is>
      </c>
    </row>
    <row r="396" ht="24" customHeight="1">
      <c r="A396" s="29" t="inlineStr">
        <is>
          <t>2025-01-03</t>
        </is>
      </c>
      <c r="B396" s="31" t="n">
        <v>39600</v>
      </c>
      <c r="C396" s="31" t="n">
        <v>41900</v>
      </c>
      <c r="D396" s="31" t="n">
        <v>39000</v>
      </c>
      <c r="E396" s="31" t="n">
        <v>41800</v>
      </c>
      <c r="F396" s="31" t="n">
        <v>39747.625</v>
      </c>
      <c r="G396" s="31" t="n">
        <v>716535</v>
      </c>
      <c r="H396" s="36" t="n">
        <v>0.05555555555555558</v>
      </c>
      <c r="I396" s="36" t="n">
        <v>-0.2986577181208053</v>
      </c>
      <c r="J396" s="31" t="n">
        <v>36163</v>
      </c>
      <c r="K396" s="31" t="n">
        <v>35172.33333333334</v>
      </c>
      <c r="L396" s="31" t="n">
        <v>37686.66666666666</v>
      </c>
      <c r="M396" s="36" t="n">
        <v>0.4626544968055324</v>
      </c>
      <c r="N396" s="36" t="n">
        <v>0.4879848101168278</v>
      </c>
      <c r="O396" s="36" t="n">
        <v>0.3286713286713288</v>
      </c>
      <c r="P396" s="36" t="n">
        <v>0.06796116504854366</v>
      </c>
      <c r="Q396" s="36" t="n">
        <v>-0.05000000000000004</v>
      </c>
      <c r="R396" s="36" t="n">
        <v>0.1558775544064375</v>
      </c>
      <c r="S396" s="36" t="n">
        <v>0.1884340911890974</v>
      </c>
      <c r="T396" s="36" t="n">
        <v>0.1091455864142934</v>
      </c>
      <c r="U396" s="31" t="n">
        <v>59600</v>
      </c>
      <c r="V396" s="31" t="n">
        <v>30040</v>
      </c>
      <c r="W396" s="36" t="n">
        <v>-0.2986577181208053</v>
      </c>
      <c r="X396" s="36" t="n">
        <v>0.3914780292942743</v>
      </c>
      <c r="Y396" s="31" t="n">
        <v>76211850</v>
      </c>
      <c r="Z396" s="31" t="n">
        <v>3185655330000</v>
      </c>
      <c r="AA396" s="31" t="n">
        <v>29951163000</v>
      </c>
      <c r="AB396" s="31" t="n">
        <v>19433223710</v>
      </c>
      <c r="AC396" s="36" t="n">
        <v>0.009401884352630202</v>
      </c>
      <c r="AD396" s="29" t="inlineStr">
        <is>
          <t>yfinance_download</t>
        </is>
      </c>
      <c r="AE396" s="29" t="inlineStr">
        <is>
          <t>058470.KQ</t>
        </is>
      </c>
    </row>
    <row r="397" ht="24" customHeight="1">
      <c r="A397" s="24" t="inlineStr">
        <is>
          <t>2025-01-06</t>
        </is>
      </c>
      <c r="B397" s="30" t="n">
        <v>42600</v>
      </c>
      <c r="C397" s="30" t="n">
        <v>43100</v>
      </c>
      <c r="D397" s="30" t="n">
        <v>41600</v>
      </c>
      <c r="E397" s="30" t="n">
        <v>41800</v>
      </c>
      <c r="F397" s="30" t="n">
        <v>39747.625</v>
      </c>
      <c r="G397" s="30" t="n">
        <v>485240</v>
      </c>
      <c r="H397" s="35" t="n">
        <v>0</v>
      </c>
      <c r="I397" s="35" t="n">
        <v>-0.2986577181208053</v>
      </c>
      <c r="J397" s="30" t="n">
        <v>36672</v>
      </c>
      <c r="K397" s="30" t="n">
        <v>35225</v>
      </c>
      <c r="L397" s="30" t="n">
        <v>37662.5</v>
      </c>
      <c r="M397" s="35" t="n">
        <v>0.4644062757955555</v>
      </c>
      <c r="N397" s="35" t="n">
        <v>0.4870833996120492</v>
      </c>
      <c r="O397" s="35" t="n">
        <v>0.3219481340923467</v>
      </c>
      <c r="P397" s="35" t="n">
        <v>0.08178053830227738</v>
      </c>
      <c r="Q397" s="35" t="n">
        <v>-0.06487695749440714</v>
      </c>
      <c r="R397" s="35" t="n">
        <v>0.1398342059336823</v>
      </c>
      <c r="S397" s="35" t="n">
        <v>0.1866572036905607</v>
      </c>
      <c r="T397" s="35" t="n">
        <v>0.1098572850979092</v>
      </c>
      <c r="U397" s="30" t="n">
        <v>59600</v>
      </c>
      <c r="V397" s="30" t="n">
        <v>30040</v>
      </c>
      <c r="W397" s="35" t="n">
        <v>-0.2986577181208053</v>
      </c>
      <c r="X397" s="35" t="n">
        <v>0.3914780292942743</v>
      </c>
      <c r="Y397" s="30" t="n">
        <v>76211850</v>
      </c>
      <c r="Z397" s="30" t="n">
        <v>3185655330000</v>
      </c>
      <c r="AA397" s="30" t="n">
        <v>20283032000</v>
      </c>
      <c r="AB397" s="30" t="n">
        <v>19890444345</v>
      </c>
      <c r="AC397" s="35" t="n">
        <v>0.006366988860656184</v>
      </c>
      <c r="AD397" s="24" t="inlineStr">
        <is>
          <t>yfinance_download</t>
        </is>
      </c>
      <c r="AE397" s="24" t="inlineStr">
        <is>
          <t>058470.KQ</t>
        </is>
      </c>
    </row>
    <row r="398" ht="24" customHeight="1">
      <c r="A398" s="29" t="inlineStr">
        <is>
          <t>2025-01-07</t>
        </is>
      </c>
      <c r="B398" s="31" t="n">
        <v>42500</v>
      </c>
      <c r="C398" s="31" t="n">
        <v>42700</v>
      </c>
      <c r="D398" s="31" t="n">
        <v>40600</v>
      </c>
      <c r="E398" s="31" t="n">
        <v>40600</v>
      </c>
      <c r="F398" s="31" t="n">
        <v>38606.546875</v>
      </c>
      <c r="G398" s="31" t="n">
        <v>420710</v>
      </c>
      <c r="H398" s="36" t="n">
        <v>-0.0287081339712919</v>
      </c>
      <c r="I398" s="36" t="n">
        <v>-0.3187919463087249</v>
      </c>
      <c r="J398" s="31" t="n">
        <v>37086</v>
      </c>
      <c r="K398" s="31" t="n">
        <v>35273.66666666666</v>
      </c>
      <c r="L398" s="31" t="n">
        <v>37605.83333333334</v>
      </c>
      <c r="M398" s="36" t="n">
        <v>0.4877335230251668</v>
      </c>
      <c r="N398" s="36" t="n">
        <v>0.4880485629226652</v>
      </c>
      <c r="O398" s="36" t="n">
        <v>0.2561881188118811</v>
      </c>
      <c r="P398" s="36" t="n">
        <v>0.07749469214437377</v>
      </c>
      <c r="Q398" s="36" t="n">
        <v>-0.1434599156118144</v>
      </c>
      <c r="R398" s="36" t="n">
        <v>0.09475273688184216</v>
      </c>
      <c r="S398" s="36" t="n">
        <v>0.1510002740476843</v>
      </c>
      <c r="T398" s="36" t="n">
        <v>0.07961973984532533</v>
      </c>
      <c r="U398" s="31" t="n">
        <v>59600</v>
      </c>
      <c r="V398" s="31" t="n">
        <v>30040</v>
      </c>
      <c r="W398" s="36" t="n">
        <v>-0.3187919463087249</v>
      </c>
      <c r="X398" s="36" t="n">
        <v>0.351531291611185</v>
      </c>
      <c r="Y398" s="31" t="n">
        <v>76211850</v>
      </c>
      <c r="Z398" s="31" t="n">
        <v>3094201110000</v>
      </c>
      <c r="AA398" s="31" t="n">
        <v>17080826000</v>
      </c>
      <c r="AB398" s="31" t="n">
        <v>19988884445</v>
      </c>
      <c r="AC398" s="36" t="n">
        <v>0.005520270141716807</v>
      </c>
      <c r="AD398" s="29" t="inlineStr">
        <is>
          <t>yfinance_download</t>
        </is>
      </c>
      <c r="AE398" s="29" t="inlineStr">
        <is>
          <t>058470.KQ</t>
        </is>
      </c>
    </row>
    <row r="399" ht="24" customHeight="1">
      <c r="A399" s="24" t="inlineStr">
        <is>
          <t>2025-01-08</t>
        </is>
      </c>
      <c r="B399" s="30" t="n">
        <v>39960</v>
      </c>
      <c r="C399" s="30" t="n">
        <v>41300</v>
      </c>
      <c r="D399" s="30" t="n">
        <v>39880</v>
      </c>
      <c r="E399" s="30" t="n">
        <v>40900</v>
      </c>
      <c r="F399" s="30" t="n">
        <v>38891.81640625</v>
      </c>
      <c r="G399" s="30" t="n">
        <v>364875</v>
      </c>
      <c r="H399" s="35" t="n">
        <v>0.00738916256157629</v>
      </c>
      <c r="I399" s="35" t="n">
        <v>-0.3137583892617449</v>
      </c>
      <c r="J399" s="30" t="n">
        <v>37539</v>
      </c>
      <c r="K399" s="30" t="n">
        <v>35295</v>
      </c>
      <c r="L399" s="30" t="n">
        <v>37544.16666666666</v>
      </c>
      <c r="M399" s="35" t="n">
        <v>0.4778362490181027</v>
      </c>
      <c r="N399" s="35" t="n">
        <v>0.47708258599973</v>
      </c>
      <c r="O399" s="35" t="n">
        <v>0.2845477386934674</v>
      </c>
      <c r="P399" s="35" t="n">
        <v>0.03230691569914179</v>
      </c>
      <c r="Q399" s="35" t="n">
        <v>-0.1532091097308489</v>
      </c>
      <c r="R399" s="35" t="n">
        <v>0.08953355177282285</v>
      </c>
      <c r="S399" s="35" t="n">
        <v>0.1588043632242526</v>
      </c>
      <c r="T399" s="35" t="n">
        <v>0.0893836148536169</v>
      </c>
      <c r="U399" s="30" t="n">
        <v>59600</v>
      </c>
      <c r="V399" s="30" t="n">
        <v>30040</v>
      </c>
      <c r="W399" s="35" t="n">
        <v>-0.3137583892617449</v>
      </c>
      <c r="X399" s="35" t="n">
        <v>0.3615179760319573</v>
      </c>
      <c r="Y399" s="30" t="n">
        <v>76211850</v>
      </c>
      <c r="Z399" s="30" t="n">
        <v>3117064665000</v>
      </c>
      <c r="AA399" s="30" t="n">
        <v>14923387500</v>
      </c>
      <c r="AB399" s="30" t="n">
        <v>20124450180</v>
      </c>
      <c r="AC399" s="35" t="n">
        <v>0.004787641292003803</v>
      </c>
      <c r="AD399" s="24" t="inlineStr">
        <is>
          <t>yfinance_download</t>
        </is>
      </c>
      <c r="AE399" s="24" t="inlineStr">
        <is>
          <t>058470.KQ</t>
        </is>
      </c>
    </row>
    <row r="400" ht="24" customHeight="1">
      <c r="A400" s="29" t="inlineStr">
        <is>
          <t>2025-01-09</t>
        </is>
      </c>
      <c r="B400" s="31" t="n">
        <v>40700</v>
      </c>
      <c r="C400" s="31" t="n">
        <v>41000</v>
      </c>
      <c r="D400" s="31" t="n">
        <v>40000</v>
      </c>
      <c r="E400" s="31" t="n">
        <v>41000</v>
      </c>
      <c r="F400" s="31" t="n">
        <v>38986.90625</v>
      </c>
      <c r="G400" s="31" t="n">
        <v>297845</v>
      </c>
      <c r="H400" s="36" t="n">
        <v>0.002444987775061191</v>
      </c>
      <c r="I400" s="36" t="n">
        <v>-0.3120805369127517</v>
      </c>
      <c r="J400" s="31" t="n">
        <v>38058</v>
      </c>
      <c r="K400" s="31" t="n">
        <v>35310</v>
      </c>
      <c r="L400" s="31" t="n">
        <v>37479.16666666666</v>
      </c>
      <c r="M400" s="36" t="n">
        <v>0.4401714667080863</v>
      </c>
      <c r="N400" s="36" t="n">
        <v>0.4765293621582242</v>
      </c>
      <c r="O400" s="36" t="n">
        <v>0.3389941214892227</v>
      </c>
      <c r="P400" s="36" t="n">
        <v>0.02244389027431426</v>
      </c>
      <c r="Q400" s="36" t="n">
        <v>-0.1598360655737705</v>
      </c>
      <c r="R400" s="36" t="n">
        <v>0.07730306374481066</v>
      </c>
      <c r="S400" s="36" t="n">
        <v>0.1611441517983574</v>
      </c>
      <c r="T400" s="36" t="n">
        <v>0.09394107837687615</v>
      </c>
      <c r="U400" s="31" t="n">
        <v>59600</v>
      </c>
      <c r="V400" s="31" t="n">
        <v>30040</v>
      </c>
      <c r="W400" s="36" t="n">
        <v>-0.3120805369127517</v>
      </c>
      <c r="X400" s="36" t="n">
        <v>0.3648468708388815</v>
      </c>
      <c r="Y400" s="31" t="n">
        <v>76211850</v>
      </c>
      <c r="Z400" s="31" t="n">
        <v>3124685850000</v>
      </c>
      <c r="AA400" s="31" t="n">
        <v>12211645000</v>
      </c>
      <c r="AB400" s="31" t="n">
        <v>20211330915</v>
      </c>
      <c r="AC400" s="36" t="n">
        <v>0.003908119275414519</v>
      </c>
      <c r="AD400" s="29" t="inlineStr">
        <is>
          <t>yfinance_download</t>
        </is>
      </c>
      <c r="AE400" s="29" t="inlineStr">
        <is>
          <t>058470.KQ</t>
        </is>
      </c>
    </row>
    <row r="401" ht="24" customHeight="1">
      <c r="A401" s="24" t="inlineStr">
        <is>
          <t>2025-01-10</t>
        </is>
      </c>
      <c r="B401" s="30" t="n">
        <v>40500</v>
      </c>
      <c r="C401" s="30" t="n">
        <v>41100</v>
      </c>
      <c r="D401" s="30" t="n">
        <v>39780</v>
      </c>
      <c r="E401" s="30" t="n">
        <v>39780</v>
      </c>
      <c r="F401" s="30" t="n">
        <v>37826.80859375</v>
      </c>
      <c r="G401" s="30" t="n">
        <v>276635</v>
      </c>
      <c r="H401" s="35" t="n">
        <v>-0.02975609756097564</v>
      </c>
      <c r="I401" s="35" t="n">
        <v>-0.3325503355704698</v>
      </c>
      <c r="J401" s="30" t="n">
        <v>38489</v>
      </c>
      <c r="K401" s="30" t="n">
        <v>35289.66666666666</v>
      </c>
      <c r="L401" s="30" t="n">
        <v>37404</v>
      </c>
      <c r="M401" s="35" t="n">
        <v>0.4677757350071391</v>
      </c>
      <c r="N401" s="35" t="n">
        <v>0.478413072996577</v>
      </c>
      <c r="O401" s="35" t="n">
        <v>0.2766367137355583</v>
      </c>
      <c r="P401" s="35" t="n">
        <v>-0.02975609756097564</v>
      </c>
      <c r="Q401" s="35" t="n">
        <v>-0.1848360655737705</v>
      </c>
      <c r="R401" s="35" t="n">
        <v>0.03354205097560348</v>
      </c>
      <c r="S401" s="35" t="n">
        <v>0.1272421577610066</v>
      </c>
      <c r="T401" s="35" t="n">
        <v>0.06352261790182867</v>
      </c>
      <c r="U401" s="30" t="n">
        <v>59600</v>
      </c>
      <c r="V401" s="30" t="n">
        <v>30040</v>
      </c>
      <c r="W401" s="35" t="n">
        <v>-0.3325503355704698</v>
      </c>
      <c r="X401" s="35" t="n">
        <v>0.3242343541944075</v>
      </c>
      <c r="Y401" s="30" t="n">
        <v>76211850</v>
      </c>
      <c r="Z401" s="30" t="n">
        <v>3031707393000</v>
      </c>
      <c r="AA401" s="30" t="n">
        <v>11004540300</v>
      </c>
      <c r="AB401" s="30" t="n">
        <v>20192007660</v>
      </c>
      <c r="AC401" s="35" t="n">
        <v>0.003629816098152715</v>
      </c>
      <c r="AD401" s="24" t="inlineStr">
        <is>
          <t>yfinance_download</t>
        </is>
      </c>
      <c r="AE401" s="24" t="inlineStr">
        <is>
          <t>058470.KQ</t>
        </is>
      </c>
    </row>
    <row r="402" ht="24" customHeight="1">
      <c r="A402" s="29" t="inlineStr">
        <is>
          <t>2025-01-13</t>
        </is>
      </c>
      <c r="B402" s="31" t="n">
        <v>39200</v>
      </c>
      <c r="C402" s="31" t="n">
        <v>40300</v>
      </c>
      <c r="D402" s="31" t="n">
        <v>39100</v>
      </c>
      <c r="E402" s="31" t="n">
        <v>39580</v>
      </c>
      <c r="F402" s="31" t="n">
        <v>37636.62890625</v>
      </c>
      <c r="G402" s="31" t="n">
        <v>230870</v>
      </c>
      <c r="H402" s="36" t="n">
        <v>-0.005027652086475598</v>
      </c>
      <c r="I402" s="36" t="n">
        <v>-0.3359060402684564</v>
      </c>
      <c r="J402" s="31" t="n">
        <v>38814</v>
      </c>
      <c r="K402" s="31" t="n">
        <v>35291.33333333334</v>
      </c>
      <c r="L402" s="31" t="n">
        <v>37333</v>
      </c>
      <c r="M402" s="36" t="n">
        <v>0.4339180097904649</v>
      </c>
      <c r="N402" s="36" t="n">
        <v>0.4722913729309824</v>
      </c>
      <c r="O402" s="36" t="n">
        <v>0.1964933494558645</v>
      </c>
      <c r="P402" s="36" t="n">
        <v>0.002532928064842954</v>
      </c>
      <c r="Q402" s="36" t="n">
        <v>-0.1771309771309771</v>
      </c>
      <c r="R402" s="36" t="n">
        <v>0.01973514711186675</v>
      </c>
      <c r="S402" s="36" t="n">
        <v>0.1215218089427055</v>
      </c>
      <c r="T402" s="36" t="n">
        <v>0.06018803739319112</v>
      </c>
      <c r="U402" s="31" t="n">
        <v>59600</v>
      </c>
      <c r="V402" s="31" t="n">
        <v>30040</v>
      </c>
      <c r="W402" s="36" t="n">
        <v>-0.3359060402684564</v>
      </c>
      <c r="X402" s="36" t="n">
        <v>0.3175765645805593</v>
      </c>
      <c r="Y402" s="31" t="n">
        <v>76211850</v>
      </c>
      <c r="Z402" s="31" t="n">
        <v>3016465023000</v>
      </c>
      <c r="AA402" s="31" t="n">
        <v>9137834600</v>
      </c>
      <c r="AB402" s="31" t="n">
        <v>19848437820</v>
      </c>
      <c r="AC402" s="36" t="n">
        <v>0.003029318931373533</v>
      </c>
      <c r="AD402" s="29" t="inlineStr">
        <is>
          <t>yfinance_download</t>
        </is>
      </c>
      <c r="AE402" s="29" t="inlineStr">
        <is>
          <t>058470.KQ</t>
        </is>
      </c>
    </row>
    <row r="403" ht="24" customHeight="1">
      <c r="A403" s="24" t="inlineStr">
        <is>
          <t>2025-01-14</t>
        </is>
      </c>
      <c r="B403" s="30" t="n">
        <v>39640</v>
      </c>
      <c r="C403" s="30" t="n">
        <v>39800</v>
      </c>
      <c r="D403" s="30" t="n">
        <v>38000</v>
      </c>
      <c r="E403" s="30" t="n">
        <v>38380</v>
      </c>
      <c r="F403" s="30" t="n">
        <v>36495.546875</v>
      </c>
      <c r="G403" s="30" t="n">
        <v>445810</v>
      </c>
      <c r="H403" s="35" t="n">
        <v>-0.0303183425972714</v>
      </c>
      <c r="I403" s="35" t="n">
        <v>-0.3560402684563758</v>
      </c>
      <c r="J403" s="30" t="n">
        <v>39024</v>
      </c>
      <c r="K403" s="30" t="n">
        <v>35270</v>
      </c>
      <c r="L403" s="30" t="n">
        <v>37247</v>
      </c>
      <c r="M403" s="35" t="n">
        <v>0.4459975927115286</v>
      </c>
      <c r="N403" s="35" t="n">
        <v>0.4763947682021866</v>
      </c>
      <c r="O403" s="35" t="n">
        <v>0.1228788765359861</v>
      </c>
      <c r="P403" s="35" t="n">
        <v>-0.03227433182047401</v>
      </c>
      <c r="Q403" s="35" t="n">
        <v>-0.2119096509240247</v>
      </c>
      <c r="R403" s="35" t="n">
        <v>-0.01650266502665032</v>
      </c>
      <c r="S403" s="35" t="n">
        <v>0.08817692089594553</v>
      </c>
      <c r="T403" s="35" t="n">
        <v>0.03041855719923747</v>
      </c>
      <c r="U403" s="30" t="n">
        <v>59600</v>
      </c>
      <c r="V403" s="30" t="n">
        <v>30040</v>
      </c>
      <c r="W403" s="35" t="n">
        <v>-0.3560402684563758</v>
      </c>
      <c r="X403" s="35" t="n">
        <v>0.27762982689747</v>
      </c>
      <c r="Y403" s="30" t="n">
        <v>76211850</v>
      </c>
      <c r="Z403" s="30" t="n">
        <v>2925010803000</v>
      </c>
      <c r="AA403" s="30" t="n">
        <v>17110187800</v>
      </c>
      <c r="AB403" s="30" t="n">
        <v>18984659030</v>
      </c>
      <c r="AC403" s="35" t="n">
        <v>0.005849615250121864</v>
      </c>
      <c r="AD403" s="24" t="inlineStr">
        <is>
          <t>yfinance_download</t>
        </is>
      </c>
      <c r="AE403" s="24" t="inlineStr">
        <is>
          <t>058470.KQ</t>
        </is>
      </c>
    </row>
    <row r="404" ht="24" customHeight="1">
      <c r="A404" s="29" t="inlineStr">
        <is>
          <t>2025-01-15</t>
        </is>
      </c>
      <c r="B404" s="31" t="n">
        <v>38560</v>
      </c>
      <c r="C404" s="31" t="n">
        <v>39100</v>
      </c>
      <c r="D404" s="31" t="n">
        <v>38100</v>
      </c>
      <c r="E404" s="31" t="n">
        <v>39060</v>
      </c>
      <c r="F404" s="31" t="n">
        <v>37142.16015625</v>
      </c>
      <c r="G404" s="31" t="n">
        <v>252600</v>
      </c>
      <c r="H404" s="36" t="n">
        <v>0.01771756122980728</v>
      </c>
      <c r="I404" s="36" t="n">
        <v>-0.3446308724832214</v>
      </c>
      <c r="J404" s="31" t="n">
        <v>39251</v>
      </c>
      <c r="K404" s="31" t="n">
        <v>35306.66666666666</v>
      </c>
      <c r="L404" s="31" t="n">
        <v>37194.16666666666</v>
      </c>
      <c r="M404" s="36" t="n">
        <v>0.4477174171687006</v>
      </c>
      <c r="N404" s="36" t="n">
        <v>0.4544523638977849</v>
      </c>
      <c r="O404" s="36" t="n">
        <v>0.1315179606025492</v>
      </c>
      <c r="P404" s="36" t="n">
        <v>0.05968529571351056</v>
      </c>
      <c r="Q404" s="36" t="n">
        <v>-0.139647577092511</v>
      </c>
      <c r="R404" s="36" t="n">
        <v>-0.004866118060686375</v>
      </c>
      <c r="S404" s="36" t="n">
        <v>0.1063066465256799</v>
      </c>
      <c r="T404" s="36" t="n">
        <v>0.05016467636054056</v>
      </c>
      <c r="U404" s="31" t="n">
        <v>59600</v>
      </c>
      <c r="V404" s="31" t="n">
        <v>30040</v>
      </c>
      <c r="W404" s="36" t="n">
        <v>-0.3446308724832214</v>
      </c>
      <c r="X404" s="36" t="n">
        <v>0.3002663115845539</v>
      </c>
      <c r="Y404" s="31" t="n">
        <v>76211850</v>
      </c>
      <c r="Z404" s="31" t="n">
        <v>2976834861000</v>
      </c>
      <c r="AA404" s="31" t="n">
        <v>9866556000</v>
      </c>
      <c r="AB404" s="31" t="n">
        <v>18672108800</v>
      </c>
      <c r="AC404" s="36" t="n">
        <v>0.003314445194546517</v>
      </c>
      <c r="AD404" s="29" t="inlineStr">
        <is>
          <t>yfinance_download</t>
        </is>
      </c>
      <c r="AE404" s="29" t="inlineStr">
        <is>
          <t>058470.KQ</t>
        </is>
      </c>
    </row>
    <row r="405" ht="24" customHeight="1">
      <c r="A405" s="24" t="inlineStr">
        <is>
          <t>2025-01-16</t>
        </is>
      </c>
      <c r="B405" s="30" t="n">
        <v>39600</v>
      </c>
      <c r="C405" s="30" t="n">
        <v>39980</v>
      </c>
      <c r="D405" s="30" t="n">
        <v>39200</v>
      </c>
      <c r="E405" s="30" t="n">
        <v>39420</v>
      </c>
      <c r="F405" s="30" t="n">
        <v>37484.484375</v>
      </c>
      <c r="G405" s="30" t="n">
        <v>272145</v>
      </c>
      <c r="H405" s="35" t="n">
        <v>0.009216589861751112</v>
      </c>
      <c r="I405" s="35" t="n">
        <v>-0.3385906040268456</v>
      </c>
      <c r="J405" s="30" t="n">
        <v>39456</v>
      </c>
      <c r="K405" s="30" t="n">
        <v>35342</v>
      </c>
      <c r="L405" s="30" t="n">
        <v>37144.33333333334</v>
      </c>
      <c r="M405" s="35" t="n">
        <v>0.4435734781339752</v>
      </c>
      <c r="N405" s="35" t="n">
        <v>0.4542162605417637</v>
      </c>
      <c r="O405" s="35" t="n">
        <v>0.1160815402038504</v>
      </c>
      <c r="P405" s="35" t="n">
        <v>0.05683646112600527</v>
      </c>
      <c r="Q405" s="35" t="n">
        <v>-0.1317180616740088</v>
      </c>
      <c r="R405" s="35" t="n">
        <v>-0.0009124087591241281</v>
      </c>
      <c r="S405" s="35" t="n">
        <v>0.1153867919189633</v>
      </c>
      <c r="T405" s="35" t="n">
        <v>0.06126551380650258</v>
      </c>
      <c r="U405" s="30" t="n">
        <v>59600</v>
      </c>
      <c r="V405" s="30" t="n">
        <v>30040</v>
      </c>
      <c r="W405" s="35" t="n">
        <v>-0.3385906040268456</v>
      </c>
      <c r="X405" s="35" t="n">
        <v>0.3122503328894808</v>
      </c>
      <c r="Y405" s="30" t="n">
        <v>76211850</v>
      </c>
      <c r="Z405" s="30" t="n">
        <v>3004271127000</v>
      </c>
      <c r="AA405" s="30" t="n">
        <v>10727955900</v>
      </c>
      <c r="AB405" s="30" t="n">
        <v>18186504735</v>
      </c>
      <c r="AC405" s="35" t="n">
        <v>0.003570901375573484</v>
      </c>
      <c r="AD405" s="24" t="inlineStr">
        <is>
          <t>yfinance_download</t>
        </is>
      </c>
      <c r="AE405" s="24" t="inlineStr">
        <is>
          <t>058470.KQ</t>
        </is>
      </c>
    </row>
    <row r="406" ht="24" customHeight="1">
      <c r="A406" s="29" t="inlineStr">
        <is>
          <t>2025-01-17</t>
        </is>
      </c>
      <c r="B406" s="31" t="n">
        <v>39680</v>
      </c>
      <c r="C406" s="31" t="n">
        <v>41800</v>
      </c>
      <c r="D406" s="31" t="n">
        <v>39520</v>
      </c>
      <c r="E406" s="31" t="n">
        <v>41800</v>
      </c>
      <c r="F406" s="31" t="n">
        <v>39747.625</v>
      </c>
      <c r="G406" s="31" t="n">
        <v>697605</v>
      </c>
      <c r="H406" s="36" t="n">
        <v>0.06037544393708782</v>
      </c>
      <c r="I406" s="36" t="n">
        <v>-0.2986577181208053</v>
      </c>
      <c r="J406" s="31" t="n">
        <v>39659</v>
      </c>
      <c r="K406" s="31" t="n">
        <v>35438.66666666666</v>
      </c>
      <c r="L406" s="31" t="n">
        <v>37126.83333333334</v>
      </c>
      <c r="M406" s="36" t="n">
        <v>0.4290272166503645</v>
      </c>
      <c r="N406" s="36" t="n">
        <v>0.4636509925851779</v>
      </c>
      <c r="O406" s="36" t="n">
        <v>0.1075781664016957</v>
      </c>
      <c r="P406" s="36" t="n">
        <v>0.1611111111111112</v>
      </c>
      <c r="Q406" s="36" t="n">
        <v>-0.04783599088838264</v>
      </c>
      <c r="R406" s="36" t="n">
        <v>0.05398522403489747</v>
      </c>
      <c r="S406" s="36" t="n">
        <v>0.1795026148463073</v>
      </c>
      <c r="T406" s="36" t="n">
        <v>0.1258703273912398</v>
      </c>
      <c r="U406" s="31" t="n">
        <v>59600</v>
      </c>
      <c r="V406" s="31" t="n">
        <v>30040</v>
      </c>
      <c r="W406" s="36" t="n">
        <v>-0.2986577181208053</v>
      </c>
      <c r="X406" s="36" t="n">
        <v>0.3914780292942743</v>
      </c>
      <c r="Y406" s="31" t="n">
        <v>76211850</v>
      </c>
      <c r="Z406" s="31" t="n">
        <v>3185655330000</v>
      </c>
      <c r="AA406" s="31" t="n">
        <v>29159889000</v>
      </c>
      <c r="AB406" s="31" t="n">
        <v>17286815340</v>
      </c>
      <c r="AC406" s="36" t="n">
        <v>0.009153497782825112</v>
      </c>
      <c r="AD406" s="29" t="inlineStr">
        <is>
          <t>yfinance_download</t>
        </is>
      </c>
      <c r="AE406" s="29" t="inlineStr">
        <is>
          <t>058470.KQ</t>
        </is>
      </c>
    </row>
    <row r="407" ht="24" customHeight="1">
      <c r="A407" s="24" t="inlineStr">
        <is>
          <t>2025-01-20</t>
        </is>
      </c>
      <c r="B407" s="30" t="n">
        <v>41700</v>
      </c>
      <c r="C407" s="30" t="n">
        <v>41700</v>
      </c>
      <c r="D407" s="30" t="n">
        <v>40700</v>
      </c>
      <c r="E407" s="30" t="n">
        <v>40800</v>
      </c>
      <c r="F407" s="30" t="n">
        <v>38796.7265625</v>
      </c>
      <c r="G407" s="30" t="n">
        <v>195355</v>
      </c>
      <c r="H407" s="35" t="n">
        <v>-0.02392344497607657</v>
      </c>
      <c r="I407" s="35" t="n">
        <v>-0.3154362416107382</v>
      </c>
      <c r="J407" s="30" t="n">
        <v>39757</v>
      </c>
      <c r="K407" s="30" t="n">
        <v>35491.66666666666</v>
      </c>
      <c r="L407" s="30" t="n">
        <v>37113.5</v>
      </c>
      <c r="M407" s="35" t="n">
        <v>0.4315238297119167</v>
      </c>
      <c r="N407" s="35" t="n">
        <v>0.4584130101271925</v>
      </c>
      <c r="O407" s="35" t="n">
        <v>0.05046343975283207</v>
      </c>
      <c r="P407" s="35" t="n">
        <v>0.08452950558213712</v>
      </c>
      <c r="Q407" s="35" t="n">
        <v>-0.03773584905660377</v>
      </c>
      <c r="R407" s="35" t="n">
        <v>0.02623437382096228</v>
      </c>
      <c r="S407" s="35" t="n">
        <v>0.1495656257337403</v>
      </c>
      <c r="T407" s="35" t="n">
        <v>0.09933043232247019</v>
      </c>
      <c r="U407" s="30" t="n">
        <v>59600</v>
      </c>
      <c r="V407" s="30" t="n">
        <v>30040</v>
      </c>
      <c r="W407" s="35" t="n">
        <v>-0.3154362416107382</v>
      </c>
      <c r="X407" s="35" t="n">
        <v>0.3581890812250332</v>
      </c>
      <c r="Y407" s="30" t="n">
        <v>76211850</v>
      </c>
      <c r="Z407" s="30" t="n">
        <v>3109443480000</v>
      </c>
      <c r="AA407" s="30" t="n">
        <v>7970484000</v>
      </c>
      <c r="AB407" s="30" t="n">
        <v>16431428980</v>
      </c>
      <c r="AC407" s="35" t="n">
        <v>0.002563315284958966</v>
      </c>
      <c r="AD407" s="24" t="inlineStr">
        <is>
          <t>yfinance_download</t>
        </is>
      </c>
      <c r="AE407" s="24" t="inlineStr">
        <is>
          <t>058470.KQ</t>
        </is>
      </c>
    </row>
    <row r="408" ht="24" customHeight="1">
      <c r="A408" s="29" t="inlineStr">
        <is>
          <t>2025-01-21</t>
        </is>
      </c>
      <c r="B408" s="31" t="n">
        <v>41800</v>
      </c>
      <c r="C408" s="31" t="n">
        <v>43800</v>
      </c>
      <c r="D408" s="31" t="n">
        <v>41600</v>
      </c>
      <c r="E408" s="31" t="n">
        <v>43700</v>
      </c>
      <c r="F408" s="31" t="n">
        <v>41554.3359375</v>
      </c>
      <c r="G408" s="31" t="n">
        <v>740245</v>
      </c>
      <c r="H408" s="36" t="n">
        <v>0.07107843137254899</v>
      </c>
      <c r="I408" s="36" t="n">
        <v>-0.2667785234899329</v>
      </c>
      <c r="J408" s="31" t="n">
        <v>40043</v>
      </c>
      <c r="K408" s="31" t="n">
        <v>35617</v>
      </c>
      <c r="L408" s="31" t="n">
        <v>37129.33333333334</v>
      </c>
      <c r="M408" s="36" t="n">
        <v>0.4837390816428427</v>
      </c>
      <c r="N408" s="36" t="n">
        <v>0.4721937909471484</v>
      </c>
      <c r="O408" s="36" t="n">
        <v>0.1506055818852028</v>
      </c>
      <c r="P408" s="36" t="n">
        <v>0.2078496406854615</v>
      </c>
      <c r="Q408" s="36" t="n">
        <v>0.04545454545454541</v>
      </c>
      <c r="R408" s="36" t="n">
        <v>0.09132682366456057</v>
      </c>
      <c r="S408" s="36" t="n">
        <v>0.2269421905269955</v>
      </c>
      <c r="T408" s="36" t="n">
        <v>0.176966998240385</v>
      </c>
      <c r="U408" s="31" t="n">
        <v>59600</v>
      </c>
      <c r="V408" s="31" t="n">
        <v>30040</v>
      </c>
      <c r="W408" s="36" t="n">
        <v>-0.2667785234899329</v>
      </c>
      <c r="X408" s="36" t="n">
        <v>0.4547270306258322</v>
      </c>
      <c r="Y408" s="31" t="n">
        <v>76211850</v>
      </c>
      <c r="Z408" s="31" t="n">
        <v>3330457845000</v>
      </c>
      <c r="AA408" s="31" t="n">
        <v>32348706500</v>
      </c>
      <c r="AB408" s="31" t="n">
        <v>17073651845</v>
      </c>
      <c r="AC408" s="36" t="n">
        <v>0.009712990827541911</v>
      </c>
      <c r="AD408" s="29" t="inlineStr">
        <is>
          <t>yfinance_download</t>
        </is>
      </c>
      <c r="AE408" s="29" t="inlineStr">
        <is>
          <t>058470.KQ</t>
        </is>
      </c>
    </row>
    <row r="409" ht="24" customHeight="1">
      <c r="A409" s="24" t="inlineStr">
        <is>
          <t>2025-01-22</t>
        </is>
      </c>
      <c r="B409" s="30" t="n">
        <v>44200</v>
      </c>
      <c r="C409" s="30" t="n">
        <v>44700</v>
      </c>
      <c r="D409" s="30" t="n">
        <v>43300</v>
      </c>
      <c r="E409" s="30" t="n">
        <v>43900</v>
      </c>
      <c r="F409" s="30" t="n">
        <v>41744.515625</v>
      </c>
      <c r="G409" s="30" t="n">
        <v>517090</v>
      </c>
      <c r="H409" s="35" t="n">
        <v>0.004576659038901587</v>
      </c>
      <c r="I409" s="35" t="n">
        <v>-0.2634228187919463</v>
      </c>
      <c r="J409" s="30" t="n">
        <v>40335</v>
      </c>
      <c r="K409" s="30" t="n">
        <v>35746.66666666666</v>
      </c>
      <c r="L409" s="30" t="n">
        <v>37141.83333333334</v>
      </c>
      <c r="M409" s="35" t="n">
        <v>0.4834550491700736</v>
      </c>
      <c r="N409" s="35" t="n">
        <v>0.4720710406678327</v>
      </c>
      <c r="O409" s="35" t="n">
        <v>0.1534419337887547</v>
      </c>
      <c r="P409" s="35" t="n">
        <v>0.2153931339977853</v>
      </c>
      <c r="Q409" s="35" t="n">
        <v>0.03537735849056611</v>
      </c>
      <c r="R409" s="35" t="n">
        <v>0.08838477748853357</v>
      </c>
      <c r="S409" s="35" t="n">
        <v>0.2280865348750467</v>
      </c>
      <c r="T409" s="35" t="n">
        <v>0.181955656470018</v>
      </c>
      <c r="U409" s="30" t="n">
        <v>59600</v>
      </c>
      <c r="V409" s="30" t="n">
        <v>30040</v>
      </c>
      <c r="W409" s="35" t="n">
        <v>-0.2634228187919463</v>
      </c>
      <c r="X409" s="35" t="n">
        <v>0.4613848202396804</v>
      </c>
      <c r="Y409" s="30" t="n">
        <v>76211850</v>
      </c>
      <c r="Z409" s="30" t="n">
        <v>3345700215000</v>
      </c>
      <c r="AA409" s="30" t="n">
        <v>22700251000</v>
      </c>
      <c r="AB409" s="30" t="n">
        <v>17393343075</v>
      </c>
      <c r="AC409" s="35" t="n">
        <v>0.006784902872715989</v>
      </c>
      <c r="AD409" s="24" t="inlineStr">
        <is>
          <t>yfinance_download</t>
        </is>
      </c>
      <c r="AE409" s="24" t="inlineStr">
        <is>
          <t>058470.KQ</t>
        </is>
      </c>
    </row>
    <row r="410" ht="24" customHeight="1">
      <c r="A410" s="29" t="inlineStr">
        <is>
          <t>2025-01-23</t>
        </is>
      </c>
      <c r="B410" s="31" t="n">
        <v>44400</v>
      </c>
      <c r="C410" s="31" t="n">
        <v>44600</v>
      </c>
      <c r="D410" s="31" t="n">
        <v>42500</v>
      </c>
      <c r="E410" s="31" t="n">
        <v>42900</v>
      </c>
      <c r="F410" s="31" t="n">
        <v>40793.6171875</v>
      </c>
      <c r="G410" s="31" t="n">
        <v>440725</v>
      </c>
      <c r="H410" s="36" t="n">
        <v>-0.02277904328018221</v>
      </c>
      <c r="I410" s="36" t="n">
        <v>-0.2802013422818792</v>
      </c>
      <c r="J410" s="31" t="n">
        <v>40536</v>
      </c>
      <c r="K410" s="31" t="n">
        <v>35860.66666666666</v>
      </c>
      <c r="L410" s="31" t="n">
        <v>37160.16666666666</v>
      </c>
      <c r="M410" s="36" t="n">
        <v>0.4920182961714803</v>
      </c>
      <c r="N410" s="36" t="n">
        <v>0.4750673291614465</v>
      </c>
      <c r="O410" s="36" t="n">
        <v>0.103395061728395</v>
      </c>
      <c r="P410" s="36" t="n">
        <v>0.1896838602329451</v>
      </c>
      <c r="Q410" s="36" t="n">
        <v>0.05405405405405395</v>
      </c>
      <c r="R410" s="36" t="n">
        <v>0.05831853167554768</v>
      </c>
      <c r="S410" s="36" t="n">
        <v>0.1962967782714582</v>
      </c>
      <c r="T410" s="36" t="n">
        <v>0.1544619911105531</v>
      </c>
      <c r="U410" s="31" t="n">
        <v>59600</v>
      </c>
      <c r="V410" s="31" t="n">
        <v>30040</v>
      </c>
      <c r="W410" s="36" t="n">
        <v>-0.2802013422818792</v>
      </c>
      <c r="X410" s="36" t="n">
        <v>0.4280958721704393</v>
      </c>
      <c r="Y410" s="31" t="n">
        <v>76211850</v>
      </c>
      <c r="Z410" s="31" t="n">
        <v>3269488365000</v>
      </c>
      <c r="AA410" s="31" t="n">
        <v>18907102500</v>
      </c>
      <c r="AB410" s="31" t="n">
        <v>17394477960</v>
      </c>
      <c r="AC410" s="36" t="n">
        <v>0.005782893342701955</v>
      </c>
      <c r="AD410" s="29" t="inlineStr">
        <is>
          <t>yfinance_download</t>
        </is>
      </c>
      <c r="AE410" s="29" t="inlineStr">
        <is>
          <t>058470.KQ</t>
        </is>
      </c>
    </row>
    <row r="411" ht="24" customHeight="1">
      <c r="A411" s="24" t="inlineStr">
        <is>
          <t>2025-01-24</t>
        </is>
      </c>
      <c r="B411" s="30" t="n">
        <v>43300</v>
      </c>
      <c r="C411" s="30" t="n">
        <v>45000</v>
      </c>
      <c r="D411" s="30" t="n">
        <v>43100</v>
      </c>
      <c r="E411" s="30" t="n">
        <v>43100</v>
      </c>
      <c r="F411" s="30" t="n">
        <v>40983.796875</v>
      </c>
      <c r="G411" s="30" t="n">
        <v>374835</v>
      </c>
      <c r="H411" s="35" t="n">
        <v>0.004662004662004726</v>
      </c>
      <c r="I411" s="35" t="n">
        <v>-0.2768456375838926</v>
      </c>
      <c r="J411" s="30" t="n">
        <v>40691</v>
      </c>
      <c r="K411" s="30" t="n">
        <v>35976</v>
      </c>
      <c r="L411" s="30" t="n">
        <v>37185.16666666666</v>
      </c>
      <c r="M411" s="35" t="n">
        <v>0.4841724796402754</v>
      </c>
      <c r="N411" s="35" t="n">
        <v>0.4750751075026748</v>
      </c>
      <c r="O411" s="35" t="n">
        <v>0.0774999999999999</v>
      </c>
      <c r="P411" s="35" t="n">
        <v>0.1912658927584301</v>
      </c>
      <c r="Q411" s="35" t="n">
        <v>0.07481296758104738</v>
      </c>
      <c r="R411" s="35" t="n">
        <v>0.05920228060259025</v>
      </c>
      <c r="S411" s="35" t="n">
        <v>0.1980209028241049</v>
      </c>
      <c r="T411" s="35" t="n">
        <v>0.1590643222431884</v>
      </c>
      <c r="U411" s="30" t="n">
        <v>59600</v>
      </c>
      <c r="V411" s="30" t="n">
        <v>30040</v>
      </c>
      <c r="W411" s="35" t="n">
        <v>-0.2768456375838926</v>
      </c>
      <c r="X411" s="35" t="n">
        <v>0.4347536617842875</v>
      </c>
      <c r="Y411" s="30" t="n">
        <v>76211850</v>
      </c>
      <c r="Z411" s="30" t="n">
        <v>3284730735000</v>
      </c>
      <c r="AA411" s="30" t="n">
        <v>16155388500</v>
      </c>
      <c r="AB411" s="30" t="n">
        <v>17090927385</v>
      </c>
      <c r="AC411" s="35" t="n">
        <v>0.004918329629841029</v>
      </c>
      <c r="AD411" s="24" t="inlineStr">
        <is>
          <t>yfinance_download</t>
        </is>
      </c>
      <c r="AE411" s="24" t="inlineStr">
        <is>
          <t>058470.KQ</t>
        </is>
      </c>
    </row>
    <row r="412" ht="24" customHeight="1">
      <c r="A412" s="29" t="inlineStr">
        <is>
          <t>2025-01-31</t>
        </is>
      </c>
      <c r="B412" s="31" t="n">
        <v>41000</v>
      </c>
      <c r="C412" s="31" t="n">
        <v>43600</v>
      </c>
      <c r="D412" s="31" t="n">
        <v>40000</v>
      </c>
      <c r="E412" s="31" t="n">
        <v>42900</v>
      </c>
      <c r="F412" s="31" t="n">
        <v>40793.6171875</v>
      </c>
      <c r="G412" s="31" t="n">
        <v>437490</v>
      </c>
      <c r="H412" s="36" t="n">
        <v>-0.004640371229698403</v>
      </c>
      <c r="I412" s="36" t="n">
        <v>-0.2802013422818792</v>
      </c>
      <c r="J412" s="31" t="n">
        <v>40887</v>
      </c>
      <c r="K412" s="31" t="n">
        <v>36095.33333333334</v>
      </c>
      <c r="L412" s="31" t="n">
        <v>37208.5</v>
      </c>
      <c r="M412" s="36" t="n">
        <v>0.4727441870695634</v>
      </c>
      <c r="N412" s="36" t="n">
        <v>0.4742751081718382</v>
      </c>
      <c r="O412" s="36" t="n">
        <v>0.1005643919958954</v>
      </c>
      <c r="P412" s="36" t="n">
        <v>0.200335758254057</v>
      </c>
      <c r="Q412" s="36" t="n">
        <v>0.06982543640897765</v>
      </c>
      <c r="R412" s="36" t="n">
        <v>0.0492332526230832</v>
      </c>
      <c r="S412" s="36" t="n">
        <v>0.1885192915058271</v>
      </c>
      <c r="T412" s="36" t="n">
        <v>0.1529623607509036</v>
      </c>
      <c r="U412" s="31" t="n">
        <v>59600</v>
      </c>
      <c r="V412" s="31" t="n">
        <v>30040</v>
      </c>
      <c r="W412" s="36" t="n">
        <v>-0.2802013422818792</v>
      </c>
      <c r="X412" s="36" t="n">
        <v>0.4280958721704393</v>
      </c>
      <c r="Y412" s="31" t="n">
        <v>76211850</v>
      </c>
      <c r="Z412" s="31" t="n">
        <v>3269488365000</v>
      </c>
      <c r="AA412" s="31" t="n">
        <v>18768321000</v>
      </c>
      <c r="AB412" s="31" t="n">
        <v>17126011170</v>
      </c>
      <c r="AC412" s="36" t="n">
        <v>0.005740445875542977</v>
      </c>
      <c r="AD412" s="29" t="inlineStr">
        <is>
          <t>yfinance_download</t>
        </is>
      </c>
      <c r="AE412" s="29" t="inlineStr">
        <is>
          <t>058470.KQ</t>
        </is>
      </c>
    </row>
    <row r="413" ht="24" customHeight="1">
      <c r="A413" s="24" t="inlineStr">
        <is>
          <t>2025-02-03</t>
        </is>
      </c>
      <c r="B413" s="30" t="n">
        <v>40800</v>
      </c>
      <c r="C413" s="30" t="n">
        <v>42200</v>
      </c>
      <c r="D413" s="30" t="n">
        <v>40800</v>
      </c>
      <c r="E413" s="30" t="n">
        <v>41700</v>
      </c>
      <c r="F413" s="30" t="n">
        <v>39652.53515625</v>
      </c>
      <c r="G413" s="30" t="n">
        <v>421245</v>
      </c>
      <c r="H413" s="35" t="n">
        <v>-0.02797202797202802</v>
      </c>
      <c r="I413" s="35" t="n">
        <v>-0.3003355704697986</v>
      </c>
      <c r="J413" s="30" t="n">
        <v>41052</v>
      </c>
      <c r="K413" s="30" t="n">
        <v>36181.66666666666</v>
      </c>
      <c r="L413" s="30" t="n">
        <v>37227.5</v>
      </c>
      <c r="M413" s="35" t="n">
        <v>0.4823129019898305</v>
      </c>
      <c r="N413" s="35" t="n">
        <v>0.4770214668857706</v>
      </c>
      <c r="O413" s="35" t="n">
        <v>0.0859375</v>
      </c>
      <c r="P413" s="35" t="n">
        <v>0.1418400876232202</v>
      </c>
      <c r="Q413" s="35" t="n">
        <v>0.05783866057838671</v>
      </c>
      <c r="R413" s="35" t="n">
        <v>0.01578485822858822</v>
      </c>
      <c r="S413" s="35" t="n">
        <v>0.1525173891012945</v>
      </c>
      <c r="T413" s="35" t="n">
        <v>0.1201396816869249</v>
      </c>
      <c r="U413" s="30" t="n">
        <v>59600</v>
      </c>
      <c r="V413" s="30" t="n">
        <v>30040</v>
      </c>
      <c r="W413" s="35" t="n">
        <v>-0.3003355704697986</v>
      </c>
      <c r="X413" s="35" t="n">
        <v>0.3881491344873502</v>
      </c>
      <c r="Y413" s="30" t="n">
        <v>76211850</v>
      </c>
      <c r="Z413" s="30" t="n">
        <v>3178034145000</v>
      </c>
      <c r="AA413" s="30" t="n">
        <v>17565916500</v>
      </c>
      <c r="AB413" s="30" t="n">
        <v>17274015795</v>
      </c>
      <c r="AC413" s="35" t="n">
        <v>0.005527290047413886</v>
      </c>
      <c r="AD413" s="24" t="inlineStr">
        <is>
          <t>yfinance_download</t>
        </is>
      </c>
      <c r="AE413" s="24" t="inlineStr">
        <is>
          <t>058470.KQ</t>
        </is>
      </c>
    </row>
    <row r="414" ht="24" customHeight="1">
      <c r="A414" s="29" t="inlineStr">
        <is>
          <t>2025-02-04</t>
        </is>
      </c>
      <c r="B414" s="31" t="n">
        <v>42900</v>
      </c>
      <c r="C414" s="31" t="n">
        <v>42900</v>
      </c>
      <c r="D414" s="31" t="n">
        <v>40400</v>
      </c>
      <c r="E414" s="31" t="n">
        <v>40500</v>
      </c>
      <c r="F414" s="31" t="n">
        <v>38511.45703125</v>
      </c>
      <c r="G414" s="31" t="n">
        <v>347695</v>
      </c>
      <c r="H414" s="36" t="n">
        <v>-0.02877697841726623</v>
      </c>
      <c r="I414" s="36" t="n">
        <v>-0.3204697986577181</v>
      </c>
      <c r="J414" s="31" t="n">
        <v>41161</v>
      </c>
      <c r="K414" s="31" t="n">
        <v>36279</v>
      </c>
      <c r="L414" s="31" t="n">
        <v>37230.83333333334</v>
      </c>
      <c r="M414" s="36" t="n">
        <v>0.4962945671985265</v>
      </c>
      <c r="N414" s="36" t="n">
        <v>0.4684764527555275</v>
      </c>
      <c r="O414" s="36" t="n">
        <v>0.0568893528183716</v>
      </c>
      <c r="P414" s="36" t="n">
        <v>0.1684939411425275</v>
      </c>
      <c r="Q414" s="36" t="n">
        <v>0.009975062344139696</v>
      </c>
      <c r="R414" s="36" t="n">
        <v>-0.01605889069750488</v>
      </c>
      <c r="S414" s="36" t="n">
        <v>0.1163483006698089</v>
      </c>
      <c r="T414" s="36" t="n">
        <v>0.08780804440763701</v>
      </c>
      <c r="U414" s="31" t="n">
        <v>59600</v>
      </c>
      <c r="V414" s="31" t="n">
        <v>30040</v>
      </c>
      <c r="W414" s="36" t="n">
        <v>-0.3204697986577181</v>
      </c>
      <c r="X414" s="36" t="n">
        <v>0.3482023968042609</v>
      </c>
      <c r="Y414" s="31" t="n">
        <v>76211850</v>
      </c>
      <c r="Z414" s="31" t="n">
        <v>3086579925000</v>
      </c>
      <c r="AA414" s="31" t="n">
        <v>14081647500</v>
      </c>
      <c r="AB414" s="31" t="n">
        <v>17591899630</v>
      </c>
      <c r="AC414" s="36" t="n">
        <v>0.004562217030553648</v>
      </c>
      <c r="AD414" s="29" t="inlineStr">
        <is>
          <t>yfinance_download</t>
        </is>
      </c>
      <c r="AE414" s="29" t="inlineStr">
        <is>
          <t>058470.KQ</t>
        </is>
      </c>
    </row>
    <row r="415" ht="24" customHeight="1">
      <c r="A415" s="24" t="inlineStr">
        <is>
          <t>2025-02-05</t>
        </is>
      </c>
      <c r="B415" s="30" t="n">
        <v>40500</v>
      </c>
      <c r="C415" s="30" t="n">
        <v>41600</v>
      </c>
      <c r="D415" s="30" t="n">
        <v>40000</v>
      </c>
      <c r="E415" s="30" t="n">
        <v>40600</v>
      </c>
      <c r="F415" s="30" t="n">
        <v>38606.546875</v>
      </c>
      <c r="G415" s="30" t="n">
        <v>209420</v>
      </c>
      <c r="H415" s="35" t="n">
        <v>0.002469135802469102</v>
      </c>
      <c r="I415" s="35" t="n">
        <v>-0.3187919463087249</v>
      </c>
      <c r="J415" s="30" t="n">
        <v>41211</v>
      </c>
      <c r="K415" s="30" t="n">
        <v>36351.33333333334</v>
      </c>
      <c r="L415" s="30" t="n">
        <v>37233.33333333334</v>
      </c>
      <c r="M415" s="35" t="n">
        <v>0.4833251034091756</v>
      </c>
      <c r="N415" s="35" t="n">
        <v>0.4597678443993963</v>
      </c>
      <c r="O415" s="35" t="n">
        <v>0.0252525252525253</v>
      </c>
      <c r="P415" s="35" t="n">
        <v>0.1196911196911197</v>
      </c>
      <c r="Q415" s="35" t="n">
        <v>0.007444168734491274</v>
      </c>
      <c r="R415" s="35" t="n">
        <v>-0.01482613865230153</v>
      </c>
      <c r="S415" s="35" t="n">
        <v>0.1168778770150567</v>
      </c>
      <c r="T415" s="35" t="n">
        <v>0.09042076991942705</v>
      </c>
      <c r="U415" s="30" t="n">
        <v>59600</v>
      </c>
      <c r="V415" s="30" t="n">
        <v>30040</v>
      </c>
      <c r="W415" s="35" t="n">
        <v>-0.3187919463087249</v>
      </c>
      <c r="X415" s="35" t="n">
        <v>0.351531291611185</v>
      </c>
      <c r="Y415" s="30" t="n">
        <v>76211850</v>
      </c>
      <c r="Z415" s="30" t="n">
        <v>3094201110000</v>
      </c>
      <c r="AA415" s="30" t="n">
        <v>8502452000</v>
      </c>
      <c r="AB415" s="30" t="n">
        <v>16922864330</v>
      </c>
      <c r="AC415" s="35" t="n">
        <v>0.002747866637537338</v>
      </c>
      <c r="AD415" s="24" t="inlineStr">
        <is>
          <t>yfinance_download</t>
        </is>
      </c>
      <c r="AE415" s="24" t="inlineStr">
        <is>
          <t>058470.KQ</t>
        </is>
      </c>
    </row>
    <row r="416" ht="24" customHeight="1">
      <c r="A416" s="29" t="inlineStr">
        <is>
          <t>2025-02-06</t>
        </is>
      </c>
      <c r="B416" s="31" t="n">
        <v>41300</v>
      </c>
      <c r="C416" s="31" t="n">
        <v>43500</v>
      </c>
      <c r="D416" s="31" t="n">
        <v>41200</v>
      </c>
      <c r="E416" s="31" t="n">
        <v>43200</v>
      </c>
      <c r="F416" s="31" t="n">
        <v>41078.88671875</v>
      </c>
      <c r="G416" s="31" t="n">
        <v>626160</v>
      </c>
      <c r="H416" s="36" t="n">
        <v>0.06403940886699511</v>
      </c>
      <c r="I416" s="36" t="n">
        <v>-0.2751677852348994</v>
      </c>
      <c r="J416" s="31" t="n">
        <v>41281</v>
      </c>
      <c r="K416" s="31" t="n">
        <v>36466.33333333334</v>
      </c>
      <c r="L416" s="31" t="n">
        <v>37277.66666666666</v>
      </c>
      <c r="M416" s="36" t="n">
        <v>0.4966232787890062</v>
      </c>
      <c r="N416" s="36" t="n">
        <v>0.4768462321788194</v>
      </c>
      <c r="O416" s="36" t="n">
        <v>0.03349282296650724</v>
      </c>
      <c r="P416" s="36" t="n">
        <v>0.1900826446280992</v>
      </c>
      <c r="Q416" s="36" t="n">
        <v>0.1404435058078142</v>
      </c>
      <c r="R416" s="36" t="n">
        <v>0.04648627697972429</v>
      </c>
      <c r="S416" s="36" t="n">
        <v>0.1846543387051069</v>
      </c>
      <c r="T416" s="36" t="n">
        <v>0.1588708163064569</v>
      </c>
      <c r="U416" s="31" t="n">
        <v>59600</v>
      </c>
      <c r="V416" s="31" t="n">
        <v>30040</v>
      </c>
      <c r="W416" s="36" t="n">
        <v>-0.2751677852348994</v>
      </c>
      <c r="X416" s="36" t="n">
        <v>0.4380825565912116</v>
      </c>
      <c r="Y416" s="31" t="n">
        <v>76211850</v>
      </c>
      <c r="Z416" s="31" t="n">
        <v>3292351920000</v>
      </c>
      <c r="AA416" s="31" t="n">
        <v>27050112000</v>
      </c>
      <c r="AB416" s="31" t="n">
        <v>16777811780</v>
      </c>
      <c r="AC416" s="36" t="n">
        <v>0.008216045142586094</v>
      </c>
      <c r="AD416" s="29" t="inlineStr">
        <is>
          <t>yfinance_download</t>
        </is>
      </c>
      <c r="AE416" s="29" t="inlineStr">
        <is>
          <t>058470.KQ</t>
        </is>
      </c>
    </row>
    <row r="417" ht="24" customHeight="1">
      <c r="A417" s="24" t="inlineStr">
        <is>
          <t>2025-02-07</t>
        </is>
      </c>
      <c r="B417" s="30" t="n">
        <v>43600</v>
      </c>
      <c r="C417" s="30" t="n">
        <v>43900</v>
      </c>
      <c r="D417" s="30" t="n">
        <v>42300</v>
      </c>
      <c r="E417" s="30" t="n">
        <v>43100</v>
      </c>
      <c r="F417" s="30" t="n">
        <v>40983.796875</v>
      </c>
      <c r="G417" s="30" t="n">
        <v>385750</v>
      </c>
      <c r="H417" s="35" t="n">
        <v>-0.00231481481481477</v>
      </c>
      <c r="I417" s="35" t="n">
        <v>-0.2768456375838926</v>
      </c>
      <c r="J417" s="30" t="n">
        <v>41346</v>
      </c>
      <c r="K417" s="30" t="n">
        <v>36599</v>
      </c>
      <c r="L417" s="30" t="n">
        <v>37355.16666666666</v>
      </c>
      <c r="M417" s="35" t="n">
        <v>0.4968212459597823</v>
      </c>
      <c r="N417" s="35" t="n">
        <v>0.4713115415352256</v>
      </c>
      <c r="O417" s="35" t="n">
        <v>0.03110047846889952</v>
      </c>
      <c r="P417" s="35" t="n">
        <v>0.2265224815025613</v>
      </c>
      <c r="Q417" s="35" t="n">
        <v>0.2751479289940828</v>
      </c>
      <c r="R417" s="35" t="n">
        <v>0.04242248343249644</v>
      </c>
      <c r="S417" s="35" t="n">
        <v>0.1776278040383616</v>
      </c>
      <c r="T417" s="35" t="n">
        <v>0.153789524876077</v>
      </c>
      <c r="U417" s="30" t="n">
        <v>59600</v>
      </c>
      <c r="V417" s="30" t="n">
        <v>30040</v>
      </c>
      <c r="W417" s="35" t="n">
        <v>-0.2768456375838926</v>
      </c>
      <c r="X417" s="35" t="n">
        <v>0.4347536617842875</v>
      </c>
      <c r="Y417" s="30" t="n">
        <v>76211850</v>
      </c>
      <c r="Z417" s="30" t="n">
        <v>3284730735000</v>
      </c>
      <c r="AA417" s="30" t="n">
        <v>16625825000</v>
      </c>
      <c r="AB417" s="30" t="n">
        <v>16594951430</v>
      </c>
      <c r="AC417" s="35" t="n">
        <v>0.005061548827380519</v>
      </c>
      <c r="AD417" s="24" t="inlineStr">
        <is>
          <t>yfinance_download</t>
        </is>
      </c>
      <c r="AE417" s="24" t="inlineStr">
        <is>
          <t>058470.KQ</t>
        </is>
      </c>
    </row>
    <row r="418" ht="24" customHeight="1">
      <c r="A418" s="29" t="inlineStr">
        <is>
          <t>2025-02-10</t>
        </is>
      </c>
      <c r="B418" s="31" t="n">
        <v>42000</v>
      </c>
      <c r="C418" s="31" t="n">
        <v>45600</v>
      </c>
      <c r="D418" s="31" t="n">
        <v>41800</v>
      </c>
      <c r="E418" s="31" t="n">
        <v>45300</v>
      </c>
      <c r="F418" s="31" t="n">
        <v>43075.77734375</v>
      </c>
      <c r="G418" s="31" t="n">
        <v>586760</v>
      </c>
      <c r="H418" s="36" t="n">
        <v>0.0510440835266821</v>
      </c>
      <c r="I418" s="36" t="n">
        <v>-0.2399328859060402</v>
      </c>
      <c r="J418" s="31" t="n">
        <v>41581</v>
      </c>
      <c r="K418" s="31" t="n">
        <v>36760.66666666666</v>
      </c>
      <c r="L418" s="31" t="n">
        <v>37421.83333333334</v>
      </c>
      <c r="M418" s="36" t="n">
        <v>0.5118932710069746</v>
      </c>
      <c r="N418" s="36" t="n">
        <v>0.480816690822471</v>
      </c>
      <c r="O418" s="36" t="n">
        <v>0.1157635467980296</v>
      </c>
      <c r="P418" s="36" t="n">
        <v>0.2724719101123596</v>
      </c>
      <c r="Q418" s="36" t="n">
        <v>0.2144772117962466</v>
      </c>
      <c r="R418" s="36" t="n">
        <v>0.08943988841057204</v>
      </c>
      <c r="S418" s="36" t="n">
        <v>0.2322953881866487</v>
      </c>
      <c r="T418" s="36" t="n">
        <v>0.2105232685018994</v>
      </c>
      <c r="U418" s="31" t="n">
        <v>59600</v>
      </c>
      <c r="V418" s="31" t="n">
        <v>30040</v>
      </c>
      <c r="W418" s="36" t="n">
        <v>-0.2399328859060402</v>
      </c>
      <c r="X418" s="36" t="n">
        <v>0.507989347536618</v>
      </c>
      <c r="Y418" s="31" t="n">
        <v>76211850</v>
      </c>
      <c r="Z418" s="31" t="n">
        <v>3452396805000</v>
      </c>
      <c r="AA418" s="31" t="n">
        <v>26580228000</v>
      </c>
      <c r="AB418" s="31" t="n">
        <v>17069921530</v>
      </c>
      <c r="AC418" s="36" t="n">
        <v>0.007699065171623573</v>
      </c>
      <c r="AD418" s="29" t="inlineStr">
        <is>
          <t>yfinance_download</t>
        </is>
      </c>
      <c r="AE418" s="29" t="inlineStr">
        <is>
          <t>058470.KQ</t>
        </is>
      </c>
    </row>
    <row r="419" ht="24" customHeight="1">
      <c r="A419" s="24" t="inlineStr">
        <is>
          <t>2025-02-11</t>
        </is>
      </c>
      <c r="B419" s="30" t="n">
        <v>45800</v>
      </c>
      <c r="C419" s="30" t="n">
        <v>47200</v>
      </c>
      <c r="D419" s="30" t="n">
        <v>44600</v>
      </c>
      <c r="E419" s="30" t="n">
        <v>45500</v>
      </c>
      <c r="F419" s="30" t="n">
        <v>43265.95703125</v>
      </c>
      <c r="G419" s="30" t="n">
        <v>766645</v>
      </c>
      <c r="H419" s="35" t="n">
        <v>0.004415011037527616</v>
      </c>
      <c r="I419" s="35" t="n">
        <v>-0.2365771812080537</v>
      </c>
      <c r="J419" s="30" t="n">
        <v>41811</v>
      </c>
      <c r="K419" s="30" t="n">
        <v>36928.66666666666</v>
      </c>
      <c r="L419" s="30" t="n">
        <v>37472.66666666666</v>
      </c>
      <c r="M419" s="35" t="n">
        <v>0.5118931780874706</v>
      </c>
      <c r="N419" s="35" t="n">
        <v>0.4804068641429275</v>
      </c>
      <c r="O419" s="35" t="n">
        <v>0.1124694376528117</v>
      </c>
      <c r="P419" s="35" t="n">
        <v>0.2845849802371541</v>
      </c>
      <c r="Q419" s="35" t="n">
        <v>0.1548223350253808</v>
      </c>
      <c r="R419" s="35" t="n">
        <v>0.08823036999832579</v>
      </c>
      <c r="S419" s="35" t="n">
        <v>0.2321051396385825</v>
      </c>
      <c r="T419" s="35" t="n">
        <v>0.2142183636072517</v>
      </c>
      <c r="U419" s="30" t="n">
        <v>59600</v>
      </c>
      <c r="V419" s="30" t="n">
        <v>30040</v>
      </c>
      <c r="W419" s="35" t="n">
        <v>-0.2365771812080537</v>
      </c>
      <c r="X419" s="35" t="n">
        <v>0.5146471371504659</v>
      </c>
      <c r="Y419" s="30" t="n">
        <v>76211850</v>
      </c>
      <c r="Z419" s="30" t="n">
        <v>3467639175000</v>
      </c>
      <c r="AA419" s="30" t="n">
        <v>34882347500</v>
      </c>
      <c r="AB419" s="30" t="n">
        <v>18067869530</v>
      </c>
      <c r="AC419" s="35" t="n">
        <v>0.01005939365072492</v>
      </c>
      <c r="AD419" s="24" t="inlineStr">
        <is>
          <t>yfinance_download</t>
        </is>
      </c>
      <c r="AE419" s="24" t="inlineStr">
        <is>
          <t>058470.KQ</t>
        </is>
      </c>
    </row>
    <row r="420" ht="24" customHeight="1">
      <c r="A420" s="29" t="inlineStr">
        <is>
          <t>2025-02-12</t>
        </is>
      </c>
      <c r="B420" s="31" t="n">
        <v>45500</v>
      </c>
      <c r="C420" s="31" t="n">
        <v>46600</v>
      </c>
      <c r="D420" s="31" t="n">
        <v>44600</v>
      </c>
      <c r="E420" s="31" t="n">
        <v>46000</v>
      </c>
      <c r="F420" s="31" t="n">
        <v>43741.40625</v>
      </c>
      <c r="G420" s="31" t="n">
        <v>346640</v>
      </c>
      <c r="H420" s="36" t="n">
        <v>0.01098901098901095</v>
      </c>
      <c r="I420" s="36" t="n">
        <v>-0.2281879194630873</v>
      </c>
      <c r="J420" s="31" t="n">
        <v>42061</v>
      </c>
      <c r="K420" s="31" t="n">
        <v>37134.66666666666</v>
      </c>
      <c r="L420" s="31" t="n">
        <v>37535.33333333334</v>
      </c>
      <c r="M420" s="36" t="n">
        <v>0.5120429991095512</v>
      </c>
      <c r="N420" s="36" t="n">
        <v>0.4667246608611236</v>
      </c>
      <c r="O420" s="36" t="n">
        <v>0.1219512195121952</v>
      </c>
      <c r="P420" s="36" t="n">
        <v>0.3674197384066586</v>
      </c>
      <c r="Q420" s="36" t="n">
        <v>0.1954261954261953</v>
      </c>
      <c r="R420" s="36" t="n">
        <v>0.09364969924633271</v>
      </c>
      <c r="S420" s="36" t="n">
        <v>0.2387346953430758</v>
      </c>
      <c r="T420" s="36" t="n">
        <v>0.2255119620624122</v>
      </c>
      <c r="U420" s="31" t="n">
        <v>59600</v>
      </c>
      <c r="V420" s="31" t="n">
        <v>30040</v>
      </c>
      <c r="W420" s="36" t="n">
        <v>-0.2281879194630873</v>
      </c>
      <c r="X420" s="36" t="n">
        <v>0.5312916111850865</v>
      </c>
      <c r="Y420" s="31" t="n">
        <v>76211850</v>
      </c>
      <c r="Z420" s="31" t="n">
        <v>3505745100000</v>
      </c>
      <c r="AA420" s="31" t="n">
        <v>15945440000</v>
      </c>
      <c r="AB420" s="31" t="n">
        <v>18254559280</v>
      </c>
      <c r="AC420" s="36" t="n">
        <v>0.004548374038945387</v>
      </c>
      <c r="AD420" s="29" t="inlineStr">
        <is>
          <t>yfinance_download</t>
        </is>
      </c>
      <c r="AE420" s="29" t="inlineStr">
        <is>
          <t>058470.KQ</t>
        </is>
      </c>
    </row>
    <row r="421" ht="24" customHeight="1">
      <c r="A421" s="24" t="inlineStr">
        <is>
          <t>2025-02-13</t>
        </is>
      </c>
      <c r="B421" s="30" t="n">
        <v>46400</v>
      </c>
      <c r="C421" s="30" t="n">
        <v>47000</v>
      </c>
      <c r="D421" s="30" t="n">
        <v>45400</v>
      </c>
      <c r="E421" s="30" t="n">
        <v>46100</v>
      </c>
      <c r="F421" s="30" t="n">
        <v>43836.49609375</v>
      </c>
      <c r="G421" s="30" t="n">
        <v>452810</v>
      </c>
      <c r="H421" s="35" t="n">
        <v>0.002173913043478359</v>
      </c>
      <c r="I421" s="35" t="n">
        <v>-0.2265100671140939</v>
      </c>
      <c r="J421" s="30" t="n">
        <v>42377</v>
      </c>
      <c r="K421" s="30" t="n">
        <v>37357</v>
      </c>
      <c r="L421" s="30" t="n">
        <v>37593.16666666666</v>
      </c>
      <c r="M421" s="35" t="n">
        <v>0.4945040476966568</v>
      </c>
      <c r="N421" s="35" t="n">
        <v>0.4620661274532836</v>
      </c>
      <c r="O421" s="35" t="n">
        <v>0.1588738059326296</v>
      </c>
      <c r="P421" s="35" t="n">
        <v>0.4072039072039073</v>
      </c>
      <c r="Q421" s="35" t="n">
        <v>0.1772216547497447</v>
      </c>
      <c r="R421" s="35" t="n">
        <v>0.08785426056587298</v>
      </c>
      <c r="S421" s="35" t="n">
        <v>0.2340391359049174</v>
      </c>
      <c r="T421" s="35" t="n">
        <v>0.2262866921736664</v>
      </c>
      <c r="U421" s="30" t="n">
        <v>59600</v>
      </c>
      <c r="V421" s="30" t="n">
        <v>30040</v>
      </c>
      <c r="W421" s="35" t="n">
        <v>-0.2265100671140939</v>
      </c>
      <c r="X421" s="35" t="n">
        <v>0.5346205059920106</v>
      </c>
      <c r="Y421" s="30" t="n">
        <v>76211850</v>
      </c>
      <c r="Z421" s="30" t="n">
        <v>3513366285000</v>
      </c>
      <c r="AA421" s="30" t="n">
        <v>20874541000</v>
      </c>
      <c r="AB421" s="30" t="n">
        <v>18748059315</v>
      </c>
      <c r="AC421" s="35" t="n">
        <v>0.005941464483541601</v>
      </c>
      <c r="AD421" s="24" t="inlineStr">
        <is>
          <t>yfinance_download</t>
        </is>
      </c>
      <c r="AE421" s="24" t="inlineStr">
        <is>
          <t>058470.KQ</t>
        </is>
      </c>
    </row>
    <row r="422" ht="24" customHeight="1">
      <c r="A422" s="29" t="inlineStr">
        <is>
          <t>2025-02-14</t>
        </is>
      </c>
      <c r="B422" s="31" t="n">
        <v>46100</v>
      </c>
      <c r="C422" s="31" t="n">
        <v>46300</v>
      </c>
      <c r="D422" s="31" t="n">
        <v>44600</v>
      </c>
      <c r="E422" s="31" t="n">
        <v>45000</v>
      </c>
      <c r="F422" s="31" t="n">
        <v>42790.5078125</v>
      </c>
      <c r="G422" s="31" t="n">
        <v>418815</v>
      </c>
      <c r="H422" s="36" t="n">
        <v>-0.02386117136659438</v>
      </c>
      <c r="I422" s="36" t="n">
        <v>-0.2449664429530202</v>
      </c>
      <c r="J422" s="31" t="n">
        <v>42648</v>
      </c>
      <c r="K422" s="31" t="n">
        <v>37588.66666666666</v>
      </c>
      <c r="L422" s="31" t="n">
        <v>37629.83333333334</v>
      </c>
      <c r="M422" s="36" t="n">
        <v>0.5054078285765954</v>
      </c>
      <c r="N422" s="36" t="n">
        <v>0.4511289610988974</v>
      </c>
      <c r="O422" s="36" t="n">
        <v>0.1369378473976757</v>
      </c>
      <c r="P422" s="36" t="n">
        <v>0.4469453376205788</v>
      </c>
      <c r="Q422" s="36" t="n">
        <v>0.1083743842364533</v>
      </c>
      <c r="R422" s="36" t="n">
        <v>0.05514912774338776</v>
      </c>
      <c r="S422" s="36" t="n">
        <v>0.1971693595587323</v>
      </c>
      <c r="T422" s="36" t="n">
        <v>0.1958596680825053</v>
      </c>
      <c r="U422" s="31" t="n">
        <v>59600</v>
      </c>
      <c r="V422" s="31" t="n">
        <v>30040</v>
      </c>
      <c r="W422" s="36" t="n">
        <v>-0.2449664429530202</v>
      </c>
      <c r="X422" s="36" t="n">
        <v>0.4980026631158456</v>
      </c>
      <c r="Y422" s="31" t="n">
        <v>76211850</v>
      </c>
      <c r="Z422" s="31" t="n">
        <v>3429533250000</v>
      </c>
      <c r="AA422" s="31" t="n">
        <v>18846675000</v>
      </c>
      <c r="AB422" s="31" t="n">
        <v>19233501335</v>
      </c>
      <c r="AC422" s="36" t="n">
        <v>0.005495405242098178</v>
      </c>
      <c r="AD422" s="29" t="inlineStr">
        <is>
          <t>yfinance_download</t>
        </is>
      </c>
      <c r="AE422" s="29" t="inlineStr">
        <is>
          <t>058470.KQ</t>
        </is>
      </c>
    </row>
    <row r="423" ht="24" customHeight="1">
      <c r="A423" s="24" t="inlineStr">
        <is>
          <t>2025-02-17</t>
        </is>
      </c>
      <c r="B423" s="30" t="n">
        <v>45000</v>
      </c>
      <c r="C423" s="30" t="n">
        <v>46100</v>
      </c>
      <c r="D423" s="30" t="n">
        <v>44400</v>
      </c>
      <c r="E423" s="30" t="n">
        <v>45400</v>
      </c>
      <c r="F423" s="30" t="n">
        <v>43170.8671875</v>
      </c>
      <c r="G423" s="30" t="n">
        <v>350180</v>
      </c>
      <c r="H423" s="35" t="n">
        <v>0.008888888888888946</v>
      </c>
      <c r="I423" s="35" t="n">
        <v>-0.238255033557047</v>
      </c>
      <c r="J423" s="30" t="n">
        <v>42999</v>
      </c>
      <c r="K423" s="30" t="n">
        <v>37844.66666666666</v>
      </c>
      <c r="L423" s="30" t="n">
        <v>37665.66666666666</v>
      </c>
      <c r="M423" s="35" t="n">
        <v>0.4858899451499311</v>
      </c>
      <c r="N423" s="35" t="n">
        <v>0.4431149352637915</v>
      </c>
      <c r="O423" s="35" t="n">
        <v>0.1829077644606565</v>
      </c>
      <c r="P423" s="35" t="n">
        <v>0.5113182423435418</v>
      </c>
      <c r="Q423" s="35" t="n">
        <v>0.1046228710462287</v>
      </c>
      <c r="R423" s="35" t="n">
        <v>0.05583850787227607</v>
      </c>
      <c r="S423" s="35" t="n">
        <v>0.1996406362851657</v>
      </c>
      <c r="T423" s="35" t="n">
        <v>0.2053417347363204</v>
      </c>
      <c r="U423" s="30" t="n">
        <v>59600</v>
      </c>
      <c r="V423" s="30" t="n">
        <v>30040</v>
      </c>
      <c r="W423" s="35" t="n">
        <v>-0.238255033557047</v>
      </c>
      <c r="X423" s="35" t="n">
        <v>0.5113182423435418</v>
      </c>
      <c r="Y423" s="30" t="n">
        <v>76211850</v>
      </c>
      <c r="Z423" s="30" t="n">
        <v>3460017990000</v>
      </c>
      <c r="AA423" s="30" t="n">
        <v>15898172000</v>
      </c>
      <c r="AB423" s="30" t="n">
        <v>19172900545</v>
      </c>
      <c r="AC423" s="35" t="n">
        <v>0.004594823508417654</v>
      </c>
      <c r="AD423" s="24" t="inlineStr">
        <is>
          <t>yfinance_download</t>
        </is>
      </c>
      <c r="AE423" s="24" t="inlineStr">
        <is>
          <t>058470.KQ</t>
        </is>
      </c>
    </row>
    <row r="424" ht="24" customHeight="1">
      <c r="A424" s="29" t="inlineStr">
        <is>
          <t>2025-02-18</t>
        </is>
      </c>
      <c r="B424" s="31" t="n">
        <v>45300</v>
      </c>
      <c r="C424" s="31" t="n">
        <v>46800</v>
      </c>
      <c r="D424" s="31" t="n">
        <v>45000</v>
      </c>
      <c r="E424" s="31" t="n">
        <v>46700</v>
      </c>
      <c r="F424" s="31" t="n">
        <v>44407.03515625</v>
      </c>
      <c r="G424" s="31" t="n">
        <v>347910</v>
      </c>
      <c r="H424" s="36" t="n">
        <v>0.02863436123348007</v>
      </c>
      <c r="I424" s="36" t="n">
        <v>-0.2164429530201343</v>
      </c>
      <c r="J424" s="31" t="n">
        <v>43381</v>
      </c>
      <c r="K424" s="31" t="n">
        <v>38105</v>
      </c>
      <c r="L424" s="31" t="n">
        <v>37702.33333333334</v>
      </c>
      <c r="M424" s="36" t="n">
        <v>0.4900541562714426</v>
      </c>
      <c r="N424" s="36" t="n">
        <v>0.4417051491093523</v>
      </c>
      <c r="O424" s="36" t="n">
        <v>0.1955965181771633</v>
      </c>
      <c r="P424" s="36" t="n">
        <v>0.5025740025740026</v>
      </c>
      <c r="Q424" s="36" t="n">
        <v>0.1040189125295508</v>
      </c>
      <c r="R424" s="36" t="n">
        <v>0.07650814872870604</v>
      </c>
      <c r="S424" s="36" t="n">
        <v>0.2255609500065607</v>
      </c>
      <c r="T424" s="36" t="n">
        <v>0.2386501277551345</v>
      </c>
      <c r="U424" s="31" t="n">
        <v>59600</v>
      </c>
      <c r="V424" s="31" t="n">
        <v>30040</v>
      </c>
      <c r="W424" s="36" t="n">
        <v>-0.2164429530201343</v>
      </c>
      <c r="X424" s="36" t="n">
        <v>0.5545938748335553</v>
      </c>
      <c r="Y424" s="31" t="n">
        <v>76211850</v>
      </c>
      <c r="Z424" s="31" t="n">
        <v>3559093395000</v>
      </c>
      <c r="AA424" s="31" t="n">
        <v>16247397000</v>
      </c>
      <c r="AB424" s="31" t="n">
        <v>19491942595</v>
      </c>
      <c r="AC424" s="36" t="n">
        <v>0.004565038114151539</v>
      </c>
      <c r="AD424" s="29" t="inlineStr">
        <is>
          <t>yfinance_download</t>
        </is>
      </c>
      <c r="AE424" s="29" t="inlineStr">
        <is>
          <t>058470.KQ</t>
        </is>
      </c>
    </row>
    <row r="425" ht="24" customHeight="1">
      <c r="A425" s="24" t="inlineStr">
        <is>
          <t>2025-02-19</t>
        </is>
      </c>
      <c r="B425" s="30" t="n">
        <v>46000</v>
      </c>
      <c r="C425" s="30" t="n">
        <v>47100</v>
      </c>
      <c r="D425" s="30" t="n">
        <v>45800</v>
      </c>
      <c r="E425" s="30" t="n">
        <v>46000</v>
      </c>
      <c r="F425" s="30" t="n">
        <v>43741.40625</v>
      </c>
      <c r="G425" s="30" t="n">
        <v>337690</v>
      </c>
      <c r="H425" s="35" t="n">
        <v>-0.01498929336188437</v>
      </c>
      <c r="I425" s="35" t="n">
        <v>-0.2281879194630873</v>
      </c>
      <c r="J425" s="30" t="n">
        <v>43710</v>
      </c>
      <c r="K425" s="30" t="n">
        <v>38367</v>
      </c>
      <c r="L425" s="30" t="n">
        <v>37715.66666666666</v>
      </c>
      <c r="M425" s="35" t="n">
        <v>0.4976574810594173</v>
      </c>
      <c r="N425" s="35" t="n">
        <v>0.4388225951053479</v>
      </c>
      <c r="O425" s="35" t="n">
        <v>0.1669203450025367</v>
      </c>
      <c r="P425" s="35" t="n">
        <v>0.5191545574636725</v>
      </c>
      <c r="Q425" s="35" t="n">
        <v>0.03603603603603611</v>
      </c>
      <c r="R425" s="35" t="n">
        <v>0.05239075726378406</v>
      </c>
      <c r="S425" s="35" t="n">
        <v>0.1989470117548935</v>
      </c>
      <c r="T425" s="35" t="n">
        <v>0.2196523107108452</v>
      </c>
      <c r="U425" s="30" t="n">
        <v>59600</v>
      </c>
      <c r="V425" s="30" t="n">
        <v>30040</v>
      </c>
      <c r="W425" s="35" t="n">
        <v>-0.2281879194630873</v>
      </c>
      <c r="X425" s="35" t="n">
        <v>0.5312916111850865</v>
      </c>
      <c r="Y425" s="30" t="n">
        <v>76211850</v>
      </c>
      <c r="Z425" s="30" t="n">
        <v>3505745100000</v>
      </c>
      <c r="AA425" s="30" t="n">
        <v>15533740000</v>
      </c>
      <c r="AB425" s="30" t="n">
        <v>19732231800</v>
      </c>
      <c r="AC425" s="35" t="n">
        <v>0.004430938233358723</v>
      </c>
      <c r="AD425" s="24" t="inlineStr">
        <is>
          <t>yfinance_download</t>
        </is>
      </c>
      <c r="AE425" s="24" t="inlineStr">
        <is>
          <t>058470.KQ</t>
        </is>
      </c>
    </row>
    <row r="426" ht="24" customHeight="1">
      <c r="A426" s="29" t="inlineStr">
        <is>
          <t>2025-02-20</t>
        </is>
      </c>
      <c r="B426" s="31" t="n">
        <v>45400</v>
      </c>
      <c r="C426" s="31" t="n">
        <v>46000</v>
      </c>
      <c r="D426" s="31" t="n">
        <v>44600</v>
      </c>
      <c r="E426" s="31" t="n">
        <v>45200</v>
      </c>
      <c r="F426" s="31" t="n">
        <v>42980.6875</v>
      </c>
      <c r="G426" s="31" t="n">
        <v>329145</v>
      </c>
      <c r="H426" s="36" t="n">
        <v>-0.0173913043478261</v>
      </c>
      <c r="I426" s="36" t="n">
        <v>-0.2416107382550335</v>
      </c>
      <c r="J426" s="31" t="n">
        <v>43880</v>
      </c>
      <c r="K426" s="31" t="n">
        <v>38612.66666666666</v>
      </c>
      <c r="L426" s="31" t="n">
        <v>37743.16666666666</v>
      </c>
      <c r="M426" s="36" t="n">
        <v>0.465018130288099</v>
      </c>
      <c r="N426" s="36" t="n">
        <v>0.4417410341731343</v>
      </c>
      <c r="O426" s="36" t="n">
        <v>0.08133971291866038</v>
      </c>
      <c r="P426" s="36" t="n">
        <v>0.4839133289560078</v>
      </c>
      <c r="Q426" s="36" t="n">
        <v>0.07875894988066823</v>
      </c>
      <c r="R426" s="36" t="n">
        <v>0.03008204193254338</v>
      </c>
      <c r="S426" s="36" t="n">
        <v>0.1706003211381413</v>
      </c>
      <c r="T426" s="36" t="n">
        <v>0.1975677716496143</v>
      </c>
      <c r="U426" s="31" t="n">
        <v>59600</v>
      </c>
      <c r="V426" s="31" t="n">
        <v>30040</v>
      </c>
      <c r="W426" s="36" t="n">
        <v>-0.2416107382550335</v>
      </c>
      <c r="X426" s="36" t="n">
        <v>0.5046604527296938</v>
      </c>
      <c r="Y426" s="31" t="n">
        <v>76211850</v>
      </c>
      <c r="Z426" s="31" t="n">
        <v>3444775620000</v>
      </c>
      <c r="AA426" s="31" t="n">
        <v>14877354000</v>
      </c>
      <c r="AB426" s="31" t="n">
        <v>19018105050</v>
      </c>
      <c r="AC426" s="36" t="n">
        <v>0.004318816561991344</v>
      </c>
      <c r="AD426" s="29" t="inlineStr">
        <is>
          <t>yfinance_download</t>
        </is>
      </c>
      <c r="AE426" s="29" t="inlineStr">
        <is>
          <t>058470.KQ</t>
        </is>
      </c>
    </row>
    <row r="427" ht="24" customHeight="1">
      <c r="A427" s="24" t="inlineStr">
        <is>
          <t>2025-02-21</t>
        </is>
      </c>
      <c r="B427" s="30" t="n">
        <v>45200</v>
      </c>
      <c r="C427" s="30" t="n">
        <v>45800</v>
      </c>
      <c r="D427" s="30" t="n">
        <v>44000</v>
      </c>
      <c r="E427" s="30" t="n">
        <v>45500</v>
      </c>
      <c r="F427" s="30" t="n">
        <v>43265.95703125</v>
      </c>
      <c r="G427" s="30" t="n">
        <v>274755</v>
      </c>
      <c r="H427" s="35" t="n">
        <v>0.006637168141592875</v>
      </c>
      <c r="I427" s="35" t="n">
        <v>-0.2365771812080537</v>
      </c>
      <c r="J427" s="30" t="n">
        <v>44115</v>
      </c>
      <c r="K427" s="30" t="n">
        <v>38860</v>
      </c>
      <c r="L427" s="30" t="n">
        <v>37780.66666666666</v>
      </c>
      <c r="M427" s="35" t="n">
        <v>0.4528983810023992</v>
      </c>
      <c r="N427" s="35" t="n">
        <v>0.4417407775682359</v>
      </c>
      <c r="O427" s="35" t="n">
        <v>0.1151960784313726</v>
      </c>
      <c r="P427" s="35" t="n">
        <v>0.4840182648401827</v>
      </c>
      <c r="Q427" s="35" t="n">
        <v>0.1097560975609757</v>
      </c>
      <c r="R427" s="35" t="n">
        <v>0.03139521704635606</v>
      </c>
      <c r="S427" s="35" t="n">
        <v>0.1708697889861039</v>
      </c>
      <c r="T427" s="35" t="n">
        <v>0.2043196696723193</v>
      </c>
      <c r="U427" s="30" t="n">
        <v>59600</v>
      </c>
      <c r="V427" s="30" t="n">
        <v>30040</v>
      </c>
      <c r="W427" s="35" t="n">
        <v>-0.2365771812080537</v>
      </c>
      <c r="X427" s="35" t="n">
        <v>0.5146471371504659</v>
      </c>
      <c r="Y427" s="30" t="n">
        <v>76211850</v>
      </c>
      <c r="Z427" s="30" t="n">
        <v>3467639175000</v>
      </c>
      <c r="AA427" s="30" t="n">
        <v>12501352500</v>
      </c>
      <c r="AB427" s="30" t="n">
        <v>19244648475</v>
      </c>
      <c r="AC427" s="35" t="n">
        <v>0.003605148018319986</v>
      </c>
      <c r="AD427" s="24" t="inlineStr">
        <is>
          <t>yfinance_download</t>
        </is>
      </c>
      <c r="AE427" s="24" t="inlineStr">
        <is>
          <t>058470.KQ</t>
        </is>
      </c>
    </row>
    <row r="428" ht="24" customHeight="1">
      <c r="A428" s="29" t="inlineStr">
        <is>
          <t>2025-02-24</t>
        </is>
      </c>
      <c r="B428" s="31" t="n">
        <v>44600</v>
      </c>
      <c r="C428" s="31" t="n">
        <v>45000</v>
      </c>
      <c r="D428" s="31" t="n">
        <v>43800</v>
      </c>
      <c r="E428" s="31" t="n">
        <v>45000</v>
      </c>
      <c r="F428" s="31" t="n">
        <v>42790.5078125</v>
      </c>
      <c r="G428" s="31" t="n">
        <v>259180</v>
      </c>
      <c r="H428" s="36" t="n">
        <v>-0.01098901098901095</v>
      </c>
      <c r="I428" s="36" t="n">
        <v>-0.2449664429530202</v>
      </c>
      <c r="J428" s="31" t="n">
        <v>44180</v>
      </c>
      <c r="K428" s="31" t="n">
        <v>39098.33333333334</v>
      </c>
      <c r="L428" s="31" t="n">
        <v>37817.33333333334</v>
      </c>
      <c r="M428" s="36" t="n">
        <v>0.3846650561780843</v>
      </c>
      <c r="N428" s="36" t="n">
        <v>0.4431310887367411</v>
      </c>
      <c r="O428" s="36" t="n">
        <v>0.02974828375286043</v>
      </c>
      <c r="P428" s="36" t="n">
        <v>0.4657980456026058</v>
      </c>
      <c r="Q428" s="36" t="n">
        <v>0.1083743842364533</v>
      </c>
      <c r="R428" s="36" t="n">
        <v>0.01856043458578549</v>
      </c>
      <c r="S428" s="36" t="n">
        <v>0.1509442005200563</v>
      </c>
      <c r="T428" s="36" t="n">
        <v>0.1899305433134717</v>
      </c>
      <c r="U428" s="31" t="n">
        <v>59600</v>
      </c>
      <c r="V428" s="31" t="n">
        <v>30040</v>
      </c>
      <c r="W428" s="36" t="n">
        <v>-0.2449664429530202</v>
      </c>
      <c r="X428" s="36" t="n">
        <v>0.4980026631158456</v>
      </c>
      <c r="Y428" s="31" t="n">
        <v>76211850</v>
      </c>
      <c r="Z428" s="31" t="n">
        <v>3429533250000</v>
      </c>
      <c r="AA428" s="31" t="n">
        <v>11663100000</v>
      </c>
      <c r="AB428" s="31" t="n">
        <v>18210368150</v>
      </c>
      <c r="AC428" s="36" t="n">
        <v>0.00340078347396107</v>
      </c>
      <c r="AD428" s="29" t="inlineStr">
        <is>
          <t>yfinance_download</t>
        </is>
      </c>
      <c r="AE428" s="29" t="inlineStr">
        <is>
          <t>058470.KQ</t>
        </is>
      </c>
    </row>
    <row r="429" ht="24" customHeight="1">
      <c r="A429" s="24" t="inlineStr">
        <is>
          <t>2025-02-25</t>
        </is>
      </c>
      <c r="B429" s="30" t="n">
        <v>44000</v>
      </c>
      <c r="C429" s="30" t="n">
        <v>44400</v>
      </c>
      <c r="D429" s="30" t="n">
        <v>43000</v>
      </c>
      <c r="E429" s="30" t="n">
        <v>43700</v>
      </c>
      <c r="F429" s="30" t="n">
        <v>41554.3359375</v>
      </c>
      <c r="G429" s="30" t="n">
        <v>314310</v>
      </c>
      <c r="H429" s="35" t="n">
        <v>-0.02888888888888885</v>
      </c>
      <c r="I429" s="35" t="n">
        <v>-0.2667785234899329</v>
      </c>
      <c r="J429" s="30" t="n">
        <v>44170</v>
      </c>
      <c r="K429" s="30" t="n">
        <v>39304.33333333334</v>
      </c>
      <c r="L429" s="30" t="n">
        <v>37846.5</v>
      </c>
      <c r="M429" s="35" t="n">
        <v>0.3994509072108119</v>
      </c>
      <c r="N429" s="35" t="n">
        <v>0.4480778970416776</v>
      </c>
      <c r="O429" s="35" t="n">
        <v>-0.004555808656036442</v>
      </c>
      <c r="P429" s="35" t="n">
        <v>0.3943841735800893</v>
      </c>
      <c r="Q429" s="35" t="n">
        <v>0.08706467661691542</v>
      </c>
      <c r="R429" s="35" t="n">
        <v>-0.01064070636178405</v>
      </c>
      <c r="S429" s="35" t="n">
        <v>0.1118366931551227</v>
      </c>
      <c r="T429" s="35" t="n">
        <v>0.1546642357945913</v>
      </c>
      <c r="U429" s="30" t="n">
        <v>59600</v>
      </c>
      <c r="V429" s="30" t="n">
        <v>30040</v>
      </c>
      <c r="W429" s="35" t="n">
        <v>-0.2667785234899329</v>
      </c>
      <c r="X429" s="35" t="n">
        <v>0.4547270306258322</v>
      </c>
      <c r="Y429" s="30" t="n">
        <v>76211850</v>
      </c>
      <c r="Z429" s="30" t="n">
        <v>3330457845000</v>
      </c>
      <c r="AA429" s="30" t="n">
        <v>13735347000</v>
      </c>
      <c r="AB429" s="30" t="n">
        <v>17762122950</v>
      </c>
      <c r="AC429" s="35" t="n">
        <v>0.004124161793736801</v>
      </c>
      <c r="AD429" s="24" t="inlineStr">
        <is>
          <t>yfinance_download</t>
        </is>
      </c>
      <c r="AE429" s="24" t="inlineStr">
        <is>
          <t>058470.KQ</t>
        </is>
      </c>
    </row>
    <row r="430" ht="24" customHeight="1">
      <c r="A430" s="29" t="inlineStr">
        <is>
          <t>2025-02-26</t>
        </is>
      </c>
      <c r="B430" s="31" t="n">
        <v>43600</v>
      </c>
      <c r="C430" s="31" t="n">
        <v>44500</v>
      </c>
      <c r="D430" s="31" t="n">
        <v>43300</v>
      </c>
      <c r="E430" s="31" t="n">
        <v>43800</v>
      </c>
      <c r="F430" s="31" t="n">
        <v>41649.42578125</v>
      </c>
      <c r="G430" s="31" t="n">
        <v>205370</v>
      </c>
      <c r="H430" s="36" t="n">
        <v>0.002288329519450905</v>
      </c>
      <c r="I430" s="36" t="n">
        <v>-0.2651006711409396</v>
      </c>
      <c r="J430" s="31" t="n">
        <v>44215</v>
      </c>
      <c r="K430" s="31" t="n">
        <v>39485.33333333334</v>
      </c>
      <c r="L430" s="31" t="n">
        <v>37874.83333333334</v>
      </c>
      <c r="M430" s="36" t="n">
        <v>0.3902394531881767</v>
      </c>
      <c r="N430" s="36" t="n">
        <v>0.4381430584066412</v>
      </c>
      <c r="O430" s="36" t="n">
        <v>0.02097902097902105</v>
      </c>
      <c r="P430" s="36" t="n">
        <v>0.3296903460837888</v>
      </c>
      <c r="Q430" s="36" t="n">
        <v>0.08415841584158423</v>
      </c>
      <c r="R430" s="36" t="n">
        <v>-0.009385954992649603</v>
      </c>
      <c r="S430" s="36" t="n">
        <v>0.1092726413182954</v>
      </c>
      <c r="T430" s="36" t="n">
        <v>0.1564407324124637</v>
      </c>
      <c r="U430" s="31" t="n">
        <v>59600</v>
      </c>
      <c r="V430" s="31" t="n">
        <v>30040</v>
      </c>
      <c r="W430" s="36" t="n">
        <v>-0.2651006711409396</v>
      </c>
      <c r="X430" s="36" t="n">
        <v>0.4580559254327563</v>
      </c>
      <c r="Y430" s="31" t="n">
        <v>76211850</v>
      </c>
      <c r="Z430" s="31" t="n">
        <v>3338079030000</v>
      </c>
      <c r="AA430" s="31" t="n">
        <v>8995206000</v>
      </c>
      <c r="AB430" s="31" t="n">
        <v>17266528125</v>
      </c>
      <c r="AC430" s="36" t="n">
        <v>0.00269472529534449</v>
      </c>
      <c r="AD430" s="29" t="inlineStr">
        <is>
          <t>yfinance_download</t>
        </is>
      </c>
      <c r="AE430" s="29" t="inlineStr">
        <is>
          <t>058470.KQ</t>
        </is>
      </c>
    </row>
    <row r="431" ht="24" customHeight="1">
      <c r="A431" s="24" t="inlineStr">
        <is>
          <t>2025-02-27</t>
        </is>
      </c>
      <c r="B431" s="30" t="n">
        <v>44300</v>
      </c>
      <c r="C431" s="30" t="n">
        <v>45600</v>
      </c>
      <c r="D431" s="30" t="n">
        <v>43600</v>
      </c>
      <c r="E431" s="30" t="n">
        <v>43900</v>
      </c>
      <c r="F431" s="30" t="n">
        <v>41744.515625</v>
      </c>
      <c r="G431" s="30" t="n">
        <v>334915</v>
      </c>
      <c r="H431" s="35" t="n">
        <v>0.002283105022831133</v>
      </c>
      <c r="I431" s="35" t="n">
        <v>-0.2634228187919463</v>
      </c>
      <c r="J431" s="30" t="n">
        <v>44255</v>
      </c>
      <c r="K431" s="30" t="n">
        <v>39680</v>
      </c>
      <c r="L431" s="30" t="n">
        <v>37916.33333333334</v>
      </c>
      <c r="M431" s="35" t="n">
        <v>0.3900606354852054</v>
      </c>
      <c r="N431" s="35" t="n">
        <v>0.4345709151130329</v>
      </c>
      <c r="O431" s="35" t="n">
        <v>0.01856148491879361</v>
      </c>
      <c r="P431" s="35" t="n">
        <v>0.3625077591558039</v>
      </c>
      <c r="Q431" s="35" t="n">
        <v>0.1279547790339157</v>
      </c>
      <c r="R431" s="35" t="n">
        <v>-0.008021692464128316</v>
      </c>
      <c r="S431" s="35" t="n">
        <v>0.106350806451613</v>
      </c>
      <c r="T431" s="35" t="n">
        <v>0.1578123763725394</v>
      </c>
      <c r="U431" s="30" t="n">
        <v>59600</v>
      </c>
      <c r="V431" s="30" t="n">
        <v>30040</v>
      </c>
      <c r="W431" s="35" t="n">
        <v>-0.2634228187919463</v>
      </c>
      <c r="X431" s="35" t="n">
        <v>0.4613848202396804</v>
      </c>
      <c r="Y431" s="30" t="n">
        <v>76211850</v>
      </c>
      <c r="Z431" s="30" t="n">
        <v>3345700215000</v>
      </c>
      <c r="AA431" s="30" t="n">
        <v>14702768500</v>
      </c>
      <c r="AB431" s="30" t="n">
        <v>17193897125</v>
      </c>
      <c r="AC431" s="35" t="n">
        <v>0.004394526572967327</v>
      </c>
      <c r="AD431" s="24" t="inlineStr">
        <is>
          <t>yfinance_download</t>
        </is>
      </c>
      <c r="AE431" s="24" t="inlineStr">
        <is>
          <t>058470.KQ</t>
        </is>
      </c>
    </row>
    <row r="432" ht="24" customHeight="1">
      <c r="A432" s="29" t="inlineStr">
        <is>
          <t>2025-02-28</t>
        </is>
      </c>
      <c r="B432" s="31" t="n">
        <v>42400</v>
      </c>
      <c r="C432" s="31" t="n">
        <v>42900</v>
      </c>
      <c r="D432" s="31" t="n">
        <v>41300</v>
      </c>
      <c r="E432" s="31" t="n">
        <v>41700</v>
      </c>
      <c r="F432" s="31" t="n">
        <v>39652.53515625</v>
      </c>
      <c r="G432" s="31" t="n">
        <v>486270</v>
      </c>
      <c r="H432" s="36" t="n">
        <v>-0.05011389521640086</v>
      </c>
      <c r="I432" s="36" t="n">
        <v>-0.3003355704697986</v>
      </c>
      <c r="J432" s="31" t="n">
        <v>44195</v>
      </c>
      <c r="K432" s="31" t="n">
        <v>39851</v>
      </c>
      <c r="L432" s="31" t="n">
        <v>37945</v>
      </c>
      <c r="M432" s="36" t="n">
        <v>0.4304060234700408</v>
      </c>
      <c r="N432" s="36" t="n">
        <v>0.4452544824310515</v>
      </c>
      <c r="O432" s="36" t="n">
        <v>-0.02797202797202802</v>
      </c>
      <c r="P432" s="36" t="n">
        <v>0.3263358778625953</v>
      </c>
      <c r="Q432" s="36" t="n">
        <v>0.08991113434396247</v>
      </c>
      <c r="R432" s="36" t="n">
        <v>-0.0564543500395972</v>
      </c>
      <c r="S432" s="36" t="n">
        <v>0.04639783192391667</v>
      </c>
      <c r="T432" s="36" t="n">
        <v>0.09895901963368026</v>
      </c>
      <c r="U432" s="31" t="n">
        <v>59600</v>
      </c>
      <c r="V432" s="31" t="n">
        <v>30040</v>
      </c>
      <c r="W432" s="36" t="n">
        <v>-0.3003355704697986</v>
      </c>
      <c r="X432" s="36" t="n">
        <v>0.3881491344873502</v>
      </c>
      <c r="Y432" s="31" t="n">
        <v>76211850</v>
      </c>
      <c r="Z432" s="31" t="n">
        <v>3178034145000</v>
      </c>
      <c r="AA432" s="31" t="n">
        <v>20277459000</v>
      </c>
      <c r="AB432" s="31" t="n">
        <v>17269354025</v>
      </c>
      <c r="AC432" s="36" t="n">
        <v>0.006380503819287946</v>
      </c>
      <c r="AD432" s="29" t="inlineStr">
        <is>
          <t>yfinance_download</t>
        </is>
      </c>
      <c r="AE432" s="29" t="inlineStr">
        <is>
          <t>058470.KQ</t>
        </is>
      </c>
    </row>
    <row r="433" ht="24" customHeight="1">
      <c r="A433" s="24" t="inlineStr">
        <is>
          <t>2025-03-04</t>
        </is>
      </c>
      <c r="B433" s="30" t="n">
        <v>40500</v>
      </c>
      <c r="C433" s="30" t="n">
        <v>41300</v>
      </c>
      <c r="D433" s="30" t="n">
        <v>39980</v>
      </c>
      <c r="E433" s="30" t="n">
        <v>40700</v>
      </c>
      <c r="F433" s="30" t="n">
        <v>38701.63671875</v>
      </c>
      <c r="G433" s="30" t="n">
        <v>462495</v>
      </c>
      <c r="H433" s="35" t="n">
        <v>-0.02398081534772178</v>
      </c>
      <c r="I433" s="35" t="n">
        <v>-0.3171140939597316</v>
      </c>
      <c r="J433" s="30" t="n">
        <v>44145</v>
      </c>
      <c r="K433" s="30" t="n">
        <v>40011</v>
      </c>
      <c r="L433" s="30" t="n">
        <v>37951.83333333334</v>
      </c>
      <c r="M433" s="35" t="n">
        <v>0.4273196337346558</v>
      </c>
      <c r="N433" s="35" t="n">
        <v>0.4480730818006701</v>
      </c>
      <c r="O433" s="35" t="n">
        <v>-0.02398081534772178</v>
      </c>
      <c r="P433" s="35" t="n">
        <v>0.3086816720257235</v>
      </c>
      <c r="Q433" s="35" t="n">
        <v>0.02056168505516554</v>
      </c>
      <c r="R433" s="35" t="n">
        <v>-0.07803828293124926</v>
      </c>
      <c r="S433" s="35" t="n">
        <v>0.01722026442728253</v>
      </c>
      <c r="T433" s="35" t="n">
        <v>0.07241196077484169</v>
      </c>
      <c r="U433" s="30" t="n">
        <v>59600</v>
      </c>
      <c r="V433" s="30" t="n">
        <v>30040</v>
      </c>
      <c r="W433" s="35" t="n">
        <v>-0.3171140939597316</v>
      </c>
      <c r="X433" s="35" t="n">
        <v>0.3548601864181091</v>
      </c>
      <c r="Y433" s="30" t="n">
        <v>76211850</v>
      </c>
      <c r="Z433" s="30" t="n">
        <v>3101822295000</v>
      </c>
      <c r="AA433" s="30" t="n">
        <v>18823546500</v>
      </c>
      <c r="AB433" s="30" t="n">
        <v>17332235525</v>
      </c>
      <c r="AC433" s="35" t="n">
        <v>0.006068544458637338</v>
      </c>
      <c r="AD433" s="24" t="inlineStr">
        <is>
          <t>yfinance_download</t>
        </is>
      </c>
      <c r="AE433" s="24" t="inlineStr">
        <is>
          <t>058470.KQ</t>
        </is>
      </c>
    </row>
    <row r="434" ht="24" customHeight="1">
      <c r="A434" s="29" t="inlineStr">
        <is>
          <t>2025-03-05</t>
        </is>
      </c>
      <c r="B434" s="31" t="n">
        <v>41100</v>
      </c>
      <c r="C434" s="31" t="n">
        <v>41600</v>
      </c>
      <c r="D434" s="31" t="n">
        <v>40700</v>
      </c>
      <c r="E434" s="31" t="n">
        <v>41200</v>
      </c>
      <c r="F434" s="31" t="n">
        <v>39177.0859375</v>
      </c>
      <c r="G434" s="31" t="n">
        <v>212520</v>
      </c>
      <c r="H434" s="36" t="n">
        <v>0.01228501228501222</v>
      </c>
      <c r="I434" s="36" t="n">
        <v>-0.3087248322147651</v>
      </c>
      <c r="J434" s="31" t="n">
        <v>44180</v>
      </c>
      <c r="K434" s="31" t="n">
        <v>40183.33333333334</v>
      </c>
      <c r="L434" s="31" t="n">
        <v>37971.66666666666</v>
      </c>
      <c r="M434" s="36" t="n">
        <v>0.4164759508085386</v>
      </c>
      <c r="N434" s="36" t="n">
        <v>0.4475460944654195</v>
      </c>
      <c r="O434" s="36" t="n">
        <v>0.01728395061728394</v>
      </c>
      <c r="P434" s="36" t="n">
        <v>0.3350615683732987</v>
      </c>
      <c r="Q434" s="36" t="n">
        <v>0.06130860381246772</v>
      </c>
      <c r="R434" s="36" t="n">
        <v>-0.06745133544590309</v>
      </c>
      <c r="S434" s="36" t="n">
        <v>0.02530070510161742</v>
      </c>
      <c r="T434" s="36" t="n">
        <v>0.08501953210727309</v>
      </c>
      <c r="U434" s="31" t="n">
        <v>59600</v>
      </c>
      <c r="V434" s="31" t="n">
        <v>30040</v>
      </c>
      <c r="W434" s="36" t="n">
        <v>-0.3087248322147651</v>
      </c>
      <c r="X434" s="36" t="n">
        <v>0.3715046604527297</v>
      </c>
      <c r="Y434" s="31" t="n">
        <v>76211850</v>
      </c>
      <c r="Z434" s="31" t="n">
        <v>3139928220000</v>
      </c>
      <c r="AA434" s="31" t="n">
        <v>8755824000</v>
      </c>
      <c r="AB434" s="31" t="n">
        <v>17065944350</v>
      </c>
      <c r="AC434" s="36" t="n">
        <v>0.002788542726623222</v>
      </c>
      <c r="AD434" s="29" t="inlineStr">
        <is>
          <t>yfinance_download</t>
        </is>
      </c>
      <c r="AE434" s="29" t="inlineStr">
        <is>
          <t>058470.KQ</t>
        </is>
      </c>
    </row>
    <row r="435" ht="24" customHeight="1">
      <c r="A435" s="24" t="inlineStr">
        <is>
          <t>2025-03-06</t>
        </is>
      </c>
      <c r="B435" s="30" t="n">
        <v>41600</v>
      </c>
      <c r="C435" s="30" t="n">
        <v>41700</v>
      </c>
      <c r="D435" s="30" t="n">
        <v>37860</v>
      </c>
      <c r="E435" s="30" t="n">
        <v>38020</v>
      </c>
      <c r="F435" s="30" t="n">
        <v>36153.22265625</v>
      </c>
      <c r="G435" s="30" t="n">
        <v>968195</v>
      </c>
      <c r="H435" s="35" t="n">
        <v>-0.07718446601941753</v>
      </c>
      <c r="I435" s="35" t="n">
        <v>-0.3620805369127517</v>
      </c>
      <c r="J435" s="30" t="n">
        <v>44051</v>
      </c>
      <c r="K435" s="30" t="n">
        <v>40302.66666666666</v>
      </c>
      <c r="L435" s="30" t="n">
        <v>37962.33333333334</v>
      </c>
      <c r="M435" s="35" t="n">
        <v>0.5006730277213601</v>
      </c>
      <c r="N435" s="35" t="n">
        <v>0.4782843000138581</v>
      </c>
      <c r="O435" s="35" t="n">
        <v>-0.06354679802955665</v>
      </c>
      <c r="P435" s="35" t="n">
        <v>0.2320155541153597</v>
      </c>
      <c r="Q435" s="35" t="n">
        <v>-0.02861522738886046</v>
      </c>
      <c r="R435" s="35" t="n">
        <v>-0.1369094912714808</v>
      </c>
      <c r="S435" s="35" t="n">
        <v>-0.05663810500545863</v>
      </c>
      <c r="T435" s="35" t="n">
        <v>0.001519049584236987</v>
      </c>
      <c r="U435" s="30" t="n">
        <v>59600</v>
      </c>
      <c r="V435" s="30" t="n">
        <v>30040</v>
      </c>
      <c r="W435" s="35" t="n">
        <v>-0.3620805369127517</v>
      </c>
      <c r="X435" s="35" t="n">
        <v>0.2656458055925432</v>
      </c>
      <c r="Y435" s="30" t="n">
        <v>76211850</v>
      </c>
      <c r="Z435" s="30" t="n">
        <v>2897574537000</v>
      </c>
      <c r="AA435" s="30" t="n">
        <v>36810773900</v>
      </c>
      <c r="AB435" s="30" t="n">
        <v>18481360445</v>
      </c>
      <c r="AC435" s="35" t="n">
        <v>0.01270399550726035</v>
      </c>
      <c r="AD435" s="24" t="inlineStr">
        <is>
          <t>yfinance_download</t>
        </is>
      </c>
      <c r="AE435" s="24" t="inlineStr">
        <is>
          <t>058470.KQ</t>
        </is>
      </c>
    </row>
    <row r="436" ht="24" customHeight="1">
      <c r="A436" s="29" t="inlineStr">
        <is>
          <t>2025-03-07</t>
        </is>
      </c>
      <c r="B436" s="31" t="n">
        <v>37940</v>
      </c>
      <c r="C436" s="31" t="n">
        <v>39880</v>
      </c>
      <c r="D436" s="31" t="n">
        <v>37560</v>
      </c>
      <c r="E436" s="31" t="n">
        <v>39700</v>
      </c>
      <c r="F436" s="31" t="n">
        <v>37750.734375</v>
      </c>
      <c r="G436" s="31" t="n">
        <v>489850</v>
      </c>
      <c r="H436" s="36" t="n">
        <v>0.0441872698579695</v>
      </c>
      <c r="I436" s="36" t="n">
        <v>-0.3338926174496645</v>
      </c>
      <c r="J436" s="31" t="n">
        <v>43876</v>
      </c>
      <c r="K436" s="31" t="n">
        <v>40440</v>
      </c>
      <c r="L436" s="31" t="n">
        <v>37969.83333333334</v>
      </c>
      <c r="M436" s="36" t="n">
        <v>0.4695108046289421</v>
      </c>
      <c r="N436" s="36" t="n">
        <v>0.4843627496537532</v>
      </c>
      <c r="O436" s="36" t="n">
        <v>-0.08101851851851849</v>
      </c>
      <c r="P436" s="36" t="n">
        <v>0.2619198982835347</v>
      </c>
      <c r="Q436" s="36" t="n">
        <v>0.02319587628865971</v>
      </c>
      <c r="R436" s="36" t="n">
        <v>-0.09517731789588846</v>
      </c>
      <c r="S436" s="36" t="n">
        <v>-0.01829871414441142</v>
      </c>
      <c r="T436" s="36" t="n">
        <v>0.04556687545814864</v>
      </c>
      <c r="U436" s="31" t="n">
        <v>59600</v>
      </c>
      <c r="V436" s="31" t="n">
        <v>30040</v>
      </c>
      <c r="W436" s="36" t="n">
        <v>-0.3338926174496645</v>
      </c>
      <c r="X436" s="36" t="n">
        <v>0.3215712383488682</v>
      </c>
      <c r="Y436" s="31" t="n">
        <v>76211850</v>
      </c>
      <c r="Z436" s="31" t="n">
        <v>3025610445000</v>
      </c>
      <c r="AA436" s="31" t="n">
        <v>19447045000</v>
      </c>
      <c r="AB436" s="31" t="n">
        <v>18101207095</v>
      </c>
      <c r="AC436" s="36" t="n">
        <v>0.006427478141522611</v>
      </c>
      <c r="AD436" s="29" t="inlineStr">
        <is>
          <t>yfinance_download</t>
        </is>
      </c>
      <c r="AE436" s="29" t="inlineStr">
        <is>
          <t>058470.KQ</t>
        </is>
      </c>
    </row>
    <row r="437" ht="24" customHeight="1">
      <c r="A437" s="24" t="inlineStr">
        <is>
          <t>2025-03-10</t>
        </is>
      </c>
      <c r="B437" s="30" t="n">
        <v>39320</v>
      </c>
      <c r="C437" s="30" t="n">
        <v>39680</v>
      </c>
      <c r="D437" s="30" t="n">
        <v>38700</v>
      </c>
      <c r="E437" s="30" t="n">
        <v>38700</v>
      </c>
      <c r="F437" s="30" t="n">
        <v>36799.8359375</v>
      </c>
      <c r="G437" s="30" t="n">
        <v>246050</v>
      </c>
      <c r="H437" s="35" t="n">
        <v>-0.02518891687657432</v>
      </c>
      <c r="I437" s="35" t="n">
        <v>-0.3506711409395973</v>
      </c>
      <c r="J437" s="30" t="n">
        <v>43656</v>
      </c>
      <c r="K437" s="30" t="n">
        <v>40558</v>
      </c>
      <c r="L437" s="30" t="n">
        <v>37979</v>
      </c>
      <c r="M437" s="35" t="n">
        <v>0.4755368318238421</v>
      </c>
      <c r="N437" s="35" t="n">
        <v>0.4881226022001131</v>
      </c>
      <c r="O437" s="35" t="n">
        <v>-0.1020881670533643</v>
      </c>
      <c r="P437" s="35" t="n">
        <v>0.2239089184060721</v>
      </c>
      <c r="Q437" s="35" t="n">
        <v>0.0292553191489362</v>
      </c>
      <c r="R437" s="35" t="n">
        <v>-0.1135239142385926</v>
      </c>
      <c r="S437" s="35" t="n">
        <v>-0.04581093742294984</v>
      </c>
      <c r="T437" s="35" t="n">
        <v>0.01898417546538878</v>
      </c>
      <c r="U437" s="30" t="n">
        <v>59600</v>
      </c>
      <c r="V437" s="30" t="n">
        <v>30040</v>
      </c>
      <c r="W437" s="35" t="n">
        <v>-0.3506711409395973</v>
      </c>
      <c r="X437" s="35" t="n">
        <v>0.2882822902796272</v>
      </c>
      <c r="Y437" s="30" t="n">
        <v>76211850</v>
      </c>
      <c r="Z437" s="30" t="n">
        <v>2949398595000</v>
      </c>
      <c r="AA437" s="30" t="n">
        <v>9522135000</v>
      </c>
      <c r="AB437" s="30" t="n">
        <v>17746022595</v>
      </c>
      <c r="AC437" s="35" t="n">
        <v>0.003228500554703763</v>
      </c>
      <c r="AD437" s="24" t="inlineStr">
        <is>
          <t>yfinance_download</t>
        </is>
      </c>
      <c r="AE437" s="24" t="inlineStr">
        <is>
          <t>058470.KQ</t>
        </is>
      </c>
    </row>
    <row r="438" ht="24" customHeight="1">
      <c r="A438" s="29" t="inlineStr">
        <is>
          <t>2025-03-11</t>
        </is>
      </c>
      <c r="B438" s="31" t="n">
        <v>37660</v>
      </c>
      <c r="C438" s="31" t="n">
        <v>38840</v>
      </c>
      <c r="D438" s="31" t="n">
        <v>37040</v>
      </c>
      <c r="E438" s="31" t="n">
        <v>38520</v>
      </c>
      <c r="F438" s="31" t="n">
        <v>36628.671875</v>
      </c>
      <c r="G438" s="31" t="n">
        <v>479905</v>
      </c>
      <c r="H438" s="36" t="n">
        <v>-0.00465116279069766</v>
      </c>
      <c r="I438" s="36" t="n">
        <v>-0.3536912751677852</v>
      </c>
      <c r="J438" s="31" t="n">
        <v>43317</v>
      </c>
      <c r="K438" s="31" t="n">
        <v>40661.33333333334</v>
      </c>
      <c r="L438" s="31" t="n">
        <v>37997.83333333334</v>
      </c>
      <c r="M438" s="36" t="n">
        <v>0.4272148268416437</v>
      </c>
      <c r="N438" s="36" t="n">
        <v>0.4869180714570491</v>
      </c>
      <c r="O438" s="36" t="n">
        <v>-0.1496688741721854</v>
      </c>
      <c r="P438" s="36" t="n">
        <v>0.1918316831683169</v>
      </c>
      <c r="Q438" s="36" t="n">
        <v>0.06232763375620509</v>
      </c>
      <c r="R438" s="36" t="n">
        <v>-0.110741741117806</v>
      </c>
      <c r="S438" s="36" t="n">
        <v>-0.05266264428121725</v>
      </c>
      <c r="T438" s="36" t="n">
        <v>0.01374201160592481</v>
      </c>
      <c r="U438" s="31" t="n">
        <v>59600</v>
      </c>
      <c r="V438" s="31" t="n">
        <v>30040</v>
      </c>
      <c r="W438" s="36" t="n">
        <v>-0.3536912751677852</v>
      </c>
      <c r="X438" s="36" t="n">
        <v>0.2822902796271638</v>
      </c>
      <c r="Y438" s="31" t="n">
        <v>76211850</v>
      </c>
      <c r="Z438" s="31" t="n">
        <v>2935680462000</v>
      </c>
      <c r="AA438" s="31" t="n">
        <v>18485940600</v>
      </c>
      <c r="AB438" s="31" t="n">
        <v>17341308225</v>
      </c>
      <c r="AC438" s="36" t="n">
        <v>0.006296986623471284</v>
      </c>
      <c r="AD438" s="29" t="inlineStr">
        <is>
          <t>yfinance_download</t>
        </is>
      </c>
      <c r="AE438" s="29" t="inlineStr">
        <is>
          <t>058470.KQ</t>
        </is>
      </c>
    </row>
    <row r="439" ht="24" customHeight="1">
      <c r="A439" s="24" t="inlineStr">
        <is>
          <t>2025-03-12</t>
        </is>
      </c>
      <c r="B439" s="30" t="n">
        <v>39640</v>
      </c>
      <c r="C439" s="30" t="n">
        <v>42900</v>
      </c>
      <c r="D439" s="30" t="n">
        <v>39500</v>
      </c>
      <c r="E439" s="30" t="n">
        <v>42300</v>
      </c>
      <c r="F439" s="30" t="n">
        <v>40223.07421875</v>
      </c>
      <c r="G439" s="30" t="n">
        <v>863880</v>
      </c>
      <c r="H439" s="35" t="n">
        <v>0.09813084112149539</v>
      </c>
      <c r="I439" s="35" t="n">
        <v>-0.290268456375839</v>
      </c>
      <c r="J439" s="30" t="n">
        <v>43157</v>
      </c>
      <c r="K439" s="30" t="n">
        <v>40835.66666666666</v>
      </c>
      <c r="L439" s="30" t="n">
        <v>38055.16666666666</v>
      </c>
      <c r="M439" s="35" t="n">
        <v>0.5686368860467597</v>
      </c>
      <c r="N439" s="35" t="n">
        <v>0.5225884801600097</v>
      </c>
      <c r="O439" s="35" t="n">
        <v>-0.0703296703296703</v>
      </c>
      <c r="P439" s="35" t="n">
        <v>0.3285175879396984</v>
      </c>
      <c r="Q439" s="35" t="n">
        <v>0.1942405420666291</v>
      </c>
      <c r="R439" s="35" t="n">
        <v>-0.01985772875779135</v>
      </c>
      <c r="S439" s="35" t="n">
        <v>0.03585917539405914</v>
      </c>
      <c r="T439" s="35" t="n">
        <v>0.1115442055612248</v>
      </c>
      <c r="U439" s="30" t="n">
        <v>59600</v>
      </c>
      <c r="V439" s="30" t="n">
        <v>30040</v>
      </c>
      <c r="W439" s="35" t="n">
        <v>-0.290268456375839</v>
      </c>
      <c r="X439" s="35" t="n">
        <v>0.4081225033288949</v>
      </c>
      <c r="Y439" s="30" t="n">
        <v>76211850</v>
      </c>
      <c r="Z439" s="30" t="n">
        <v>3223761255000</v>
      </c>
      <c r="AA439" s="30" t="n">
        <v>36542124000</v>
      </c>
      <c r="AB439" s="30" t="n">
        <v>17424297050</v>
      </c>
      <c r="AC439" s="35" t="n">
        <v>0.01133524510952037</v>
      </c>
      <c r="AD439" s="24" t="inlineStr">
        <is>
          <t>yfinance_download</t>
        </is>
      </c>
      <c r="AE439" s="24" t="inlineStr">
        <is>
          <t>058470.KQ</t>
        </is>
      </c>
    </row>
    <row r="440" ht="24" customHeight="1">
      <c r="A440" s="29" t="inlineStr">
        <is>
          <t>2025-03-13</t>
        </is>
      </c>
      <c r="B440" s="31" t="n">
        <v>42800</v>
      </c>
      <c r="C440" s="31" t="n">
        <v>43500</v>
      </c>
      <c r="D440" s="31" t="n">
        <v>41300</v>
      </c>
      <c r="E440" s="31" t="n">
        <v>41500</v>
      </c>
      <c r="F440" s="31" t="n">
        <v>39462.35546875</v>
      </c>
      <c r="G440" s="31" t="n">
        <v>528515</v>
      </c>
      <c r="H440" s="36" t="n">
        <v>-0.01891252955082745</v>
      </c>
      <c r="I440" s="36" t="n">
        <v>-0.3036912751677853</v>
      </c>
      <c r="J440" s="31" t="n">
        <v>42932</v>
      </c>
      <c r="K440" s="31" t="n">
        <v>41017</v>
      </c>
      <c r="L440" s="31" t="n">
        <v>38111.66666666666</v>
      </c>
      <c r="M440" s="36" t="n">
        <v>0.5687604373376201</v>
      </c>
      <c r="N440" s="36" t="n">
        <v>0.5171606802879634</v>
      </c>
      <c r="O440" s="36" t="n">
        <v>-0.09782608695652173</v>
      </c>
      <c r="P440" s="36" t="n">
        <v>0.3553233180927498</v>
      </c>
      <c r="Q440" s="36" t="n">
        <v>0.1952764976958525</v>
      </c>
      <c r="R440" s="36" t="n">
        <v>-0.03335507313891739</v>
      </c>
      <c r="S440" s="36" t="n">
        <v>0.01177560523685295</v>
      </c>
      <c r="T440" s="36" t="n">
        <v>0.08890540954213511</v>
      </c>
      <c r="U440" s="31" t="n">
        <v>59600</v>
      </c>
      <c r="V440" s="31" t="n">
        <v>30040</v>
      </c>
      <c r="W440" s="36" t="n">
        <v>-0.3036912751677853</v>
      </c>
      <c r="X440" s="36" t="n">
        <v>0.381491344873502</v>
      </c>
      <c r="Y440" s="31" t="n">
        <v>76211850</v>
      </c>
      <c r="Z440" s="31" t="n">
        <v>3162791775000</v>
      </c>
      <c r="AA440" s="31" t="n">
        <v>21933372500</v>
      </c>
      <c r="AB440" s="31" t="n">
        <v>17723693675</v>
      </c>
      <c r="AC440" s="36" t="n">
        <v>0.00693481394297606</v>
      </c>
      <c r="AD440" s="29" t="inlineStr">
        <is>
          <t>yfinance_download</t>
        </is>
      </c>
      <c r="AE440" s="29" t="inlineStr">
        <is>
          <t>058470.KQ</t>
        </is>
      </c>
    </row>
    <row r="441" ht="24" customHeight="1">
      <c r="A441" s="24" t="inlineStr">
        <is>
          <t>2025-03-14</t>
        </is>
      </c>
      <c r="B441" s="30" t="n">
        <v>41700</v>
      </c>
      <c r="C441" s="30" t="n">
        <v>44000</v>
      </c>
      <c r="D441" s="30" t="n">
        <v>41700</v>
      </c>
      <c r="E441" s="30" t="n">
        <v>43400</v>
      </c>
      <c r="F441" s="30" t="n">
        <v>41269.06640625</v>
      </c>
      <c r="G441" s="30" t="n">
        <v>511170</v>
      </c>
      <c r="H441" s="35" t="n">
        <v>0.04578313253012056</v>
      </c>
      <c r="I441" s="35" t="n">
        <v>-0.2718120805369127</v>
      </c>
      <c r="J441" s="30" t="n">
        <v>42797</v>
      </c>
      <c r="K441" s="30" t="n">
        <v>41221</v>
      </c>
      <c r="L441" s="30" t="n">
        <v>38181.16666666666</v>
      </c>
      <c r="M441" s="35" t="n">
        <v>0.5959934196417658</v>
      </c>
      <c r="N441" s="35" t="n">
        <v>0.5231424730401801</v>
      </c>
      <c r="O441" s="35" t="n">
        <v>-0.0585683297180043</v>
      </c>
      <c r="P441" s="35" t="n">
        <v>0.392811296534018</v>
      </c>
      <c r="Q441" s="35" t="n">
        <v>0.237877923559612</v>
      </c>
      <c r="R441" s="35" t="n">
        <v>0.01408977264761546</v>
      </c>
      <c r="S441" s="35" t="n">
        <v>0.05286140559423602</v>
      </c>
      <c r="T441" s="35" t="n">
        <v>0.1366860625002728</v>
      </c>
      <c r="U441" s="30" t="n">
        <v>59600</v>
      </c>
      <c r="V441" s="30" t="n">
        <v>30040</v>
      </c>
      <c r="W441" s="35" t="n">
        <v>-0.2718120805369127</v>
      </c>
      <c r="X441" s="35" t="n">
        <v>0.4447403462050599</v>
      </c>
      <c r="Y441" s="30" t="n">
        <v>76211850</v>
      </c>
      <c r="Z441" s="30" t="n">
        <v>3307594290000</v>
      </c>
      <c r="AA441" s="30" t="n">
        <v>22184778000</v>
      </c>
      <c r="AB441" s="30" t="n">
        <v>17789205525</v>
      </c>
      <c r="AC441" s="35" t="n">
        <v>0.00670722466388101</v>
      </c>
      <c r="AD441" s="24" t="inlineStr">
        <is>
          <t>yfinance_download</t>
        </is>
      </c>
      <c r="AE441" s="24" t="inlineStr">
        <is>
          <t>058470.KQ</t>
        </is>
      </c>
    </row>
    <row r="442" ht="24" customHeight="1">
      <c r="A442" s="29" t="inlineStr">
        <is>
          <t>2025-03-17</t>
        </is>
      </c>
      <c r="B442" s="31" t="n">
        <v>43800</v>
      </c>
      <c r="C442" s="31" t="n">
        <v>44600</v>
      </c>
      <c r="D442" s="31" t="n">
        <v>43300</v>
      </c>
      <c r="E442" s="31" t="n">
        <v>44000</v>
      </c>
      <c r="F442" s="31" t="n">
        <v>41839.60546875</v>
      </c>
      <c r="G442" s="31" t="n">
        <v>447840</v>
      </c>
      <c r="H442" s="36" t="n">
        <v>0.01382488479262678</v>
      </c>
      <c r="I442" s="36" t="n">
        <v>-0.261744966442953</v>
      </c>
      <c r="J442" s="31" t="n">
        <v>42747</v>
      </c>
      <c r="K442" s="31" t="n">
        <v>41403</v>
      </c>
      <c r="L442" s="31" t="n">
        <v>38258.33333333334</v>
      </c>
      <c r="M442" s="36" t="n">
        <v>0.5929592833284232</v>
      </c>
      <c r="N442" s="36" t="n">
        <v>0.510480962338588</v>
      </c>
      <c r="O442" s="36" t="n">
        <v>-0.02222222222222225</v>
      </c>
      <c r="P442" s="36" t="n">
        <v>0.3301088270858525</v>
      </c>
      <c r="Q442" s="36" t="n">
        <v>0.2665515256188831</v>
      </c>
      <c r="R442" s="36" t="n">
        <v>0.02931199850281896</v>
      </c>
      <c r="S442" s="36" t="n">
        <v>0.06272492331473556</v>
      </c>
      <c r="T442" s="36" t="n">
        <v>0.1500762361141363</v>
      </c>
      <c r="U442" s="31" t="n">
        <v>59600</v>
      </c>
      <c r="V442" s="31" t="n">
        <v>30040</v>
      </c>
      <c r="W442" s="36" t="n">
        <v>-0.261744966442953</v>
      </c>
      <c r="X442" s="36" t="n">
        <v>0.4647137150466045</v>
      </c>
      <c r="Y442" s="31" t="n">
        <v>76211850</v>
      </c>
      <c r="Z442" s="31" t="n">
        <v>3353321400000</v>
      </c>
      <c r="AA442" s="31" t="n">
        <v>19704960000</v>
      </c>
      <c r="AB442" s="31" t="n">
        <v>17832119775</v>
      </c>
      <c r="AC442" s="36" t="n">
        <v>0.005876251527813588</v>
      </c>
      <c r="AD442" s="29" t="inlineStr">
        <is>
          <t>yfinance_download</t>
        </is>
      </c>
      <c r="AE442" s="29" t="inlineStr">
        <is>
          <t>058470.KQ</t>
        </is>
      </c>
    </row>
    <row r="443" ht="24" customHeight="1">
      <c r="A443" s="24" t="inlineStr">
        <is>
          <t>2025-03-18</t>
        </is>
      </c>
      <c r="B443" s="30" t="n">
        <v>43600</v>
      </c>
      <c r="C443" s="30" t="n">
        <v>44000</v>
      </c>
      <c r="D443" s="30" t="n">
        <v>42100</v>
      </c>
      <c r="E443" s="30" t="n">
        <v>42500</v>
      </c>
      <c r="F443" s="30" t="n">
        <v>40413.25390625</v>
      </c>
      <c r="G443" s="30" t="n">
        <v>375605</v>
      </c>
      <c r="H443" s="35" t="n">
        <v>-0.03409090909090906</v>
      </c>
      <c r="I443" s="35" t="n">
        <v>-0.2869127516778524</v>
      </c>
      <c r="J443" s="30" t="n">
        <v>42602</v>
      </c>
      <c r="K443" s="30" t="n">
        <v>41541.66666666666</v>
      </c>
      <c r="L443" s="30" t="n">
        <v>38325.83333333334</v>
      </c>
      <c r="M443" s="35" t="n">
        <v>0.6034974744936829</v>
      </c>
      <c r="N443" s="35" t="n">
        <v>0.5133604917462437</v>
      </c>
      <c r="O443" s="35" t="n">
        <v>-0.06387665198237891</v>
      </c>
      <c r="P443" s="35" t="n">
        <v>0.2434172030427151</v>
      </c>
      <c r="Q443" s="35" t="n">
        <v>0.2354651162790697</v>
      </c>
      <c r="R443" s="35" t="n">
        <v>-0.002394253790901857</v>
      </c>
      <c r="S443" s="35" t="n">
        <v>0.02306920762286868</v>
      </c>
      <c r="T443" s="35" t="n">
        <v>0.1089126133373921</v>
      </c>
      <c r="U443" s="30" t="n">
        <v>59600</v>
      </c>
      <c r="V443" s="30" t="n">
        <v>30040</v>
      </c>
      <c r="W443" s="35" t="n">
        <v>-0.2869127516778524</v>
      </c>
      <c r="X443" s="35" t="n">
        <v>0.4147802929427431</v>
      </c>
      <c r="Y443" s="30" t="n">
        <v>76211850</v>
      </c>
      <c r="Z443" s="30" t="n">
        <v>3239003625000</v>
      </c>
      <c r="AA443" s="30" t="n">
        <v>15963212500</v>
      </c>
      <c r="AB443" s="30" t="n">
        <v>17835371800</v>
      </c>
      <c r="AC443" s="35" t="n">
        <v>0.0049284330455172</v>
      </c>
      <c r="AD443" s="24" t="inlineStr">
        <is>
          <t>yfinance_download</t>
        </is>
      </c>
      <c r="AE443" s="24" t="inlineStr">
        <is>
          <t>058470.KQ</t>
        </is>
      </c>
    </row>
    <row r="444" ht="24" customHeight="1">
      <c r="A444" s="29" t="inlineStr">
        <is>
          <t>2025-03-19</t>
        </is>
      </c>
      <c r="B444" s="31" t="n">
        <v>42000</v>
      </c>
      <c r="C444" s="31" t="n">
        <v>43400</v>
      </c>
      <c r="D444" s="31" t="n">
        <v>41900</v>
      </c>
      <c r="E444" s="31" t="n">
        <v>42300</v>
      </c>
      <c r="F444" s="31" t="n">
        <v>40223.07421875</v>
      </c>
      <c r="G444" s="31" t="n">
        <v>349440</v>
      </c>
      <c r="H444" s="36" t="n">
        <v>-0.004705882352941226</v>
      </c>
      <c r="I444" s="36" t="n">
        <v>-0.290268456375839</v>
      </c>
      <c r="J444" s="31" t="n">
        <v>42382</v>
      </c>
      <c r="K444" s="31" t="n">
        <v>41671.33333333334</v>
      </c>
      <c r="L444" s="31" t="n">
        <v>38375.5</v>
      </c>
      <c r="M444" s="36" t="n">
        <v>0.5920954879496062</v>
      </c>
      <c r="N444" s="36" t="n">
        <v>0.5135313520867713</v>
      </c>
      <c r="O444" s="36" t="n">
        <v>-0.09421841541755893</v>
      </c>
      <c r="P444" s="36" t="n">
        <v>0.2253765932792584</v>
      </c>
      <c r="Q444" s="36" t="n">
        <v>0.1640066042927903</v>
      </c>
      <c r="R444" s="36" t="n">
        <v>-0.001934783634561787</v>
      </c>
      <c r="S444" s="36" t="n">
        <v>0.01508631033324259</v>
      </c>
      <c r="T444" s="36" t="n">
        <v>0.1022657685241886</v>
      </c>
      <c r="U444" s="31" t="n">
        <v>59600</v>
      </c>
      <c r="V444" s="31" t="n">
        <v>30040</v>
      </c>
      <c r="W444" s="36" t="n">
        <v>-0.290268456375839</v>
      </c>
      <c r="X444" s="36" t="n">
        <v>0.4081225033288949</v>
      </c>
      <c r="Y444" s="31" t="n">
        <v>76211850</v>
      </c>
      <c r="Z444" s="31" t="n">
        <v>3223761255000</v>
      </c>
      <c r="AA444" s="31" t="n">
        <v>14781312000</v>
      </c>
      <c r="AB444" s="31" t="n">
        <v>17762067550</v>
      </c>
      <c r="AC444" s="36" t="n">
        <v>0.004585113732313282</v>
      </c>
      <c r="AD444" s="29" t="inlineStr">
        <is>
          <t>yfinance_download</t>
        </is>
      </c>
      <c r="AE444" s="29" t="inlineStr">
        <is>
          <t>058470.KQ</t>
        </is>
      </c>
    </row>
    <row r="445" ht="24" customHeight="1">
      <c r="A445" s="24" t="inlineStr">
        <is>
          <t>2025-03-20</t>
        </is>
      </c>
      <c r="B445" s="30" t="n">
        <v>42800</v>
      </c>
      <c r="C445" s="30" t="n">
        <v>42900</v>
      </c>
      <c r="D445" s="30" t="n">
        <v>41100</v>
      </c>
      <c r="E445" s="30" t="n">
        <v>41400</v>
      </c>
      <c r="F445" s="30" t="n">
        <v>39367.265625</v>
      </c>
      <c r="G445" s="30" t="n">
        <v>452825</v>
      </c>
      <c r="H445" s="35" t="n">
        <v>-0.02127659574468088</v>
      </c>
      <c r="I445" s="35" t="n">
        <v>-0.3053691275167785</v>
      </c>
      <c r="J445" s="30" t="n">
        <v>42152</v>
      </c>
      <c r="K445" s="30" t="n">
        <v>41772.66666666666</v>
      </c>
      <c r="L445" s="30" t="n">
        <v>38422</v>
      </c>
      <c r="M445" s="35" t="n">
        <v>0.594020765995248</v>
      </c>
      <c r="N445" s="35" t="n">
        <v>0.5144845935138611</v>
      </c>
      <c r="O445" s="35" t="n">
        <v>-0.09999999999999998</v>
      </c>
      <c r="P445" s="35" t="n">
        <v>0.1721404303510758</v>
      </c>
      <c r="Q445" s="35" t="n">
        <v>0.1557788944723617</v>
      </c>
      <c r="R445" s="35" t="n">
        <v>-0.01784019738090714</v>
      </c>
      <c r="S445" s="35" t="n">
        <v>-0.008921304202109792</v>
      </c>
      <c r="T445" s="35" t="n">
        <v>0.07750767789287383</v>
      </c>
      <c r="U445" s="30" t="n">
        <v>59600</v>
      </c>
      <c r="V445" s="30" t="n">
        <v>30040</v>
      </c>
      <c r="W445" s="35" t="n">
        <v>-0.3053691275167785</v>
      </c>
      <c r="X445" s="35" t="n">
        <v>0.3781624500665779</v>
      </c>
      <c r="Y445" s="30" t="n">
        <v>76211850</v>
      </c>
      <c r="Z445" s="30" t="n">
        <v>3155170590000</v>
      </c>
      <c r="AA445" s="30" t="n">
        <v>18746955000</v>
      </c>
      <c r="AB445" s="30" t="n">
        <v>17922728300</v>
      </c>
      <c r="AC445" s="35" t="n">
        <v>0.005941661303327501</v>
      </c>
      <c r="AD445" s="24" t="inlineStr">
        <is>
          <t>yfinance_download</t>
        </is>
      </c>
      <c r="AE445" s="24" t="inlineStr">
        <is>
          <t>058470.KQ</t>
        </is>
      </c>
    </row>
    <row r="446" ht="24" customHeight="1">
      <c r="A446" s="29" t="inlineStr">
        <is>
          <t>2025-03-21</t>
        </is>
      </c>
      <c r="B446" s="31" t="n">
        <v>41600</v>
      </c>
      <c r="C446" s="31" t="n">
        <v>42900</v>
      </c>
      <c r="D446" s="31" t="n">
        <v>41400</v>
      </c>
      <c r="E446" s="31" t="n">
        <v>42200</v>
      </c>
      <c r="F446" s="31" t="n">
        <v>40127.984375</v>
      </c>
      <c r="G446" s="31" t="n">
        <v>377935</v>
      </c>
      <c r="H446" s="36" t="n">
        <v>0.01932367149758463</v>
      </c>
      <c r="I446" s="36" t="n">
        <v>-0.2919463087248322</v>
      </c>
      <c r="J446" s="31" t="n">
        <v>42002</v>
      </c>
      <c r="K446" s="31" t="n">
        <v>41847</v>
      </c>
      <c r="L446" s="31" t="n">
        <v>38471.5</v>
      </c>
      <c r="M446" s="36" t="n">
        <v>0.5978172883442189</v>
      </c>
      <c r="N446" s="36" t="n">
        <v>0.4973867720399907</v>
      </c>
      <c r="O446" s="36" t="n">
        <v>-0.0663716814159292</v>
      </c>
      <c r="P446" s="36" t="n">
        <v>0.1181770005299416</v>
      </c>
      <c r="Q446" s="36" t="n">
        <v>0.1638168781025924</v>
      </c>
      <c r="R446" s="36" t="n">
        <v>0.004714061235179257</v>
      </c>
      <c r="S446" s="36" t="n">
        <v>0.008435491194111799</v>
      </c>
      <c r="T446" s="36" t="n">
        <v>0.0969158987822154</v>
      </c>
      <c r="U446" s="31" t="n">
        <v>59600</v>
      </c>
      <c r="V446" s="31" t="n">
        <v>30040</v>
      </c>
      <c r="W446" s="36" t="n">
        <v>-0.2919463087248322</v>
      </c>
      <c r="X446" s="36" t="n">
        <v>0.4047936085219708</v>
      </c>
      <c r="Y446" s="31" t="n">
        <v>76211850</v>
      </c>
      <c r="Z446" s="31" t="n">
        <v>3216140070000</v>
      </c>
      <c r="AA446" s="31" t="n">
        <v>15948857000</v>
      </c>
      <c r="AB446" s="31" t="n">
        <v>17976303450</v>
      </c>
      <c r="AC446" s="36" t="n">
        <v>0.004959005718926913</v>
      </c>
      <c r="AD446" s="29" t="inlineStr">
        <is>
          <t>yfinance_download</t>
        </is>
      </c>
      <c r="AE446" s="29" t="inlineStr">
        <is>
          <t>058470.KQ</t>
        </is>
      </c>
    </row>
    <row r="447" ht="24" customHeight="1">
      <c r="A447" s="24" t="inlineStr">
        <is>
          <t>2025-03-24</t>
        </is>
      </c>
      <c r="B447" s="30" t="n">
        <v>42100</v>
      </c>
      <c r="C447" s="30" t="n">
        <v>42300</v>
      </c>
      <c r="D447" s="30" t="n">
        <v>41000</v>
      </c>
      <c r="E447" s="30" t="n">
        <v>41200</v>
      </c>
      <c r="F447" s="30" t="n">
        <v>39177.0859375</v>
      </c>
      <c r="G447" s="30" t="n">
        <v>171330</v>
      </c>
      <c r="H447" s="35" t="n">
        <v>-0.023696682464455</v>
      </c>
      <c r="I447" s="35" t="n">
        <v>-0.3087248322147651</v>
      </c>
      <c r="J447" s="30" t="n">
        <v>41787</v>
      </c>
      <c r="K447" s="30" t="n">
        <v>41886.33333333334</v>
      </c>
      <c r="L447" s="30" t="n">
        <v>38516.5</v>
      </c>
      <c r="M447" s="35" t="n">
        <v>0.6011791105266117</v>
      </c>
      <c r="N447" s="35" t="n">
        <v>0.497011880173034</v>
      </c>
      <c r="O447" s="35" t="n">
        <v>-0.0945054945054945</v>
      </c>
      <c r="P447" s="35" t="n">
        <v>0.0607621009268795</v>
      </c>
      <c r="Q447" s="35" t="n">
        <v>0.1508379888268156</v>
      </c>
      <c r="R447" s="35" t="n">
        <v>-0.01404743101921646</v>
      </c>
      <c r="S447" s="35" t="n">
        <v>-0.01638561503752223</v>
      </c>
      <c r="T447" s="35" t="n">
        <v>0.06967143951293608</v>
      </c>
      <c r="U447" s="30" t="n">
        <v>59600</v>
      </c>
      <c r="V447" s="30" t="n">
        <v>30040</v>
      </c>
      <c r="W447" s="35" t="n">
        <v>-0.3087248322147651</v>
      </c>
      <c r="X447" s="35" t="n">
        <v>0.3715046604527297</v>
      </c>
      <c r="Y447" s="30" t="n">
        <v>76211850</v>
      </c>
      <c r="Z447" s="30" t="n">
        <v>3139928220000</v>
      </c>
      <c r="AA447" s="30" t="n">
        <v>7058796000</v>
      </c>
      <c r="AB447" s="30" t="n">
        <v>17704175625</v>
      </c>
      <c r="AC447" s="35" t="n">
        <v>0.002248075594543368</v>
      </c>
      <c r="AD447" s="24" t="inlineStr">
        <is>
          <t>yfinance_download</t>
        </is>
      </c>
      <c r="AE447" s="24" t="inlineStr">
        <is>
          <t>058470.KQ</t>
        </is>
      </c>
    </row>
    <row r="448" ht="24" customHeight="1">
      <c r="A448" s="29" t="inlineStr">
        <is>
          <t>2025-03-25</t>
        </is>
      </c>
      <c r="B448" s="31" t="n">
        <v>41200</v>
      </c>
      <c r="C448" s="31" t="n">
        <v>41600</v>
      </c>
      <c r="D448" s="31" t="n">
        <v>39980</v>
      </c>
      <c r="E448" s="31" t="n">
        <v>40200</v>
      </c>
      <c r="F448" s="31" t="n">
        <v>38226.18359375</v>
      </c>
      <c r="G448" s="31" t="n">
        <v>257935</v>
      </c>
      <c r="H448" s="36" t="n">
        <v>-0.02427184466019416</v>
      </c>
      <c r="I448" s="36" t="n">
        <v>-0.325503355704698</v>
      </c>
      <c r="J448" s="31" t="n">
        <v>41547</v>
      </c>
      <c r="K448" s="31" t="n">
        <v>41923.33333333334</v>
      </c>
      <c r="L448" s="31" t="n">
        <v>38536.5</v>
      </c>
      <c r="M448" s="36" t="n">
        <v>0.6049824278013339</v>
      </c>
      <c r="N448" s="36" t="n">
        <v>0.4974627915285892</v>
      </c>
      <c r="O448" s="36" t="n">
        <v>-0.1066666666666667</v>
      </c>
      <c r="P448" s="36" t="n">
        <v>0.05845181674565558</v>
      </c>
      <c r="Q448" s="36" t="n">
        <v>0.06349206349206349</v>
      </c>
      <c r="R448" s="36" t="n">
        <v>-0.0324211134377933</v>
      </c>
      <c r="S448" s="36" t="n">
        <v>-0.04110678222151554</v>
      </c>
      <c r="T448" s="36" t="n">
        <v>0.04316686777470702</v>
      </c>
      <c r="U448" s="31" t="n">
        <v>59600</v>
      </c>
      <c r="V448" s="31" t="n">
        <v>30040</v>
      </c>
      <c r="W448" s="36" t="n">
        <v>-0.325503355704698</v>
      </c>
      <c r="X448" s="36" t="n">
        <v>0.3382157123834886</v>
      </c>
      <c r="Y448" s="31" t="n">
        <v>76211850</v>
      </c>
      <c r="Z448" s="31" t="n">
        <v>3063716370000</v>
      </c>
      <c r="AA448" s="31" t="n">
        <v>10368987000</v>
      </c>
      <c r="AB448" s="31" t="n">
        <v>17639469975</v>
      </c>
      <c r="AC448" s="36" t="n">
        <v>0.003384447431731417</v>
      </c>
      <c r="AD448" s="29" t="inlineStr">
        <is>
          <t>yfinance_download</t>
        </is>
      </c>
      <c r="AE448" s="29" t="inlineStr">
        <is>
          <t>058470.KQ</t>
        </is>
      </c>
    </row>
    <row r="449" ht="24" customHeight="1">
      <c r="A449" s="24" t="inlineStr">
        <is>
          <t>2025-03-26</t>
        </is>
      </c>
      <c r="B449" s="30" t="n">
        <v>40600</v>
      </c>
      <c r="C449" s="30" t="n">
        <v>40700</v>
      </c>
      <c r="D449" s="30" t="n">
        <v>39460</v>
      </c>
      <c r="E449" s="30" t="n">
        <v>40400</v>
      </c>
      <c r="F449" s="30" t="n">
        <v>38416.3671875</v>
      </c>
      <c r="G449" s="30" t="n">
        <v>283115</v>
      </c>
      <c r="H449" s="35" t="n">
        <v>0.004975124378109541</v>
      </c>
      <c r="I449" s="35" t="n">
        <v>-0.3221476510067114</v>
      </c>
      <c r="J449" s="30" t="n">
        <v>41382</v>
      </c>
      <c r="K449" s="30" t="n">
        <v>41962.33333333334</v>
      </c>
      <c r="L449" s="30" t="n">
        <v>38545.66666666666</v>
      </c>
      <c r="M449" s="35" t="n">
        <v>0.5991181856190094</v>
      </c>
      <c r="N449" s="35" t="n">
        <v>0.4975143533687028</v>
      </c>
      <c r="O449" s="35" t="n">
        <v>-0.07551487414187641</v>
      </c>
      <c r="P449" s="35" t="n">
        <v>0.06148187073042566</v>
      </c>
      <c r="Q449" s="35" t="n">
        <v>0.02798982188295174</v>
      </c>
      <c r="R449" s="35" t="n">
        <v>-0.02373012420859311</v>
      </c>
      <c r="S449" s="35" t="n">
        <v>-0.03723180312502483</v>
      </c>
      <c r="T449" s="35" t="n">
        <v>0.0481074396603165</v>
      </c>
      <c r="U449" s="30" t="n">
        <v>59600</v>
      </c>
      <c r="V449" s="30" t="n">
        <v>30040</v>
      </c>
      <c r="W449" s="35" t="n">
        <v>-0.3221476510067114</v>
      </c>
      <c r="X449" s="35" t="n">
        <v>0.3448735019973368</v>
      </c>
      <c r="Y449" s="30" t="n">
        <v>76211850</v>
      </c>
      <c r="Z449" s="30" t="n">
        <v>3078958740000</v>
      </c>
      <c r="AA449" s="30" t="n">
        <v>11437846000</v>
      </c>
      <c r="AB449" s="30" t="n">
        <v>17524594925</v>
      </c>
      <c r="AC449" s="35" t="n">
        <v>0.003714842245661272</v>
      </c>
      <c r="AD449" s="24" t="inlineStr">
        <is>
          <t>yfinance_download</t>
        </is>
      </c>
      <c r="AE449" s="24" t="inlineStr">
        <is>
          <t>058470.KQ</t>
        </is>
      </c>
    </row>
    <row r="450" ht="24" customHeight="1">
      <c r="A450" s="29" t="inlineStr">
        <is>
          <t>2025-03-27</t>
        </is>
      </c>
      <c r="B450" s="31" t="n">
        <v>39620</v>
      </c>
      <c r="C450" s="31" t="n">
        <v>40300</v>
      </c>
      <c r="D450" s="31" t="n">
        <v>39200</v>
      </c>
      <c r="E450" s="31" t="n">
        <v>39600</v>
      </c>
      <c r="F450" s="31" t="n">
        <v>37655.64453125</v>
      </c>
      <c r="G450" s="31" t="n">
        <v>314255</v>
      </c>
      <c r="H450" s="36" t="n">
        <v>-0.01980198019801982</v>
      </c>
      <c r="I450" s="36" t="n">
        <v>-0.3355704697986577</v>
      </c>
      <c r="J450" s="31" t="n">
        <v>41172</v>
      </c>
      <c r="K450" s="31" t="n">
        <v>41974.33333333334</v>
      </c>
      <c r="L450" s="31" t="n">
        <v>38547.66666666666</v>
      </c>
      <c r="M450" s="36" t="n">
        <v>0.6015364290818598</v>
      </c>
      <c r="N450" s="36" t="n">
        <v>0.4976049099792529</v>
      </c>
      <c r="O450" s="36" t="n">
        <v>-0.09589041095890416</v>
      </c>
      <c r="P450" s="36" t="n">
        <v>0.0185185185185186</v>
      </c>
      <c r="Q450" s="36" t="n">
        <v>0.006097560975609762</v>
      </c>
      <c r="R450" s="36" t="n">
        <v>-0.03818128825415334</v>
      </c>
      <c r="S450" s="36" t="n">
        <v>-0.05656631433495074</v>
      </c>
      <c r="T450" s="36" t="n">
        <v>0.02729953391039674</v>
      </c>
      <c r="U450" s="31" t="n">
        <v>59600</v>
      </c>
      <c r="V450" s="31" t="n">
        <v>30040</v>
      </c>
      <c r="W450" s="36" t="n">
        <v>-0.3355704697986577</v>
      </c>
      <c r="X450" s="36" t="n">
        <v>0.3182423435419441</v>
      </c>
      <c r="Y450" s="31" t="n">
        <v>76211850</v>
      </c>
      <c r="Z450" s="31" t="n">
        <v>3017989260000</v>
      </c>
      <c r="AA450" s="31" t="n">
        <v>12444498000</v>
      </c>
      <c r="AB450" s="31" t="n">
        <v>17697059525</v>
      </c>
      <c r="AC450" s="36" t="n">
        <v>0.004123440121188503</v>
      </c>
      <c r="AD450" s="29" t="inlineStr">
        <is>
          <t>yfinance_download</t>
        </is>
      </c>
      <c r="AE450" s="29" t="inlineStr">
        <is>
          <t>058470.KQ</t>
        </is>
      </c>
    </row>
    <row r="451" ht="24" customHeight="1">
      <c r="A451" s="24" t="inlineStr">
        <is>
          <t>2025-03-28</t>
        </is>
      </c>
      <c r="B451" s="30" t="n">
        <v>39320</v>
      </c>
      <c r="C451" s="30" t="n">
        <v>39360</v>
      </c>
      <c r="D451" s="30" t="n">
        <v>38680</v>
      </c>
      <c r="E451" s="30" t="n">
        <v>39000</v>
      </c>
      <c r="F451" s="30" t="n">
        <v>37085.10546875</v>
      </c>
      <c r="G451" s="30" t="n">
        <v>217395</v>
      </c>
      <c r="H451" s="35" t="n">
        <v>-0.01515151515151514</v>
      </c>
      <c r="I451" s="35" t="n">
        <v>-0.3456375838926175</v>
      </c>
      <c r="J451" s="30" t="n">
        <v>40927</v>
      </c>
      <c r="K451" s="30" t="n">
        <v>41957.66666666666</v>
      </c>
      <c r="L451" s="30" t="n">
        <v>38537.66666666666</v>
      </c>
      <c r="M451" s="35" t="n">
        <v>0.6021681513252582</v>
      </c>
      <c r="N451" s="35" t="n">
        <v>0.4951797398146489</v>
      </c>
      <c r="O451" s="35" t="n">
        <v>-0.1116173120728929</v>
      </c>
      <c r="P451" s="35" t="n">
        <v>-0.02500000000000002</v>
      </c>
      <c r="Q451" s="35" t="n">
        <v>-0.02985074626865669</v>
      </c>
      <c r="R451" s="35" t="n">
        <v>-0.04708383218901946</v>
      </c>
      <c r="S451" s="35" t="n">
        <v>-0.07049168606452527</v>
      </c>
      <c r="T451" s="35" t="n">
        <v>0.01199692076150605</v>
      </c>
      <c r="U451" s="30" t="n">
        <v>59600</v>
      </c>
      <c r="V451" s="30" t="n">
        <v>30040</v>
      </c>
      <c r="W451" s="35" t="n">
        <v>-0.3456375838926175</v>
      </c>
      <c r="X451" s="35" t="n">
        <v>0.2982689747003995</v>
      </c>
      <c r="Y451" s="30" t="n">
        <v>76211850</v>
      </c>
      <c r="Z451" s="30" t="n">
        <v>2972262150000</v>
      </c>
      <c r="AA451" s="30" t="n">
        <v>8478405000</v>
      </c>
      <c r="AB451" s="30" t="n">
        <v>17385841350</v>
      </c>
      <c r="AC451" s="35" t="n">
        <v>0.002852509157040539</v>
      </c>
      <c r="AD451" s="24" t="inlineStr">
        <is>
          <t>yfinance_download</t>
        </is>
      </c>
      <c r="AE451" s="24" t="inlineStr">
        <is>
          <t>058470.KQ</t>
        </is>
      </c>
    </row>
    <row r="452" ht="24" customHeight="1">
      <c r="A452" s="29" t="inlineStr">
        <is>
          <t>2025-03-31</t>
        </is>
      </c>
      <c r="B452" s="31" t="n">
        <v>38600</v>
      </c>
      <c r="C452" s="31" t="n">
        <v>38600</v>
      </c>
      <c r="D452" s="31" t="n">
        <v>37280</v>
      </c>
      <c r="E452" s="31" t="n">
        <v>37620</v>
      </c>
      <c r="F452" s="31" t="n">
        <v>35772.86328125</v>
      </c>
      <c r="G452" s="31" t="n">
        <v>425605</v>
      </c>
      <c r="H452" s="36" t="n">
        <v>-0.03538461538461535</v>
      </c>
      <c r="I452" s="36" t="n">
        <v>-0.3687919463087248</v>
      </c>
      <c r="J452" s="31" t="n">
        <v>40723</v>
      </c>
      <c r="K452" s="31" t="n">
        <v>41935</v>
      </c>
      <c r="L452" s="31" t="n">
        <v>38519.5</v>
      </c>
      <c r="M452" s="36" t="n">
        <v>0.5897471595811982</v>
      </c>
      <c r="N452" s="36" t="n">
        <v>0.497765689832557</v>
      </c>
      <c r="O452" s="36" t="n">
        <v>-0.09784172661870505</v>
      </c>
      <c r="P452" s="36" t="n">
        <v>-0.03488968701898409</v>
      </c>
      <c r="Q452" s="36" t="n">
        <v>-0.05477386934673367</v>
      </c>
      <c r="R452" s="36" t="n">
        <v>-0.07619772610072928</v>
      </c>
      <c r="S452" s="36" t="n">
        <v>-0.1028973411231668</v>
      </c>
      <c r="T452" s="36" t="n">
        <v>-0.02335180882410204</v>
      </c>
      <c r="U452" s="31" t="n">
        <v>59600</v>
      </c>
      <c r="V452" s="31" t="n">
        <v>30040</v>
      </c>
      <c r="W452" s="36" t="n">
        <v>-0.3687919463087248</v>
      </c>
      <c r="X452" s="36" t="n">
        <v>0.2523302263648468</v>
      </c>
      <c r="Y452" s="31" t="n">
        <v>76211850</v>
      </c>
      <c r="Z452" s="31" t="n">
        <v>2867089797000</v>
      </c>
      <c r="AA452" s="31" t="n">
        <v>16011260100</v>
      </c>
      <c r="AB452" s="31" t="n">
        <v>17172531405</v>
      </c>
      <c r="AC452" s="36" t="n">
        <v>0.005584498998515323</v>
      </c>
      <c r="AD452" s="29" t="inlineStr">
        <is>
          <t>yfinance_download</t>
        </is>
      </c>
      <c r="AE452" s="29" t="inlineStr">
        <is>
          <t>058470.KQ</t>
        </is>
      </c>
    </row>
    <row r="453" ht="24" customHeight="1">
      <c r="A453" s="24" t="inlineStr">
        <is>
          <t>2025-04-01</t>
        </is>
      </c>
      <c r="B453" s="30" t="n">
        <v>38040</v>
      </c>
      <c r="C453" s="30" t="n">
        <v>38640</v>
      </c>
      <c r="D453" s="30" t="n">
        <v>37560</v>
      </c>
      <c r="E453" s="30" t="n">
        <v>38420</v>
      </c>
      <c r="F453" s="30" t="n">
        <v>36533.58203125</v>
      </c>
      <c r="G453" s="30" t="n">
        <v>275335</v>
      </c>
      <c r="H453" s="35" t="n">
        <v>0.0212652844231791</v>
      </c>
      <c r="I453" s="35" t="n">
        <v>-0.3553691275167785</v>
      </c>
      <c r="J453" s="30" t="n">
        <v>40609</v>
      </c>
      <c r="K453" s="30" t="n">
        <v>41935.33333333334</v>
      </c>
      <c r="L453" s="30" t="n">
        <v>38524.66666666666</v>
      </c>
      <c r="M453" s="35" t="n">
        <v>0.5917792782787168</v>
      </c>
      <c r="N453" s="35" t="n">
        <v>0.4986974463049516</v>
      </c>
      <c r="O453" s="35" t="n">
        <v>-0.05601965601965597</v>
      </c>
      <c r="P453" s="35" t="n">
        <v>0.0005208333333333037</v>
      </c>
      <c r="Q453" s="35" t="n">
        <v>0.01640211640211642</v>
      </c>
      <c r="R453" s="35" t="n">
        <v>-0.05390430692703585</v>
      </c>
      <c r="S453" s="35" t="n">
        <v>-0.08382748040634003</v>
      </c>
      <c r="T453" s="35" t="n">
        <v>-0.002716874037413164</v>
      </c>
      <c r="U453" s="30" t="n">
        <v>59600</v>
      </c>
      <c r="V453" s="30" t="n">
        <v>30040</v>
      </c>
      <c r="W453" s="35" t="n">
        <v>-0.3553691275167785</v>
      </c>
      <c r="X453" s="35" t="n">
        <v>0.2789613848202397</v>
      </c>
      <c r="Y453" s="30" t="n">
        <v>76211850</v>
      </c>
      <c r="Z453" s="30" t="n">
        <v>2928059277000</v>
      </c>
      <c r="AA453" s="30" t="n">
        <v>10578370700</v>
      </c>
      <c r="AB453" s="30" t="n">
        <v>16760272615</v>
      </c>
      <c r="AC453" s="35" t="n">
        <v>0.003612758383374764</v>
      </c>
      <c r="AD453" s="24" t="inlineStr">
        <is>
          <t>yfinance_download</t>
        </is>
      </c>
      <c r="AE453" s="24" t="inlineStr">
        <is>
          <t>058470.KQ</t>
        </is>
      </c>
    </row>
    <row r="454" ht="24" customHeight="1">
      <c r="A454" s="29" t="inlineStr">
        <is>
          <t>2025-04-02</t>
        </is>
      </c>
      <c r="B454" s="31" t="n">
        <v>38900</v>
      </c>
      <c r="C454" s="31" t="n">
        <v>38900</v>
      </c>
      <c r="D454" s="31" t="n">
        <v>37700</v>
      </c>
      <c r="E454" s="31" t="n">
        <v>38580</v>
      </c>
      <c r="F454" s="31" t="n">
        <v>36685.7265625</v>
      </c>
      <c r="G454" s="31" t="n">
        <v>189145</v>
      </c>
      <c r="H454" s="36" t="n">
        <v>0.004164497657470179</v>
      </c>
      <c r="I454" s="36" t="n">
        <v>-0.3526845637583893</v>
      </c>
      <c r="J454" s="31" t="n">
        <v>40478</v>
      </c>
      <c r="K454" s="31" t="n">
        <v>41939.66666666666</v>
      </c>
      <c r="L454" s="31" t="n">
        <v>38529.5</v>
      </c>
      <c r="M454" s="36" t="n">
        <v>0.5898369086530489</v>
      </c>
      <c r="N454" s="36" t="n">
        <v>0.4987242774359241</v>
      </c>
      <c r="O454" s="36" t="n">
        <v>-0.06359223300970873</v>
      </c>
      <c r="P454" s="36" t="n">
        <v>0.006784968684759862</v>
      </c>
      <c r="Q454" s="36" t="n">
        <v>0.01526315789473687</v>
      </c>
      <c r="R454" s="36" t="n">
        <v>-0.04688966846188047</v>
      </c>
      <c r="S454" s="36" t="n">
        <v>-0.08010713803161684</v>
      </c>
      <c r="T454" s="36" t="n">
        <v>0.001310684021334385</v>
      </c>
      <c r="U454" s="31" t="n">
        <v>59600</v>
      </c>
      <c r="V454" s="31" t="n">
        <v>30040</v>
      </c>
      <c r="W454" s="36" t="n">
        <v>-0.3526845637583893</v>
      </c>
      <c r="X454" s="36" t="n">
        <v>0.2842876165113182</v>
      </c>
      <c r="Y454" s="31" t="n">
        <v>76211850</v>
      </c>
      <c r="Z454" s="31" t="n">
        <v>2940253173000</v>
      </c>
      <c r="AA454" s="31" t="n">
        <v>7297214100</v>
      </c>
      <c r="AB454" s="31" t="n">
        <v>16687342120</v>
      </c>
      <c r="AC454" s="36" t="n">
        <v>0.002481831893596599</v>
      </c>
      <c r="AD454" s="29" t="inlineStr">
        <is>
          <t>yfinance_download</t>
        </is>
      </c>
      <c r="AE454" s="29" t="inlineStr">
        <is>
          <t>058470.KQ</t>
        </is>
      </c>
    </row>
    <row r="455" ht="24" customHeight="1">
      <c r="A455" s="24" t="inlineStr">
        <is>
          <t>2025-04-03</t>
        </is>
      </c>
      <c r="B455" s="30" t="n">
        <v>37400</v>
      </c>
      <c r="C455" s="30" t="n">
        <v>38880</v>
      </c>
      <c r="D455" s="30" t="n">
        <v>37400</v>
      </c>
      <c r="E455" s="30" t="n">
        <v>38560</v>
      </c>
      <c r="F455" s="30" t="n">
        <v>36666.7109375</v>
      </c>
      <c r="G455" s="30" t="n">
        <v>257465</v>
      </c>
      <c r="H455" s="35" t="n">
        <v>-0.0005184033177811909</v>
      </c>
      <c r="I455" s="35" t="n">
        <v>-0.3530201342281879</v>
      </c>
      <c r="J455" s="30" t="n">
        <v>40505</v>
      </c>
      <c r="K455" s="30" t="n">
        <v>41922.33333333334</v>
      </c>
      <c r="L455" s="30" t="n">
        <v>38525.16666666666</v>
      </c>
      <c r="M455" s="35" t="n">
        <v>0.519955488919586</v>
      </c>
      <c r="N455" s="35" t="n">
        <v>0.4940150395366236</v>
      </c>
      <c r="O455" s="35" t="n">
        <v>0.01420305102577601</v>
      </c>
      <c r="P455" s="35" t="n">
        <v>-0.02626262626262621</v>
      </c>
      <c r="Q455" s="35" t="n">
        <v>-0.01330603889457527</v>
      </c>
      <c r="R455" s="35" t="n">
        <v>-0.04801876311566478</v>
      </c>
      <c r="S455" s="35" t="n">
        <v>-0.08020386905945132</v>
      </c>
      <c r="T455" s="35" t="n">
        <v>0.0009041708666630566</v>
      </c>
      <c r="U455" s="30" t="n">
        <v>59600</v>
      </c>
      <c r="V455" s="30" t="n">
        <v>30040</v>
      </c>
      <c r="W455" s="35" t="n">
        <v>-0.3530201342281879</v>
      </c>
      <c r="X455" s="35" t="n">
        <v>0.2836218375499335</v>
      </c>
      <c r="Y455" s="30" t="n">
        <v>76211850</v>
      </c>
      <c r="Z455" s="30" t="n">
        <v>2938728936000</v>
      </c>
      <c r="AA455" s="30" t="n">
        <v>9927850400</v>
      </c>
      <c r="AB455" s="30" t="n">
        <v>15343195945</v>
      </c>
      <c r="AC455" s="35" t="n">
        <v>0.003378280411773235</v>
      </c>
      <c r="AD455" s="24" t="inlineStr">
        <is>
          <t>yfinance_download</t>
        </is>
      </c>
      <c r="AE455" s="24" t="inlineStr">
        <is>
          <t>058470.KQ</t>
        </is>
      </c>
    </row>
    <row r="456" ht="24" customHeight="1">
      <c r="A456" s="29" t="inlineStr">
        <is>
          <t>2025-04-04</t>
        </is>
      </c>
      <c r="B456" s="31" t="n">
        <v>37520</v>
      </c>
      <c r="C456" s="31" t="n">
        <v>39060</v>
      </c>
      <c r="D456" s="31" t="n">
        <v>36720</v>
      </c>
      <c r="E456" s="31" t="n">
        <v>37380</v>
      </c>
      <c r="F456" s="31" t="n">
        <v>35544.6484375</v>
      </c>
      <c r="G456" s="31" t="n">
        <v>374995</v>
      </c>
      <c r="H456" s="36" t="n">
        <v>-0.03060165975103735</v>
      </c>
      <c r="I456" s="36" t="n">
        <v>-0.3728187919463087</v>
      </c>
      <c r="J456" s="31" t="n">
        <v>40389</v>
      </c>
      <c r="K456" s="31" t="n">
        <v>41848.66666666666</v>
      </c>
      <c r="L456" s="31" t="n">
        <v>38510.5</v>
      </c>
      <c r="M456" s="36" t="n">
        <v>0.5055188946093033</v>
      </c>
      <c r="N456" s="36" t="n">
        <v>0.484105979935802</v>
      </c>
      <c r="O456" s="36" t="n">
        <v>-0.0584382871536524</v>
      </c>
      <c r="P456" s="36" t="n">
        <v>-0.1057416267942584</v>
      </c>
      <c r="Q456" s="36" t="n">
        <v>-0.04496678589678083</v>
      </c>
      <c r="R456" s="36" t="n">
        <v>-0.0745004828047241</v>
      </c>
      <c r="S456" s="36" t="n">
        <v>-0.1067815780670033</v>
      </c>
      <c r="T456" s="36" t="n">
        <v>-0.0293556302826502</v>
      </c>
      <c r="U456" s="31" t="n">
        <v>59600</v>
      </c>
      <c r="V456" s="31" t="n">
        <v>30040</v>
      </c>
      <c r="W456" s="36" t="n">
        <v>-0.3728187919463087</v>
      </c>
      <c r="X456" s="36" t="n">
        <v>0.2443408788282291</v>
      </c>
      <c r="Y456" s="31" t="n">
        <v>76211850</v>
      </c>
      <c r="Z456" s="31" t="n">
        <v>2848798953000</v>
      </c>
      <c r="AA456" s="31" t="n">
        <v>14017313100</v>
      </c>
      <c r="AB456" s="31" t="n">
        <v>15071709350</v>
      </c>
      <c r="AC456" s="36" t="n">
        <v>0.004920429040890623</v>
      </c>
      <c r="AD456" s="29" t="inlineStr">
        <is>
          <t>yfinance_download</t>
        </is>
      </c>
      <c r="AE456" s="29" t="inlineStr">
        <is>
          <t>058470.KQ</t>
        </is>
      </c>
    </row>
    <row r="457" ht="24" customHeight="1">
      <c r="A457" s="24" t="inlineStr">
        <is>
          <t>2025-04-07</t>
        </is>
      </c>
      <c r="B457" s="30" t="n">
        <v>34760</v>
      </c>
      <c r="C457" s="30" t="n">
        <v>36480</v>
      </c>
      <c r="D457" s="30" t="n">
        <v>34280</v>
      </c>
      <c r="E457" s="30" t="n">
        <v>34700</v>
      </c>
      <c r="F457" s="30" t="n">
        <v>32996.234375</v>
      </c>
      <c r="G457" s="30" t="n">
        <v>488710</v>
      </c>
      <c r="H457" s="35" t="n">
        <v>-0.07169609416800427</v>
      </c>
      <c r="I457" s="35" t="n">
        <v>-0.4177852348993288</v>
      </c>
      <c r="J457" s="30" t="n">
        <v>40189</v>
      </c>
      <c r="K457" s="30" t="n">
        <v>41730.33333333334</v>
      </c>
      <c r="L457" s="30" t="n">
        <v>38477.66666666666</v>
      </c>
      <c r="M457" s="35" t="n">
        <v>0.5574443272325178</v>
      </c>
      <c r="N457" s="35" t="n">
        <v>0.5050587771329936</v>
      </c>
      <c r="O457" s="35" t="n">
        <v>-0.103359173126615</v>
      </c>
      <c r="P457" s="35" t="n">
        <v>-0.1698564593301436</v>
      </c>
      <c r="Q457" s="35" t="n">
        <v>-0.1019668737060041</v>
      </c>
      <c r="R457" s="35" t="n">
        <v>-0.1365796611012964</v>
      </c>
      <c r="S457" s="35" t="n">
        <v>-0.1684705769584076</v>
      </c>
      <c r="T457" s="35" t="n">
        <v>-0.09817816395658086</v>
      </c>
      <c r="U457" s="30" t="n">
        <v>59600</v>
      </c>
      <c r="V457" s="30" t="n">
        <v>30040</v>
      </c>
      <c r="W457" s="35" t="n">
        <v>-0.4177852348993288</v>
      </c>
      <c r="X457" s="35" t="n">
        <v>0.1551264980026632</v>
      </c>
      <c r="Y457" s="30" t="n">
        <v>76211850</v>
      </c>
      <c r="Z457" s="30" t="n">
        <v>2644551195000</v>
      </c>
      <c r="AA457" s="30" t="n">
        <v>16958237000</v>
      </c>
      <c r="AB457" s="30" t="n">
        <v>15443514450</v>
      </c>
      <c r="AC457" s="35" t="n">
        <v>0.006412519837794253</v>
      </c>
      <c r="AD457" s="24" t="inlineStr">
        <is>
          <t>yfinance_download</t>
        </is>
      </c>
      <c r="AE457" s="24" t="inlineStr">
        <is>
          <t>058470.KQ</t>
        </is>
      </c>
    </row>
    <row r="458" ht="24" customHeight="1">
      <c r="A458" s="29" t="inlineStr">
        <is>
          <t>2025-04-08</t>
        </is>
      </c>
      <c r="B458" s="31" t="n">
        <v>35880</v>
      </c>
      <c r="C458" s="31" t="n">
        <v>36340</v>
      </c>
      <c r="D458" s="31" t="n">
        <v>35000</v>
      </c>
      <c r="E458" s="31" t="n">
        <v>35180</v>
      </c>
      <c r="F458" s="31" t="n">
        <v>33452.66796875</v>
      </c>
      <c r="G458" s="31" t="n">
        <v>275620</v>
      </c>
      <c r="H458" s="36" t="n">
        <v>0.01383285302593662</v>
      </c>
      <c r="I458" s="36" t="n">
        <v>-0.4097315436241611</v>
      </c>
      <c r="J458" s="31" t="n">
        <v>40022</v>
      </c>
      <c r="K458" s="31" t="n">
        <v>41640</v>
      </c>
      <c r="L458" s="31" t="n">
        <v>38456.83333333334</v>
      </c>
      <c r="M458" s="36" t="n">
        <v>0.5613855547699901</v>
      </c>
      <c r="N458" s="36" t="n">
        <v>0.5031891920282542</v>
      </c>
      <c r="O458" s="36" t="n">
        <v>-0.08670820353063347</v>
      </c>
      <c r="P458" s="36" t="n">
        <v>-0.1334975369458128</v>
      </c>
      <c r="Q458" s="36" t="n">
        <v>-0.06634819532908709</v>
      </c>
      <c r="R458" s="36" t="n">
        <v>-0.1209834590974964</v>
      </c>
      <c r="S458" s="36" t="n">
        <v>-0.1551392891450528</v>
      </c>
      <c r="T458" s="36" t="n">
        <v>-0.08520809045639921</v>
      </c>
      <c r="U458" s="31" t="n">
        <v>59600</v>
      </c>
      <c r="V458" s="31" t="n">
        <v>30040</v>
      </c>
      <c r="W458" s="36" t="n">
        <v>-0.4097315436241611</v>
      </c>
      <c r="X458" s="36" t="n">
        <v>0.1711051930758989</v>
      </c>
      <c r="Y458" s="31" t="n">
        <v>76211850</v>
      </c>
      <c r="Z458" s="31" t="n">
        <v>2681132883000</v>
      </c>
      <c r="AA458" s="31" t="n">
        <v>9696311600</v>
      </c>
      <c r="AB458" s="31" t="n">
        <v>15004033000</v>
      </c>
      <c r="AC458" s="36" t="n">
        <v>0.003616497959306853</v>
      </c>
      <c r="AD458" s="29" t="inlineStr">
        <is>
          <t>yfinance_download</t>
        </is>
      </c>
      <c r="AE458" s="29" t="inlineStr">
        <is>
          <t>058470.KQ</t>
        </is>
      </c>
    </row>
    <row r="459" ht="24" customHeight="1">
      <c r="A459" s="24" t="inlineStr">
        <is>
          <t>2025-04-09</t>
        </is>
      </c>
      <c r="B459" s="30" t="n">
        <v>34840</v>
      </c>
      <c r="C459" s="30" t="n">
        <v>35460</v>
      </c>
      <c r="D459" s="30" t="n">
        <v>34440</v>
      </c>
      <c r="E459" s="30" t="n">
        <v>34460</v>
      </c>
      <c r="F459" s="30" t="n">
        <v>32768.01953125</v>
      </c>
      <c r="G459" s="30" t="n">
        <v>423455</v>
      </c>
      <c r="H459" s="35" t="n">
        <v>-0.02046617396247863</v>
      </c>
      <c r="I459" s="35" t="n">
        <v>-0.4218120805369128</v>
      </c>
      <c r="J459" s="30" t="n">
        <v>39630</v>
      </c>
      <c r="K459" s="30" t="n">
        <v>41532.66666666666</v>
      </c>
      <c r="L459" s="30" t="n">
        <v>38413.83333333334</v>
      </c>
      <c r="M459" s="35" t="n">
        <v>0.4138425523545337</v>
      </c>
      <c r="N459" s="35" t="n">
        <v>0.5042309124275423</v>
      </c>
      <c r="O459" s="35" t="n">
        <v>-0.1853427895981088</v>
      </c>
      <c r="P459" s="35" t="n">
        <v>-0.1574572127139364</v>
      </c>
      <c r="Q459" s="35" t="n">
        <v>-0.1302372539121656</v>
      </c>
      <c r="R459" s="35" t="n">
        <v>-0.1304567247035074</v>
      </c>
      <c r="S459" s="35" t="n">
        <v>-0.170291657972038</v>
      </c>
      <c r="T459" s="35" t="n">
        <v>-0.1029273308660509</v>
      </c>
      <c r="U459" s="30" t="n">
        <v>59600</v>
      </c>
      <c r="V459" s="30" t="n">
        <v>30040</v>
      </c>
      <c r="W459" s="35" t="n">
        <v>-0.4218120805369128</v>
      </c>
      <c r="X459" s="35" t="n">
        <v>0.1471371504660453</v>
      </c>
      <c r="Y459" s="30" t="n">
        <v>76211850</v>
      </c>
      <c r="Z459" s="30" t="n">
        <v>2626260351000</v>
      </c>
      <c r="AA459" s="30" t="n">
        <v>14592259300</v>
      </c>
      <c r="AB459" s="30" t="n">
        <v>13906539765</v>
      </c>
      <c r="AC459" s="35" t="n">
        <v>0.005556288162536403</v>
      </c>
      <c r="AD459" s="24" t="inlineStr">
        <is>
          <t>yfinance_download</t>
        </is>
      </c>
      <c r="AE459" s="24" t="inlineStr">
        <is>
          <t>058470.KQ</t>
        </is>
      </c>
    </row>
    <row r="460" ht="24" customHeight="1">
      <c r="A460" s="29" t="inlineStr">
        <is>
          <t>2025-04-25</t>
        </is>
      </c>
      <c r="B460" s="31" t="n">
        <v>39900</v>
      </c>
      <c r="C460" s="31" t="n">
        <v>40600</v>
      </c>
      <c r="D460" s="31" t="n">
        <v>36050</v>
      </c>
      <c r="E460" s="31" t="n">
        <v>38400</v>
      </c>
      <c r="F460" s="31" t="n">
        <v>36514.56640625</v>
      </c>
      <c r="G460" s="31" t="n">
        <v>2000130</v>
      </c>
      <c r="H460" s="36" t="n">
        <v>0.1143354614045269</v>
      </c>
      <c r="I460" s="36" t="n">
        <v>-0.3557046979865772</v>
      </c>
      <c r="J460" s="31" t="n">
        <v>39475</v>
      </c>
      <c r="K460" s="31" t="n">
        <v>41489.33333333334</v>
      </c>
      <c r="L460" s="31" t="n">
        <v>38399.66666666666</v>
      </c>
      <c r="M460" s="36" t="n">
        <v>0.6025101093565597</v>
      </c>
      <c r="N460" s="36" t="n">
        <v>0.5580533403529473</v>
      </c>
      <c r="O460" s="36" t="n">
        <v>-0.07469879518072287</v>
      </c>
      <c r="P460" s="36" t="n">
        <v>-0.06341463414634141</v>
      </c>
      <c r="Q460" s="36" t="n">
        <v>-0.04239401496259354</v>
      </c>
      <c r="R460" s="36" t="n">
        <v>-0.02723242558581385</v>
      </c>
      <c r="S460" s="36" t="n">
        <v>-0.07446090561429453</v>
      </c>
      <c r="T460" s="36" t="n">
        <v>8.680630908308729e-06</v>
      </c>
      <c r="U460" s="31" t="n">
        <v>59600</v>
      </c>
      <c r="V460" s="31" t="n">
        <v>30040</v>
      </c>
      <c r="W460" s="36" t="n">
        <v>-0.3557046979865772</v>
      </c>
      <c r="X460" s="36" t="n">
        <v>0.2782956058588548</v>
      </c>
      <c r="Y460" s="31" t="n">
        <v>76211850</v>
      </c>
      <c r="Z460" s="31" t="n">
        <v>2926535040000</v>
      </c>
      <c r="AA460" s="31" t="n">
        <v>76804992000</v>
      </c>
      <c r="AB460" s="31" t="n">
        <v>16650120740</v>
      </c>
      <c r="AC460" s="36" t="n">
        <v>0.02624434389140272</v>
      </c>
      <c r="AD460" s="29" t="inlineStr">
        <is>
          <t>yfinance_download</t>
        </is>
      </c>
      <c r="AE460" s="29" t="inlineStr">
        <is>
          <t>058470.KQ</t>
        </is>
      </c>
    </row>
    <row r="461" ht="24" customHeight="1">
      <c r="A461" s="24" t="inlineStr">
        <is>
          <t>2025-04-28</t>
        </is>
      </c>
      <c r="B461" s="30" t="n">
        <v>37900</v>
      </c>
      <c r="C461" s="30" t="n">
        <v>37900</v>
      </c>
      <c r="D461" s="30" t="n">
        <v>36050</v>
      </c>
      <c r="E461" s="30" t="n">
        <v>36050</v>
      </c>
      <c r="F461" s="30" t="n">
        <v>34279.94921875</v>
      </c>
      <c r="G461" s="30" t="n">
        <v>541408</v>
      </c>
      <c r="H461" s="35" t="n">
        <v>-0.06119791666666663</v>
      </c>
      <c r="I461" s="35" t="n">
        <v>-0.3951342281879194</v>
      </c>
      <c r="J461" s="30" t="n">
        <v>39107.5</v>
      </c>
      <c r="K461" s="30" t="n">
        <v>41427.16666666666</v>
      </c>
      <c r="L461" s="30" t="n">
        <v>38358.41666666666</v>
      </c>
      <c r="M461" s="35" t="n">
        <v>0.6067927342685751</v>
      </c>
      <c r="N461" s="35" t="n">
        <v>0.5687131601050293</v>
      </c>
      <c r="O461" s="35" t="n">
        <v>-0.1693548387096774</v>
      </c>
      <c r="P461" s="35" t="n">
        <v>-0.09376571141277024</v>
      </c>
      <c r="Q461" s="35" t="n">
        <v>-0.1207317073170732</v>
      </c>
      <c r="R461" s="35" t="n">
        <v>-0.07818193441155785</v>
      </c>
      <c r="S461" s="35" t="n">
        <v>-0.1297980793601622</v>
      </c>
      <c r="T461" s="35" t="n">
        <v>-0.06018018644321865</v>
      </c>
      <c r="U461" s="30" t="n">
        <v>59600</v>
      </c>
      <c r="V461" s="30" t="n">
        <v>30040</v>
      </c>
      <c r="W461" s="35" t="n">
        <v>-0.3951342281879194</v>
      </c>
      <c r="X461" s="35" t="n">
        <v>0.2000665778961386</v>
      </c>
      <c r="Y461" s="30" t="n">
        <v>76211850</v>
      </c>
      <c r="Z461" s="30" t="n">
        <v>2747437192500</v>
      </c>
      <c r="AA461" s="30" t="n">
        <v>19517758400</v>
      </c>
      <c r="AB461" s="30" t="n">
        <v>16516769760</v>
      </c>
      <c r="AC461" s="35" t="n">
        <v>0.007103987109616156</v>
      </c>
      <c r="AD461" s="24" t="inlineStr">
        <is>
          <t>yfinance_download</t>
        </is>
      </c>
      <c r="AE461" s="24" t="inlineStr">
        <is>
          <t>058470.KQ</t>
        </is>
      </c>
    </row>
    <row r="462" ht="24" customHeight="1">
      <c r="A462" s="29" t="inlineStr">
        <is>
          <t>2025-04-29</t>
        </is>
      </c>
      <c r="B462" s="31" t="n">
        <v>36450</v>
      </c>
      <c r="C462" s="31" t="n">
        <v>36650</v>
      </c>
      <c r="D462" s="31" t="n">
        <v>35750</v>
      </c>
      <c r="E462" s="31" t="n">
        <v>36000</v>
      </c>
      <c r="F462" s="31" t="n">
        <v>34232.40625</v>
      </c>
      <c r="G462" s="31" t="n">
        <v>338995</v>
      </c>
      <c r="H462" s="36" t="n">
        <v>-0.001386962552011095</v>
      </c>
      <c r="I462" s="36" t="n">
        <v>-0.3959731543624161</v>
      </c>
      <c r="J462" s="31" t="n">
        <v>38707.5</v>
      </c>
      <c r="K462" s="31" t="n">
        <v>41367.5</v>
      </c>
      <c r="L462" s="31" t="n">
        <v>38329.41666666666</v>
      </c>
      <c r="M462" s="36" t="n">
        <v>0.6017322383447107</v>
      </c>
      <c r="N462" s="36" t="n">
        <v>0.5686525058614504</v>
      </c>
      <c r="O462" s="36" t="n">
        <v>-0.1818181818181818</v>
      </c>
      <c r="P462" s="36" t="n">
        <v>-0.09044972208185953</v>
      </c>
      <c r="Q462" s="36" t="n">
        <v>-0.08814589665653494</v>
      </c>
      <c r="R462" s="36" t="n">
        <v>-0.06994768455725631</v>
      </c>
      <c r="S462" s="36" t="n">
        <v>-0.12975161660724</v>
      </c>
      <c r="T462" s="36" t="n">
        <v>-0.06077360078094929</v>
      </c>
      <c r="U462" s="31" t="n">
        <v>59600</v>
      </c>
      <c r="V462" s="31" t="n">
        <v>30040</v>
      </c>
      <c r="W462" s="36" t="n">
        <v>-0.3959731543624161</v>
      </c>
      <c r="X462" s="36" t="n">
        <v>0.1984021304926764</v>
      </c>
      <c r="Y462" s="31" t="n">
        <v>76211850</v>
      </c>
      <c r="Z462" s="31" t="n">
        <v>2743626600000</v>
      </c>
      <c r="AA462" s="31" t="n">
        <v>12203820000</v>
      </c>
      <c r="AB462" s="31" t="n">
        <v>16141712760</v>
      </c>
      <c r="AC462" s="36" t="n">
        <v>0.004448061554731974</v>
      </c>
      <c r="AD462" s="29" t="inlineStr">
        <is>
          <t>yfinance_download</t>
        </is>
      </c>
      <c r="AE462" s="29" t="inlineStr">
        <is>
          <t>058470.KQ</t>
        </is>
      </c>
    </row>
    <row r="463" ht="24" customHeight="1">
      <c r="A463" s="24" t="inlineStr">
        <is>
          <t>2025-04-30</t>
        </is>
      </c>
      <c r="B463" s="30" t="n">
        <v>36200</v>
      </c>
      <c r="C463" s="30" t="n">
        <v>36650</v>
      </c>
      <c r="D463" s="30" t="n">
        <v>35650</v>
      </c>
      <c r="E463" s="30" t="n">
        <v>36100</v>
      </c>
      <c r="F463" s="30" t="n">
        <v>34327.49609375</v>
      </c>
      <c r="G463" s="30" t="n">
        <v>359204</v>
      </c>
      <c r="H463" s="35" t="n">
        <v>0.002777777777777768</v>
      </c>
      <c r="I463" s="35" t="n">
        <v>-0.3942953020134228</v>
      </c>
      <c r="J463" s="30" t="n">
        <v>38387.5</v>
      </c>
      <c r="K463" s="30" t="n">
        <v>41329.5</v>
      </c>
      <c r="L463" s="30" t="n">
        <v>38299.75</v>
      </c>
      <c r="M463" s="35" t="n">
        <v>0.5958025908930114</v>
      </c>
      <c r="N463" s="35" t="n">
        <v>0.565389809578734</v>
      </c>
      <c r="O463" s="35" t="n">
        <v>-0.1505882352941177</v>
      </c>
      <c r="P463" s="35" t="n">
        <v>-0.05940594059405946</v>
      </c>
      <c r="Q463" s="35" t="n">
        <v>-0.08976298537569338</v>
      </c>
      <c r="R463" s="35" t="n">
        <v>-0.05958971019211978</v>
      </c>
      <c r="S463" s="35" t="n">
        <v>-0.1265318961032676</v>
      </c>
      <c r="T463" s="35" t="n">
        <v>-0.05743510075131042</v>
      </c>
      <c r="U463" s="30" t="n">
        <v>59600</v>
      </c>
      <c r="V463" s="30" t="n">
        <v>30040</v>
      </c>
      <c r="W463" s="35" t="n">
        <v>-0.3942953020134228</v>
      </c>
      <c r="X463" s="35" t="n">
        <v>0.2017310252996005</v>
      </c>
      <c r="Y463" s="30" t="n">
        <v>76211850</v>
      </c>
      <c r="Z463" s="30" t="n">
        <v>2751247785000</v>
      </c>
      <c r="AA463" s="30" t="n">
        <v>12967264400</v>
      </c>
      <c r="AB463" s="30" t="n">
        <v>15991915355</v>
      </c>
      <c r="AC463" s="35" t="n">
        <v>0.004713230291614755</v>
      </c>
      <c r="AD463" s="24" t="inlineStr">
        <is>
          <t>yfinance_download</t>
        </is>
      </c>
      <c r="AE463" s="24" t="inlineStr">
        <is>
          <t>058470.KQ</t>
        </is>
      </c>
    </row>
    <row r="464" ht="24" customHeight="1">
      <c r="A464" s="29" t="inlineStr">
        <is>
          <t>2025-05-02</t>
        </is>
      </c>
      <c r="B464" s="31" t="n">
        <v>36300</v>
      </c>
      <c r="C464" s="31" t="n">
        <v>37350</v>
      </c>
      <c r="D464" s="31" t="n">
        <v>35950</v>
      </c>
      <c r="E464" s="31" t="n">
        <v>36750</v>
      </c>
      <c r="F464" s="31" t="n">
        <v>34945.578125</v>
      </c>
      <c r="G464" s="31" t="n">
        <v>321657</v>
      </c>
      <c r="H464" s="36" t="n">
        <v>0.01800554016620493</v>
      </c>
      <c r="I464" s="36" t="n">
        <v>-0.3833892617449665</v>
      </c>
      <c r="J464" s="31" t="n">
        <v>38110</v>
      </c>
      <c r="K464" s="31" t="n">
        <v>41291</v>
      </c>
      <c r="L464" s="31" t="n">
        <v>38298.83333333334</v>
      </c>
      <c r="M464" s="36" t="n">
        <v>0.6026173084759742</v>
      </c>
      <c r="N464" s="36" t="n">
        <v>0.5654295467728113</v>
      </c>
      <c r="O464" s="36" t="n">
        <v>-0.1312056737588653</v>
      </c>
      <c r="P464" s="36" t="n">
        <v>-0.05913978494623651</v>
      </c>
      <c r="Q464" s="36" t="n">
        <v>-0.002984264785675483</v>
      </c>
      <c r="R464" s="36" t="n">
        <v>-0.03568617160850174</v>
      </c>
      <c r="S464" s="36" t="n">
        <v>-0.1099755394638057</v>
      </c>
      <c r="T464" s="36" t="n">
        <v>-0.04044074449613355</v>
      </c>
      <c r="U464" s="31" t="n">
        <v>59600</v>
      </c>
      <c r="V464" s="31" t="n">
        <v>30040</v>
      </c>
      <c r="W464" s="36" t="n">
        <v>-0.3833892617449665</v>
      </c>
      <c r="X464" s="36" t="n">
        <v>0.2233688415446071</v>
      </c>
      <c r="Y464" s="31" t="n">
        <v>76211850</v>
      </c>
      <c r="Z464" s="31" t="n">
        <v>2800785487500</v>
      </c>
      <c r="AA464" s="31" t="n">
        <v>11820894750</v>
      </c>
      <c r="AB464" s="31" t="n">
        <v>15843894492.5</v>
      </c>
      <c r="AC464" s="36" t="n">
        <v>0.004220564124870345</v>
      </c>
      <c r="AD464" s="29" t="inlineStr">
        <is>
          <t>yfinance_download</t>
        </is>
      </c>
      <c r="AE464" s="29" t="inlineStr">
        <is>
          <t>058470.KQ</t>
        </is>
      </c>
    </row>
    <row r="465" ht="24" customHeight="1">
      <c r="A465" s="24" t="inlineStr">
        <is>
          <t>2025-05-07</t>
        </is>
      </c>
      <c r="B465" s="30" t="n">
        <v>36900</v>
      </c>
      <c r="C465" s="30" t="n">
        <v>37050</v>
      </c>
      <c r="D465" s="30" t="n">
        <v>36300</v>
      </c>
      <c r="E465" s="30" t="n">
        <v>36850</v>
      </c>
      <c r="F465" s="30" t="n">
        <v>35040.671875</v>
      </c>
      <c r="G465" s="30" t="n">
        <v>227339</v>
      </c>
      <c r="H465" s="35" t="n">
        <v>0.002721088435374108</v>
      </c>
      <c r="I465" s="35" t="n">
        <v>-0.3817114093959731</v>
      </c>
      <c r="J465" s="30" t="n">
        <v>37882.5</v>
      </c>
      <c r="K465" s="30" t="n">
        <v>41248.16666666666</v>
      </c>
      <c r="L465" s="30" t="n">
        <v>38295.08333333334</v>
      </c>
      <c r="M465" s="35" t="n">
        <v>0.6007451052999928</v>
      </c>
      <c r="N465" s="35" t="n">
        <v>0.5651141914624013</v>
      </c>
      <c r="O465" s="35" t="n">
        <v>-0.1099033816425121</v>
      </c>
      <c r="P465" s="35" t="n">
        <v>-0.06519533231861996</v>
      </c>
      <c r="Q465" s="35" t="n">
        <v>-0.01206434316353888</v>
      </c>
      <c r="R465" s="35" t="n">
        <v>-0.02725532897776017</v>
      </c>
      <c r="S465" s="35" t="n">
        <v>-0.1066269611982754</v>
      </c>
      <c r="T465" s="35" t="n">
        <v>-0.03773547953283829</v>
      </c>
      <c r="U465" s="30" t="n">
        <v>59600</v>
      </c>
      <c r="V465" s="30" t="n">
        <v>30040</v>
      </c>
      <c r="W465" s="35" t="n">
        <v>-0.3817114093959731</v>
      </c>
      <c r="X465" s="35" t="n">
        <v>0.2266977363515312</v>
      </c>
      <c r="Y465" s="30" t="n">
        <v>76211850</v>
      </c>
      <c r="Z465" s="30" t="n">
        <v>2808406672500</v>
      </c>
      <c r="AA465" s="30" t="n">
        <v>8377442150</v>
      </c>
      <c r="AB465" s="30" t="n">
        <v>15325418850</v>
      </c>
      <c r="AC465" s="35" t="n">
        <v>0.002982987553772806</v>
      </c>
      <c r="AD465" s="24" t="inlineStr">
        <is>
          <t>yfinance_download</t>
        </is>
      </c>
      <c r="AE465" s="24" t="inlineStr">
        <is>
          <t>058470.KQ</t>
        </is>
      </c>
    </row>
    <row r="466" ht="24" customHeight="1">
      <c r="A466" s="29" t="inlineStr">
        <is>
          <t>2025-05-08</t>
        </is>
      </c>
      <c r="B466" s="31" t="n">
        <v>37250</v>
      </c>
      <c r="C466" s="31" t="n">
        <v>37500</v>
      </c>
      <c r="D466" s="31" t="n">
        <v>36750</v>
      </c>
      <c r="E466" s="31" t="n">
        <v>37250</v>
      </c>
      <c r="F466" s="31" t="n">
        <v>35421.03125</v>
      </c>
      <c r="G466" s="31" t="n">
        <v>280170</v>
      </c>
      <c r="H466" s="36" t="n">
        <v>0.01085481682496603</v>
      </c>
      <c r="I466" s="36" t="n">
        <v>-0.375</v>
      </c>
      <c r="J466" s="31" t="n">
        <v>37635</v>
      </c>
      <c r="K466" s="31" t="n">
        <v>41172.33333333334</v>
      </c>
      <c r="L466" s="31" t="n">
        <v>38305.5</v>
      </c>
      <c r="M466" s="36" t="n">
        <v>0.5969111975815982</v>
      </c>
      <c r="N466" s="36" t="n">
        <v>0.5512689241375989</v>
      </c>
      <c r="O466" s="36" t="n">
        <v>-0.1172985781990521</v>
      </c>
      <c r="P466" s="36" t="n">
        <v>-0.1088516746411483</v>
      </c>
      <c r="Q466" s="36" t="n">
        <v>0.03472222222222232</v>
      </c>
      <c r="R466" s="36" t="n">
        <v>-0.01022983924538323</v>
      </c>
      <c r="S466" s="36" t="n">
        <v>-0.09526623865540784</v>
      </c>
      <c r="T466" s="36" t="n">
        <v>-0.02755478978214621</v>
      </c>
      <c r="U466" s="31" t="n">
        <v>59600</v>
      </c>
      <c r="V466" s="31" t="n">
        <v>30040</v>
      </c>
      <c r="W466" s="36" t="n">
        <v>-0.375</v>
      </c>
      <c r="X466" s="36" t="n">
        <v>0.2400133155792277</v>
      </c>
      <c r="Y466" s="31" t="n">
        <v>76211850</v>
      </c>
      <c r="Z466" s="31" t="n">
        <v>2838891412500</v>
      </c>
      <c r="AA466" s="31" t="n">
        <v>10436332500</v>
      </c>
      <c r="AB466" s="31" t="n">
        <v>15049792625</v>
      </c>
      <c r="AC466" s="36" t="n">
        <v>0.003676199961029682</v>
      </c>
      <c r="AD466" s="29" t="inlineStr">
        <is>
          <t>yfinance_download</t>
        </is>
      </c>
      <c r="AE466" s="29" t="inlineStr">
        <is>
          <t>058470.KQ</t>
        </is>
      </c>
    </row>
    <row r="467" ht="24" customHeight="1">
      <c r="A467" s="24" t="inlineStr">
        <is>
          <t>2025-05-09</t>
        </is>
      </c>
      <c r="B467" s="30" t="n">
        <v>37500</v>
      </c>
      <c r="C467" s="30" t="n">
        <v>37500</v>
      </c>
      <c r="D467" s="30" t="n">
        <v>36200</v>
      </c>
      <c r="E467" s="30" t="n">
        <v>36450</v>
      </c>
      <c r="F467" s="30" t="n">
        <v>34660.30859375</v>
      </c>
      <c r="G467" s="30" t="n">
        <v>288693</v>
      </c>
      <c r="H467" s="35" t="n">
        <v>-0.02147651006711404</v>
      </c>
      <c r="I467" s="35" t="n">
        <v>-0.3884228187919463</v>
      </c>
      <c r="J467" s="30" t="n">
        <v>37397.5</v>
      </c>
      <c r="K467" s="30" t="n">
        <v>41099.83333333334</v>
      </c>
      <c r="L467" s="30" t="n">
        <v>38295.75</v>
      </c>
      <c r="M467" s="35" t="n">
        <v>0.596068019331996</v>
      </c>
      <c r="N467" s="35" t="n">
        <v>0.5508633557235574</v>
      </c>
      <c r="O467" s="35" t="n">
        <v>-0.1152912621359223</v>
      </c>
      <c r="P467" s="35" t="n">
        <v>-0.1066176470588235</v>
      </c>
      <c r="Q467" s="35" t="n">
        <v>-0.03110047846889952</v>
      </c>
      <c r="R467" s="35" t="n">
        <v>-0.02533591817634873</v>
      </c>
      <c r="S467" s="35" t="n">
        <v>-0.1131350897611102</v>
      </c>
      <c r="T467" s="35" t="n">
        <v>-0.04819725426450716</v>
      </c>
      <c r="U467" s="30" t="n">
        <v>59600</v>
      </c>
      <c r="V467" s="30" t="n">
        <v>30040</v>
      </c>
      <c r="W467" s="35" t="n">
        <v>-0.3884228187919463</v>
      </c>
      <c r="X467" s="35" t="n">
        <v>0.2133821571238348</v>
      </c>
      <c r="Y467" s="30" t="n">
        <v>76211850</v>
      </c>
      <c r="Z467" s="30" t="n">
        <v>2777921932500</v>
      </c>
      <c r="AA467" s="30" t="n">
        <v>10522859850</v>
      </c>
      <c r="AB467" s="30" t="n">
        <v>15222995817.5</v>
      </c>
      <c r="AC467" s="35" t="n">
        <v>0.003788032963377742</v>
      </c>
      <c r="AD467" s="24" t="inlineStr">
        <is>
          <t>yfinance_download</t>
        </is>
      </c>
      <c r="AE467" s="24" t="inlineStr">
        <is>
          <t>058470.KQ</t>
        </is>
      </c>
    </row>
    <row r="468" ht="24" customHeight="1">
      <c r="A468" s="29" t="inlineStr">
        <is>
          <t>2025-05-12</t>
        </is>
      </c>
      <c r="B468" s="31" t="n">
        <v>36950</v>
      </c>
      <c r="C468" s="31" t="n">
        <v>38450</v>
      </c>
      <c r="D468" s="31" t="n">
        <v>36450</v>
      </c>
      <c r="E468" s="31" t="n">
        <v>38100</v>
      </c>
      <c r="F468" s="31" t="n">
        <v>36229.296875</v>
      </c>
      <c r="G468" s="31" t="n">
        <v>317210</v>
      </c>
      <c r="H468" s="36" t="n">
        <v>0.04526748971193406</v>
      </c>
      <c r="I468" s="36" t="n">
        <v>-0.3607382550335571</v>
      </c>
      <c r="J468" s="31" t="n">
        <v>37292.5</v>
      </c>
      <c r="K468" s="31" t="n">
        <v>41006.5</v>
      </c>
      <c r="L468" s="31" t="n">
        <v>38311.75</v>
      </c>
      <c r="M468" s="36" t="n">
        <v>0.6176648819647395</v>
      </c>
      <c r="N468" s="36" t="n">
        <v>0.5387866696477627</v>
      </c>
      <c r="O468" s="36" t="n">
        <v>-0.05223880597014929</v>
      </c>
      <c r="P468" s="36" t="n">
        <v>-0.1281464530892449</v>
      </c>
      <c r="Q468" s="36" t="n">
        <v>0.05306799336650081</v>
      </c>
      <c r="R468" s="36" t="n">
        <v>0.02165314741570024</v>
      </c>
      <c r="S468" s="36" t="n">
        <v>-0.07087900698669725</v>
      </c>
      <c r="T468" s="36" t="n">
        <v>-0.005527024998858043</v>
      </c>
      <c r="U468" s="31" t="n">
        <v>59600</v>
      </c>
      <c r="V468" s="31" t="n">
        <v>30040</v>
      </c>
      <c r="W468" s="36" t="n">
        <v>-0.3607382550335571</v>
      </c>
      <c r="X468" s="36" t="n">
        <v>0.2683089214380825</v>
      </c>
      <c r="Y468" s="31" t="n">
        <v>76211850</v>
      </c>
      <c r="Z468" s="31" t="n">
        <v>2903671485000</v>
      </c>
      <c r="AA468" s="31" t="n">
        <v>12085701000</v>
      </c>
      <c r="AB468" s="31" t="n">
        <v>15308831517.5</v>
      </c>
      <c r="AC468" s="36" t="n">
        <v>0.004162213619010692</v>
      </c>
      <c r="AD468" s="29" t="inlineStr">
        <is>
          <t>yfinance_download</t>
        </is>
      </c>
      <c r="AE468" s="29" t="inlineStr">
        <is>
          <t>058470.KQ</t>
        </is>
      </c>
    </row>
    <row r="469" ht="24" customHeight="1">
      <c r="A469" s="24" t="inlineStr">
        <is>
          <t>2025-05-13</t>
        </is>
      </c>
      <c r="B469" s="30" t="n">
        <v>39150</v>
      </c>
      <c r="C469" s="30" t="n">
        <v>40850</v>
      </c>
      <c r="D469" s="30" t="n">
        <v>38300</v>
      </c>
      <c r="E469" s="30" t="n">
        <v>40400</v>
      </c>
      <c r="F469" s="30" t="n">
        <v>38416.3671875</v>
      </c>
      <c r="G469" s="30" t="n">
        <v>663918</v>
      </c>
      <c r="H469" s="35" t="n">
        <v>0.06036745406824151</v>
      </c>
      <c r="I469" s="35" t="n">
        <v>-0.3221476510067114</v>
      </c>
      <c r="J469" s="30" t="n">
        <v>37292.5</v>
      </c>
      <c r="K469" s="30" t="n">
        <v>40948.16666666666</v>
      </c>
      <c r="L469" s="30" t="n">
        <v>38347.41666666666</v>
      </c>
      <c r="M469" s="35" t="n">
        <v>0.6560346643841493</v>
      </c>
      <c r="N469" s="35" t="n">
        <v>0.553504751417602</v>
      </c>
      <c r="O469" s="35" t="n">
        <v>0</v>
      </c>
      <c r="P469" s="35" t="n">
        <v>-0.07972665148063784</v>
      </c>
      <c r="Q469" s="35" t="n">
        <v>0.1184939091915835</v>
      </c>
      <c r="R469" s="35" t="n">
        <v>0.08332774686599187</v>
      </c>
      <c r="S469" s="35" t="n">
        <v>-0.01338684271579105</v>
      </c>
      <c r="T469" s="35" t="n">
        <v>0.05352598719166224</v>
      </c>
      <c r="U469" s="30" t="n">
        <v>59600</v>
      </c>
      <c r="V469" s="30" t="n">
        <v>30040</v>
      </c>
      <c r="W469" s="35" t="n">
        <v>-0.3221476510067114</v>
      </c>
      <c r="X469" s="35" t="n">
        <v>0.3448735019973368</v>
      </c>
      <c r="Y469" s="30" t="n">
        <v>76211850</v>
      </c>
      <c r="Z469" s="30" t="n">
        <v>3078958740000</v>
      </c>
      <c r="AA469" s="30" t="n">
        <v>26822287200</v>
      </c>
      <c r="AB469" s="30" t="n">
        <v>16078053577.5</v>
      </c>
      <c r="AC469" s="35" t="n">
        <v>0.008711479907652156</v>
      </c>
      <c r="AD469" s="24" t="inlineStr">
        <is>
          <t>yfinance_download</t>
        </is>
      </c>
      <c r="AE469" s="24" t="inlineStr">
        <is>
          <t>058470.KQ</t>
        </is>
      </c>
    </row>
    <row r="470" ht="24" customHeight="1">
      <c r="A470" s="29" t="inlineStr">
        <is>
          <t>2025-05-14</t>
        </is>
      </c>
      <c r="B470" s="31" t="n">
        <v>41050</v>
      </c>
      <c r="C470" s="31" t="n">
        <v>41300</v>
      </c>
      <c r="D470" s="31" t="n">
        <v>39600</v>
      </c>
      <c r="E470" s="31" t="n">
        <v>39950</v>
      </c>
      <c r="F470" s="31" t="n">
        <v>37988.4609375</v>
      </c>
      <c r="G470" s="31" t="n">
        <v>508285</v>
      </c>
      <c r="H470" s="36" t="n">
        <v>-0.01113861386138615</v>
      </c>
      <c r="I470" s="36" t="n">
        <v>-0.3296979865771812</v>
      </c>
      <c r="J470" s="31" t="n">
        <v>37310</v>
      </c>
      <c r="K470" s="31" t="n">
        <v>40899</v>
      </c>
      <c r="L470" s="31" t="n">
        <v>38379.83333333334</v>
      </c>
      <c r="M470" s="36" t="n">
        <v>0.6531414136163273</v>
      </c>
      <c r="N470" s="36" t="n">
        <v>0.55204224114999</v>
      </c>
      <c r="O470" s="36" t="n">
        <v>0.008838383838383868</v>
      </c>
      <c r="P470" s="36" t="n">
        <v>-0.06876456876456871</v>
      </c>
      <c r="Q470" s="36" t="n">
        <v>0.107875762617859</v>
      </c>
      <c r="R470" s="36" t="n">
        <v>0.07075850978289999</v>
      </c>
      <c r="S470" s="36" t="n">
        <v>-0.02320350130810045</v>
      </c>
      <c r="T470" s="36" t="n">
        <v>0.04091124244937649</v>
      </c>
      <c r="U470" s="31" t="n">
        <v>59600</v>
      </c>
      <c r="V470" s="31" t="n">
        <v>30040</v>
      </c>
      <c r="W470" s="36" t="n">
        <v>-0.3296979865771812</v>
      </c>
      <c r="X470" s="36" t="n">
        <v>0.3298934753661784</v>
      </c>
      <c r="Y470" s="31" t="n">
        <v>76211850</v>
      </c>
      <c r="Z470" s="31" t="n">
        <v>3044663407500</v>
      </c>
      <c r="AA470" s="31" t="n">
        <v>20305985750</v>
      </c>
      <c r="AB470" s="31" t="n">
        <v>16471127965</v>
      </c>
      <c r="AC470" s="36" t="n">
        <v>0.006669369658393019</v>
      </c>
      <c r="AD470" s="29" t="inlineStr">
        <is>
          <t>yfinance_download</t>
        </is>
      </c>
      <c r="AE470" s="29" t="inlineStr">
        <is>
          <t>058470.KQ</t>
        </is>
      </c>
    </row>
    <row r="471" ht="24" customHeight="1">
      <c r="A471" s="24" t="inlineStr">
        <is>
          <t>2025-05-15</t>
        </is>
      </c>
      <c r="B471" s="30" t="n">
        <v>40000</v>
      </c>
      <c r="C471" s="30" t="n">
        <v>41450</v>
      </c>
      <c r="D471" s="30" t="n">
        <v>38900</v>
      </c>
      <c r="E471" s="30" t="n">
        <v>39000</v>
      </c>
      <c r="F471" s="30" t="n">
        <v>37085.10546875</v>
      </c>
      <c r="G471" s="30" t="n">
        <v>438941</v>
      </c>
      <c r="H471" s="35" t="n">
        <v>-0.02377972465581979</v>
      </c>
      <c r="I471" s="35" t="n">
        <v>-0.3456375838926175</v>
      </c>
      <c r="J471" s="30" t="n">
        <v>37310</v>
      </c>
      <c r="K471" s="30" t="n">
        <v>40830.66666666666</v>
      </c>
      <c r="L471" s="30" t="n">
        <v>38403.33333333334</v>
      </c>
      <c r="M471" s="35" t="n">
        <v>0.6567196805497253</v>
      </c>
      <c r="N471" s="35" t="n">
        <v>0.5539578723336911</v>
      </c>
      <c r="O471" s="35" t="n">
        <v>0</v>
      </c>
      <c r="P471" s="35" t="n">
        <v>-0.09512761020881666</v>
      </c>
      <c r="Q471" s="35" t="n">
        <v>0.07794361525704807</v>
      </c>
      <c r="R471" s="35" t="n">
        <v>0.04529616724738683</v>
      </c>
      <c r="S471" s="35" t="n">
        <v>-0.04483558109917374</v>
      </c>
      <c r="T471" s="35" t="n">
        <v>0.01553684575991654</v>
      </c>
      <c r="U471" s="30" t="n">
        <v>59600</v>
      </c>
      <c r="V471" s="30" t="n">
        <v>30040</v>
      </c>
      <c r="W471" s="35" t="n">
        <v>-0.3456375838926175</v>
      </c>
      <c r="X471" s="35" t="n">
        <v>0.2982689747003995</v>
      </c>
      <c r="Y471" s="30" t="n">
        <v>76211850</v>
      </c>
      <c r="Z471" s="30" t="n">
        <v>2972262150000</v>
      </c>
      <c r="AA471" s="30" t="n">
        <v>17118699000</v>
      </c>
      <c r="AB471" s="30" t="n">
        <v>16903142665</v>
      </c>
      <c r="AC471" s="35" t="n">
        <v>0.005759484909498982</v>
      </c>
      <c r="AD471" s="24" t="inlineStr">
        <is>
          <t>yfinance_download</t>
        </is>
      </c>
      <c r="AE471" s="24" t="inlineStr">
        <is>
          <t>058470.KQ</t>
        </is>
      </c>
    </row>
    <row r="472" ht="24" customHeight="1">
      <c r="A472" s="29" t="inlineStr">
        <is>
          <t>2025-05-16</t>
        </is>
      </c>
      <c r="B472" s="31" t="n">
        <v>39350</v>
      </c>
      <c r="C472" s="31" t="n">
        <v>40800</v>
      </c>
      <c r="D472" s="31" t="n">
        <v>39300</v>
      </c>
      <c r="E472" s="31" t="n">
        <v>40300</v>
      </c>
      <c r="F472" s="31" t="n">
        <v>38321.27734375</v>
      </c>
      <c r="G472" s="31" t="n">
        <v>380985</v>
      </c>
      <c r="H472" s="36" t="n">
        <v>0.03333333333333344</v>
      </c>
      <c r="I472" s="36" t="n">
        <v>-0.3238255033557047</v>
      </c>
      <c r="J472" s="31" t="n">
        <v>37444</v>
      </c>
      <c r="K472" s="31" t="n">
        <v>40787.33333333334</v>
      </c>
      <c r="L472" s="31" t="n">
        <v>38441.33333333334</v>
      </c>
      <c r="M472" s="36" t="n">
        <v>0.6517870219842733</v>
      </c>
      <c r="N472" s="36" t="n">
        <v>0.558363105756334</v>
      </c>
      <c r="O472" s="36" t="n">
        <v>0.07123870281765021</v>
      </c>
      <c r="P472" s="36" t="n">
        <v>-0.06060606060606055</v>
      </c>
      <c r="Q472" s="36" t="n">
        <v>0.12758813654169</v>
      </c>
      <c r="R472" s="36" t="n">
        <v>0.07627390236085896</v>
      </c>
      <c r="S472" s="36" t="n">
        <v>-0.01194815383861003</v>
      </c>
      <c r="T472" s="36" t="n">
        <v>0.04835073358537678</v>
      </c>
      <c r="U472" s="31" t="n">
        <v>59600</v>
      </c>
      <c r="V472" s="31" t="n">
        <v>30040</v>
      </c>
      <c r="W472" s="36" t="n">
        <v>-0.3238255033557047</v>
      </c>
      <c r="X472" s="36" t="n">
        <v>0.3415446071904127</v>
      </c>
      <c r="Y472" s="31" t="n">
        <v>76211850</v>
      </c>
      <c r="Z472" s="31" t="n">
        <v>3071337555000</v>
      </c>
      <c r="AA472" s="31" t="n">
        <v>15353695500</v>
      </c>
      <c r="AB472" s="31" t="n">
        <v>16870264435</v>
      </c>
      <c r="AC472" s="36" t="n">
        <v>0.004999025742059798</v>
      </c>
      <c r="AD472" s="29" t="inlineStr">
        <is>
          <t>yfinance_download</t>
        </is>
      </c>
      <c r="AE472" s="29" t="inlineStr">
        <is>
          <t>058470.KQ</t>
        </is>
      </c>
    </row>
    <row r="473" ht="24" customHeight="1">
      <c r="A473" s="24" t="inlineStr">
        <is>
          <t>2025-05-19</t>
        </is>
      </c>
      <c r="B473" s="30" t="n">
        <v>39500</v>
      </c>
      <c r="C473" s="30" t="n">
        <v>39600</v>
      </c>
      <c r="D473" s="30" t="n">
        <v>38350</v>
      </c>
      <c r="E473" s="30" t="n">
        <v>38850</v>
      </c>
      <c r="F473" s="30" t="n">
        <v>36942.46875</v>
      </c>
      <c r="G473" s="30" t="n">
        <v>285829</v>
      </c>
      <c r="H473" s="35" t="n">
        <v>-0.03598014888337464</v>
      </c>
      <c r="I473" s="35" t="n">
        <v>-0.3481543624161074</v>
      </c>
      <c r="J473" s="30" t="n">
        <v>37465.5</v>
      </c>
      <c r="K473" s="30" t="n">
        <v>40739.83333333334</v>
      </c>
      <c r="L473" s="30" t="n">
        <v>38460.75</v>
      </c>
      <c r="M473" s="35" t="n">
        <v>0.6635160799070295</v>
      </c>
      <c r="N473" s="35" t="n">
        <v>0.5602873752481703</v>
      </c>
      <c r="O473" s="35" t="n">
        <v>0.01119208745445088</v>
      </c>
      <c r="P473" s="35" t="n">
        <v>-0.06834532374100721</v>
      </c>
      <c r="Q473" s="35" t="n">
        <v>0.06380065717415118</v>
      </c>
      <c r="R473" s="35" t="n">
        <v>0.03695399767786367</v>
      </c>
      <c r="S473" s="35" t="n">
        <v>-0.0463878513657805</v>
      </c>
      <c r="T473" s="35" t="n">
        <v>0.01012070747450333</v>
      </c>
      <c r="U473" s="30" t="n">
        <v>59600</v>
      </c>
      <c r="V473" s="30" t="n">
        <v>30040</v>
      </c>
      <c r="W473" s="35" t="n">
        <v>-0.3481543624161074</v>
      </c>
      <c r="X473" s="35" t="n">
        <v>0.2932756324900132</v>
      </c>
      <c r="Y473" s="30" t="n">
        <v>76211850</v>
      </c>
      <c r="Z473" s="30" t="n">
        <v>2960830372500</v>
      </c>
      <c r="AA473" s="30" t="n">
        <v>11104456650</v>
      </c>
      <c r="AB473" s="30" t="n">
        <v>16896568732.5</v>
      </c>
      <c r="AC473" s="35" t="n">
        <v>0.00375045350559001</v>
      </c>
      <c r="AD473" s="24" t="inlineStr">
        <is>
          <t>yfinance_download</t>
        </is>
      </c>
      <c r="AE473" s="24" t="inlineStr">
        <is>
          <t>058470.KQ</t>
        </is>
      </c>
    </row>
    <row r="474" ht="24" customHeight="1">
      <c r="A474" s="29" t="inlineStr">
        <is>
          <t>2025-05-20</t>
        </is>
      </c>
      <c r="B474" s="31" t="n">
        <v>39500</v>
      </c>
      <c r="C474" s="31" t="n">
        <v>40500</v>
      </c>
      <c r="D474" s="31" t="n">
        <v>39050</v>
      </c>
      <c r="E474" s="31" t="n">
        <v>39400</v>
      </c>
      <c r="F474" s="31" t="n">
        <v>37465.46484375</v>
      </c>
      <c r="G474" s="31" t="n">
        <v>270615</v>
      </c>
      <c r="H474" s="36" t="n">
        <v>0.0141570141570142</v>
      </c>
      <c r="I474" s="36" t="n">
        <v>-0.3389261744966443</v>
      </c>
      <c r="J474" s="31" t="n">
        <v>37506.5</v>
      </c>
      <c r="K474" s="31" t="n">
        <v>40721.5</v>
      </c>
      <c r="L474" s="31" t="n">
        <v>38500.25</v>
      </c>
      <c r="M474" s="36" t="n">
        <v>0.6650204401022333</v>
      </c>
      <c r="N474" s="36" t="n">
        <v>0.5579614914777364</v>
      </c>
      <c r="O474" s="36" t="n">
        <v>0.0212545360290306</v>
      </c>
      <c r="P474" s="36" t="n">
        <v>-0.02716049382716046</v>
      </c>
      <c r="Q474" s="36" t="n">
        <v>0.1367570686670514</v>
      </c>
      <c r="R474" s="36" t="n">
        <v>0.0504845826723368</v>
      </c>
      <c r="S474" s="36" t="n">
        <v>-0.03245214444458089</v>
      </c>
      <c r="T474" s="36" t="n">
        <v>0.02336997811702513</v>
      </c>
      <c r="U474" s="31" t="n">
        <v>59600</v>
      </c>
      <c r="V474" s="31" t="n">
        <v>30040</v>
      </c>
      <c r="W474" s="36" t="n">
        <v>-0.3389261744966443</v>
      </c>
      <c r="X474" s="36" t="n">
        <v>0.3115845539280959</v>
      </c>
      <c r="Y474" s="31" t="n">
        <v>76211850</v>
      </c>
      <c r="Z474" s="31" t="n">
        <v>3002746890000</v>
      </c>
      <c r="AA474" s="31" t="n">
        <v>10662231000</v>
      </c>
      <c r="AB474" s="31" t="n">
        <v>17064819577.5</v>
      </c>
      <c r="AC474" s="36" t="n">
        <v>0.003550825757411741</v>
      </c>
      <c r="AD474" s="29" t="inlineStr">
        <is>
          <t>yfinance_download</t>
        </is>
      </c>
      <c r="AE474" s="29" t="inlineStr">
        <is>
          <t>058470.KQ</t>
        </is>
      </c>
    </row>
    <row r="475" ht="24" customHeight="1">
      <c r="A475" s="24" t="inlineStr">
        <is>
          <t>2025-05-21</t>
        </is>
      </c>
      <c r="B475" s="30" t="n">
        <v>39400</v>
      </c>
      <c r="C475" s="30" t="n">
        <v>40250</v>
      </c>
      <c r="D475" s="30" t="n">
        <v>38850</v>
      </c>
      <c r="E475" s="30" t="n">
        <v>39900</v>
      </c>
      <c r="F475" s="30" t="n">
        <v>37940.9140625</v>
      </c>
      <c r="G475" s="30" t="n">
        <v>216524</v>
      </c>
      <c r="H475" s="35" t="n">
        <v>0.01269035532994933</v>
      </c>
      <c r="I475" s="35" t="n">
        <v>-0.3305369127516778</v>
      </c>
      <c r="J475" s="30" t="n">
        <v>37573.5</v>
      </c>
      <c r="K475" s="30" t="n">
        <v>40709.83333333334</v>
      </c>
      <c r="L475" s="30" t="n">
        <v>38530.58333333334</v>
      </c>
      <c r="M475" s="35" t="n">
        <v>0.666043159323889</v>
      </c>
      <c r="N475" s="35" t="n">
        <v>0.5585366842782886</v>
      </c>
      <c r="O475" s="35" t="n">
        <v>0.03475103734439844</v>
      </c>
      <c r="P475" s="35" t="n">
        <v>-0.01724137931034486</v>
      </c>
      <c r="Q475" s="35" t="n">
        <v>0.1003861003861004</v>
      </c>
      <c r="R475" s="35" t="n">
        <v>0.06191863946664533</v>
      </c>
      <c r="S475" s="35" t="n">
        <v>-0.01989281868835957</v>
      </c>
      <c r="T475" s="35" t="n">
        <v>0.03554103125871855</v>
      </c>
      <c r="U475" s="30" t="n">
        <v>59600</v>
      </c>
      <c r="V475" s="30" t="n">
        <v>30040</v>
      </c>
      <c r="W475" s="35" t="n">
        <v>-0.3305369127516778</v>
      </c>
      <c r="X475" s="35" t="n">
        <v>0.3282290279627165</v>
      </c>
      <c r="Y475" s="30" t="n">
        <v>76211850</v>
      </c>
      <c r="Z475" s="30" t="n">
        <v>3040852815000</v>
      </c>
      <c r="AA475" s="30" t="n">
        <v>8639307600</v>
      </c>
      <c r="AB475" s="30" t="n">
        <v>17000392437.5</v>
      </c>
      <c r="AC475" s="35" t="n">
        <v>0.002841080488139312</v>
      </c>
      <c r="AD475" s="24" t="inlineStr">
        <is>
          <t>yfinance_download</t>
        </is>
      </c>
      <c r="AE475" s="24" t="inlineStr">
        <is>
          <t>058470.KQ</t>
        </is>
      </c>
    </row>
    <row r="476" ht="24" customHeight="1">
      <c r="A476" s="29" t="inlineStr">
        <is>
          <t>2025-05-22</t>
        </is>
      </c>
      <c r="B476" s="31" t="n">
        <v>40250</v>
      </c>
      <c r="C476" s="31" t="n">
        <v>40300</v>
      </c>
      <c r="D476" s="31" t="n">
        <v>39400</v>
      </c>
      <c r="E476" s="31" t="n">
        <v>39950</v>
      </c>
      <c r="F476" s="31" t="n">
        <v>37988.4609375</v>
      </c>
      <c r="G476" s="31" t="n">
        <v>204597</v>
      </c>
      <c r="H476" s="36" t="n">
        <v>0.001253132832080173</v>
      </c>
      <c r="I476" s="36" t="n">
        <v>-0.3296979865771812</v>
      </c>
      <c r="J476" s="31" t="n">
        <v>37702</v>
      </c>
      <c r="K476" s="31" t="n">
        <v>40655.66666666666</v>
      </c>
      <c r="L476" s="31" t="n">
        <v>38561</v>
      </c>
      <c r="M476" s="36" t="n">
        <v>0.654524492296325</v>
      </c>
      <c r="N476" s="36" t="n">
        <v>0.5425303074728329</v>
      </c>
      <c r="O476" s="36" t="n">
        <v>0.06875334403424294</v>
      </c>
      <c r="P476" s="36" t="n">
        <v>-0.07523148148148151</v>
      </c>
      <c r="Q476" s="36" t="n">
        <v>0.1005509641873279</v>
      </c>
      <c r="R476" s="36" t="n">
        <v>0.05962548405920121</v>
      </c>
      <c r="S476" s="36" t="n">
        <v>-0.0173571539842744</v>
      </c>
      <c r="T476" s="36" t="n">
        <v>0.03602085008168876</v>
      </c>
      <c r="U476" s="31" t="n">
        <v>59600</v>
      </c>
      <c r="V476" s="31" t="n">
        <v>30040</v>
      </c>
      <c r="W476" s="36" t="n">
        <v>-0.3296979865771812</v>
      </c>
      <c r="X476" s="36" t="n">
        <v>0.3298934753661784</v>
      </c>
      <c r="Y476" s="31" t="n">
        <v>76211850</v>
      </c>
      <c r="Z476" s="31" t="n">
        <v>3044663407500</v>
      </c>
      <c r="AA476" s="31" t="n">
        <v>8173650150</v>
      </c>
      <c r="AB476" s="31" t="n">
        <v>16708209290</v>
      </c>
      <c r="AC476" s="36" t="n">
        <v>0.00268458251571114</v>
      </c>
      <c r="AD476" s="29" t="inlineStr">
        <is>
          <t>yfinance_download</t>
        </is>
      </c>
      <c r="AE476" s="29" t="inlineStr">
        <is>
          <t>058470.KQ</t>
        </is>
      </c>
    </row>
    <row r="477" ht="24" customHeight="1">
      <c r="A477" s="24" t="inlineStr">
        <is>
          <t>2025-05-23</t>
        </is>
      </c>
      <c r="B477" s="30" t="n">
        <v>39950</v>
      </c>
      <c r="C477" s="30" t="n">
        <v>40150</v>
      </c>
      <c r="D477" s="30" t="n">
        <v>39200</v>
      </c>
      <c r="E477" s="30" t="n">
        <v>39450</v>
      </c>
      <c r="F477" s="30" t="n">
        <v>37513.01171875</v>
      </c>
      <c r="G477" s="30" t="n">
        <v>151983</v>
      </c>
      <c r="H477" s="35" t="n">
        <v>-0.01251564455569465</v>
      </c>
      <c r="I477" s="35" t="n">
        <v>-0.3380872483221476</v>
      </c>
      <c r="J477" s="30" t="n">
        <v>37939.5</v>
      </c>
      <c r="K477" s="30" t="n">
        <v>40594.83333333334</v>
      </c>
      <c r="L477" s="30" t="n">
        <v>38596.91666666666</v>
      </c>
      <c r="M477" s="35" t="n">
        <v>0.5945643010128415</v>
      </c>
      <c r="N477" s="35" t="n">
        <v>0.5430595679782519</v>
      </c>
      <c r="O477" s="35" t="n">
        <v>0.1368876080691643</v>
      </c>
      <c r="P477" s="35" t="n">
        <v>-0.08468677494199539</v>
      </c>
      <c r="Q477" s="35" t="n">
        <v>0.1226522481502561</v>
      </c>
      <c r="R477" s="35" t="n">
        <v>0.03981338710315097</v>
      </c>
      <c r="S477" s="35" t="n">
        <v>-0.02820145420804787</v>
      </c>
      <c r="T477" s="35" t="n">
        <v>0.022102370007967</v>
      </c>
      <c r="U477" s="30" t="n">
        <v>59600</v>
      </c>
      <c r="V477" s="30" t="n">
        <v>30040</v>
      </c>
      <c r="W477" s="35" t="n">
        <v>-0.3380872483221476</v>
      </c>
      <c r="X477" s="35" t="n">
        <v>0.3132490013315579</v>
      </c>
      <c r="Y477" s="30" t="n">
        <v>76211850</v>
      </c>
      <c r="Z477" s="30" t="n">
        <v>3006557482500</v>
      </c>
      <c r="AA477" s="30" t="n">
        <v>5995729350</v>
      </c>
      <c r="AB477" s="30" t="n">
        <v>16160083907.5</v>
      </c>
      <c r="AC477" s="35" t="n">
        <v>0.001994217434690275</v>
      </c>
      <c r="AD477" s="24" t="inlineStr">
        <is>
          <t>yfinance_download</t>
        </is>
      </c>
      <c r="AE477" s="24" t="inlineStr">
        <is>
          <t>058470.KQ</t>
        </is>
      </c>
    </row>
    <row r="478" ht="24" customHeight="1">
      <c r="A478" s="29" t="inlineStr">
        <is>
          <t>2025-05-26</t>
        </is>
      </c>
      <c r="B478" s="31" t="n">
        <v>39950</v>
      </c>
      <c r="C478" s="31" t="n">
        <v>41200</v>
      </c>
      <c r="D478" s="31" t="n">
        <v>39500</v>
      </c>
      <c r="E478" s="31" t="n">
        <v>40800</v>
      </c>
      <c r="F478" s="31" t="n">
        <v>38796.7265625</v>
      </c>
      <c r="G478" s="31" t="n">
        <v>326215</v>
      </c>
      <c r="H478" s="36" t="n">
        <v>0.03422053231939159</v>
      </c>
      <c r="I478" s="36" t="n">
        <v>-0.3154362416107382</v>
      </c>
      <c r="J478" s="31" t="n">
        <v>38220.5</v>
      </c>
      <c r="K478" s="31" t="n">
        <v>40519.83333333334</v>
      </c>
      <c r="L478" s="31" t="n">
        <v>38640.25</v>
      </c>
      <c r="M478" s="36" t="n">
        <v>0.6019921309240718</v>
      </c>
      <c r="N478" s="36" t="n">
        <v>0.5372489450803113</v>
      </c>
      <c r="O478" s="36" t="n">
        <v>0.1597498578737919</v>
      </c>
      <c r="P478" s="36" t="n">
        <v>-0.09933774834437081</v>
      </c>
      <c r="Q478" s="36" t="n">
        <v>0.146067415730337</v>
      </c>
      <c r="R478" s="36" t="n">
        <v>0.06748995957666692</v>
      </c>
      <c r="S478" s="36" t="n">
        <v>0.006914309453395218</v>
      </c>
      <c r="T478" s="36" t="n">
        <v>0.05589378950705548</v>
      </c>
      <c r="U478" s="31" t="n">
        <v>59600</v>
      </c>
      <c r="V478" s="31" t="n">
        <v>30040</v>
      </c>
      <c r="W478" s="36" t="n">
        <v>-0.3154362416107382</v>
      </c>
      <c r="X478" s="36" t="n">
        <v>0.3581890812250332</v>
      </c>
      <c r="Y478" s="31" t="n">
        <v>76211850</v>
      </c>
      <c r="Z478" s="31" t="n">
        <v>3109443480000</v>
      </c>
      <c r="AA478" s="31" t="n">
        <v>13309572000</v>
      </c>
      <c r="AB478" s="31" t="n">
        <v>16340746927.5</v>
      </c>
      <c r="AC478" s="36" t="n">
        <v>0.004280371097145654</v>
      </c>
      <c r="AD478" s="29" t="inlineStr">
        <is>
          <t>yfinance_download</t>
        </is>
      </c>
      <c r="AE478" s="29" t="inlineStr">
        <is>
          <t>058470.KQ</t>
        </is>
      </c>
    </row>
    <row r="479" ht="24" customHeight="1">
      <c r="A479" s="24" t="inlineStr">
        <is>
          <t>2025-05-27</t>
        </is>
      </c>
      <c r="B479" s="30" t="n">
        <v>40850</v>
      </c>
      <c r="C479" s="30" t="n">
        <v>40900</v>
      </c>
      <c r="D479" s="30" t="n">
        <v>39500</v>
      </c>
      <c r="E479" s="30" t="n">
        <v>40100</v>
      </c>
      <c r="F479" s="30" t="n">
        <v>38131.09375</v>
      </c>
      <c r="G479" s="30" t="n">
        <v>197504</v>
      </c>
      <c r="H479" s="35" t="n">
        <v>-0.01715686274509809</v>
      </c>
      <c r="I479" s="35" t="n">
        <v>-0.3271812080536913</v>
      </c>
      <c r="J479" s="30" t="n">
        <v>38502.5</v>
      </c>
      <c r="K479" s="30" t="n">
        <v>40429.83333333334</v>
      </c>
      <c r="L479" s="30" t="n">
        <v>38679.25</v>
      </c>
      <c r="M479" s="35" t="n">
        <v>0.6000205672769547</v>
      </c>
      <c r="N479" s="35" t="n">
        <v>0.5381064591923348</v>
      </c>
      <c r="O479" s="35" t="n">
        <v>0.16366802089379</v>
      </c>
      <c r="P479" s="35" t="n">
        <v>-0.1186813186813187</v>
      </c>
      <c r="Q479" s="35" t="n">
        <v>0.132128740824393</v>
      </c>
      <c r="R479" s="35" t="n">
        <v>0.04149081228491647</v>
      </c>
      <c r="S479" s="35" t="n">
        <v>-0.008158167030122176</v>
      </c>
      <c r="T479" s="35" t="n">
        <v>0.03673158088639261</v>
      </c>
      <c r="U479" s="30" t="n">
        <v>59600</v>
      </c>
      <c r="V479" s="30" t="n">
        <v>30040</v>
      </c>
      <c r="W479" s="35" t="n">
        <v>-0.3271812080536913</v>
      </c>
      <c r="X479" s="35" t="n">
        <v>0.3348868175765647</v>
      </c>
      <c r="Y479" s="30" t="n">
        <v>76211850</v>
      </c>
      <c r="Z479" s="30" t="n">
        <v>3056095185000</v>
      </c>
      <c r="AA479" s="30" t="n">
        <v>7919910400</v>
      </c>
      <c r="AB479" s="30" t="n">
        <v>16007129482.5</v>
      </c>
      <c r="AC479" s="35" t="n">
        <v>0.002591512999618826</v>
      </c>
      <c r="AD479" s="24" t="inlineStr">
        <is>
          <t>yfinance_download</t>
        </is>
      </c>
      <c r="AE479" s="24" t="inlineStr">
        <is>
          <t>058470.KQ</t>
        </is>
      </c>
    </row>
    <row r="480" ht="24" customHeight="1">
      <c r="A480" s="29" t="inlineStr">
        <is>
          <t>2025-05-28</t>
        </is>
      </c>
      <c r="B480" s="31" t="n">
        <v>40700</v>
      </c>
      <c r="C480" s="31" t="n">
        <v>41350</v>
      </c>
      <c r="D480" s="31" t="n">
        <v>40150</v>
      </c>
      <c r="E480" s="31" t="n">
        <v>40300</v>
      </c>
      <c r="F480" s="31" t="n">
        <v>38321.27734375</v>
      </c>
      <c r="G480" s="31" t="n">
        <v>305305</v>
      </c>
      <c r="H480" s="36" t="n">
        <v>0.004987531172069737</v>
      </c>
      <c r="I480" s="36" t="n">
        <v>-0.3238255033557047</v>
      </c>
      <c r="J480" s="31" t="n">
        <v>38597.5</v>
      </c>
      <c r="K480" s="31" t="n">
        <v>40334.83333333334</v>
      </c>
      <c r="L480" s="31" t="n">
        <v>38734.75</v>
      </c>
      <c r="M480" s="36" t="n">
        <v>0.4505799009792877</v>
      </c>
      <c r="N480" s="36" t="n">
        <v>0.5376496771636826</v>
      </c>
      <c r="O480" s="36" t="n">
        <v>0.04947916666666674</v>
      </c>
      <c r="P480" s="36" t="n">
        <v>-0.1239130434782608</v>
      </c>
      <c r="Q480" s="36" t="n">
        <v>0.1979785969084424</v>
      </c>
      <c r="R480" s="36" t="n">
        <v>0.04410907442191858</v>
      </c>
      <c r="S480" s="36" t="n">
        <v>-0.0008636042461230842</v>
      </c>
      <c r="T480" s="36" t="n">
        <v>0.04040945146154296</v>
      </c>
      <c r="U480" s="31" t="n">
        <v>59600</v>
      </c>
      <c r="V480" s="31" t="n">
        <v>30040</v>
      </c>
      <c r="W480" s="36" t="n">
        <v>-0.3238255033557047</v>
      </c>
      <c r="X480" s="36" t="n">
        <v>0.3415446071904127</v>
      </c>
      <c r="Y480" s="31" t="n">
        <v>76211850</v>
      </c>
      <c r="Z480" s="31" t="n">
        <v>3071337555000</v>
      </c>
      <c r="AA480" s="31" t="n">
        <v>12303791500</v>
      </c>
      <c r="AB480" s="31" t="n">
        <v>12782069457.5</v>
      </c>
      <c r="AC480" s="36" t="n">
        <v>0.004006004315601839</v>
      </c>
      <c r="AD480" s="29" t="inlineStr">
        <is>
          <t>yfinance_download</t>
        </is>
      </c>
      <c r="AE480" s="29" t="inlineStr">
        <is>
          <t>058470.KQ</t>
        </is>
      </c>
    </row>
    <row r="481" ht="24" customHeight="1">
      <c r="A481" s="24" t="inlineStr">
        <is>
          <t>2025-05-29</t>
        </is>
      </c>
      <c r="B481" s="30" t="n">
        <v>41050</v>
      </c>
      <c r="C481" s="30" t="n">
        <v>41300</v>
      </c>
      <c r="D481" s="30" t="n">
        <v>40250</v>
      </c>
      <c r="E481" s="30" t="n">
        <v>41000</v>
      </c>
      <c r="F481" s="30" t="n">
        <v>38986.90625</v>
      </c>
      <c r="G481" s="30" t="n">
        <v>203366</v>
      </c>
      <c r="H481" s="35" t="n">
        <v>0.01736972704714645</v>
      </c>
      <c r="I481" s="35" t="n">
        <v>-0.3120805369127517</v>
      </c>
      <c r="J481" s="30" t="n">
        <v>38845</v>
      </c>
      <c r="K481" s="30" t="n">
        <v>40249.83333333334</v>
      </c>
      <c r="L481" s="30" t="n">
        <v>38803.41666666666</v>
      </c>
      <c r="M481" s="35" t="n">
        <v>0.383954916129686</v>
      </c>
      <c r="N481" s="35" t="n">
        <v>0.5390110796757772</v>
      </c>
      <c r="O481" s="35" t="n">
        <v>0.1373092926490984</v>
      </c>
      <c r="P481" s="35" t="n">
        <v>-0.1106290672451193</v>
      </c>
      <c r="Q481" s="35" t="n">
        <v>0.2515262515262515</v>
      </c>
      <c r="R481" s="35" t="n">
        <v>0.05547689535332734</v>
      </c>
      <c r="S481" s="35" t="n">
        <v>0.01863775833440307</v>
      </c>
      <c r="T481" s="35" t="n">
        <v>0.05660798769867781</v>
      </c>
      <c r="U481" s="30" t="n">
        <v>59600</v>
      </c>
      <c r="V481" s="30" t="n">
        <v>30040</v>
      </c>
      <c r="W481" s="35" t="n">
        <v>-0.3120805369127517</v>
      </c>
      <c r="X481" s="35" t="n">
        <v>0.3648468708388815</v>
      </c>
      <c r="Y481" s="30" t="n">
        <v>76211850</v>
      </c>
      <c r="Z481" s="30" t="n">
        <v>3124685850000</v>
      </c>
      <c r="AA481" s="30" t="n">
        <v>8338006000</v>
      </c>
      <c r="AB481" s="30" t="n">
        <v>12223081837.5</v>
      </c>
      <c r="AC481" s="35" t="n">
        <v>0.002668430171948326</v>
      </c>
      <c r="AD481" s="24" t="inlineStr">
        <is>
          <t>yfinance_download</t>
        </is>
      </c>
      <c r="AE481" s="24" t="inlineStr">
        <is>
          <t>058470.KQ</t>
        </is>
      </c>
    </row>
    <row r="482" ht="24" customHeight="1">
      <c r="A482" s="29" t="inlineStr">
        <is>
          <t>2025-05-30</t>
        </is>
      </c>
      <c r="B482" s="31" t="n">
        <v>40400</v>
      </c>
      <c r="C482" s="31" t="n">
        <v>40600</v>
      </c>
      <c r="D482" s="31" t="n">
        <v>39600</v>
      </c>
      <c r="E482" s="31" t="n">
        <v>39600</v>
      </c>
      <c r="F482" s="31" t="n">
        <v>37655.64453125</v>
      </c>
      <c r="G482" s="31" t="n">
        <v>312289</v>
      </c>
      <c r="H482" s="36" t="n">
        <v>-0.03414634146341466</v>
      </c>
      <c r="I482" s="36" t="n">
        <v>-0.3355704697986577</v>
      </c>
      <c r="J482" s="31" t="n">
        <v>39025</v>
      </c>
      <c r="K482" s="31" t="n">
        <v>40159.83333333334</v>
      </c>
      <c r="L482" s="31" t="n">
        <v>38874.25</v>
      </c>
      <c r="M482" s="36" t="n">
        <v>0.4098727663441479</v>
      </c>
      <c r="N482" s="36" t="n">
        <v>0.5412497186262952</v>
      </c>
      <c r="O482" s="36" t="n">
        <v>0.1000000000000001</v>
      </c>
      <c r="P482" s="36" t="n">
        <v>-0.12</v>
      </c>
      <c r="Q482" s="36" t="n">
        <v>0.2733118971061093</v>
      </c>
      <c r="R482" s="36" t="n">
        <v>0.01473414477898793</v>
      </c>
      <c r="S482" s="36" t="n">
        <v>-0.01394013089363755</v>
      </c>
      <c r="T482" s="36" t="n">
        <v>0.01866917046631134</v>
      </c>
      <c r="U482" s="31" t="n">
        <v>59600</v>
      </c>
      <c r="V482" s="31" t="n">
        <v>30040</v>
      </c>
      <c r="W482" s="36" t="n">
        <v>-0.3355704697986577</v>
      </c>
      <c r="X482" s="36" t="n">
        <v>0.3182423435419441</v>
      </c>
      <c r="Y482" s="31" t="n">
        <v>76211850</v>
      </c>
      <c r="Z482" s="31" t="n">
        <v>3017989260000</v>
      </c>
      <c r="AA482" s="31" t="n">
        <v>12366644400</v>
      </c>
      <c r="AB482" s="31" t="n">
        <v>12231223057.5</v>
      </c>
      <c r="AC482" s="36" t="n">
        <v>0.004097643607916617</v>
      </c>
      <c r="AD482" s="29" t="inlineStr">
        <is>
          <t>yfinance_download</t>
        </is>
      </c>
      <c r="AE482" s="29" t="inlineStr">
        <is>
          <t>058470.KQ</t>
        </is>
      </c>
    </row>
    <row r="483" ht="24" customHeight="1">
      <c r="A483" s="24" t="inlineStr">
        <is>
          <t>2025-06-02</t>
        </is>
      </c>
      <c r="B483" s="30" t="n">
        <v>39100</v>
      </c>
      <c r="C483" s="30" t="n">
        <v>41300</v>
      </c>
      <c r="D483" s="30" t="n">
        <v>39050</v>
      </c>
      <c r="E483" s="30" t="n">
        <v>40600</v>
      </c>
      <c r="F483" s="30" t="n">
        <v>38606.546875</v>
      </c>
      <c r="G483" s="30" t="n">
        <v>354996</v>
      </c>
      <c r="H483" s="35" t="n">
        <v>0.0252525252525253</v>
      </c>
      <c r="I483" s="35" t="n">
        <v>-0.3187919463087249</v>
      </c>
      <c r="J483" s="30" t="n">
        <v>39250</v>
      </c>
      <c r="K483" s="30" t="n">
        <v>40079.83333333334</v>
      </c>
      <c r="L483" s="30" t="n">
        <v>38962.25</v>
      </c>
      <c r="M483" s="35" t="n">
        <v>0.4159101893437011</v>
      </c>
      <c r="N483" s="35" t="n">
        <v>0.5436332789968896</v>
      </c>
      <c r="O483" s="35" t="n">
        <v>0.1246537396121883</v>
      </c>
      <c r="P483" s="35" t="n">
        <v>-0.1057268722466961</v>
      </c>
      <c r="Q483" s="35" t="n">
        <v>0.351531291611185</v>
      </c>
      <c r="R483" s="35" t="n">
        <v>0.03439490445859872</v>
      </c>
      <c r="S483" s="35" t="n">
        <v>0.01297826421433879</v>
      </c>
      <c r="T483" s="35" t="n">
        <v>0.04203427676789717</v>
      </c>
      <c r="U483" s="30" t="n">
        <v>59600</v>
      </c>
      <c r="V483" s="30" t="n">
        <v>30040</v>
      </c>
      <c r="W483" s="35" t="n">
        <v>-0.3187919463087249</v>
      </c>
      <c r="X483" s="35" t="n">
        <v>0.351531291611185</v>
      </c>
      <c r="Y483" s="30" t="n">
        <v>76211850</v>
      </c>
      <c r="Z483" s="30" t="n">
        <v>3094201110000</v>
      </c>
      <c r="AA483" s="30" t="n">
        <v>14412837600</v>
      </c>
      <c r="AB483" s="30" t="n">
        <v>12303501717.5</v>
      </c>
      <c r="AC483" s="35" t="n">
        <v>0.004658015781010433</v>
      </c>
      <c r="AD483" s="24" t="inlineStr">
        <is>
          <t>yfinance_download</t>
        </is>
      </c>
      <c r="AE483" s="24" t="inlineStr">
        <is>
          <t>058470.KQ</t>
        </is>
      </c>
    </row>
    <row r="484" ht="24" customHeight="1">
      <c r="A484" s="29" t="inlineStr">
        <is>
          <t>2025-06-04</t>
        </is>
      </c>
      <c r="B484" s="31" t="n">
        <v>42100</v>
      </c>
      <c r="C484" s="31" t="n">
        <v>44250</v>
      </c>
      <c r="D484" s="31" t="n">
        <v>42100</v>
      </c>
      <c r="E484" s="31" t="n">
        <v>43600</v>
      </c>
      <c r="F484" s="31" t="n">
        <v>41459.24609375</v>
      </c>
      <c r="G484" s="31" t="n">
        <v>1013920</v>
      </c>
      <c r="H484" s="36" t="n">
        <v>0.07389162561576357</v>
      </c>
      <c r="I484" s="36" t="n">
        <v>-0.2684563758389261</v>
      </c>
      <c r="J484" s="31" t="n">
        <v>39592.5</v>
      </c>
      <c r="K484" s="31" t="n">
        <v>40028.16666666666</v>
      </c>
      <c r="L484" s="31" t="n">
        <v>39066.58333333334</v>
      </c>
      <c r="M484" s="36" t="n">
        <v>0.4793893912114131</v>
      </c>
      <c r="N484" s="36" t="n">
        <v>0.5618801855545731</v>
      </c>
      <c r="O484" s="36" t="n">
        <v>0.1863945578231292</v>
      </c>
      <c r="P484" s="36" t="n">
        <v>-0.06638115631691643</v>
      </c>
      <c r="Q484" s="36" t="n">
        <v>0.4028314028314028</v>
      </c>
      <c r="R484" s="36" t="n">
        <v>0.1012186651512281</v>
      </c>
      <c r="S484" s="36" t="n">
        <v>0.08923299843027199</v>
      </c>
      <c r="T484" s="36" t="n">
        <v>0.1160433362699151</v>
      </c>
      <c r="U484" s="31" t="n">
        <v>59600</v>
      </c>
      <c r="V484" s="31" t="n">
        <v>30040</v>
      </c>
      <c r="W484" s="36" t="n">
        <v>-0.2684563758389261</v>
      </c>
      <c r="X484" s="36" t="n">
        <v>0.4513981358189081</v>
      </c>
      <c r="Y484" s="31" t="n">
        <v>76211850</v>
      </c>
      <c r="Z484" s="31" t="n">
        <v>3322836660000</v>
      </c>
      <c r="AA484" s="31" t="n">
        <v>44206912000</v>
      </c>
      <c r="AB484" s="31" t="n">
        <v>13922802580</v>
      </c>
      <c r="AC484" s="36" t="n">
        <v>0.01330396782127714</v>
      </c>
      <c r="AD484" s="29" t="inlineStr">
        <is>
          <t>yfinance_download</t>
        </is>
      </c>
      <c r="AE484" s="29" t="inlineStr">
        <is>
          <t>058470.KQ</t>
        </is>
      </c>
    </row>
    <row r="485" ht="24" customHeight="1">
      <c r="A485" s="24" t="inlineStr">
        <is>
          <t>2025-06-05</t>
        </is>
      </c>
      <c r="B485" s="30" t="n">
        <v>44650</v>
      </c>
      <c r="C485" s="30" t="n">
        <v>47800</v>
      </c>
      <c r="D485" s="30" t="n">
        <v>44500</v>
      </c>
      <c r="E485" s="30" t="n">
        <v>47150</v>
      </c>
      <c r="F485" s="30" t="n">
        <v>44834.94140625</v>
      </c>
      <c r="G485" s="30" t="n">
        <v>1080693</v>
      </c>
      <c r="H485" s="35" t="n">
        <v>0.08142201834862384</v>
      </c>
      <c r="I485" s="35" t="n">
        <v>-0.2088926174496645</v>
      </c>
      <c r="J485" s="30" t="n">
        <v>40107.5</v>
      </c>
      <c r="K485" s="30" t="n">
        <v>40047.33333333334</v>
      </c>
      <c r="L485" s="30" t="n">
        <v>39207.16666666666</v>
      </c>
      <c r="M485" s="35" t="n">
        <v>0.5428907336173602</v>
      </c>
      <c r="N485" s="35" t="n">
        <v>0.5855313060237045</v>
      </c>
      <c r="O485" s="35" t="n">
        <v>0.2795115332428766</v>
      </c>
      <c r="P485" s="35" t="n">
        <v>0.02499999999999991</v>
      </c>
      <c r="Q485" s="35" t="n">
        <v>0.5571334214002641</v>
      </c>
      <c r="R485" s="35" t="n">
        <v>0.1755906002617964</v>
      </c>
      <c r="S485" s="35" t="n">
        <v>0.1773567944598891</v>
      </c>
      <c r="T485" s="35" t="n">
        <v>0.2025862618653904</v>
      </c>
      <c r="U485" s="30" t="n">
        <v>59600</v>
      </c>
      <c r="V485" s="30" t="n">
        <v>30040</v>
      </c>
      <c r="W485" s="35" t="n">
        <v>-0.2088926174496645</v>
      </c>
      <c r="X485" s="35" t="n">
        <v>0.5695739014647137</v>
      </c>
      <c r="Y485" s="30" t="n">
        <v>76211850</v>
      </c>
      <c r="Z485" s="30" t="n">
        <v>3593388727500</v>
      </c>
      <c r="AA485" s="30" t="n">
        <v>50954674950</v>
      </c>
      <c r="AB485" s="30" t="n">
        <v>16051664220</v>
      </c>
      <c r="AC485" s="35" t="n">
        <v>0.01418011765886801</v>
      </c>
      <c r="AD485" s="24" t="inlineStr">
        <is>
          <t>yfinance_download</t>
        </is>
      </c>
      <c r="AE485" s="24" t="inlineStr">
        <is>
          <t>058470.KQ</t>
        </is>
      </c>
    </row>
    <row r="486" ht="24" customHeight="1">
      <c r="A486" s="29" t="inlineStr">
        <is>
          <t>2025-06-09</t>
        </is>
      </c>
      <c r="B486" s="31" t="n">
        <v>48800</v>
      </c>
      <c r="C486" s="31" t="n">
        <v>49300</v>
      </c>
      <c r="D486" s="31" t="n">
        <v>47850</v>
      </c>
      <c r="E486" s="31" t="n">
        <v>48300</v>
      </c>
      <c r="F486" s="31" t="n">
        <v>45928.4765625</v>
      </c>
      <c r="G486" s="31" t="n">
        <v>515701</v>
      </c>
      <c r="H486" s="36" t="n">
        <v>0.02439024390243905</v>
      </c>
      <c r="I486" s="36" t="n">
        <v>-0.1895973154362416</v>
      </c>
      <c r="J486" s="31" t="n">
        <v>40660</v>
      </c>
      <c r="K486" s="31" t="n">
        <v>40099</v>
      </c>
      <c r="L486" s="31" t="n">
        <v>39355.83333333334</v>
      </c>
      <c r="M486" s="36" t="n">
        <v>0.5443241395314684</v>
      </c>
      <c r="N486" s="36" t="n">
        <v>0.5861655646084075</v>
      </c>
      <c r="O486" s="36" t="n">
        <v>0.2966442953020134</v>
      </c>
      <c r="P486" s="36" t="n">
        <v>0.06858407079646023</v>
      </c>
      <c r="Q486" s="36" t="n">
        <v>0.5856861457649376</v>
      </c>
      <c r="R486" s="36" t="n">
        <v>0.1878996556812593</v>
      </c>
      <c r="S486" s="36" t="n">
        <v>0.2045188159305718</v>
      </c>
      <c r="T486" s="36" t="n">
        <v>0.2272640650475364</v>
      </c>
      <c r="U486" s="31" t="n">
        <v>59600</v>
      </c>
      <c r="V486" s="31" t="n">
        <v>30040</v>
      </c>
      <c r="W486" s="36" t="n">
        <v>-0.1895973154362416</v>
      </c>
      <c r="X486" s="36" t="n">
        <v>0.6078561917443408</v>
      </c>
      <c r="Y486" s="31" t="n">
        <v>76211850</v>
      </c>
      <c r="Z486" s="31" t="n">
        <v>3681032355000</v>
      </c>
      <c r="AA486" s="31" t="n">
        <v>24908358300</v>
      </c>
      <c r="AB486" s="31" t="n">
        <v>16775265510</v>
      </c>
      <c r="AC486" s="36" t="n">
        <v>0.0067666773605417</v>
      </c>
      <c r="AD486" s="29" t="inlineStr">
        <is>
          <t>yfinance_download</t>
        </is>
      </c>
      <c r="AE486" s="29" t="inlineStr">
        <is>
          <t>058470.KQ</t>
        </is>
      </c>
    </row>
    <row r="487" ht="24" customHeight="1">
      <c r="A487" s="24" t="inlineStr">
        <is>
          <t>2025-06-10</t>
        </is>
      </c>
      <c r="B487" s="30" t="n">
        <v>48850</v>
      </c>
      <c r="C487" s="30" t="n">
        <v>49000</v>
      </c>
      <c r="D487" s="30" t="n">
        <v>47500</v>
      </c>
      <c r="E487" s="30" t="n">
        <v>48050</v>
      </c>
      <c r="F487" s="30" t="n">
        <v>45690.75</v>
      </c>
      <c r="G487" s="30" t="n">
        <v>384332</v>
      </c>
      <c r="H487" s="35" t="n">
        <v>-0.005175983436852993</v>
      </c>
      <c r="I487" s="35" t="n">
        <v>-0.1937919463087249</v>
      </c>
      <c r="J487" s="30" t="n">
        <v>41240</v>
      </c>
      <c r="K487" s="30" t="n">
        <v>40141.5</v>
      </c>
      <c r="L487" s="30" t="n">
        <v>39500.75</v>
      </c>
      <c r="M487" s="35" t="n">
        <v>0.533348853285744</v>
      </c>
      <c r="N487" s="35" t="n">
        <v>0.5862461656554377</v>
      </c>
      <c r="O487" s="35" t="n">
        <v>0.3182441700960219</v>
      </c>
      <c r="P487" s="35" t="n">
        <v>0.05604395604395607</v>
      </c>
      <c r="Q487" s="35" t="n">
        <v>0.5671885192433137</v>
      </c>
      <c r="R487" s="35" t="n">
        <v>0.1651309408341417</v>
      </c>
      <c r="S487" s="35" t="n">
        <v>0.197015557465466</v>
      </c>
      <c r="T487" s="35" t="n">
        <v>0.2164325993810243</v>
      </c>
      <c r="U487" s="30" t="n">
        <v>58900</v>
      </c>
      <c r="V487" s="30" t="n">
        <v>30040</v>
      </c>
      <c r="W487" s="35" t="n">
        <v>-0.1842105263157895</v>
      </c>
      <c r="X487" s="35" t="n">
        <v>0.5995339547270306</v>
      </c>
      <c r="Y487" s="30" t="n">
        <v>76211850</v>
      </c>
      <c r="Z487" s="30" t="n">
        <v>3661979392500</v>
      </c>
      <c r="AA487" s="30" t="n">
        <v>18467152600</v>
      </c>
      <c r="AB487" s="30" t="n">
        <v>17172480147.5</v>
      </c>
      <c r="AC487" s="35" t="n">
        <v>0.005042942796953492</v>
      </c>
      <c r="AD487" s="24" t="inlineStr">
        <is>
          <t>yfinance_download</t>
        </is>
      </c>
      <c r="AE487" s="24" t="inlineStr">
        <is>
          <t>058470.KQ</t>
        </is>
      </c>
    </row>
    <row r="488" ht="24" customHeight="1">
      <c r="A488" s="29" t="inlineStr">
        <is>
          <t>2025-06-11</t>
        </is>
      </c>
      <c r="B488" s="31" t="n">
        <v>48500</v>
      </c>
      <c r="C488" s="31" t="n">
        <v>50000</v>
      </c>
      <c r="D488" s="31" t="n">
        <v>48400</v>
      </c>
      <c r="E488" s="31" t="n">
        <v>49650</v>
      </c>
      <c r="F488" s="31" t="n">
        <v>47212.19140625</v>
      </c>
      <c r="G488" s="31" t="n">
        <v>469366</v>
      </c>
      <c r="H488" s="36" t="n">
        <v>0.03329864724245568</v>
      </c>
      <c r="I488" s="36" t="n">
        <v>-0.1669463087248322</v>
      </c>
      <c r="J488" s="31" t="n">
        <v>41817.5</v>
      </c>
      <c r="K488" s="31" t="n">
        <v>40219</v>
      </c>
      <c r="L488" s="31" t="n">
        <v>39658.66666666666</v>
      </c>
      <c r="M488" s="36" t="n">
        <v>0.5258109522229087</v>
      </c>
      <c r="N488" s="36" t="n">
        <v>0.58921271450765</v>
      </c>
      <c r="O488" s="36" t="n">
        <v>0.3031496062992125</v>
      </c>
      <c r="P488" s="36" t="n">
        <v>0.1033333333333333</v>
      </c>
      <c r="Q488" s="36" t="n">
        <v>0.6172638436482085</v>
      </c>
      <c r="R488" s="36" t="n">
        <v>0.1873019668798948</v>
      </c>
      <c r="S488" s="36" t="n">
        <v>0.2344911608941047</v>
      </c>
      <c r="T488" s="36" t="n">
        <v>0.2519331629908554</v>
      </c>
      <c r="U488" s="31" t="n">
        <v>58600</v>
      </c>
      <c r="V488" s="31" t="n">
        <v>30040</v>
      </c>
      <c r="W488" s="36" t="n">
        <v>-0.1527303754266212</v>
      </c>
      <c r="X488" s="36" t="n">
        <v>0.6527962716378162</v>
      </c>
      <c r="Y488" s="31" t="n">
        <v>76211850</v>
      </c>
      <c r="Z488" s="31" t="n">
        <v>3783918352500</v>
      </c>
      <c r="AA488" s="31" t="n">
        <v>23304021900</v>
      </c>
      <c r="AB488" s="31" t="n">
        <v>17733396192.5</v>
      </c>
      <c r="AC488" s="36" t="n">
        <v>0.00615870104189834</v>
      </c>
      <c r="AD488" s="29" t="inlineStr">
        <is>
          <t>yfinance_download</t>
        </is>
      </c>
      <c r="AE488" s="29" t="inlineStr">
        <is>
          <t>058470.KQ</t>
        </is>
      </c>
    </row>
    <row r="489" ht="24" customHeight="1">
      <c r="A489" s="24" t="inlineStr">
        <is>
          <t>2025-06-12</t>
        </is>
      </c>
      <c r="B489" s="30" t="n">
        <v>49500</v>
      </c>
      <c r="C489" s="30" t="n">
        <v>50200</v>
      </c>
      <c r="D489" s="30" t="n">
        <v>48950</v>
      </c>
      <c r="E489" s="30" t="n">
        <v>49000</v>
      </c>
      <c r="F489" s="30" t="n">
        <v>46594.10546875</v>
      </c>
      <c r="G489" s="30" t="n">
        <v>550729</v>
      </c>
      <c r="H489" s="35" t="n">
        <v>-0.01309164149043307</v>
      </c>
      <c r="I489" s="35" t="n">
        <v>-0.1778523489932886</v>
      </c>
      <c r="J489" s="30" t="n">
        <v>42247.5</v>
      </c>
      <c r="K489" s="30" t="n">
        <v>40307.33333333334</v>
      </c>
      <c r="L489" s="30" t="n">
        <v>39805.83333333334</v>
      </c>
      <c r="M489" s="35" t="n">
        <v>0.5037863052284052</v>
      </c>
      <c r="N489" s="35" t="n">
        <v>0.5865236782022087</v>
      </c>
      <c r="O489" s="35" t="n">
        <v>0.2128712871287128</v>
      </c>
      <c r="P489" s="35" t="n">
        <v>0.1212814645308924</v>
      </c>
      <c r="Q489" s="35" t="n">
        <v>0.5634971282705807</v>
      </c>
      <c r="R489" s="35" t="n">
        <v>0.159831942718504</v>
      </c>
      <c r="S489" s="35" t="n">
        <v>0.2156596814475447</v>
      </c>
      <c r="T489" s="35" t="n">
        <v>0.2309753595578536</v>
      </c>
      <c r="U489" s="30" t="n">
        <v>58200</v>
      </c>
      <c r="V489" s="30" t="n">
        <v>30040</v>
      </c>
      <c r="W489" s="35" t="n">
        <v>-0.1580756013745704</v>
      </c>
      <c r="X489" s="35" t="n">
        <v>0.6311584553928096</v>
      </c>
      <c r="Y489" s="30" t="n">
        <v>76211850</v>
      </c>
      <c r="Z489" s="30" t="n">
        <v>3734380650000</v>
      </c>
      <c r="AA489" s="30" t="n">
        <v>26985721000</v>
      </c>
      <c r="AB489" s="30" t="n">
        <v>17741567882.5</v>
      </c>
      <c r="AC489" s="35" t="n">
        <v>0.007226290924574066</v>
      </c>
      <c r="AD489" s="24" t="inlineStr">
        <is>
          <t>yfinance_download</t>
        </is>
      </c>
      <c r="AE489" s="24" t="inlineStr">
        <is>
          <t>058470.KQ</t>
        </is>
      </c>
    </row>
    <row r="490" ht="24" customHeight="1">
      <c r="A490" s="29" t="inlineStr">
        <is>
          <t>2025-06-13</t>
        </is>
      </c>
      <c r="B490" s="31" t="n">
        <v>49000</v>
      </c>
      <c r="C490" s="31" t="n">
        <v>49500</v>
      </c>
      <c r="D490" s="31" t="n">
        <v>47600</v>
      </c>
      <c r="E490" s="31" t="n">
        <v>47850</v>
      </c>
      <c r="F490" s="31" t="n">
        <v>45500.5703125</v>
      </c>
      <c r="G490" s="31" t="n">
        <v>1060573</v>
      </c>
      <c r="H490" s="36" t="n">
        <v>-0.02346938775510199</v>
      </c>
      <c r="I490" s="36" t="n">
        <v>-0.1971476510067114</v>
      </c>
      <c r="J490" s="31" t="n">
        <v>42642.5</v>
      </c>
      <c r="K490" s="31" t="n">
        <v>40374.83333333334</v>
      </c>
      <c r="L490" s="31" t="n">
        <v>39930.08333333334</v>
      </c>
      <c r="M490" s="36" t="n">
        <v>0.5125274101732877</v>
      </c>
      <c r="N490" s="36" t="n">
        <v>0.5889469695875689</v>
      </c>
      <c r="O490" s="36" t="n">
        <v>0.1977471839799749</v>
      </c>
      <c r="P490" s="36" t="n">
        <v>0.09246575342465757</v>
      </c>
      <c r="Q490" s="36" t="n">
        <v>0.4526411657559199</v>
      </c>
      <c r="R490" s="36" t="n">
        <v>0.1221199507533564</v>
      </c>
      <c r="S490" s="36" t="n">
        <v>0.1851442111216144</v>
      </c>
      <c r="T490" s="36" t="n">
        <v>0.1983446065101291</v>
      </c>
      <c r="U490" s="31" t="n">
        <v>58200</v>
      </c>
      <c r="V490" s="31" t="n">
        <v>30040</v>
      </c>
      <c r="W490" s="36" t="n">
        <v>-0.1778350515463918</v>
      </c>
      <c r="X490" s="36" t="n">
        <v>0.5928761651131824</v>
      </c>
      <c r="Y490" s="31" t="n">
        <v>76211850</v>
      </c>
      <c r="Z490" s="31" t="n">
        <v>3646737022500</v>
      </c>
      <c r="AA490" s="31" t="n">
        <v>50748418050</v>
      </c>
      <c r="AB490" s="31" t="n">
        <v>19263689497.5</v>
      </c>
      <c r="AC490" s="36" t="n">
        <v>0.01391611671938157</v>
      </c>
      <c r="AD490" s="29" t="inlineStr">
        <is>
          <t>yfinance_download</t>
        </is>
      </c>
      <c r="AE490" s="29" t="inlineStr">
        <is>
          <t>058470.KQ</t>
        </is>
      </c>
    </row>
    <row r="491" ht="24" customHeight="1">
      <c r="A491" s="24" t="inlineStr">
        <is>
          <t>2025-06-16</t>
        </is>
      </c>
      <c r="B491" s="30" t="n">
        <v>47250</v>
      </c>
      <c r="C491" s="30" t="n">
        <v>48600</v>
      </c>
      <c r="D491" s="30" t="n">
        <v>46450</v>
      </c>
      <c r="E491" s="30" t="n">
        <v>48200</v>
      </c>
      <c r="F491" s="30" t="n">
        <v>45833.38671875</v>
      </c>
      <c r="G491" s="30" t="n">
        <v>556080</v>
      </c>
      <c r="H491" s="35" t="n">
        <v>0.007314524555903867</v>
      </c>
      <c r="I491" s="35" t="n">
        <v>-0.1912751677852349</v>
      </c>
      <c r="J491" s="30" t="n">
        <v>43102.5</v>
      </c>
      <c r="K491" s="30" t="n">
        <v>40446.5</v>
      </c>
      <c r="L491" s="30" t="n">
        <v>40063.25</v>
      </c>
      <c r="M491" s="35" t="n">
        <v>0.497370910305138</v>
      </c>
      <c r="N491" s="35" t="n">
        <v>0.5890424240055622</v>
      </c>
      <c r="O491" s="35" t="n">
        <v>0.2358974358974359</v>
      </c>
      <c r="P491" s="35" t="n">
        <v>0.09794988610478361</v>
      </c>
      <c r="Q491" s="35" t="n">
        <v>0.4959652389819988</v>
      </c>
      <c r="R491" s="35" t="n">
        <v>0.1182646018212401</v>
      </c>
      <c r="S491" s="35" t="n">
        <v>0.1916976747060932</v>
      </c>
      <c r="T491" s="35" t="n">
        <v>0.2030976019169688</v>
      </c>
      <c r="U491" s="30" t="n">
        <v>57900</v>
      </c>
      <c r="V491" s="30" t="n">
        <v>30040</v>
      </c>
      <c r="W491" s="35" t="n">
        <v>-0.1675302245250432</v>
      </c>
      <c r="X491" s="35" t="n">
        <v>0.6045272969374167</v>
      </c>
      <c r="Y491" s="30" t="n">
        <v>76211850</v>
      </c>
      <c r="Z491" s="30" t="n">
        <v>3673411170000</v>
      </c>
      <c r="AA491" s="30" t="n">
        <v>26803056000</v>
      </c>
      <c r="AB491" s="30" t="n">
        <v>19747907347.5</v>
      </c>
      <c r="AC491" s="35" t="n">
        <v>0.007296503102863925</v>
      </c>
      <c r="AD491" s="24" t="inlineStr">
        <is>
          <t>yfinance_download</t>
        </is>
      </c>
      <c r="AE491" s="24" t="inlineStr">
        <is>
          <t>058470.KQ</t>
        </is>
      </c>
    </row>
    <row r="492" ht="24" customHeight="1">
      <c r="A492" s="29" t="inlineStr">
        <is>
          <t>2025-06-17</t>
        </is>
      </c>
      <c r="B492" s="31" t="n">
        <v>49650</v>
      </c>
      <c r="C492" s="31" t="n">
        <v>50300</v>
      </c>
      <c r="D492" s="31" t="n">
        <v>47550</v>
      </c>
      <c r="E492" s="31" t="n">
        <v>48400</v>
      </c>
      <c r="F492" s="31" t="n">
        <v>46023.56640625</v>
      </c>
      <c r="G492" s="31" t="n">
        <v>857427</v>
      </c>
      <c r="H492" s="36" t="n">
        <v>0.004149377593360981</v>
      </c>
      <c r="I492" s="36" t="n">
        <v>-0.1879194630872483</v>
      </c>
      <c r="J492" s="31" t="n">
        <v>43507.5</v>
      </c>
      <c r="K492" s="31" t="n">
        <v>40558.16666666666</v>
      </c>
      <c r="L492" s="31" t="n">
        <v>40204.58333333334</v>
      </c>
      <c r="M492" s="36" t="n">
        <v>0.4908148915314496</v>
      </c>
      <c r="N492" s="36" t="n">
        <v>0.578858422408541</v>
      </c>
      <c r="O492" s="36" t="n">
        <v>0.2009925558312655</v>
      </c>
      <c r="P492" s="36" t="n">
        <v>0.1606714628297361</v>
      </c>
      <c r="Q492" s="36" t="n">
        <v>0.5394402035623409</v>
      </c>
      <c r="R492" s="36" t="n">
        <v>0.1124518761133138</v>
      </c>
      <c r="S492" s="36" t="n">
        <v>0.1933478255509578</v>
      </c>
      <c r="T492" s="36" t="n">
        <v>0.2038428454467256</v>
      </c>
      <c r="U492" s="31" t="n">
        <v>55700</v>
      </c>
      <c r="V492" s="31" t="n">
        <v>30040</v>
      </c>
      <c r="W492" s="36" t="n">
        <v>-0.1310592459605027</v>
      </c>
      <c r="X492" s="36" t="n">
        <v>0.6111850865512649</v>
      </c>
      <c r="Y492" s="31" t="n">
        <v>76211850</v>
      </c>
      <c r="Z492" s="31" t="n">
        <v>3688653540000</v>
      </c>
      <c r="AA492" s="31" t="n">
        <v>41499466800</v>
      </c>
      <c r="AB492" s="31" t="n">
        <v>21055195912.5</v>
      </c>
      <c r="AC492" s="36" t="n">
        <v>0.01125057323762643</v>
      </c>
      <c r="AD492" s="29" t="inlineStr">
        <is>
          <t>yfinance_download</t>
        </is>
      </c>
      <c r="AE492" s="29" t="inlineStr">
        <is>
          <t>058470.KQ</t>
        </is>
      </c>
    </row>
    <row r="493" ht="24" customHeight="1">
      <c r="A493" s="24" t="inlineStr">
        <is>
          <t>2025-06-18</t>
        </is>
      </c>
      <c r="B493" s="30" t="n">
        <v>48450</v>
      </c>
      <c r="C493" s="30" t="n">
        <v>50400</v>
      </c>
      <c r="D493" s="30" t="n">
        <v>48450</v>
      </c>
      <c r="E493" s="30" t="n">
        <v>50200</v>
      </c>
      <c r="F493" s="30" t="n">
        <v>47735.1875</v>
      </c>
      <c r="G493" s="30" t="n">
        <v>530997</v>
      </c>
      <c r="H493" s="35" t="n">
        <v>0.03719008264462809</v>
      </c>
      <c r="I493" s="35" t="n">
        <v>-0.1577181208053692</v>
      </c>
      <c r="J493" s="30" t="n">
        <v>44075</v>
      </c>
      <c r="K493" s="30" t="n">
        <v>40716.5</v>
      </c>
      <c r="L493" s="30" t="n">
        <v>40363.75</v>
      </c>
      <c r="M493" s="35" t="n">
        <v>0.4688351708229454</v>
      </c>
      <c r="N493" s="35" t="n">
        <v>0.5801955736338197</v>
      </c>
      <c r="O493" s="35" t="n">
        <v>0.2921492921492921</v>
      </c>
      <c r="P493" s="35" t="n">
        <v>0.2334152334152335</v>
      </c>
      <c r="Q493" s="35" t="n">
        <v>0.6141479099678457</v>
      </c>
      <c r="R493" s="35" t="n">
        <v>0.1389676687464549</v>
      </c>
      <c r="S493" s="35" t="n">
        <v>0.2329154028465119</v>
      </c>
      <c r="T493" s="35" t="n">
        <v>0.2436901923136479</v>
      </c>
      <c r="U493" s="30" t="n">
        <v>55700</v>
      </c>
      <c r="V493" s="30" t="n">
        <v>30040</v>
      </c>
      <c r="W493" s="35" t="n">
        <v>-0.09874326750448836</v>
      </c>
      <c r="X493" s="35" t="n">
        <v>0.6711051930758989</v>
      </c>
      <c r="Y493" s="30" t="n">
        <v>76211850</v>
      </c>
      <c r="Z493" s="30" t="n">
        <v>3825834870000</v>
      </c>
      <c r="AA493" s="30" t="n">
        <v>26656049400</v>
      </c>
      <c r="AB493" s="30" t="n">
        <v>21832775550</v>
      </c>
      <c r="AC493" s="35" t="n">
        <v>0.006967381056882886</v>
      </c>
      <c r="AD493" s="24" t="inlineStr">
        <is>
          <t>yfinance_download</t>
        </is>
      </c>
      <c r="AE493" s="24" t="inlineStr">
        <is>
          <t>058470.KQ</t>
        </is>
      </c>
    </row>
    <row r="494" ht="24" customHeight="1">
      <c r="A494" s="29" t="inlineStr">
        <is>
          <t>2025-06-19</t>
        </is>
      </c>
      <c r="B494" s="31" t="n">
        <v>51300</v>
      </c>
      <c r="C494" s="31" t="n">
        <v>51400</v>
      </c>
      <c r="D494" s="31" t="n">
        <v>48750</v>
      </c>
      <c r="E494" s="31" t="n">
        <v>50600</v>
      </c>
      <c r="F494" s="31" t="n">
        <v>48115.546875</v>
      </c>
      <c r="G494" s="31" t="n">
        <v>442132</v>
      </c>
      <c r="H494" s="36" t="n">
        <v>0.007968127490039834</v>
      </c>
      <c r="I494" s="36" t="n">
        <v>-0.1510067114093959</v>
      </c>
      <c r="J494" s="31" t="n">
        <v>44635</v>
      </c>
      <c r="K494" s="31" t="n">
        <v>40873.16666666666</v>
      </c>
      <c r="L494" s="31" t="n">
        <v>40528.25</v>
      </c>
      <c r="M494" s="36" t="n">
        <v>0.4691999471141932</v>
      </c>
      <c r="N494" s="36" t="n">
        <v>0.5800044187107949</v>
      </c>
      <c r="O494" s="36" t="n">
        <v>0.2842639593908629</v>
      </c>
      <c r="P494" s="36" t="n">
        <v>0.2281553398058251</v>
      </c>
      <c r="Q494" s="36" t="n">
        <v>0.6396629941672067</v>
      </c>
      <c r="R494" s="36" t="n">
        <v>0.1336395205556178</v>
      </c>
      <c r="S494" s="36" t="n">
        <v>0.2379760152341186</v>
      </c>
      <c r="T494" s="36" t="n">
        <v>0.2485118405063136</v>
      </c>
      <c r="U494" s="31" t="n">
        <v>55700</v>
      </c>
      <c r="V494" s="31" t="n">
        <v>30040</v>
      </c>
      <c r="W494" s="36" t="n">
        <v>-0.09156193895870735</v>
      </c>
      <c r="X494" s="36" t="n">
        <v>0.6844207723035951</v>
      </c>
      <c r="Y494" s="31" t="n">
        <v>76211850</v>
      </c>
      <c r="Z494" s="31" t="n">
        <v>3856319610000</v>
      </c>
      <c r="AA494" s="31" t="n">
        <v>22371879200</v>
      </c>
      <c r="AB494" s="31" t="n">
        <v>22418257960</v>
      </c>
      <c r="AC494" s="36" t="n">
        <v>0.005801355038619322</v>
      </c>
      <c r="AD494" s="29" t="inlineStr">
        <is>
          <t>yfinance_download</t>
        </is>
      </c>
      <c r="AE494" s="29" t="inlineStr">
        <is>
          <t>058470.KQ</t>
        </is>
      </c>
    </row>
    <row r="495" ht="24" customHeight="1">
      <c r="A495" s="24" t="inlineStr">
        <is>
          <t>2025-06-20</t>
        </is>
      </c>
      <c r="B495" s="30" t="n">
        <v>50400</v>
      </c>
      <c r="C495" s="30" t="n">
        <v>52100</v>
      </c>
      <c r="D495" s="30" t="n">
        <v>49800</v>
      </c>
      <c r="E495" s="30" t="n">
        <v>51600</v>
      </c>
      <c r="F495" s="30" t="n">
        <v>49066.4453125</v>
      </c>
      <c r="G495" s="30" t="n">
        <v>711366</v>
      </c>
      <c r="H495" s="35" t="n">
        <v>0.01976284584980248</v>
      </c>
      <c r="I495" s="35" t="n">
        <v>-0.1342281879194631</v>
      </c>
      <c r="J495" s="30" t="n">
        <v>45220</v>
      </c>
      <c r="K495" s="30" t="n">
        <v>41099.5</v>
      </c>
      <c r="L495" s="30" t="n">
        <v>40701.08333333334</v>
      </c>
      <c r="M495" s="35" t="n">
        <v>0.4698108437765376</v>
      </c>
      <c r="N495" s="35" t="n">
        <v>0.5555023915908864</v>
      </c>
      <c r="O495" s="35" t="n">
        <v>0.2932330827067668</v>
      </c>
      <c r="P495" s="35" t="n">
        <v>0.35718043135192</v>
      </c>
      <c r="Q495" s="35" t="n">
        <v>0.6720674011665586</v>
      </c>
      <c r="R495" s="35" t="n">
        <v>0.1410880141530297</v>
      </c>
      <c r="S495" s="35" t="n">
        <v>0.2554897261523863</v>
      </c>
      <c r="T495" s="35" t="n">
        <v>0.2677795226580781</v>
      </c>
      <c r="U495" s="30" t="n">
        <v>55700</v>
      </c>
      <c r="V495" s="30" t="n">
        <v>30040</v>
      </c>
      <c r="W495" s="35" t="n">
        <v>-0.07360861759425497</v>
      </c>
      <c r="X495" s="35" t="n">
        <v>0.7177097203728362</v>
      </c>
      <c r="Y495" s="30" t="n">
        <v>76211850</v>
      </c>
      <c r="Z495" s="30" t="n">
        <v>3932531460000</v>
      </c>
      <c r="AA495" s="30" t="n">
        <v>36706485600</v>
      </c>
      <c r="AB495" s="30" t="n">
        <v>23821616860</v>
      </c>
      <c r="AC495" s="35" t="n">
        <v>0.009334060254409256</v>
      </c>
      <c r="AD495" s="24" t="inlineStr">
        <is>
          <t>yfinance_download</t>
        </is>
      </c>
      <c r="AE495" s="24" t="inlineStr">
        <is>
          <t>058470.KQ</t>
        </is>
      </c>
    </row>
    <row r="496" ht="24" customHeight="1">
      <c r="A496" s="29" t="inlineStr">
        <is>
          <t>2025-06-23</t>
        </is>
      </c>
      <c r="B496" s="31" t="n">
        <v>50500</v>
      </c>
      <c r="C496" s="31" t="n">
        <v>51200</v>
      </c>
      <c r="D496" s="31" t="n">
        <v>49550</v>
      </c>
      <c r="E496" s="31" t="n">
        <v>50400</v>
      </c>
      <c r="F496" s="31" t="n">
        <v>47925.3671875</v>
      </c>
      <c r="G496" s="31" t="n">
        <v>522569</v>
      </c>
      <c r="H496" s="36" t="n">
        <v>-0.02325581395348841</v>
      </c>
      <c r="I496" s="36" t="n">
        <v>-0.1543624161073825</v>
      </c>
      <c r="J496" s="31" t="n">
        <v>45742.5</v>
      </c>
      <c r="K496" s="31" t="n">
        <v>41277.83333333334</v>
      </c>
      <c r="L496" s="31" t="n">
        <v>40858.91666666666</v>
      </c>
      <c r="M496" s="36" t="n">
        <v>0.4859554551949701</v>
      </c>
      <c r="N496" s="36" t="n">
        <v>0.5527287088252355</v>
      </c>
      <c r="O496" s="36" t="n">
        <v>0.2615769712140175</v>
      </c>
      <c r="P496" s="36" t="n">
        <v>0.2695214105793451</v>
      </c>
      <c r="Q496" s="36" t="n">
        <v>0.6020343293070565</v>
      </c>
      <c r="R496" s="36" t="n">
        <v>0.1018199704869651</v>
      </c>
      <c r="S496" s="36" t="n">
        <v>0.2209943189847658</v>
      </c>
      <c r="T496" s="36" t="n">
        <v>0.2335128807053541</v>
      </c>
      <c r="U496" s="31" t="n">
        <v>55700</v>
      </c>
      <c r="V496" s="31" t="n">
        <v>30040</v>
      </c>
      <c r="W496" s="36" t="n">
        <v>-0.0951526032315978</v>
      </c>
      <c r="X496" s="36" t="n">
        <v>0.6777629826897471</v>
      </c>
      <c r="Y496" s="31" t="n">
        <v>76211850</v>
      </c>
      <c r="Z496" s="31" t="n">
        <v>3841077240000</v>
      </c>
      <c r="AA496" s="31" t="n">
        <v>26337477600</v>
      </c>
      <c r="AB496" s="31" t="n">
        <v>24729808232.5</v>
      </c>
      <c r="AC496" s="36" t="n">
        <v>0.006856794579845523</v>
      </c>
      <c r="AD496" s="29" t="inlineStr">
        <is>
          <t>yfinance_download</t>
        </is>
      </c>
      <c r="AE496" s="29" t="inlineStr">
        <is>
          <t>058470.KQ</t>
        </is>
      </c>
    </row>
    <row r="497" ht="24" customHeight="1">
      <c r="A497" s="24" t="inlineStr">
        <is>
          <t>2025-06-24</t>
        </is>
      </c>
      <c r="B497" s="30" t="n">
        <v>51600</v>
      </c>
      <c r="C497" s="30" t="n">
        <v>52300</v>
      </c>
      <c r="D497" s="30" t="n">
        <v>50100</v>
      </c>
      <c r="E497" s="30" t="n">
        <v>51000</v>
      </c>
      <c r="F497" s="30" t="n">
        <v>48495.90625</v>
      </c>
      <c r="G497" s="30" t="n">
        <v>668284</v>
      </c>
      <c r="H497" s="35" t="n">
        <v>0.01190476190476186</v>
      </c>
      <c r="I497" s="35" t="n">
        <v>-0.1442953020134228</v>
      </c>
      <c r="J497" s="30" t="n">
        <v>46320</v>
      </c>
      <c r="K497" s="30" t="n">
        <v>41482.83333333334</v>
      </c>
      <c r="L497" s="30" t="n">
        <v>41020.41666666666</v>
      </c>
      <c r="M497" s="35" t="n">
        <v>0.4771876283164412</v>
      </c>
      <c r="N497" s="35" t="n">
        <v>0.549416856794126</v>
      </c>
      <c r="O497" s="35" t="n">
        <v>0.2927756653992395</v>
      </c>
      <c r="P497" s="35" t="n">
        <v>0.317829457364341</v>
      </c>
      <c r="Q497" s="35" t="n">
        <v>0.6129032258064515</v>
      </c>
      <c r="R497" s="35" t="n">
        <v>0.1010362694300517</v>
      </c>
      <c r="S497" s="35" t="n">
        <v>0.2294242196571272</v>
      </c>
      <c r="T497" s="35" t="n">
        <v>0.2432833243608366</v>
      </c>
      <c r="U497" s="30" t="n">
        <v>55700</v>
      </c>
      <c r="V497" s="30" t="n">
        <v>30040</v>
      </c>
      <c r="W497" s="35" t="n">
        <v>-0.08438061041292644</v>
      </c>
      <c r="X497" s="35" t="n">
        <v>0.6977363515312915</v>
      </c>
      <c r="Y497" s="30" t="n">
        <v>76211850</v>
      </c>
      <c r="Z497" s="30" t="n">
        <v>3886804350000</v>
      </c>
      <c r="AA497" s="30" t="n">
        <v>34082484000</v>
      </c>
      <c r="AB497" s="30" t="n">
        <v>26134145965</v>
      </c>
      <c r="AC497" s="35" t="n">
        <v>0.008768767586667952</v>
      </c>
      <c r="AD497" s="24" t="inlineStr">
        <is>
          <t>yfinance_download</t>
        </is>
      </c>
      <c r="AE497" s="24" t="inlineStr">
        <is>
          <t>058470.KQ</t>
        </is>
      </c>
    </row>
    <row r="498" ht="24" customHeight="1">
      <c r="A498" s="29" t="inlineStr">
        <is>
          <t>2025-06-25</t>
        </is>
      </c>
      <c r="B498" s="31" t="n">
        <v>52500</v>
      </c>
      <c r="C498" s="31" t="n">
        <v>52500</v>
      </c>
      <c r="D498" s="31" t="n">
        <v>50850</v>
      </c>
      <c r="E498" s="31" t="n">
        <v>51900</v>
      </c>
      <c r="F498" s="31" t="n">
        <v>49351.71875</v>
      </c>
      <c r="G498" s="31" t="n">
        <v>387232</v>
      </c>
      <c r="H498" s="36" t="n">
        <v>0.01764705882352935</v>
      </c>
      <c r="I498" s="36" t="n">
        <v>-0.1291946308724832</v>
      </c>
      <c r="J498" s="31" t="n">
        <v>46875</v>
      </c>
      <c r="K498" s="31" t="n">
        <v>41705.83333333334</v>
      </c>
      <c r="L498" s="31" t="n">
        <v>41183.58333333334</v>
      </c>
      <c r="M498" s="36" t="n">
        <v>0.4711579451148999</v>
      </c>
      <c r="N498" s="36" t="n">
        <v>0.5496119505413606</v>
      </c>
      <c r="O498" s="36" t="n">
        <v>0.2720588235294117</v>
      </c>
      <c r="P498" s="36" t="n">
        <v>0.3473520249221185</v>
      </c>
      <c r="Q498" s="36" t="n">
        <v>0.6058168316831682</v>
      </c>
      <c r="R498" s="36" t="n">
        <v>0.1072</v>
      </c>
      <c r="S498" s="36" t="n">
        <v>0.2444302355785561</v>
      </c>
      <c r="T498" s="36" t="n">
        <v>0.2602108850006981</v>
      </c>
      <c r="U498" s="31" t="n">
        <v>55700</v>
      </c>
      <c r="V498" s="31" t="n">
        <v>30040</v>
      </c>
      <c r="W498" s="36" t="n">
        <v>-0.06822262118491917</v>
      </c>
      <c r="X498" s="36" t="n">
        <v>0.7276964047936085</v>
      </c>
      <c r="Y498" s="31" t="n">
        <v>76211850</v>
      </c>
      <c r="Z498" s="31" t="n">
        <v>3955395015000</v>
      </c>
      <c r="AA498" s="31" t="n">
        <v>20097340800</v>
      </c>
      <c r="AB498" s="31" t="n">
        <v>26473534405</v>
      </c>
      <c r="AC498" s="36" t="n">
        <v>0.005080994622227383</v>
      </c>
      <c r="AD498" s="29" t="inlineStr">
        <is>
          <t>yfinance_download</t>
        </is>
      </c>
      <c r="AE498" s="29" t="inlineStr">
        <is>
          <t>058470.KQ</t>
        </is>
      </c>
    </row>
    <row r="499" ht="24" customHeight="1">
      <c r="A499" s="24" t="inlineStr">
        <is>
          <t>2025-06-26</t>
        </is>
      </c>
      <c r="B499" s="30" t="n">
        <v>52600</v>
      </c>
      <c r="C499" s="30" t="n">
        <v>52600</v>
      </c>
      <c r="D499" s="30" t="n">
        <v>50000</v>
      </c>
      <c r="E499" s="30" t="n">
        <v>50400</v>
      </c>
      <c r="F499" s="30" t="n">
        <v>47925.3671875</v>
      </c>
      <c r="G499" s="30" t="n">
        <v>622335</v>
      </c>
      <c r="H499" s="35" t="n">
        <v>-0.02890173410404628</v>
      </c>
      <c r="I499" s="35" t="n">
        <v>-0.1543624161073825</v>
      </c>
      <c r="J499" s="30" t="n">
        <v>47390</v>
      </c>
      <c r="K499" s="30" t="n">
        <v>41840.83333333334</v>
      </c>
      <c r="L499" s="30" t="n">
        <v>41338.25</v>
      </c>
      <c r="M499" s="35" t="n">
        <v>0.4826710700073257</v>
      </c>
      <c r="N499" s="35" t="n">
        <v>0.5190314709933531</v>
      </c>
      <c r="O499" s="35" t="n">
        <v>0.2568578553615961</v>
      </c>
      <c r="P499" s="35" t="n">
        <v>0.1914893617021276</v>
      </c>
      <c r="Q499" s="35" t="n">
        <v>0.5829145728643217</v>
      </c>
      <c r="R499" s="35" t="n">
        <v>0.06351550960118169</v>
      </c>
      <c r="S499" s="35" t="n">
        <v>0.2045649186400844</v>
      </c>
      <c r="T499" s="35" t="n">
        <v>0.2192098117361039</v>
      </c>
      <c r="U499" s="30" t="n">
        <v>55700</v>
      </c>
      <c r="V499" s="30" t="n">
        <v>30040</v>
      </c>
      <c r="W499" s="35" t="n">
        <v>-0.0951526032315978</v>
      </c>
      <c r="X499" s="35" t="n">
        <v>0.6777629826897471</v>
      </c>
      <c r="Y499" s="30" t="n">
        <v>76211850</v>
      </c>
      <c r="Z499" s="30" t="n">
        <v>3841077240000</v>
      </c>
      <c r="AA499" s="30" t="n">
        <v>31365684000</v>
      </c>
      <c r="AB499" s="30" t="n">
        <v>27645823085</v>
      </c>
      <c r="AC499" s="35" t="n">
        <v>0.008165856097181737</v>
      </c>
      <c r="AD499" s="24" t="inlineStr">
        <is>
          <t>yfinance_download</t>
        </is>
      </c>
      <c r="AE499" s="24" t="inlineStr">
        <is>
          <t>058470.KQ</t>
        </is>
      </c>
    </row>
    <row r="500" ht="24" customHeight="1">
      <c r="A500" s="29" t="inlineStr">
        <is>
          <t>2025-06-27</t>
        </is>
      </c>
      <c r="B500" s="31" t="n">
        <v>50500</v>
      </c>
      <c r="C500" s="31" t="n">
        <v>51000</v>
      </c>
      <c r="D500" s="31" t="n">
        <v>50100</v>
      </c>
      <c r="E500" s="31" t="n">
        <v>50700</v>
      </c>
      <c r="F500" s="31" t="n">
        <v>48210.63671875</v>
      </c>
      <c r="G500" s="31" t="n">
        <v>364685</v>
      </c>
      <c r="H500" s="36" t="n">
        <v>0.005952380952380931</v>
      </c>
      <c r="I500" s="36" t="n">
        <v>-0.1493288590604027</v>
      </c>
      <c r="J500" s="31" t="n">
        <v>47910</v>
      </c>
      <c r="K500" s="31" t="n">
        <v>41994.16666666666</v>
      </c>
      <c r="L500" s="31" t="n">
        <v>41505.58333333334</v>
      </c>
      <c r="M500" s="36" t="n">
        <v>0.4824992478380682</v>
      </c>
      <c r="N500" s="36" t="n">
        <v>0.516954917456627</v>
      </c>
      <c r="O500" s="36" t="n">
        <v>0.2580645161290323</v>
      </c>
      <c r="P500" s="36" t="n">
        <v>0.2216867469879518</v>
      </c>
      <c r="Q500" s="36" t="n">
        <v>0.6557805355976487</v>
      </c>
      <c r="R500" s="36" t="n">
        <v>0.05823418910457101</v>
      </c>
      <c r="S500" s="36" t="n">
        <v>0.2073105391621852</v>
      </c>
      <c r="T500" s="36" t="n">
        <v>0.2215224056201273</v>
      </c>
      <c r="U500" s="31" t="n">
        <v>55200</v>
      </c>
      <c r="V500" s="31" t="n">
        <v>30040</v>
      </c>
      <c r="W500" s="36" t="n">
        <v>-0.08152173913043481</v>
      </c>
      <c r="X500" s="36" t="n">
        <v>0.6877496671105192</v>
      </c>
      <c r="Y500" s="31" t="n">
        <v>76211850</v>
      </c>
      <c r="Z500" s="31" t="n">
        <v>3863940795000</v>
      </c>
      <c r="AA500" s="31" t="n">
        <v>18489529500</v>
      </c>
      <c r="AB500" s="31" t="n">
        <v>27955109985</v>
      </c>
      <c r="AC500" s="36" t="n">
        <v>0.00478514824138241</v>
      </c>
      <c r="AD500" s="29" t="inlineStr">
        <is>
          <t>yfinance_download</t>
        </is>
      </c>
      <c r="AE500" s="29" t="inlineStr">
        <is>
          <t>058470.KQ</t>
        </is>
      </c>
    </row>
    <row r="501" ht="24" customHeight="1">
      <c r="A501" s="24" t="inlineStr">
        <is>
          <t>2025-06-30</t>
        </is>
      </c>
      <c r="B501" s="30" t="n">
        <v>51000</v>
      </c>
      <c r="C501" s="30" t="n">
        <v>51200</v>
      </c>
      <c r="D501" s="30" t="n">
        <v>50200</v>
      </c>
      <c r="E501" s="30" t="n">
        <v>50900</v>
      </c>
      <c r="F501" s="30" t="n">
        <v>48400.81640625</v>
      </c>
      <c r="G501" s="30" t="n">
        <v>268123</v>
      </c>
      <c r="H501" s="35" t="n">
        <v>0.003944773175542426</v>
      </c>
      <c r="I501" s="35" t="n">
        <v>-0.1459731543624161</v>
      </c>
      <c r="J501" s="30" t="n">
        <v>48405</v>
      </c>
      <c r="K501" s="30" t="n">
        <v>42119.16666666666</v>
      </c>
      <c r="L501" s="30" t="n">
        <v>41670.08333333334</v>
      </c>
      <c r="M501" s="35" t="n">
        <v>0.4828610499929229</v>
      </c>
      <c r="N501" s="35" t="n">
        <v>0.5095187115431818</v>
      </c>
      <c r="O501" s="35" t="n">
        <v>0.2414634146341463</v>
      </c>
      <c r="P501" s="35" t="n">
        <v>0.1728110599078341</v>
      </c>
      <c r="Q501" s="35" t="n">
        <v>0.6335044929396663</v>
      </c>
      <c r="R501" s="35" t="n">
        <v>0.05154426195640949</v>
      </c>
      <c r="S501" s="35" t="n">
        <v>0.2084759511702907</v>
      </c>
      <c r="T501" s="35" t="n">
        <v>0.2214998370133647</v>
      </c>
      <c r="U501" s="30" t="n">
        <v>54900</v>
      </c>
      <c r="V501" s="30" t="n">
        <v>30040</v>
      </c>
      <c r="W501" s="35" t="n">
        <v>-0.07285974499089254</v>
      </c>
      <c r="X501" s="35" t="n">
        <v>0.6944074567243674</v>
      </c>
      <c r="Y501" s="30" t="n">
        <v>76211850</v>
      </c>
      <c r="Z501" s="30" t="n">
        <v>3879183165000</v>
      </c>
      <c r="AA501" s="30" t="n">
        <v>13647460700</v>
      </c>
      <c r="AB501" s="30" t="n">
        <v>28220582720</v>
      </c>
      <c r="AC501" s="35" t="n">
        <v>0.003518127430314315</v>
      </c>
      <c r="AD501" s="24" t="inlineStr">
        <is>
          <t>yfinance_download</t>
        </is>
      </c>
      <c r="AE501" s="24" t="inlineStr">
        <is>
          <t>058470.KQ</t>
        </is>
      </c>
    </row>
    <row r="502" ht="24" customHeight="1">
      <c r="A502" s="29" t="inlineStr">
        <is>
          <t>2025-07-01</t>
        </is>
      </c>
      <c r="B502" s="31" t="n">
        <v>50900</v>
      </c>
      <c r="C502" s="31" t="n">
        <v>51700</v>
      </c>
      <c r="D502" s="31" t="n">
        <v>50500</v>
      </c>
      <c r="E502" s="31" t="n">
        <v>51100</v>
      </c>
      <c r="F502" s="31" t="n">
        <v>48590.99609375</v>
      </c>
      <c r="G502" s="31" t="n">
        <v>470445</v>
      </c>
      <c r="H502" s="36" t="n">
        <v>0.003929273084479323</v>
      </c>
      <c r="I502" s="36" t="n">
        <v>-0.1426174496644296</v>
      </c>
      <c r="J502" s="31" t="n">
        <v>48980</v>
      </c>
      <c r="K502" s="31" t="n">
        <v>42237.5</v>
      </c>
      <c r="L502" s="31" t="n">
        <v>41820.25</v>
      </c>
      <c r="M502" s="36" t="n">
        <v>0.4533411278143175</v>
      </c>
      <c r="N502" s="36" t="n">
        <v>0.5090372311544678</v>
      </c>
      <c r="O502" s="36" t="n">
        <v>0.2904040404040404</v>
      </c>
      <c r="P502" s="36" t="n">
        <v>0.1613636363636364</v>
      </c>
      <c r="Q502" s="36" t="n">
        <v>0.544740024183797</v>
      </c>
      <c r="R502" s="36" t="n">
        <v>0.04328297264189462</v>
      </c>
      <c r="S502" s="36" t="n">
        <v>0.2098253921278486</v>
      </c>
      <c r="T502" s="36" t="n">
        <v>0.2218960910085426</v>
      </c>
      <c r="U502" s="31" t="n">
        <v>54900</v>
      </c>
      <c r="V502" s="31" t="n">
        <v>30040</v>
      </c>
      <c r="W502" s="36" t="n">
        <v>-0.06921675774134795</v>
      </c>
      <c r="X502" s="36" t="n">
        <v>0.7010652463382157</v>
      </c>
      <c r="Y502" s="31" t="n">
        <v>76211850</v>
      </c>
      <c r="Z502" s="31" t="n">
        <v>3894425535000</v>
      </c>
      <c r="AA502" s="31" t="n">
        <v>24039739500</v>
      </c>
      <c r="AB502" s="31" t="n">
        <v>28804237475</v>
      </c>
      <c r="AC502" s="36" t="n">
        <v>0.00617285894516404</v>
      </c>
      <c r="AD502" s="29" t="inlineStr">
        <is>
          <t>yfinance_download</t>
        </is>
      </c>
      <c r="AE502" s="29" t="inlineStr">
        <is>
          <t>058470.KQ</t>
        </is>
      </c>
    </row>
    <row r="503" ht="24" customHeight="1">
      <c r="A503" s="24" t="inlineStr">
        <is>
          <t>2025-07-02</t>
        </is>
      </c>
      <c r="B503" s="30" t="n">
        <v>50400</v>
      </c>
      <c r="C503" s="30" t="n">
        <v>50500</v>
      </c>
      <c r="D503" s="30" t="n">
        <v>48400</v>
      </c>
      <c r="E503" s="30" t="n">
        <v>49200</v>
      </c>
      <c r="F503" s="30" t="n">
        <v>46784.28515625</v>
      </c>
      <c r="G503" s="30" t="n">
        <v>710641</v>
      </c>
      <c r="H503" s="35" t="n">
        <v>-0.03718199608610573</v>
      </c>
      <c r="I503" s="35" t="n">
        <v>-0.174496644295302</v>
      </c>
      <c r="J503" s="30" t="n">
        <v>49410</v>
      </c>
      <c r="K503" s="30" t="n">
        <v>42349.16666666666</v>
      </c>
      <c r="L503" s="30" t="n">
        <v>41945.41666666666</v>
      </c>
      <c r="M503" s="35" t="n">
        <v>0.4844411347600353</v>
      </c>
      <c r="N503" s="35" t="n">
        <v>0.510037492710685</v>
      </c>
      <c r="O503" s="35" t="n">
        <v>0.2118226600985222</v>
      </c>
      <c r="P503" s="35" t="n">
        <v>0.1576470588235295</v>
      </c>
      <c r="Q503" s="35" t="n">
        <v>0.4394382679929782</v>
      </c>
      <c r="R503" s="35" t="n">
        <v>-0.004250151791135415</v>
      </c>
      <c r="S503" s="35" t="n">
        <v>0.1617702040575375</v>
      </c>
      <c r="T503" s="35" t="n">
        <v>0.1729529447992928</v>
      </c>
      <c r="U503" s="30" t="n">
        <v>54900</v>
      </c>
      <c r="V503" s="30" t="n">
        <v>30040</v>
      </c>
      <c r="W503" s="35" t="n">
        <v>-0.1038251366120219</v>
      </c>
      <c r="X503" s="35" t="n">
        <v>0.6378162450066578</v>
      </c>
      <c r="Y503" s="30" t="n">
        <v>76211850</v>
      </c>
      <c r="Z503" s="30" t="n">
        <v>3749623020000</v>
      </c>
      <c r="AA503" s="30" t="n">
        <v>34963537200</v>
      </c>
      <c r="AB503" s="30" t="n">
        <v>29831772455</v>
      </c>
      <c r="AC503" s="35" t="n">
        <v>0.009324547298090782</v>
      </c>
      <c r="AD503" s="24" t="inlineStr">
        <is>
          <t>yfinance_download</t>
        </is>
      </c>
      <c r="AE503" s="24" t="inlineStr">
        <is>
          <t>058470.KQ</t>
        </is>
      </c>
    </row>
    <row r="504" ht="24" customHeight="1">
      <c r="A504" s="29" t="inlineStr">
        <is>
          <t>2025-07-03</t>
        </is>
      </c>
      <c r="B504" s="31" t="n">
        <v>49750</v>
      </c>
      <c r="C504" s="31" t="n">
        <v>51500</v>
      </c>
      <c r="D504" s="31" t="n">
        <v>49200</v>
      </c>
      <c r="E504" s="31" t="n">
        <v>51500</v>
      </c>
      <c r="F504" s="31" t="n">
        <v>48971.35546875</v>
      </c>
      <c r="G504" s="31" t="n">
        <v>513310</v>
      </c>
      <c r="H504" s="36" t="n">
        <v>0.04674796747967469</v>
      </c>
      <c r="I504" s="36" t="n">
        <v>-0.1359060402684564</v>
      </c>
      <c r="J504" s="31" t="n">
        <v>49805</v>
      </c>
      <c r="K504" s="31" t="n">
        <v>42502.5</v>
      </c>
      <c r="L504" s="31" t="n">
        <v>42086.91666666666</v>
      </c>
      <c r="M504" s="36" t="n">
        <v>0.4449989916113063</v>
      </c>
      <c r="N504" s="36" t="n">
        <v>0.5175870868696548</v>
      </c>
      <c r="O504" s="36" t="n">
        <v>0.1811926605504588</v>
      </c>
      <c r="P504" s="36" t="n">
        <v>0.2174940898345155</v>
      </c>
      <c r="Q504" s="36" t="n">
        <v>0.4918887601390498</v>
      </c>
      <c r="R504" s="36" t="n">
        <v>0.03403272763778742</v>
      </c>
      <c r="S504" s="36" t="n">
        <v>0.2116934297982471</v>
      </c>
      <c r="T504" s="36" t="n">
        <v>0.2236581835606077</v>
      </c>
      <c r="U504" s="31" t="n">
        <v>54900</v>
      </c>
      <c r="V504" s="31" t="n">
        <v>30040</v>
      </c>
      <c r="W504" s="36" t="n">
        <v>-0.06193078324225865</v>
      </c>
      <c r="X504" s="36" t="n">
        <v>0.7143808255659121</v>
      </c>
      <c r="Y504" s="31" t="n">
        <v>76211850</v>
      </c>
      <c r="Z504" s="31" t="n">
        <v>3924910275000</v>
      </c>
      <c r="AA504" s="31" t="n">
        <v>26435465000</v>
      </c>
      <c r="AB504" s="31" t="n">
        <v>28943200105</v>
      </c>
      <c r="AC504" s="36" t="n">
        <v>0.00673530428666933</v>
      </c>
      <c r="AD504" s="29" t="inlineStr">
        <is>
          <t>yfinance_download</t>
        </is>
      </c>
      <c r="AE504" s="29" t="inlineStr">
        <is>
          <t>058470.KQ</t>
        </is>
      </c>
    </row>
    <row r="505" ht="24" customHeight="1">
      <c r="A505" s="24" t="inlineStr">
        <is>
          <t>2025-07-04</t>
        </is>
      </c>
      <c r="B505" s="30" t="n">
        <v>51700</v>
      </c>
      <c r="C505" s="30" t="n">
        <v>51800</v>
      </c>
      <c r="D505" s="30" t="n">
        <v>49900</v>
      </c>
      <c r="E505" s="30" t="n">
        <v>50000</v>
      </c>
      <c r="F505" s="30" t="n">
        <v>47545.0078125</v>
      </c>
      <c r="G505" s="30" t="n">
        <v>241123</v>
      </c>
      <c r="H505" s="35" t="n">
        <v>-0.029126213592233</v>
      </c>
      <c r="I505" s="35" t="n">
        <v>-0.1610738255033557</v>
      </c>
      <c r="J505" s="30" t="n">
        <v>49947.5</v>
      </c>
      <c r="K505" s="30" t="n">
        <v>42645.83333333334</v>
      </c>
      <c r="L505" s="30" t="n">
        <v>42209.25</v>
      </c>
      <c r="M505" s="35" t="n">
        <v>0.3726054410313419</v>
      </c>
      <c r="N505" s="35" t="n">
        <v>0.5194580049507512</v>
      </c>
      <c r="O505" s="35" t="n">
        <v>0.0604453870625663</v>
      </c>
      <c r="P505" s="35" t="n">
        <v>0.2077294685990339</v>
      </c>
      <c r="Q505" s="35" t="n">
        <v>0.4156285390713477</v>
      </c>
      <c r="R505" s="35" t="n">
        <v>0.001051103658841868</v>
      </c>
      <c r="S505" s="35" t="n">
        <v>0.172447484123107</v>
      </c>
      <c r="T505" s="35" t="n">
        <v>0.1845744712355704</v>
      </c>
      <c r="U505" s="30" t="n">
        <v>54900</v>
      </c>
      <c r="V505" s="30" t="n">
        <v>30040</v>
      </c>
      <c r="W505" s="35" t="n">
        <v>-0.08925318761384338</v>
      </c>
      <c r="X505" s="35" t="n">
        <v>0.6644474034620507</v>
      </c>
      <c r="Y505" s="30" t="n">
        <v>76211850</v>
      </c>
      <c r="Z505" s="30" t="n">
        <v>3810592500000</v>
      </c>
      <c r="AA505" s="30" t="n">
        <v>12056150000</v>
      </c>
      <c r="AB505" s="30" t="n">
        <v>26998273857.5</v>
      </c>
      <c r="AC505" s="35" t="n">
        <v>0.003163851815695328</v>
      </c>
      <c r="AD505" s="24" t="inlineStr">
        <is>
          <t>yfinance_download</t>
        </is>
      </c>
      <c r="AE505" s="24" t="inlineStr">
        <is>
          <t>058470.KQ</t>
        </is>
      </c>
    </row>
    <row r="506" ht="24" customHeight="1">
      <c r="A506" s="29" t="inlineStr">
        <is>
          <t>2025-07-07</t>
        </is>
      </c>
      <c r="B506" s="31" t="n">
        <v>49450</v>
      </c>
      <c r="C506" s="31" t="n">
        <v>50500</v>
      </c>
      <c r="D506" s="31" t="n">
        <v>49250</v>
      </c>
      <c r="E506" s="31" t="n">
        <v>50100</v>
      </c>
      <c r="F506" s="31" t="n">
        <v>47640.09765625</v>
      </c>
      <c r="G506" s="31" t="n">
        <v>174815</v>
      </c>
      <c r="H506" s="36" t="n">
        <v>0.002000000000000002</v>
      </c>
      <c r="I506" s="36" t="n">
        <v>-0.1593959731543624</v>
      </c>
      <c r="J506" s="31" t="n">
        <v>50037.5</v>
      </c>
      <c r="K506" s="31" t="n">
        <v>42777.5</v>
      </c>
      <c r="L506" s="31" t="n">
        <v>42312.25</v>
      </c>
      <c r="M506" s="36" t="n">
        <v>0.3640959604761547</v>
      </c>
      <c r="N506" s="36" t="n">
        <v>0.5184402724300736</v>
      </c>
      <c r="O506" s="36" t="n">
        <v>0.03726708074534169</v>
      </c>
      <c r="P506" s="36" t="n">
        <v>0.1872037914691944</v>
      </c>
      <c r="Q506" s="36" t="n">
        <v>0.3275039745627981</v>
      </c>
      <c r="R506" s="36" t="n">
        <v>0.0012490632025981</v>
      </c>
      <c r="S506" s="36" t="n">
        <v>0.1711764362106247</v>
      </c>
      <c r="T506" s="36" t="n">
        <v>0.1840542632452777</v>
      </c>
      <c r="U506" s="31" t="n">
        <v>54900</v>
      </c>
      <c r="V506" s="31" t="n">
        <v>30040</v>
      </c>
      <c r="W506" s="36" t="n">
        <v>-0.08743169398907102</v>
      </c>
      <c r="X506" s="36" t="n">
        <v>0.6677762982689748</v>
      </c>
      <c r="Y506" s="31" t="n">
        <v>76211850</v>
      </c>
      <c r="Z506" s="31" t="n">
        <v>3818213685000</v>
      </c>
      <c r="AA506" s="31" t="n">
        <v>8758231500</v>
      </c>
      <c r="AB506" s="31" t="n">
        <v>26190767517.5</v>
      </c>
      <c r="AC506" s="36" t="n">
        <v>0.002293803391467337</v>
      </c>
      <c r="AD506" s="29" t="inlineStr">
        <is>
          <t>yfinance_download</t>
        </is>
      </c>
      <c r="AE506" s="29" t="inlineStr">
        <is>
          <t>058470.KQ</t>
        </is>
      </c>
    </row>
    <row r="507" ht="24" customHeight="1">
      <c r="A507" s="24" t="inlineStr">
        <is>
          <t>2025-07-08</t>
        </is>
      </c>
      <c r="B507" s="30" t="n">
        <v>49600</v>
      </c>
      <c r="C507" s="30" t="n">
        <v>50700</v>
      </c>
      <c r="D507" s="30" t="n">
        <v>49450</v>
      </c>
      <c r="E507" s="30" t="n">
        <v>50600</v>
      </c>
      <c r="F507" s="30" t="n">
        <v>48115.546875</v>
      </c>
      <c r="G507" s="30" t="n">
        <v>263183</v>
      </c>
      <c r="H507" s="35" t="n">
        <v>0.009980039920159722</v>
      </c>
      <c r="I507" s="35" t="n">
        <v>-0.1510067114093959</v>
      </c>
      <c r="J507" s="30" t="n">
        <v>50165</v>
      </c>
      <c r="K507" s="30" t="n">
        <v>42934.16666666666</v>
      </c>
      <c r="L507" s="30" t="n">
        <v>42410.25</v>
      </c>
      <c r="M507" s="35" t="n">
        <v>0.3640643653614239</v>
      </c>
      <c r="N507" s="35" t="n">
        <v>0.5155136774591978</v>
      </c>
      <c r="O507" s="35" t="n">
        <v>0.05306971904266389</v>
      </c>
      <c r="P507" s="35" t="n">
        <v>0.2281553398058251</v>
      </c>
      <c r="Q507" s="35" t="n">
        <v>0.3027806385169929</v>
      </c>
      <c r="R507" s="35" t="n">
        <v>0.008671384431376383</v>
      </c>
      <c r="S507" s="35" t="n">
        <v>0.1785485530172164</v>
      </c>
      <c r="T507" s="35" t="n">
        <v>0.1931077982327385</v>
      </c>
      <c r="U507" s="30" t="n">
        <v>54900</v>
      </c>
      <c r="V507" s="30" t="n">
        <v>30040</v>
      </c>
      <c r="W507" s="35" t="n">
        <v>-0.07832422586520948</v>
      </c>
      <c r="X507" s="35" t="n">
        <v>0.6844207723035951</v>
      </c>
      <c r="Y507" s="30" t="n">
        <v>76211850</v>
      </c>
      <c r="Z507" s="30" t="n">
        <v>3856319610000</v>
      </c>
      <c r="AA507" s="30" t="n">
        <v>13317059800</v>
      </c>
      <c r="AB507" s="30" t="n">
        <v>25933262877.5</v>
      </c>
      <c r="AC507" s="35" t="n">
        <v>0.0034533081141581</v>
      </c>
      <c r="AD507" s="24" t="inlineStr">
        <is>
          <t>yfinance_download</t>
        </is>
      </c>
      <c r="AE507" s="24" t="inlineStr">
        <is>
          <t>058470.KQ</t>
        </is>
      </c>
    </row>
    <row r="508" ht="24" customHeight="1">
      <c r="A508" s="29" t="inlineStr">
        <is>
          <t>2025-07-09</t>
        </is>
      </c>
      <c r="B508" s="31" t="n">
        <v>50200</v>
      </c>
      <c r="C508" s="31" t="n">
        <v>51200</v>
      </c>
      <c r="D508" s="31" t="n">
        <v>49900</v>
      </c>
      <c r="E508" s="31" t="n">
        <v>50000</v>
      </c>
      <c r="F508" s="31" t="n">
        <v>47545.0078125</v>
      </c>
      <c r="G508" s="31" t="n">
        <v>232458</v>
      </c>
      <c r="H508" s="36" t="n">
        <v>-0.01185770750988147</v>
      </c>
      <c r="I508" s="36" t="n">
        <v>-0.1610738255033557</v>
      </c>
      <c r="J508" s="31" t="n">
        <v>50182.5</v>
      </c>
      <c r="K508" s="31" t="n">
        <v>43097.5</v>
      </c>
      <c r="L508" s="31" t="n">
        <v>42510.41666666666</v>
      </c>
      <c r="M508" s="36" t="n">
        <v>0.3489253944218479</v>
      </c>
      <c r="N508" s="36" t="n">
        <v>0.5132346124162446</v>
      </c>
      <c r="O508" s="36" t="n">
        <v>0.007049345417925457</v>
      </c>
      <c r="P508" s="36" t="n">
        <v>0.2437810945273631</v>
      </c>
      <c r="Q508" s="36" t="n">
        <v>0.3164823591363877</v>
      </c>
      <c r="R508" s="36" t="n">
        <v>-0.003636725950281527</v>
      </c>
      <c r="S508" s="36" t="n">
        <v>0.160160102094089</v>
      </c>
      <c r="T508" s="36" t="n">
        <v>0.17618230825778</v>
      </c>
      <c r="U508" s="31" t="n">
        <v>54900</v>
      </c>
      <c r="V508" s="31" t="n">
        <v>30040</v>
      </c>
      <c r="W508" s="36" t="n">
        <v>-0.08925318761384338</v>
      </c>
      <c r="X508" s="36" t="n">
        <v>0.6644474034620507</v>
      </c>
      <c r="Y508" s="31" t="n">
        <v>76211850</v>
      </c>
      <c r="Z508" s="31" t="n">
        <v>3810592500000</v>
      </c>
      <c r="AA508" s="31" t="n">
        <v>11622900000</v>
      </c>
      <c r="AB508" s="31" t="n">
        <v>25349206782.5</v>
      </c>
      <c r="AC508" s="36" t="n">
        <v>0.003050155586040753</v>
      </c>
      <c r="AD508" s="29" t="inlineStr">
        <is>
          <t>yfinance_download</t>
        </is>
      </c>
      <c r="AE508" s="29" t="inlineStr">
        <is>
          <t>058470.KQ</t>
        </is>
      </c>
    </row>
    <row r="509" ht="24" customHeight="1">
      <c r="A509" s="24" t="inlineStr">
        <is>
          <t>2025-07-10</t>
        </is>
      </c>
      <c r="B509" s="30" t="n">
        <v>50800</v>
      </c>
      <c r="C509" s="30" t="n">
        <v>51300</v>
      </c>
      <c r="D509" s="30" t="n">
        <v>49750</v>
      </c>
      <c r="E509" s="30" t="n">
        <v>49750</v>
      </c>
      <c r="F509" s="30" t="n">
        <v>47307.28125</v>
      </c>
      <c r="G509" s="30" t="n">
        <v>376209</v>
      </c>
      <c r="H509" s="35" t="n">
        <v>-0.005000000000000004</v>
      </c>
      <c r="I509" s="35" t="n">
        <v>-0.165268456375839</v>
      </c>
      <c r="J509" s="30" t="n">
        <v>50220</v>
      </c>
      <c r="K509" s="30" t="n">
        <v>43253.33333333334</v>
      </c>
      <c r="L509" s="30" t="n">
        <v>42607.83333333334</v>
      </c>
      <c r="M509" s="35" t="n">
        <v>0.3458892000679062</v>
      </c>
      <c r="N509" s="35" t="n">
        <v>0.5135729546532721</v>
      </c>
      <c r="O509" s="35" t="n">
        <v>0.01530612244897966</v>
      </c>
      <c r="P509" s="35" t="n">
        <v>0.2314356435643565</v>
      </c>
      <c r="Q509" s="35" t="n">
        <v>0.3071466106148186</v>
      </c>
      <c r="R509" s="35" t="n">
        <v>-0.009358821186778221</v>
      </c>
      <c r="S509" s="35" t="n">
        <v>0.1502003699136867</v>
      </c>
      <c r="T509" s="35" t="n">
        <v>0.1676256713358655</v>
      </c>
      <c r="U509" s="30" t="n">
        <v>53300</v>
      </c>
      <c r="V509" s="30" t="n">
        <v>30040</v>
      </c>
      <c r="W509" s="35" t="n">
        <v>-0.06660412757973733</v>
      </c>
      <c r="X509" s="35" t="n">
        <v>0.6561251664447403</v>
      </c>
      <c r="Y509" s="30" t="n">
        <v>76211850</v>
      </c>
      <c r="Z509" s="30" t="n">
        <v>3791539537500</v>
      </c>
      <c r="AA509" s="30" t="n">
        <v>18716397750</v>
      </c>
      <c r="AB509" s="30" t="n">
        <v>24935740620</v>
      </c>
      <c r="AC509" s="35" t="n">
        <v>0.004936358322229417</v>
      </c>
      <c r="AD509" s="24" t="inlineStr">
        <is>
          <t>yfinance_download</t>
        </is>
      </c>
      <c r="AE509" s="24" t="inlineStr">
        <is>
          <t>058470.KQ</t>
        </is>
      </c>
    </row>
    <row r="510" ht="24" customHeight="1">
      <c r="A510" s="29" t="inlineStr">
        <is>
          <t>2025-07-11</t>
        </is>
      </c>
      <c r="B510" s="31" t="n">
        <v>50100</v>
      </c>
      <c r="C510" s="31" t="n">
        <v>51000</v>
      </c>
      <c r="D510" s="31" t="n">
        <v>49300</v>
      </c>
      <c r="E510" s="31" t="n">
        <v>50200</v>
      </c>
      <c r="F510" s="31" t="n">
        <v>47735.1875</v>
      </c>
      <c r="G510" s="31" t="n">
        <v>466439</v>
      </c>
      <c r="H510" s="36" t="n">
        <v>0.009045226130653283</v>
      </c>
      <c r="I510" s="36" t="n">
        <v>-0.1577181208053692</v>
      </c>
      <c r="J510" s="31" t="n">
        <v>50337.5</v>
      </c>
      <c r="K510" s="31" t="n">
        <v>43430</v>
      </c>
      <c r="L510" s="31" t="n">
        <v>42702.16666666666</v>
      </c>
      <c r="M510" s="36" t="n">
        <v>0.3344673297861376</v>
      </c>
      <c r="N510" s="36" t="n">
        <v>0.5112645543081694</v>
      </c>
      <c r="O510" s="36" t="n">
        <v>0.04911180773249746</v>
      </c>
      <c r="P510" s="36" t="n">
        <v>0.2676767676767677</v>
      </c>
      <c r="Q510" s="36" t="n">
        <v>0.2911522633744856</v>
      </c>
      <c r="R510" s="36" t="n">
        <v>-0.002731561956791695</v>
      </c>
      <c r="S510" s="36" t="n">
        <v>0.1558830301634815</v>
      </c>
      <c r="T510" s="36" t="n">
        <v>0.1755843770612733</v>
      </c>
      <c r="U510" s="31" t="n">
        <v>53300</v>
      </c>
      <c r="V510" s="31" t="n">
        <v>30040</v>
      </c>
      <c r="W510" s="36" t="n">
        <v>-0.05816135084427765</v>
      </c>
      <c r="X510" s="36" t="n">
        <v>0.6711051930758989</v>
      </c>
      <c r="Y510" s="31" t="n">
        <v>76211850</v>
      </c>
      <c r="Z510" s="31" t="n">
        <v>3825834870000</v>
      </c>
      <c r="AA510" s="31" t="n">
        <v>23415237800</v>
      </c>
      <c r="AB510" s="31" t="n">
        <v>23569081607.5</v>
      </c>
      <c r="AC510" s="36" t="n">
        <v>0.00612029494100983</v>
      </c>
      <c r="AD510" s="29" t="inlineStr">
        <is>
          <t>yfinance_download</t>
        </is>
      </c>
      <c r="AE510" s="29" t="inlineStr">
        <is>
          <t>058470.KQ</t>
        </is>
      </c>
    </row>
    <row r="511" ht="24" customHeight="1">
      <c r="A511" s="24" t="inlineStr">
        <is>
          <t>2025-07-14</t>
        </is>
      </c>
      <c r="B511" s="30" t="n">
        <v>50400</v>
      </c>
      <c r="C511" s="30" t="n">
        <v>52200</v>
      </c>
      <c r="D511" s="30" t="n">
        <v>50400</v>
      </c>
      <c r="E511" s="30" t="n">
        <v>51200</v>
      </c>
      <c r="F511" s="30" t="n">
        <v>48686.0859375</v>
      </c>
      <c r="G511" s="30" t="n">
        <v>444259</v>
      </c>
      <c r="H511" s="35" t="n">
        <v>0.01992031872509958</v>
      </c>
      <c r="I511" s="35" t="n">
        <v>-0.1409395973154363</v>
      </c>
      <c r="J511" s="30" t="n">
        <v>50487.5</v>
      </c>
      <c r="K511" s="30" t="n">
        <v>43633.33333333334</v>
      </c>
      <c r="L511" s="30" t="n">
        <v>42795.5</v>
      </c>
      <c r="M511" s="35" t="n">
        <v>0.3397698010513914</v>
      </c>
      <c r="N511" s="35" t="n">
        <v>0.5105696355512064</v>
      </c>
      <c r="O511" s="35" t="n">
        <v>0.06224066390041494</v>
      </c>
      <c r="P511" s="35" t="n">
        <v>0.3128205128205128</v>
      </c>
      <c r="Q511" s="35" t="n">
        <v>0.28</v>
      </c>
      <c r="R511" s="35" t="n">
        <v>0.01411240406041103</v>
      </c>
      <c r="S511" s="35" t="n">
        <v>0.1734148204736439</v>
      </c>
      <c r="T511" s="35" t="n">
        <v>0.1963874706452782</v>
      </c>
      <c r="U511" s="30" t="n">
        <v>53300</v>
      </c>
      <c r="V511" s="30" t="n">
        <v>30040</v>
      </c>
      <c r="W511" s="35" t="n">
        <v>-0.03939962476547842</v>
      </c>
      <c r="X511" s="35" t="n">
        <v>0.7043941411451398</v>
      </c>
      <c r="Y511" s="30" t="n">
        <v>76211850</v>
      </c>
      <c r="Z511" s="30" t="n">
        <v>3902046720000</v>
      </c>
      <c r="AA511" s="30" t="n">
        <v>22746060800</v>
      </c>
      <c r="AB511" s="30" t="n">
        <v>23366231847.5</v>
      </c>
      <c r="AC511" s="35" t="n">
        <v>0.005829264084259863</v>
      </c>
      <c r="AD511" s="24" t="inlineStr">
        <is>
          <t>yfinance_download</t>
        </is>
      </c>
      <c r="AE511" s="24" t="inlineStr">
        <is>
          <t>058470.KQ</t>
        </is>
      </c>
    </row>
    <row r="512" ht="24" customHeight="1">
      <c r="A512" s="29" t="inlineStr">
        <is>
          <t>2025-07-15</t>
        </is>
      </c>
      <c r="B512" s="31" t="n">
        <v>51400</v>
      </c>
      <c r="C512" s="31" t="n">
        <v>52200</v>
      </c>
      <c r="D512" s="31" t="n">
        <v>51000</v>
      </c>
      <c r="E512" s="31" t="n">
        <v>51600</v>
      </c>
      <c r="F512" s="31" t="n">
        <v>49066.4453125</v>
      </c>
      <c r="G512" s="31" t="n">
        <v>418034</v>
      </c>
      <c r="H512" s="36" t="n">
        <v>0.0078125</v>
      </c>
      <c r="I512" s="36" t="n">
        <v>-0.1342281879194631</v>
      </c>
      <c r="J512" s="31" t="n">
        <v>50647.5</v>
      </c>
      <c r="K512" s="31" t="n">
        <v>43866.33333333334</v>
      </c>
      <c r="L512" s="31" t="n">
        <v>42900.66666666666</v>
      </c>
      <c r="M512" s="36" t="n">
        <v>0.340148295055735</v>
      </c>
      <c r="N512" s="36" t="n">
        <v>0.5035862140086668</v>
      </c>
      <c r="O512" s="36" t="n">
        <v>0.06611570247933884</v>
      </c>
      <c r="P512" s="36" t="n">
        <v>0.3716108452950557</v>
      </c>
      <c r="Q512" s="36" t="n">
        <v>0.323755772190867</v>
      </c>
      <c r="R512" s="36" t="n">
        <v>0.01880645638975276</v>
      </c>
      <c r="S512" s="36" t="n">
        <v>0.1763007317684784</v>
      </c>
      <c r="T512" s="36" t="n">
        <v>0.2027785116004415</v>
      </c>
      <c r="U512" s="31" t="n">
        <v>53300</v>
      </c>
      <c r="V512" s="31" t="n">
        <v>30040</v>
      </c>
      <c r="W512" s="36" t="n">
        <v>-0.03189493433395874</v>
      </c>
      <c r="X512" s="36" t="n">
        <v>0.7177097203728362</v>
      </c>
      <c r="Y512" s="31" t="n">
        <v>76211850</v>
      </c>
      <c r="Z512" s="31" t="n">
        <v>3932531460000</v>
      </c>
      <c r="AA512" s="31" t="n">
        <v>21570554400</v>
      </c>
      <c r="AB512" s="31" t="n">
        <v>22369786227.5</v>
      </c>
      <c r="AC512" s="36" t="n">
        <v>0.005485157491912347</v>
      </c>
      <c r="AD512" s="29" t="inlineStr">
        <is>
          <t>yfinance_download</t>
        </is>
      </c>
      <c r="AE512" s="29" t="inlineStr">
        <is>
          <t>058470.KQ</t>
        </is>
      </c>
    </row>
    <row r="513" ht="24" customHeight="1">
      <c r="A513" s="24" t="inlineStr">
        <is>
          <t>2025-07-16</t>
        </is>
      </c>
      <c r="B513" s="30" t="n">
        <v>52200</v>
      </c>
      <c r="C513" s="30" t="n">
        <v>55500</v>
      </c>
      <c r="D513" s="30" t="n">
        <v>50650</v>
      </c>
      <c r="E513" s="30" t="n">
        <v>53000</v>
      </c>
      <c r="F513" s="30" t="n">
        <v>50397.70703125</v>
      </c>
      <c r="G513" s="30" t="n">
        <v>943652</v>
      </c>
      <c r="H513" s="35" t="n">
        <v>0.02713178294573648</v>
      </c>
      <c r="I513" s="35" t="n">
        <v>-0.1107382550335571</v>
      </c>
      <c r="J513" s="30" t="n">
        <v>50787.5</v>
      </c>
      <c r="K513" s="30" t="n">
        <v>44109.33333333334</v>
      </c>
      <c r="L513" s="30" t="n">
        <v>43022.33333333334</v>
      </c>
      <c r="M513" s="35" t="n">
        <v>0.3285825711278508</v>
      </c>
      <c r="N513" s="35" t="n">
        <v>0.5045000601128068</v>
      </c>
      <c r="O513" s="35" t="n">
        <v>0.05577689243027883</v>
      </c>
      <c r="P513" s="35" t="n">
        <v>0.3794898490369598</v>
      </c>
      <c r="Q513" s="35" t="n">
        <v>0.3802083333333333</v>
      </c>
      <c r="R513" s="35" t="n">
        <v>0.04356386906226928</v>
      </c>
      <c r="S513" s="35" t="n">
        <v>0.2015597605948853</v>
      </c>
      <c r="T513" s="35" t="n">
        <v>0.2319183059961105</v>
      </c>
      <c r="U513" s="30" t="n">
        <v>53300</v>
      </c>
      <c r="V513" s="30" t="n">
        <v>30040</v>
      </c>
      <c r="W513" s="35" t="n">
        <v>-0.005628517823639823</v>
      </c>
      <c r="X513" s="35" t="n">
        <v>0.7643142476697737</v>
      </c>
      <c r="Y513" s="30" t="n">
        <v>76211850</v>
      </c>
      <c r="Z513" s="30" t="n">
        <v>4039228050000</v>
      </c>
      <c r="AA513" s="30" t="n">
        <v>50013556000</v>
      </c>
      <c r="AB513" s="30" t="n">
        <v>23537661557.5</v>
      </c>
      <c r="AC513" s="35" t="n">
        <v>0.0123819589735717</v>
      </c>
      <c r="AD513" s="24" t="inlineStr">
        <is>
          <t>yfinance_download</t>
        </is>
      </c>
      <c r="AE513" s="24" t="inlineStr">
        <is>
          <t>058470.KQ</t>
        </is>
      </c>
    </row>
    <row r="514" ht="24" customHeight="1">
      <c r="A514" s="29" t="inlineStr">
        <is>
          <t>2025-07-17</t>
        </is>
      </c>
      <c r="B514" s="31" t="n">
        <v>52600</v>
      </c>
      <c r="C514" s="31" t="n">
        <v>53000</v>
      </c>
      <c r="D514" s="31" t="n">
        <v>49750</v>
      </c>
      <c r="E514" s="31" t="n">
        <v>50500</v>
      </c>
      <c r="F514" s="31" t="n">
        <v>48020.45703125</v>
      </c>
      <c r="G514" s="31" t="n">
        <v>807234</v>
      </c>
      <c r="H514" s="36" t="n">
        <v>-0.04716981132075471</v>
      </c>
      <c r="I514" s="36" t="n">
        <v>-0.1526845637583892</v>
      </c>
      <c r="J514" s="31" t="n">
        <v>50782.5</v>
      </c>
      <c r="K514" s="31" t="n">
        <v>44308</v>
      </c>
      <c r="L514" s="31" t="n">
        <v>43123.83333333334</v>
      </c>
      <c r="M514" s="36" t="n">
        <v>0.3726811381849233</v>
      </c>
      <c r="N514" s="36" t="n">
        <v>0.5160752859905389</v>
      </c>
      <c r="O514" s="36" t="n">
        <v>-0.001976284584980226</v>
      </c>
      <c r="P514" s="36" t="n">
        <v>0.3089683773976153</v>
      </c>
      <c r="Q514" s="36" t="n">
        <v>0.3178496868475991</v>
      </c>
      <c r="R514" s="36" t="n">
        <v>-0.005562939989169458</v>
      </c>
      <c r="S514" s="36" t="n">
        <v>0.1397490295206283</v>
      </c>
      <c r="T514" s="36" t="n">
        <v>0.1710461732298072</v>
      </c>
      <c r="U514" s="31" t="n">
        <v>53000</v>
      </c>
      <c r="V514" s="31" t="n">
        <v>30040</v>
      </c>
      <c r="W514" s="36" t="n">
        <v>-0.04716981132075471</v>
      </c>
      <c r="X514" s="36" t="n">
        <v>0.681091877496671</v>
      </c>
      <c r="Y514" s="31" t="n">
        <v>76211850</v>
      </c>
      <c r="Z514" s="31" t="n">
        <v>3848698425000</v>
      </c>
      <c r="AA514" s="31" t="n">
        <v>40765317000</v>
      </c>
      <c r="AB514" s="31" t="n">
        <v>24457333447.5</v>
      </c>
      <c r="AC514" s="36" t="n">
        <v>0.01059197487004974</v>
      </c>
      <c r="AD514" s="29" t="inlineStr">
        <is>
          <t>yfinance_download</t>
        </is>
      </c>
      <c r="AE514" s="29" t="inlineStr">
        <is>
          <t>058470.KQ</t>
        </is>
      </c>
    </row>
    <row r="515" ht="24" customHeight="1">
      <c r="A515" s="24" t="inlineStr">
        <is>
          <t>2025-07-18</t>
        </is>
      </c>
      <c r="B515" s="30" t="n">
        <v>50700</v>
      </c>
      <c r="C515" s="30" t="n">
        <v>51000</v>
      </c>
      <c r="D515" s="30" t="n">
        <v>49850</v>
      </c>
      <c r="E515" s="30" t="n">
        <v>50000</v>
      </c>
      <c r="F515" s="30" t="n">
        <v>47545.0078125</v>
      </c>
      <c r="G515" s="30" t="n">
        <v>309222</v>
      </c>
      <c r="H515" s="35" t="n">
        <v>-0.00990099009900991</v>
      </c>
      <c r="I515" s="35" t="n">
        <v>-0.1610738255033557</v>
      </c>
      <c r="J515" s="30" t="n">
        <v>50702.5</v>
      </c>
      <c r="K515" s="30" t="n">
        <v>44498.66666666666</v>
      </c>
      <c r="L515" s="30" t="n">
        <v>43210.5</v>
      </c>
      <c r="M515" s="35" t="n">
        <v>0.3668200491856975</v>
      </c>
      <c r="N515" s="35" t="n">
        <v>0.516862125264716</v>
      </c>
      <c r="O515" s="35" t="n">
        <v>-0.03100775193798455</v>
      </c>
      <c r="P515" s="35" t="n">
        <v>0.2966804979253113</v>
      </c>
      <c r="Q515" s="35" t="n">
        <v>0.2626262626262625</v>
      </c>
      <c r="R515" s="35" t="n">
        <v>-0.0138553325772891</v>
      </c>
      <c r="S515" s="35" t="n">
        <v>0.1236291724096603</v>
      </c>
      <c r="T515" s="35" t="n">
        <v>0.1571261614653845</v>
      </c>
      <c r="U515" s="30" t="n">
        <v>53000</v>
      </c>
      <c r="V515" s="30" t="n">
        <v>30040</v>
      </c>
      <c r="W515" s="35" t="n">
        <v>-0.05660377358490565</v>
      </c>
      <c r="X515" s="35" t="n">
        <v>0.6644474034620507</v>
      </c>
      <c r="Y515" s="30" t="n">
        <v>76211850</v>
      </c>
      <c r="Z515" s="30" t="n">
        <v>3810592500000</v>
      </c>
      <c r="AA515" s="30" t="n">
        <v>15461100000</v>
      </c>
      <c r="AB515" s="30" t="n">
        <v>23395064167.5</v>
      </c>
      <c r="AC515" s="35" t="n">
        <v>0.004057400522359712</v>
      </c>
      <c r="AD515" s="24" t="inlineStr">
        <is>
          <t>yfinance_download</t>
        </is>
      </c>
      <c r="AE515" s="24" t="inlineStr">
        <is>
          <t>058470.KQ</t>
        </is>
      </c>
    </row>
    <row r="516" ht="24" customHeight="1">
      <c r="A516" s="29" t="inlineStr">
        <is>
          <t>2025-07-21</t>
        </is>
      </c>
      <c r="B516" s="31" t="n">
        <v>50000</v>
      </c>
      <c r="C516" s="31" t="n">
        <v>50100</v>
      </c>
      <c r="D516" s="31" t="n">
        <v>49450</v>
      </c>
      <c r="E516" s="31" t="n">
        <v>49600</v>
      </c>
      <c r="F516" s="31" t="n">
        <v>47164.6484375</v>
      </c>
      <c r="G516" s="31" t="n">
        <v>308038</v>
      </c>
      <c r="H516" s="36" t="n">
        <v>-0.008000000000000007</v>
      </c>
      <c r="I516" s="36" t="n">
        <v>-0.1677852348993288</v>
      </c>
      <c r="J516" s="31" t="n">
        <v>50662.5</v>
      </c>
      <c r="K516" s="31" t="n">
        <v>44702.33333333334</v>
      </c>
      <c r="L516" s="31" t="n">
        <v>43275.5</v>
      </c>
      <c r="M516" s="36" t="n">
        <v>0.3586251974879917</v>
      </c>
      <c r="N516" s="36" t="n">
        <v>0.512295563913176</v>
      </c>
      <c r="O516" s="36" t="n">
        <v>-0.01587301587301593</v>
      </c>
      <c r="P516" s="36" t="n">
        <v>0.3269127875869449</v>
      </c>
      <c r="Q516" s="36" t="n">
        <v>0.1866028708133971</v>
      </c>
      <c r="R516" s="36" t="n">
        <v>-0.02097211941771526</v>
      </c>
      <c r="S516" s="36" t="n">
        <v>0.1095617678420961</v>
      </c>
      <c r="T516" s="36" t="n">
        <v>0.1461450474286836</v>
      </c>
      <c r="U516" s="31" t="n">
        <v>53000</v>
      </c>
      <c r="V516" s="31" t="n">
        <v>30040</v>
      </c>
      <c r="W516" s="36" t="n">
        <v>-0.0641509433962264</v>
      </c>
      <c r="X516" s="36" t="n">
        <v>0.6511318242343542</v>
      </c>
      <c r="Y516" s="31" t="n">
        <v>76211850</v>
      </c>
      <c r="Z516" s="31" t="n">
        <v>3780107760000</v>
      </c>
      <c r="AA516" s="31" t="n">
        <v>15278684800</v>
      </c>
      <c r="AB516" s="31" t="n">
        <v>22842124527.5</v>
      </c>
      <c r="AC516" s="36" t="n">
        <v>0.004041864880592716</v>
      </c>
      <c r="AD516" s="29" t="inlineStr">
        <is>
          <t>yfinance_download</t>
        </is>
      </c>
      <c r="AE516" s="29" t="inlineStr">
        <is>
          <t>058470.KQ</t>
        </is>
      </c>
    </row>
    <row r="517" ht="24" customHeight="1">
      <c r="A517" s="24" t="inlineStr">
        <is>
          <t>2025-07-22</t>
        </is>
      </c>
      <c r="B517" s="30" t="n">
        <v>49850</v>
      </c>
      <c r="C517" s="30" t="n">
        <v>49850</v>
      </c>
      <c r="D517" s="30" t="n">
        <v>48400</v>
      </c>
      <c r="E517" s="30" t="n">
        <v>48800</v>
      </c>
      <c r="F517" s="30" t="n">
        <v>46403.92578125</v>
      </c>
      <c r="G517" s="30" t="n">
        <v>329155</v>
      </c>
      <c r="H517" s="35" t="n">
        <v>-0.0161290322580645</v>
      </c>
      <c r="I517" s="35" t="n">
        <v>-0.1812080536912751</v>
      </c>
      <c r="J517" s="30" t="n">
        <v>50552.5</v>
      </c>
      <c r="K517" s="30" t="n">
        <v>44937.33333333334</v>
      </c>
      <c r="L517" s="30" t="n">
        <v>43333.83333333334</v>
      </c>
      <c r="M517" s="35" t="n">
        <v>0.3595107321261636</v>
      </c>
      <c r="N517" s="35" t="n">
        <v>0.4887745396586092</v>
      </c>
      <c r="O517" s="35" t="n">
        <v>-0.04313725490196074</v>
      </c>
      <c r="P517" s="35" t="n">
        <v>0.4063400576368876</v>
      </c>
      <c r="Q517" s="35" t="n">
        <v>0.167464114832536</v>
      </c>
      <c r="R517" s="35" t="n">
        <v>-0.03466693041887148</v>
      </c>
      <c r="S517" s="35" t="n">
        <v>0.08595673975610474</v>
      </c>
      <c r="T517" s="35" t="n">
        <v>0.1261408522209357</v>
      </c>
      <c r="U517" s="30" t="n">
        <v>53000</v>
      </c>
      <c r="V517" s="30" t="n">
        <v>30040</v>
      </c>
      <c r="W517" s="35" t="n">
        <v>-0.07924528301886791</v>
      </c>
      <c r="X517" s="35" t="n">
        <v>0.6245006657789614</v>
      </c>
      <c r="Y517" s="30" t="n">
        <v>76211850</v>
      </c>
      <c r="Z517" s="30" t="n">
        <v>3719138280000</v>
      </c>
      <c r="AA517" s="30" t="n">
        <v>16062764000</v>
      </c>
      <c r="AB517" s="30" t="n">
        <v>21941138527.5</v>
      </c>
      <c r="AC517" s="35" t="n">
        <v>0.004318947775181944</v>
      </c>
      <c r="AD517" s="24" t="inlineStr">
        <is>
          <t>yfinance_download</t>
        </is>
      </c>
      <c r="AE517" s="24" t="inlineStr">
        <is>
          <t>058470.KQ</t>
        </is>
      </c>
    </row>
    <row r="518" ht="24" customHeight="1">
      <c r="A518" s="29" t="inlineStr">
        <is>
          <t>2025-07-23</t>
        </is>
      </c>
      <c r="B518" s="31" t="n">
        <v>48300</v>
      </c>
      <c r="C518" s="31" t="n">
        <v>48350</v>
      </c>
      <c r="D518" s="31" t="n">
        <v>45650</v>
      </c>
      <c r="E518" s="31" t="n">
        <v>46750</v>
      </c>
      <c r="F518" s="31" t="n">
        <v>44454.58203125</v>
      </c>
      <c r="G518" s="31" t="n">
        <v>864297</v>
      </c>
      <c r="H518" s="36" t="n">
        <v>-0.04200819672131151</v>
      </c>
      <c r="I518" s="36" t="n">
        <v>-0.2156040268456376</v>
      </c>
      <c r="J518" s="31" t="n">
        <v>50295</v>
      </c>
      <c r="K518" s="31" t="n">
        <v>45130.16666666666</v>
      </c>
      <c r="L518" s="31" t="n">
        <v>43385.08333333334</v>
      </c>
      <c r="M518" s="36" t="n">
        <v>0.3782390770212219</v>
      </c>
      <c r="N518" s="36" t="n">
        <v>0.4983320516326166</v>
      </c>
      <c r="O518" s="36" t="n">
        <v>-0.09922928709055878</v>
      </c>
      <c r="P518" s="36" t="n">
        <v>0.3288800454803866</v>
      </c>
      <c r="Q518" s="36" t="n">
        <v>0.1514778325123152</v>
      </c>
      <c r="R518" s="36" t="n">
        <v>-0.07048414355303712</v>
      </c>
      <c r="S518" s="36" t="n">
        <v>0.03589247399189754</v>
      </c>
      <c r="T518" s="36" t="n">
        <v>0.07755929937516925</v>
      </c>
      <c r="U518" s="31" t="n">
        <v>53000</v>
      </c>
      <c r="V518" s="31" t="n">
        <v>30040</v>
      </c>
      <c r="W518" s="36" t="n">
        <v>-0.1179245283018868</v>
      </c>
      <c r="X518" s="36" t="n">
        <v>0.5562583222370172</v>
      </c>
      <c r="Y518" s="31" t="n">
        <v>76211850</v>
      </c>
      <c r="Z518" s="31" t="n">
        <v>3562903987500</v>
      </c>
      <c r="AA518" s="31" t="n">
        <v>40405884750</v>
      </c>
      <c r="AB518" s="31" t="n">
        <v>22956565725</v>
      </c>
      <c r="AC518" s="36" t="n">
        <v>0.01134071669956837</v>
      </c>
      <c r="AD518" s="29" t="inlineStr">
        <is>
          <t>yfinance_download</t>
        </is>
      </c>
      <c r="AE518" s="29" t="inlineStr">
        <is>
          <t>058470.KQ</t>
        </is>
      </c>
    </row>
    <row r="519" ht="24" customHeight="1">
      <c r="A519" s="24" t="inlineStr">
        <is>
          <t>2025-07-24</t>
        </is>
      </c>
      <c r="B519" s="30" t="n">
        <v>47550</v>
      </c>
      <c r="C519" s="30" t="n">
        <v>47700</v>
      </c>
      <c r="D519" s="30" t="n">
        <v>45750</v>
      </c>
      <c r="E519" s="30" t="n">
        <v>46000</v>
      </c>
      <c r="F519" s="30" t="n">
        <v>43741.40625</v>
      </c>
      <c r="G519" s="30" t="n">
        <v>434798</v>
      </c>
      <c r="H519" s="35" t="n">
        <v>-0.01604278074866305</v>
      </c>
      <c r="I519" s="35" t="n">
        <v>-0.2281879194630873</v>
      </c>
      <c r="J519" s="30" t="n">
        <v>50075</v>
      </c>
      <c r="K519" s="30" t="n">
        <v>45322.5</v>
      </c>
      <c r="L519" s="30" t="n">
        <v>43427.58333333334</v>
      </c>
      <c r="M519" s="35" t="n">
        <v>0.370101438353905</v>
      </c>
      <c r="N519" s="35" t="n">
        <v>0.4974396937921623</v>
      </c>
      <c r="O519" s="35" t="n">
        <v>-0.08730158730158732</v>
      </c>
      <c r="P519" s="35" t="n">
        <v>0.3348810214741729</v>
      </c>
      <c r="Q519" s="35" t="n">
        <v>0.1246943765281174</v>
      </c>
      <c r="R519" s="35" t="n">
        <v>-0.08137793310034946</v>
      </c>
      <c r="S519" s="35" t="n">
        <v>0.01494842517513373</v>
      </c>
      <c r="T519" s="35" t="n">
        <v>0.05923462622641895</v>
      </c>
      <c r="U519" s="30" t="n">
        <v>53000</v>
      </c>
      <c r="V519" s="30" t="n">
        <v>30040</v>
      </c>
      <c r="W519" s="35" t="n">
        <v>-0.1320754716981132</v>
      </c>
      <c r="X519" s="35" t="n">
        <v>0.5312916111850865</v>
      </c>
      <c r="Y519" s="30" t="n">
        <v>76211850</v>
      </c>
      <c r="Z519" s="30" t="n">
        <v>3505745100000</v>
      </c>
      <c r="AA519" s="30" t="n">
        <v>20000708000</v>
      </c>
      <c r="AB519" s="30" t="n">
        <v>22388316925</v>
      </c>
      <c r="AC519" s="35" t="n">
        <v>0.005705123284633557</v>
      </c>
      <c r="AD519" s="24" t="inlineStr">
        <is>
          <t>yfinance_download</t>
        </is>
      </c>
      <c r="AE519" s="24" t="inlineStr">
        <is>
          <t>058470.KQ</t>
        </is>
      </c>
    </row>
    <row r="520" ht="24" customHeight="1">
      <c r="A520" s="29" t="inlineStr">
        <is>
          <t>2025-07-25</t>
        </is>
      </c>
      <c r="B520" s="31" t="n">
        <v>46100</v>
      </c>
      <c r="C520" s="31" t="n">
        <v>46650</v>
      </c>
      <c r="D520" s="31" t="n">
        <v>45600</v>
      </c>
      <c r="E520" s="31" t="n">
        <v>45850</v>
      </c>
      <c r="F520" s="31" t="n">
        <v>43598.76953125</v>
      </c>
      <c r="G520" s="31" t="n">
        <v>332802</v>
      </c>
      <c r="H520" s="36" t="n">
        <v>-0.003260869565217428</v>
      </c>
      <c r="I520" s="36" t="n">
        <v>-0.2307046979865772</v>
      </c>
      <c r="J520" s="31" t="n">
        <v>49832.5</v>
      </c>
      <c r="K520" s="31" t="n">
        <v>45446.66666666666</v>
      </c>
      <c r="L520" s="31" t="n">
        <v>43468</v>
      </c>
      <c r="M520" s="36" t="n">
        <v>0.3681570011837908</v>
      </c>
      <c r="N520" s="36" t="n">
        <v>0.4427124418998768</v>
      </c>
      <c r="O520" s="36" t="n">
        <v>-0.0956607495069034</v>
      </c>
      <c r="P520" s="36" t="n">
        <v>0.1940104166666667</v>
      </c>
      <c r="Q520" s="36" t="n">
        <v>0.1182926829268294</v>
      </c>
      <c r="R520" s="36" t="n">
        <v>-0.07991772437666178</v>
      </c>
      <c r="S520" s="36" t="n">
        <v>0.008874871644418469</v>
      </c>
      <c r="T520" s="36" t="n">
        <v>0.05479893254808132</v>
      </c>
      <c r="U520" s="31" t="n">
        <v>53000</v>
      </c>
      <c r="V520" s="31" t="n">
        <v>30040</v>
      </c>
      <c r="W520" s="36" t="n">
        <v>-0.1349056603773585</v>
      </c>
      <c r="X520" s="36" t="n">
        <v>0.5262982689747004</v>
      </c>
      <c r="Y520" s="31" t="n">
        <v>76211850</v>
      </c>
      <c r="Z520" s="31" t="n">
        <v>3494313322500</v>
      </c>
      <c r="AA520" s="31" t="n">
        <v>15258971700</v>
      </c>
      <c r="AB520" s="31" t="n">
        <v>22226789035</v>
      </c>
      <c r="AC520" s="36" t="n">
        <v>0.004366801225793627</v>
      </c>
      <c r="AD520" s="29" t="inlineStr">
        <is>
          <t>yfinance_download</t>
        </is>
      </c>
      <c r="AE520" s="29" t="inlineStr">
        <is>
          <t>058470.KQ</t>
        </is>
      </c>
    </row>
    <row r="521" ht="24" customHeight="1">
      <c r="A521" s="24" t="inlineStr">
        <is>
          <t>2025-07-28</t>
        </is>
      </c>
      <c r="B521" s="30" t="n">
        <v>46050</v>
      </c>
      <c r="C521" s="30" t="n">
        <v>47750</v>
      </c>
      <c r="D521" s="30" t="n">
        <v>46050</v>
      </c>
      <c r="E521" s="30" t="n">
        <v>47350</v>
      </c>
      <c r="F521" s="30" t="n">
        <v>45025.12109375</v>
      </c>
      <c r="G521" s="30" t="n">
        <v>568549</v>
      </c>
      <c r="H521" s="35" t="n">
        <v>0.03271537622682663</v>
      </c>
      <c r="I521" s="35" t="n">
        <v>-0.2055369127516778</v>
      </c>
      <c r="J521" s="30" t="n">
        <v>49655</v>
      </c>
      <c r="K521" s="30" t="n">
        <v>45635</v>
      </c>
      <c r="L521" s="30" t="n">
        <v>43531.08333333334</v>
      </c>
      <c r="M521" s="35" t="n">
        <v>0.3906548109611371</v>
      </c>
      <c r="N521" s="35" t="n">
        <v>0.4257501764148537</v>
      </c>
      <c r="O521" s="35" t="n">
        <v>-0.06974459724950888</v>
      </c>
      <c r="P521" s="35" t="n">
        <v>0.3134535367545077</v>
      </c>
      <c r="Q521" s="35" t="n">
        <v>0.1902966314731021</v>
      </c>
      <c r="R521" s="35" t="n">
        <v>-0.04642030007048636</v>
      </c>
      <c r="S521" s="35" t="n">
        <v>0.03758080420729693</v>
      </c>
      <c r="T521" s="35" t="n">
        <v>0.08772850051591474</v>
      </c>
      <c r="U521" s="30" t="n">
        <v>53000</v>
      </c>
      <c r="V521" s="30" t="n">
        <v>30040</v>
      </c>
      <c r="W521" s="35" t="n">
        <v>-0.1066037735849057</v>
      </c>
      <c r="X521" s="35" t="n">
        <v>0.5762316910785619</v>
      </c>
      <c r="Y521" s="30" t="n">
        <v>76211850</v>
      </c>
      <c r="Z521" s="30" t="n">
        <v>3608631097500</v>
      </c>
      <c r="AA521" s="30" t="n">
        <v>26920795150</v>
      </c>
      <c r="AB521" s="30" t="n">
        <v>22890455757.5</v>
      </c>
      <c r="AC521" s="35" t="n">
        <v>0.007460112830222597</v>
      </c>
      <c r="AD521" s="24" t="inlineStr">
        <is>
          <t>yfinance_download</t>
        </is>
      </c>
      <c r="AE521" s="24" t="inlineStr">
        <is>
          <t>058470.KQ</t>
        </is>
      </c>
    </row>
    <row r="522" ht="24" customHeight="1">
      <c r="A522" s="29" t="inlineStr">
        <is>
          <t>2025-07-29</t>
        </is>
      </c>
      <c r="B522" s="31" t="n">
        <v>48200</v>
      </c>
      <c r="C522" s="31" t="n">
        <v>48200</v>
      </c>
      <c r="D522" s="31" t="n">
        <v>46100</v>
      </c>
      <c r="E522" s="31" t="n">
        <v>46850</v>
      </c>
      <c r="F522" s="31" t="n">
        <v>44549.671875</v>
      </c>
      <c r="G522" s="31" t="n">
        <v>437699</v>
      </c>
      <c r="H522" s="36" t="n">
        <v>-0.01055966209081305</v>
      </c>
      <c r="I522" s="36" t="n">
        <v>-0.2139261744966443</v>
      </c>
      <c r="J522" s="31" t="n">
        <v>49442.5</v>
      </c>
      <c r="K522" s="31" t="n">
        <v>45815.83333333334</v>
      </c>
      <c r="L522" s="31" t="n">
        <v>43591.66666666666</v>
      </c>
      <c r="M522" s="36" t="n">
        <v>0.390474342387223</v>
      </c>
      <c r="N522" s="36" t="n">
        <v>0.4267429110485164</v>
      </c>
      <c r="O522" s="36" t="n">
        <v>-0.08317025440313108</v>
      </c>
      <c r="P522" s="36" t="n">
        <v>0.3013888888888889</v>
      </c>
      <c r="Q522" s="36" t="n">
        <v>0.183678625568469</v>
      </c>
      <c r="R522" s="36" t="n">
        <v>-0.05243464630631545</v>
      </c>
      <c r="S522" s="36" t="n">
        <v>0.02257225486094683</v>
      </c>
      <c r="T522" s="36" t="n">
        <v>0.07474670235136682</v>
      </c>
      <c r="U522" s="31" t="n">
        <v>53000</v>
      </c>
      <c r="V522" s="31" t="n">
        <v>30040</v>
      </c>
      <c r="W522" s="36" t="n">
        <v>-0.1160377358490566</v>
      </c>
      <c r="X522" s="36" t="n">
        <v>0.5595872170439413</v>
      </c>
      <c r="Y522" s="31" t="n">
        <v>76211850</v>
      </c>
      <c r="Z522" s="31" t="n">
        <v>3570525172500</v>
      </c>
      <c r="AA522" s="31" t="n">
        <v>20506198150</v>
      </c>
      <c r="AB522" s="31" t="n">
        <v>22713778690</v>
      </c>
      <c r="AC522" s="36" t="n">
        <v>0.005743188231226509</v>
      </c>
      <c r="AD522" s="29" t="inlineStr">
        <is>
          <t>yfinance_download</t>
        </is>
      </c>
      <c r="AE522" s="29" t="inlineStr">
        <is>
          <t>058470.KQ</t>
        </is>
      </c>
    </row>
    <row r="523" ht="24" customHeight="1">
      <c r="A523" s="24" t="inlineStr">
        <is>
          <t>2025-07-30</t>
        </is>
      </c>
      <c r="B523" s="30" t="n">
        <v>46850</v>
      </c>
      <c r="C523" s="30" t="n">
        <v>48150</v>
      </c>
      <c r="D523" s="30" t="n">
        <v>46850</v>
      </c>
      <c r="E523" s="30" t="n">
        <v>47150</v>
      </c>
      <c r="F523" s="30" t="n">
        <v>44834.94140625</v>
      </c>
      <c r="G523" s="30" t="n">
        <v>396759</v>
      </c>
      <c r="H523" s="35" t="n">
        <v>0.006403415154749181</v>
      </c>
      <c r="I523" s="35" t="n">
        <v>-0.2088926174496645</v>
      </c>
      <c r="J523" s="30" t="n">
        <v>49340</v>
      </c>
      <c r="K523" s="30" t="n">
        <v>46000</v>
      </c>
      <c r="L523" s="30" t="n">
        <v>43664.75</v>
      </c>
      <c r="M523" s="35" t="n">
        <v>0.3716095768355692</v>
      </c>
      <c r="N523" s="35" t="n">
        <v>0.4267359988977767</v>
      </c>
      <c r="O523" s="35" t="n">
        <v>-0.04166666666666663</v>
      </c>
      <c r="P523" s="35" t="n">
        <v>0.3060941828254848</v>
      </c>
      <c r="Q523" s="35" t="n">
        <v>0.2285044293903074</v>
      </c>
      <c r="R523" s="35" t="n">
        <v>-0.0443858937981354</v>
      </c>
      <c r="S523" s="35" t="n">
        <v>0.02499999999999991</v>
      </c>
      <c r="T523" s="35" t="n">
        <v>0.07981838897508853</v>
      </c>
      <c r="U523" s="30" t="n">
        <v>53000</v>
      </c>
      <c r="V523" s="30" t="n">
        <v>30040</v>
      </c>
      <c r="W523" s="35" t="n">
        <v>-0.1103773584905661</v>
      </c>
      <c r="X523" s="35" t="n">
        <v>0.5695739014647137</v>
      </c>
      <c r="Y523" s="30" t="n">
        <v>76211850</v>
      </c>
      <c r="Z523" s="30" t="n">
        <v>3593388727500</v>
      </c>
      <c r="AA523" s="30" t="n">
        <v>18707186850</v>
      </c>
      <c r="AB523" s="30" t="n">
        <v>21900961172.5</v>
      </c>
      <c r="AC523" s="35" t="n">
        <v>0.005206001428911646</v>
      </c>
      <c r="AD523" s="24" t="inlineStr">
        <is>
          <t>yfinance_download</t>
        </is>
      </c>
      <c r="AE523" s="24" t="inlineStr">
        <is>
          <t>058470.KQ</t>
        </is>
      </c>
    </row>
    <row r="524" ht="24" customHeight="1">
      <c r="A524" s="29" t="inlineStr">
        <is>
          <t>2025-07-31</t>
        </is>
      </c>
      <c r="B524" s="31" t="n">
        <v>47800</v>
      </c>
      <c r="C524" s="31" t="n">
        <v>47850</v>
      </c>
      <c r="D524" s="31" t="n">
        <v>47050</v>
      </c>
      <c r="E524" s="31" t="n">
        <v>47700</v>
      </c>
      <c r="F524" s="31" t="n">
        <v>45357.9375</v>
      </c>
      <c r="G524" s="31" t="n">
        <v>362898</v>
      </c>
      <c r="H524" s="36" t="n">
        <v>0.01166489925768821</v>
      </c>
      <c r="I524" s="36" t="n">
        <v>-0.1996644295302014</v>
      </c>
      <c r="J524" s="31" t="n">
        <v>49150</v>
      </c>
      <c r="K524" s="31" t="n">
        <v>46182.5</v>
      </c>
      <c r="L524" s="31" t="n">
        <v>43736.75</v>
      </c>
      <c r="M524" s="36" t="n">
        <v>0.32918334299159</v>
      </c>
      <c r="N524" s="36" t="n">
        <v>0.4260960142159081</v>
      </c>
      <c r="O524" s="36" t="n">
        <v>-0.0737864077669903</v>
      </c>
      <c r="P524" s="36" t="n">
        <v>0.2979591836734694</v>
      </c>
      <c r="Q524" s="36" t="n">
        <v>0.2211981566820276</v>
      </c>
      <c r="R524" s="36" t="n">
        <v>-0.02950152594099698</v>
      </c>
      <c r="S524" s="36" t="n">
        <v>0.03285876684891464</v>
      </c>
      <c r="T524" s="36" t="n">
        <v>0.0906160151360127</v>
      </c>
      <c r="U524" s="31" t="n">
        <v>53000</v>
      </c>
      <c r="V524" s="31" t="n">
        <v>30040</v>
      </c>
      <c r="W524" s="36" t="n">
        <v>-0.09999999999999998</v>
      </c>
      <c r="X524" s="36" t="n">
        <v>0.5878828229027964</v>
      </c>
      <c r="Y524" s="31" t="n">
        <v>76211850</v>
      </c>
      <c r="Z524" s="31" t="n">
        <v>3635305245000</v>
      </c>
      <c r="AA524" s="31" t="n">
        <v>17310234600</v>
      </c>
      <c r="AB524" s="31" t="n">
        <v>21444699652.5</v>
      </c>
      <c r="AC524" s="36" t="n">
        <v>0.004761700444222257</v>
      </c>
      <c r="AD524" s="29" t="inlineStr">
        <is>
          <t>yfinance_download</t>
        </is>
      </c>
      <c r="AE524" s="29" t="inlineStr">
        <is>
          <t>058470.KQ</t>
        </is>
      </c>
    </row>
    <row r="525" ht="24" customHeight="1">
      <c r="A525" s="24" t="inlineStr">
        <is>
          <t>2025-08-01</t>
        </is>
      </c>
      <c r="B525" s="30" t="n">
        <v>46900</v>
      </c>
      <c r="C525" s="30" t="n">
        <v>47100</v>
      </c>
      <c r="D525" s="30" t="n">
        <v>45000</v>
      </c>
      <c r="E525" s="30" t="n">
        <v>45150</v>
      </c>
      <c r="F525" s="30" t="n">
        <v>42933.140625</v>
      </c>
      <c r="G525" s="30" t="n">
        <v>539640</v>
      </c>
      <c r="H525" s="35" t="n">
        <v>-0.05345911949685533</v>
      </c>
      <c r="I525" s="35" t="n">
        <v>-0.2424496644295302</v>
      </c>
      <c r="J525" s="30" t="n">
        <v>48907.5</v>
      </c>
      <c r="K525" s="30" t="n">
        <v>46320.83333333334</v>
      </c>
      <c r="L525" s="30" t="n">
        <v>43784.5</v>
      </c>
      <c r="M525" s="35" t="n">
        <v>0.3637112894737205</v>
      </c>
      <c r="N525" s="35" t="n">
        <v>0.4424548743307822</v>
      </c>
      <c r="O525" s="35" t="n">
        <v>-0.09699999999999998</v>
      </c>
      <c r="P525" s="35" t="n">
        <v>0.2252374491180462</v>
      </c>
      <c r="Q525" s="35" t="n">
        <v>0.1453576864535768</v>
      </c>
      <c r="R525" s="35" t="n">
        <v>-0.07682870725348878</v>
      </c>
      <c r="S525" s="35" t="n">
        <v>-0.02527660340019799</v>
      </c>
      <c r="T525" s="35" t="n">
        <v>0.03118683552398682</v>
      </c>
      <c r="U525" s="30" t="n">
        <v>53000</v>
      </c>
      <c r="V525" s="30" t="n">
        <v>30040</v>
      </c>
      <c r="W525" s="35" t="n">
        <v>-0.1481132075471698</v>
      </c>
      <c r="X525" s="35" t="n">
        <v>0.5029960053262317</v>
      </c>
      <c r="Y525" s="30" t="n">
        <v>76211850</v>
      </c>
      <c r="Z525" s="30" t="n">
        <v>3440965027500</v>
      </c>
      <c r="AA525" s="30" t="n">
        <v>24364746000</v>
      </c>
      <c r="AB525" s="30" t="n">
        <v>22060129452.5</v>
      </c>
      <c r="AC525" s="35" t="n">
        <v>0.007080788617518142</v>
      </c>
      <c r="AD525" s="24" t="inlineStr">
        <is>
          <t>yfinance_download</t>
        </is>
      </c>
      <c r="AE525" s="24" t="inlineStr">
        <is>
          <t>058470.KQ</t>
        </is>
      </c>
    </row>
    <row r="526" ht="24" customHeight="1">
      <c r="A526" s="29" t="inlineStr">
        <is>
          <t>2025-08-04</t>
        </is>
      </c>
      <c r="B526" s="31" t="n">
        <v>45100</v>
      </c>
      <c r="C526" s="31" t="n">
        <v>45200</v>
      </c>
      <c r="D526" s="31" t="n">
        <v>44000</v>
      </c>
      <c r="E526" s="31" t="n">
        <v>45100</v>
      </c>
      <c r="F526" s="31" t="n">
        <v>42885.59765625</v>
      </c>
      <c r="G526" s="31" t="n">
        <v>521436</v>
      </c>
      <c r="H526" s="36" t="n">
        <v>-0.001107419712070845</v>
      </c>
      <c r="I526" s="36" t="n">
        <v>-0.2432885906040269</v>
      </c>
      <c r="J526" s="31" t="n">
        <v>48657.5</v>
      </c>
      <c r="K526" s="31" t="n">
        <v>46451.66666666666</v>
      </c>
      <c r="L526" s="31" t="n">
        <v>43812</v>
      </c>
      <c r="M526" s="36" t="n">
        <v>0.3631034427015347</v>
      </c>
      <c r="N526" s="36" t="n">
        <v>0.4423158065303492</v>
      </c>
      <c r="O526" s="36" t="n">
        <v>-0.09980039920159678</v>
      </c>
      <c r="P526" s="36" t="n">
        <v>0.210738255033557</v>
      </c>
      <c r="Q526" s="36" t="n">
        <v>0.07894736842105265</v>
      </c>
      <c r="R526" s="36" t="n">
        <v>-0.07311308636900782</v>
      </c>
      <c r="S526" s="36" t="n">
        <v>-0.02909834595098848</v>
      </c>
      <c r="T526" s="36" t="n">
        <v>0.02939833835478867</v>
      </c>
      <c r="U526" s="31" t="n">
        <v>53000</v>
      </c>
      <c r="V526" s="31" t="n">
        <v>30040</v>
      </c>
      <c r="W526" s="36" t="n">
        <v>-0.1490566037735849</v>
      </c>
      <c r="X526" s="36" t="n">
        <v>0.5013315579227697</v>
      </c>
      <c r="Y526" s="31" t="n">
        <v>76211850</v>
      </c>
      <c r="Z526" s="31" t="n">
        <v>3437154435000</v>
      </c>
      <c r="AA526" s="31" t="n">
        <v>23516763600</v>
      </c>
      <c r="AB526" s="31" t="n">
        <v>22798056057.5</v>
      </c>
      <c r="AC526" s="36" t="n">
        <v>0.006841928125350586</v>
      </c>
      <c r="AD526" s="29" t="inlineStr">
        <is>
          <t>yfinance_download</t>
        </is>
      </c>
      <c r="AE526" s="29" t="inlineStr">
        <is>
          <t>058470.KQ</t>
        </is>
      </c>
    </row>
    <row r="527" ht="24" customHeight="1">
      <c r="A527" s="24" t="inlineStr">
        <is>
          <t>2025-08-05</t>
        </is>
      </c>
      <c r="B527" s="30" t="n">
        <v>45650</v>
      </c>
      <c r="C527" s="30" t="n">
        <v>46500</v>
      </c>
      <c r="D527" s="30" t="n">
        <v>45500</v>
      </c>
      <c r="E527" s="30" t="n">
        <v>46000</v>
      </c>
      <c r="F527" s="30" t="n">
        <v>43741.40625</v>
      </c>
      <c r="G527" s="30" t="n">
        <v>320525</v>
      </c>
      <c r="H527" s="35" t="n">
        <v>0.01995565410199562</v>
      </c>
      <c r="I527" s="35" t="n">
        <v>-0.2281879194630873</v>
      </c>
      <c r="J527" s="30" t="n">
        <v>48427.5</v>
      </c>
      <c r="K527" s="30" t="n">
        <v>46610.83333333334</v>
      </c>
      <c r="L527" s="30" t="n">
        <v>43855.33333333334</v>
      </c>
      <c r="M527" s="35" t="n">
        <v>0.3702155862643402</v>
      </c>
      <c r="N527" s="35" t="n">
        <v>0.4404411910614556</v>
      </c>
      <c r="O527" s="35" t="n">
        <v>-0.09090909090909094</v>
      </c>
      <c r="P527" s="35" t="n">
        <v>0.2620027434842249</v>
      </c>
      <c r="Q527" s="35" t="n">
        <v>0.1274509803921569</v>
      </c>
      <c r="R527" s="35" t="n">
        <v>-0.05012647772443346</v>
      </c>
      <c r="S527" s="35" t="n">
        <v>-0.01310496486868218</v>
      </c>
      <c r="T527" s="35" t="n">
        <v>0.04890321207606818</v>
      </c>
      <c r="U527" s="30" t="n">
        <v>53000</v>
      </c>
      <c r="V527" s="30" t="n">
        <v>30040</v>
      </c>
      <c r="W527" s="35" t="n">
        <v>-0.1320754716981132</v>
      </c>
      <c r="X527" s="35" t="n">
        <v>0.5312916111850865</v>
      </c>
      <c r="Y527" s="30" t="n">
        <v>76211850</v>
      </c>
      <c r="Z527" s="30" t="n">
        <v>3505745100000</v>
      </c>
      <c r="AA527" s="30" t="n">
        <v>14744150000</v>
      </c>
      <c r="AB527" s="30" t="n">
        <v>22869410567.5</v>
      </c>
      <c r="AC527" s="35" t="n">
        <v>0.004205710791694467</v>
      </c>
      <c r="AD527" s="24" t="inlineStr">
        <is>
          <t>yfinance_download</t>
        </is>
      </c>
      <c r="AE527" s="24" t="inlineStr">
        <is>
          <t>058470.KQ</t>
        </is>
      </c>
    </row>
    <row r="528" ht="24" customHeight="1">
      <c r="A528" s="29" t="inlineStr">
        <is>
          <t>2025-08-06</t>
        </is>
      </c>
      <c r="B528" s="31" t="n">
        <v>45800</v>
      </c>
      <c r="C528" s="31" t="n">
        <v>45850</v>
      </c>
      <c r="D528" s="31" t="n">
        <v>45050</v>
      </c>
      <c r="E528" s="31" t="n">
        <v>45650</v>
      </c>
      <c r="F528" s="31" t="n">
        <v>43408.58984375</v>
      </c>
      <c r="G528" s="31" t="n">
        <v>288723</v>
      </c>
      <c r="H528" s="36" t="n">
        <v>-0.007608695652173925</v>
      </c>
      <c r="I528" s="36" t="n">
        <v>-0.2340604026845637</v>
      </c>
      <c r="J528" s="31" t="n">
        <v>48210</v>
      </c>
      <c r="K528" s="31" t="n">
        <v>46736.66666666666</v>
      </c>
      <c r="L528" s="31" t="n">
        <v>43871.58333333334</v>
      </c>
      <c r="M528" s="36" t="n">
        <v>0.3694007371705343</v>
      </c>
      <c r="N528" s="36" t="n">
        <v>0.4326763088658537</v>
      </c>
      <c r="O528" s="36" t="n">
        <v>-0.08699999999999997</v>
      </c>
      <c r="P528" s="36" t="n">
        <v>0.1981627296587927</v>
      </c>
      <c r="Q528" s="36" t="n">
        <v>0.04462242562929064</v>
      </c>
      <c r="R528" s="36" t="n">
        <v>-0.05310101638664178</v>
      </c>
      <c r="S528" s="36" t="n">
        <v>-0.02325083802867123</v>
      </c>
      <c r="T528" s="36" t="n">
        <v>0.04053686991769534</v>
      </c>
      <c r="U528" s="31" t="n">
        <v>53000</v>
      </c>
      <c r="V528" s="31" t="n">
        <v>30040</v>
      </c>
      <c r="W528" s="36" t="n">
        <v>-0.1386792452830189</v>
      </c>
      <c r="X528" s="36" t="n">
        <v>0.5196404793608522</v>
      </c>
      <c r="Y528" s="31" t="n">
        <v>76211850</v>
      </c>
      <c r="Z528" s="31" t="n">
        <v>3479070952500</v>
      </c>
      <c r="AA528" s="31" t="n">
        <v>13180204950</v>
      </c>
      <c r="AB528" s="31" t="n">
        <v>22947275815</v>
      </c>
      <c r="AC528" s="36" t="n">
        <v>0.003788426602949541</v>
      </c>
      <c r="AD528" s="29" t="inlineStr">
        <is>
          <t>yfinance_download</t>
        </is>
      </c>
      <c r="AE528" s="29" t="inlineStr">
        <is>
          <t>058470.KQ</t>
        </is>
      </c>
    </row>
    <row r="529" ht="24" customHeight="1">
      <c r="A529" s="24" t="inlineStr">
        <is>
          <t>2025-08-07</t>
        </is>
      </c>
      <c r="B529" s="30" t="n">
        <v>46100</v>
      </c>
      <c r="C529" s="30" t="n">
        <v>46750</v>
      </c>
      <c r="D529" s="30" t="n">
        <v>45700</v>
      </c>
      <c r="E529" s="30" t="n">
        <v>46100</v>
      </c>
      <c r="F529" s="30" t="n">
        <v>43836.49609375</v>
      </c>
      <c r="G529" s="30" t="n">
        <v>256427</v>
      </c>
      <c r="H529" s="35" t="n">
        <v>0.009857612267250904</v>
      </c>
      <c r="I529" s="35" t="n">
        <v>-0.2265100671140939</v>
      </c>
      <c r="J529" s="30" t="n">
        <v>48027.5</v>
      </c>
      <c r="K529" s="30" t="n">
        <v>46831.66666666666</v>
      </c>
      <c r="L529" s="30" t="n">
        <v>43889.91666666666</v>
      </c>
      <c r="M529" s="35" t="n">
        <v>0.3727660414064481</v>
      </c>
      <c r="N529" s="35" t="n">
        <v>0.4163352684328716</v>
      </c>
      <c r="O529" s="35" t="n">
        <v>-0.07336683417085432</v>
      </c>
      <c r="P529" s="35" t="n">
        <v>0.141089108910891</v>
      </c>
      <c r="Q529" s="35" t="n">
        <v>0.05011389521640086</v>
      </c>
      <c r="R529" s="35" t="n">
        <v>-0.04013325698818382</v>
      </c>
      <c r="S529" s="35" t="n">
        <v>-0.01562333179116693</v>
      </c>
      <c r="T529" s="35" t="n">
        <v>0.05035514991104639</v>
      </c>
      <c r="U529" s="30" t="n">
        <v>53000</v>
      </c>
      <c r="V529" s="30" t="n">
        <v>30040</v>
      </c>
      <c r="W529" s="35" t="n">
        <v>-0.130188679245283</v>
      </c>
      <c r="X529" s="35" t="n">
        <v>0.5346205059920106</v>
      </c>
      <c r="Y529" s="30" t="n">
        <v>76211850</v>
      </c>
      <c r="Z529" s="30" t="n">
        <v>3513366285000</v>
      </c>
      <c r="AA529" s="30" t="n">
        <v>11821284700</v>
      </c>
      <c r="AB529" s="30" t="n">
        <v>22602520162.5</v>
      </c>
      <c r="AC529" s="35" t="n">
        <v>0.003364660482588994</v>
      </c>
      <c r="AD529" s="24" t="inlineStr">
        <is>
          <t>yfinance_download</t>
        </is>
      </c>
      <c r="AE529" s="24" t="inlineStr">
        <is>
          <t>058470.KQ</t>
        </is>
      </c>
    </row>
    <row r="530" ht="24" customHeight="1">
      <c r="A530" s="29" t="inlineStr">
        <is>
          <t>2025-08-08</t>
        </is>
      </c>
      <c r="B530" s="31" t="n">
        <v>46800</v>
      </c>
      <c r="C530" s="31" t="n">
        <v>46800</v>
      </c>
      <c r="D530" s="31" t="n">
        <v>46050</v>
      </c>
      <c r="E530" s="31" t="n">
        <v>46250</v>
      </c>
      <c r="F530" s="31" t="n">
        <v>43979.1328125</v>
      </c>
      <c r="G530" s="31" t="n">
        <v>346216</v>
      </c>
      <c r="H530" s="36" t="n">
        <v>0.003253796095444628</v>
      </c>
      <c r="I530" s="36" t="n">
        <v>-0.2239932885906041</v>
      </c>
      <c r="J530" s="31" t="n">
        <v>47830</v>
      </c>
      <c r="K530" s="31" t="n">
        <v>46936.66666666666</v>
      </c>
      <c r="L530" s="31" t="n">
        <v>43917.83333333334</v>
      </c>
      <c r="M530" s="36" t="n">
        <v>0.3707346588428563</v>
      </c>
      <c r="N530" s="36" t="n">
        <v>0.41535966994351</v>
      </c>
      <c r="O530" s="36" t="n">
        <v>-0.07868525896414347</v>
      </c>
      <c r="P530" s="36" t="n">
        <v>0.1576971214017522</v>
      </c>
      <c r="Q530" s="36" t="n">
        <v>0.07808857808857805</v>
      </c>
      <c r="R530" s="36" t="n">
        <v>-0.03303366088229143</v>
      </c>
      <c r="S530" s="36" t="n">
        <v>-0.01462964278105239</v>
      </c>
      <c r="T530" s="36" t="n">
        <v>0.05310295362172535</v>
      </c>
      <c r="U530" s="31" t="n">
        <v>53000</v>
      </c>
      <c r="V530" s="31" t="n">
        <v>30040</v>
      </c>
      <c r="W530" s="36" t="n">
        <v>-0.1273584905660378</v>
      </c>
      <c r="X530" s="36" t="n">
        <v>0.5396138482023969</v>
      </c>
      <c r="Y530" s="31" t="n">
        <v>76211850</v>
      </c>
      <c r="Z530" s="31" t="n">
        <v>3524798062500</v>
      </c>
      <c r="AA530" s="31" t="n">
        <v>16012490000</v>
      </c>
      <c r="AB530" s="31" t="n">
        <v>22232382772.5</v>
      </c>
      <c r="AC530" s="36" t="n">
        <v>0.004542810599663963</v>
      </c>
      <c r="AD530" s="29" t="inlineStr">
        <is>
          <t>yfinance_download</t>
        </is>
      </c>
      <c r="AE530" s="29" t="inlineStr">
        <is>
          <t>058470.KQ</t>
        </is>
      </c>
    </row>
    <row r="531" ht="24" customHeight="1">
      <c r="A531" s="24" t="inlineStr">
        <is>
          <t>2025-08-11</t>
        </is>
      </c>
      <c r="B531" s="30" t="n">
        <v>46250</v>
      </c>
      <c r="C531" s="30" t="n">
        <v>46900</v>
      </c>
      <c r="D531" s="30" t="n">
        <v>45200</v>
      </c>
      <c r="E531" s="30" t="n">
        <v>46800</v>
      </c>
      <c r="F531" s="30" t="n">
        <v>44502.125</v>
      </c>
      <c r="G531" s="30" t="n">
        <v>347112</v>
      </c>
      <c r="H531" s="35" t="n">
        <v>0.01189189189189199</v>
      </c>
      <c r="I531" s="35" t="n">
        <v>-0.214765100671141</v>
      </c>
      <c r="J531" s="30" t="n">
        <v>47610</v>
      </c>
      <c r="K531" s="30" t="n">
        <v>47066.66666666666</v>
      </c>
      <c r="L531" s="30" t="n">
        <v>43948.66666666666</v>
      </c>
      <c r="M531" s="35" t="n">
        <v>0.3649644967269115</v>
      </c>
      <c r="N531" s="35" t="n">
        <v>0.4120383099702671</v>
      </c>
      <c r="O531" s="35" t="n">
        <v>-0.0859375</v>
      </c>
      <c r="P531" s="35" t="n">
        <v>0.2</v>
      </c>
      <c r="Q531" s="35" t="n">
        <v>0.08584686774941996</v>
      </c>
      <c r="R531" s="35" t="n">
        <v>-0.01701323251417775</v>
      </c>
      <c r="S531" s="35" t="n">
        <v>-0.005665722379603388</v>
      </c>
      <c r="T531" s="35" t="n">
        <v>0.06487872214553358</v>
      </c>
      <c r="U531" s="30" t="n">
        <v>53000</v>
      </c>
      <c r="V531" s="30" t="n">
        <v>30040</v>
      </c>
      <c r="W531" s="35" t="n">
        <v>-0.1169811320754717</v>
      </c>
      <c r="X531" s="35" t="n">
        <v>0.5579227696404794</v>
      </c>
      <c r="Y531" s="30" t="n">
        <v>76211850</v>
      </c>
      <c r="Z531" s="30" t="n">
        <v>3566714580000</v>
      </c>
      <c r="AA531" s="30" t="n">
        <v>16244841600</v>
      </c>
      <c r="AB531" s="30" t="n">
        <v>21907321812.5</v>
      </c>
      <c r="AC531" s="35" t="n">
        <v>0.004554567301541689</v>
      </c>
      <c r="AD531" s="24" t="inlineStr">
        <is>
          <t>yfinance_download</t>
        </is>
      </c>
      <c r="AE531" s="24" t="inlineStr">
        <is>
          <t>058470.KQ</t>
        </is>
      </c>
    </row>
    <row r="532" ht="24" customHeight="1">
      <c r="A532" s="29" t="inlineStr">
        <is>
          <t>2025-08-12</t>
        </is>
      </c>
      <c r="B532" s="31" t="n">
        <v>46850</v>
      </c>
      <c r="C532" s="31" t="n">
        <v>47350</v>
      </c>
      <c r="D532" s="31" t="n">
        <v>46000</v>
      </c>
      <c r="E532" s="31" t="n">
        <v>46100</v>
      </c>
      <c r="F532" s="31" t="n">
        <v>43836.49609375</v>
      </c>
      <c r="G532" s="31" t="n">
        <v>316078</v>
      </c>
      <c r="H532" s="36" t="n">
        <v>-0.0149572649572649</v>
      </c>
      <c r="I532" s="36" t="n">
        <v>-0.2265100671140939</v>
      </c>
      <c r="J532" s="31" t="n">
        <v>47335</v>
      </c>
      <c r="K532" s="31" t="n">
        <v>47163.33333333334</v>
      </c>
      <c r="L532" s="31" t="n">
        <v>43975.33333333334</v>
      </c>
      <c r="M532" s="36" t="n">
        <v>0.3639495576246293</v>
      </c>
      <c r="N532" s="36" t="n">
        <v>0.4089134953728483</v>
      </c>
      <c r="O532" s="36" t="n">
        <v>-0.1065891472868217</v>
      </c>
      <c r="P532" s="36" t="n">
        <v>0.1439205955334988</v>
      </c>
      <c r="Q532" s="36" t="n">
        <v>0.07459207459207451</v>
      </c>
      <c r="R532" s="36" t="n">
        <v>-0.02609063061159822</v>
      </c>
      <c r="S532" s="36" t="n">
        <v>-0.02254576295144539</v>
      </c>
      <c r="T532" s="36" t="n">
        <v>0.04831496444976713</v>
      </c>
      <c r="U532" s="31" t="n">
        <v>53000</v>
      </c>
      <c r="V532" s="31" t="n">
        <v>30040</v>
      </c>
      <c r="W532" s="36" t="n">
        <v>-0.130188679245283</v>
      </c>
      <c r="X532" s="36" t="n">
        <v>0.5346205059920106</v>
      </c>
      <c r="Y532" s="31" t="n">
        <v>76211850</v>
      </c>
      <c r="Z532" s="31" t="n">
        <v>3513366285000</v>
      </c>
      <c r="AA532" s="31" t="n">
        <v>14571195800</v>
      </c>
      <c r="AB532" s="31" t="n">
        <v>21557353882.5</v>
      </c>
      <c r="AC532" s="36" t="n">
        <v>0.004147360285834814</v>
      </c>
      <c r="AD532" s="29" t="inlineStr">
        <is>
          <t>yfinance_download</t>
        </is>
      </c>
      <c r="AE532" s="29" t="inlineStr">
        <is>
          <t>058470.KQ</t>
        </is>
      </c>
    </row>
    <row r="533" ht="24" customHeight="1">
      <c r="A533" s="24" t="inlineStr">
        <is>
          <t>2025-08-13</t>
        </is>
      </c>
      <c r="B533" s="30" t="n">
        <v>46750</v>
      </c>
      <c r="C533" s="30" t="n">
        <v>49500</v>
      </c>
      <c r="D533" s="30" t="n">
        <v>46000</v>
      </c>
      <c r="E533" s="30" t="n">
        <v>47600</v>
      </c>
      <c r="F533" s="30" t="n">
        <v>45262.84765625</v>
      </c>
      <c r="G533" s="30" t="n">
        <v>2115736</v>
      </c>
      <c r="H533" s="35" t="n">
        <v>0.03253796095444694</v>
      </c>
      <c r="I533" s="35" t="n">
        <v>-0.2013422818791947</v>
      </c>
      <c r="J533" s="30" t="n">
        <v>47065</v>
      </c>
      <c r="K533" s="30" t="n">
        <v>47309.16666666666</v>
      </c>
      <c r="L533" s="30" t="n">
        <v>44024.5</v>
      </c>
      <c r="M533" s="35" t="n">
        <v>0.3707937186113155</v>
      </c>
      <c r="N533" s="35" t="n">
        <v>0.4054210826700982</v>
      </c>
      <c r="O533" s="35" t="n">
        <v>-0.1018867924528302</v>
      </c>
      <c r="P533" s="35" t="n">
        <v>0.2252252252252251</v>
      </c>
      <c r="Q533" s="35" t="n">
        <v>0.1414868105515588</v>
      </c>
      <c r="R533" s="35" t="n">
        <v>0.01136725804738137</v>
      </c>
      <c r="S533" s="35" t="n">
        <v>0.006147504888059041</v>
      </c>
      <c r="T533" s="35" t="n">
        <v>0.08121614101239083</v>
      </c>
      <c r="U533" s="30" t="n">
        <v>53000</v>
      </c>
      <c r="V533" s="30" t="n">
        <v>30040</v>
      </c>
      <c r="W533" s="35" t="n">
        <v>-0.1018867924528302</v>
      </c>
      <c r="X533" s="35" t="n">
        <v>0.5845539280958723</v>
      </c>
      <c r="Y533" s="30" t="n">
        <v>76211850</v>
      </c>
      <c r="Z533" s="30" t="n">
        <v>3627684060000</v>
      </c>
      <c r="AA533" s="30" t="n">
        <v>100709033600</v>
      </c>
      <c r="AB533" s="30" t="n">
        <v>24092127762.5</v>
      </c>
      <c r="AC533" s="35" t="n">
        <v>0.02776124710264874</v>
      </c>
      <c r="AD533" s="24" t="inlineStr">
        <is>
          <t>yfinance_download</t>
        </is>
      </c>
      <c r="AE533" s="24" t="inlineStr">
        <is>
          <t>058470.KQ</t>
        </is>
      </c>
    </row>
    <row r="534" ht="24" customHeight="1">
      <c r="A534" s="29" t="inlineStr">
        <is>
          <t>2025-08-14</t>
        </is>
      </c>
      <c r="B534" s="31" t="n">
        <v>47750</v>
      </c>
      <c r="C534" s="31" t="n">
        <v>47750</v>
      </c>
      <c r="D534" s="31" t="n">
        <v>46250</v>
      </c>
      <c r="E534" s="31" t="n">
        <v>46850</v>
      </c>
      <c r="F534" s="31" t="n">
        <v>44549.671875</v>
      </c>
      <c r="G534" s="31" t="n">
        <v>609814</v>
      </c>
      <c r="H534" s="36" t="n">
        <v>-0.01575630252100846</v>
      </c>
      <c r="I534" s="36" t="n">
        <v>-0.2139261744966443</v>
      </c>
      <c r="J534" s="31" t="n">
        <v>46882.5</v>
      </c>
      <c r="K534" s="31" t="n">
        <v>47433.33333333334</v>
      </c>
      <c r="L534" s="31" t="n">
        <v>44077.41666666666</v>
      </c>
      <c r="M534" s="36" t="n">
        <v>0.3389136214856244</v>
      </c>
      <c r="N534" s="36" t="n">
        <v>0.4067611318941508</v>
      </c>
      <c r="O534" s="36" t="n">
        <v>-0.07227722772277223</v>
      </c>
      <c r="P534" s="36" t="n">
        <v>0.1890862944162437</v>
      </c>
      <c r="Q534" s="36" t="n">
        <v>0.1567901234567901</v>
      </c>
      <c r="R534" s="36" t="n">
        <v>-0.0006932224177464974</v>
      </c>
      <c r="S534" s="36" t="n">
        <v>-0.01229796205200284</v>
      </c>
      <c r="T534" s="36" t="n">
        <v>0.06290258238818458</v>
      </c>
      <c r="U534" s="31" t="n">
        <v>53000</v>
      </c>
      <c r="V534" s="31" t="n">
        <v>30040</v>
      </c>
      <c r="W534" s="36" t="n">
        <v>-0.1160377358490566</v>
      </c>
      <c r="X534" s="36" t="n">
        <v>0.5595872170439413</v>
      </c>
      <c r="Y534" s="31" t="n">
        <v>76211850</v>
      </c>
      <c r="Z534" s="31" t="n">
        <v>3570525172500</v>
      </c>
      <c r="AA534" s="31" t="n">
        <v>28569785900</v>
      </c>
      <c r="AB534" s="31" t="n">
        <v>23482351207.5</v>
      </c>
      <c r="AC534" s="36" t="n">
        <v>0.008001564061231948</v>
      </c>
      <c r="AD534" s="29" t="inlineStr">
        <is>
          <t>yfinance_download</t>
        </is>
      </c>
      <c r="AE534" s="29" t="inlineStr">
        <is>
          <t>058470.KQ</t>
        </is>
      </c>
    </row>
    <row r="535" ht="24" customHeight="1">
      <c r="A535" s="24" t="inlineStr">
        <is>
          <t>2025-08-18</t>
        </is>
      </c>
      <c r="B535" s="30" t="n">
        <v>46500</v>
      </c>
      <c r="C535" s="30" t="n">
        <v>47125</v>
      </c>
      <c r="D535" s="30" t="n">
        <v>46200</v>
      </c>
      <c r="E535" s="30" t="n">
        <v>46300</v>
      </c>
      <c r="F535" s="30" t="n">
        <v>44026.67578125</v>
      </c>
      <c r="G535" s="30" t="n">
        <v>449698</v>
      </c>
      <c r="H535" s="35" t="n">
        <v>-0.01173959445037354</v>
      </c>
      <c r="I535" s="35" t="n">
        <v>-0.2231543624161074</v>
      </c>
      <c r="J535" s="30" t="n">
        <v>46697.5</v>
      </c>
      <c r="K535" s="30" t="n">
        <v>47540</v>
      </c>
      <c r="L535" s="30" t="n">
        <v>44124.91666666666</v>
      </c>
      <c r="M535" s="35" t="n">
        <v>0.3394347933531651</v>
      </c>
      <c r="N535" s="35" t="n">
        <v>0.4074099706644326</v>
      </c>
      <c r="O535" s="35" t="n">
        <v>-0.07399999999999995</v>
      </c>
      <c r="P535" s="35" t="n">
        <v>0.1604010025062657</v>
      </c>
      <c r="Q535" s="35" t="n">
        <v>0.1403940886699508</v>
      </c>
      <c r="R535" s="35" t="n">
        <v>-0.008512232988918012</v>
      </c>
      <c r="S535" s="35" t="n">
        <v>-0.02608329827513678</v>
      </c>
      <c r="T535" s="35" t="n">
        <v>0.04929376637160798</v>
      </c>
      <c r="U535" s="30" t="n">
        <v>53000</v>
      </c>
      <c r="V535" s="30" t="n">
        <v>30040</v>
      </c>
      <c r="W535" s="35" t="n">
        <v>-0.1264150943396226</v>
      </c>
      <c r="X535" s="35" t="n">
        <v>0.5412782956058588</v>
      </c>
      <c r="Y535" s="30" t="n">
        <v>76211850</v>
      </c>
      <c r="Z535" s="30" t="n">
        <v>3528608655000</v>
      </c>
      <c r="AA535" s="30" t="n">
        <v>20821017400</v>
      </c>
      <c r="AB535" s="30" t="n">
        <v>23750347077.5</v>
      </c>
      <c r="AC535" s="35" t="n">
        <v>0.005900630938626999</v>
      </c>
      <c r="AD535" s="24" t="inlineStr">
        <is>
          <t>yfinance_download</t>
        </is>
      </c>
      <c r="AE535" s="24" t="inlineStr">
        <is>
          <t>058470.KQ</t>
        </is>
      </c>
    </row>
    <row r="536" ht="24" customHeight="1">
      <c r="A536" s="29" t="inlineStr">
        <is>
          <t>2025-08-19</t>
        </is>
      </c>
      <c r="B536" s="31" t="n">
        <v>46600</v>
      </c>
      <c r="C536" s="31" t="n">
        <v>47450</v>
      </c>
      <c r="D536" s="31" t="n">
        <v>46250</v>
      </c>
      <c r="E536" s="31" t="n">
        <v>46600</v>
      </c>
      <c r="F536" s="31" t="n">
        <v>44311.9453125</v>
      </c>
      <c r="G536" s="31" t="n">
        <v>500351</v>
      </c>
      <c r="H536" s="36" t="n">
        <v>0.00647948164146861</v>
      </c>
      <c r="I536" s="36" t="n">
        <v>-0.2181208053691275</v>
      </c>
      <c r="J536" s="31" t="n">
        <v>46547.5</v>
      </c>
      <c r="K536" s="31" t="n">
        <v>47650.83333333334</v>
      </c>
      <c r="L536" s="31" t="n">
        <v>44153.25</v>
      </c>
      <c r="M536" s="36" t="n">
        <v>0.3408435743906407</v>
      </c>
      <c r="N536" s="36" t="n">
        <v>0.4074658331499823</v>
      </c>
      <c r="O536" s="36" t="n">
        <v>-0.06048387096774188</v>
      </c>
      <c r="P536" s="36" t="n">
        <v>0.1664580725907385</v>
      </c>
      <c r="Q536" s="36" t="n">
        <v>0.07870370370370372</v>
      </c>
      <c r="R536" s="36" t="n">
        <v>0.00112788012245546</v>
      </c>
      <c r="S536" s="36" t="n">
        <v>-0.02205277976950393</v>
      </c>
      <c r="T536" s="36" t="n">
        <v>0.05541494680459547</v>
      </c>
      <c r="U536" s="31" t="n">
        <v>53000</v>
      </c>
      <c r="V536" s="31" t="n">
        <v>30040</v>
      </c>
      <c r="W536" s="36" t="n">
        <v>-0.120754716981132</v>
      </c>
      <c r="X536" s="36" t="n">
        <v>0.5512649800266312</v>
      </c>
      <c r="Y536" s="31" t="n">
        <v>76211850</v>
      </c>
      <c r="Z536" s="31" t="n">
        <v>3551472210000</v>
      </c>
      <c r="AA536" s="31" t="n">
        <v>23316356600</v>
      </c>
      <c r="AB536" s="31" t="n">
        <v>24152230667.5</v>
      </c>
      <c r="AC536" s="36" t="n">
        <v>0.006565265112971277</v>
      </c>
      <c r="AD536" s="29" t="inlineStr">
        <is>
          <t>yfinance_download</t>
        </is>
      </c>
      <c r="AE536" s="29" t="inlineStr">
        <is>
          <t>058470.KQ</t>
        </is>
      </c>
    </row>
    <row r="537" ht="24" customHeight="1">
      <c r="A537" s="24" t="inlineStr">
        <is>
          <t>2025-08-20</t>
        </is>
      </c>
      <c r="B537" s="30" t="n">
        <v>45150</v>
      </c>
      <c r="C537" s="30" t="n">
        <v>46100</v>
      </c>
      <c r="D537" s="30" t="n">
        <v>45000</v>
      </c>
      <c r="E537" s="30" t="n">
        <v>45800</v>
      </c>
      <c r="F537" s="30" t="n">
        <v>43551.2265625</v>
      </c>
      <c r="G537" s="30" t="n">
        <v>421433</v>
      </c>
      <c r="H537" s="35" t="n">
        <v>-0.01716738197424894</v>
      </c>
      <c r="I537" s="35" t="n">
        <v>-0.2315436241610739</v>
      </c>
      <c r="J537" s="30" t="n">
        <v>46397.5</v>
      </c>
      <c r="K537" s="30" t="n">
        <v>47756.66666666666</v>
      </c>
      <c r="L537" s="30" t="n">
        <v>44175.75</v>
      </c>
      <c r="M537" s="35" t="n">
        <v>0.3413978366022238</v>
      </c>
      <c r="N537" s="35" t="n">
        <v>0.4083276498336171</v>
      </c>
      <c r="O537" s="35" t="n">
        <v>-0.06147540983606559</v>
      </c>
      <c r="P537" s="35" t="n">
        <v>0.1609632446134348</v>
      </c>
      <c r="Q537" s="35" t="n">
        <v>0.06264501160092806</v>
      </c>
      <c r="R537" s="35" t="n">
        <v>-0.01287784902203781</v>
      </c>
      <c r="S537" s="35" t="n">
        <v>-0.04097159209883428</v>
      </c>
      <c r="T537" s="35" t="n">
        <v>0.03676790999586887</v>
      </c>
      <c r="U537" s="30" t="n">
        <v>53000</v>
      </c>
      <c r="V537" s="30" t="n">
        <v>30040</v>
      </c>
      <c r="W537" s="35" t="n">
        <v>-0.1358490566037736</v>
      </c>
      <c r="X537" s="35" t="n">
        <v>0.5246338215712383</v>
      </c>
      <c r="Y537" s="30" t="n">
        <v>76211850</v>
      </c>
      <c r="Z537" s="30" t="n">
        <v>3490502730000</v>
      </c>
      <c r="AA537" s="30" t="n">
        <v>19301631400</v>
      </c>
      <c r="AB537" s="30" t="n">
        <v>24314174037.5</v>
      </c>
      <c r="AC537" s="35" t="n">
        <v>0.00552975685539716</v>
      </c>
      <c r="AD537" s="24" t="inlineStr">
        <is>
          <t>yfinance_download</t>
        </is>
      </c>
      <c r="AE537" s="24" t="inlineStr">
        <is>
          <t>058470.KQ</t>
        </is>
      </c>
    </row>
    <row r="538" ht="24" customHeight="1">
      <c r="A538" s="29" t="inlineStr">
        <is>
          <t>2025-08-21</t>
        </is>
      </c>
      <c r="B538" s="31" t="n">
        <v>45850</v>
      </c>
      <c r="C538" s="31" t="n">
        <v>46100</v>
      </c>
      <c r="D538" s="31" t="n">
        <v>44100</v>
      </c>
      <c r="E538" s="31" t="n">
        <v>44400</v>
      </c>
      <c r="F538" s="31" t="n">
        <v>42219.96484375</v>
      </c>
      <c r="G538" s="31" t="n">
        <v>557351</v>
      </c>
      <c r="H538" s="36" t="n">
        <v>-0.03056768558951961</v>
      </c>
      <c r="I538" s="36" t="n">
        <v>-0.2550335570469798</v>
      </c>
      <c r="J538" s="31" t="n">
        <v>46280</v>
      </c>
      <c r="K538" s="31" t="n">
        <v>47816.66666666666</v>
      </c>
      <c r="L538" s="31" t="n">
        <v>44168.25</v>
      </c>
      <c r="M538" s="36" t="n">
        <v>0.3261089670281631</v>
      </c>
      <c r="N538" s="36" t="n">
        <v>0.4086300581579707</v>
      </c>
      <c r="O538" s="36" t="n">
        <v>-0.05026737967914441</v>
      </c>
      <c r="P538" s="36" t="n">
        <v>0.08823529411764697</v>
      </c>
      <c r="Q538" s="36" t="n">
        <v>-0.01986754966887416</v>
      </c>
      <c r="R538" s="36" t="n">
        <v>-0.04062229904926529</v>
      </c>
      <c r="S538" s="36" t="n">
        <v>-0.07145346810735442</v>
      </c>
      <c r="T538" s="36" t="n">
        <v>0.005246981711976462</v>
      </c>
      <c r="U538" s="31" t="n">
        <v>53000</v>
      </c>
      <c r="V538" s="31" t="n">
        <v>30040</v>
      </c>
      <c r="W538" s="36" t="n">
        <v>-0.1622641509433962</v>
      </c>
      <c r="X538" s="36" t="n">
        <v>0.478029294274301</v>
      </c>
      <c r="Y538" s="31" t="n">
        <v>76211850</v>
      </c>
      <c r="Z538" s="31" t="n">
        <v>3383806140000</v>
      </c>
      <c r="AA538" s="31" t="n">
        <v>24746384400</v>
      </c>
      <c r="AB538" s="31" t="n">
        <v>23531199020</v>
      </c>
      <c r="AC538" s="36" t="n">
        <v>0.007313180299389137</v>
      </c>
      <c r="AD538" s="29" t="inlineStr">
        <is>
          <t>yfinance_download</t>
        </is>
      </c>
      <c r="AE538" s="29" t="inlineStr">
        <is>
          <t>058470.KQ</t>
        </is>
      </c>
    </row>
    <row r="539" ht="24" customHeight="1">
      <c r="A539" s="24" t="inlineStr">
        <is>
          <t>2025-08-22</t>
        </is>
      </c>
      <c r="B539" s="30" t="n">
        <v>44600</v>
      </c>
      <c r="C539" s="30" t="n">
        <v>45050</v>
      </c>
      <c r="D539" s="30" t="n">
        <v>44550</v>
      </c>
      <c r="E539" s="30" t="n">
        <v>44950</v>
      </c>
      <c r="F539" s="30" t="n">
        <v>42742.9609375</v>
      </c>
      <c r="G539" s="30" t="n">
        <v>196887</v>
      </c>
      <c r="H539" s="35" t="n">
        <v>0.01238738738738743</v>
      </c>
      <c r="I539" s="35" t="n">
        <v>-0.2458053691275168</v>
      </c>
      <c r="J539" s="30" t="n">
        <v>46227.5</v>
      </c>
      <c r="K539" s="30" t="n">
        <v>47897.5</v>
      </c>
      <c r="L539" s="30" t="n">
        <v>44163.66666666666</v>
      </c>
      <c r="M539" s="35" t="n">
        <v>0.3259179900174904</v>
      </c>
      <c r="N539" s="35" t="n">
        <v>0.4072802269238983</v>
      </c>
      <c r="O539" s="35" t="n">
        <v>-0.02282608695652177</v>
      </c>
      <c r="P539" s="35" t="n">
        <v>0.1209476309226933</v>
      </c>
      <c r="Q539" s="35" t="n">
        <v>-0.01208791208791204</v>
      </c>
      <c r="R539" s="35" t="n">
        <v>-0.02763506570764152</v>
      </c>
      <c r="S539" s="35" t="n">
        <v>-0.06153765854167759</v>
      </c>
      <c r="T539" s="35" t="n">
        <v>0.01780498297997601</v>
      </c>
      <c r="U539" s="30" t="n">
        <v>53000</v>
      </c>
      <c r="V539" s="30" t="n">
        <v>30040</v>
      </c>
      <c r="W539" s="35" t="n">
        <v>-0.1518867924528302</v>
      </c>
      <c r="X539" s="35" t="n">
        <v>0.4963382157123835</v>
      </c>
      <c r="Y539" s="30" t="n">
        <v>76211850</v>
      </c>
      <c r="Z539" s="30" t="n">
        <v>3425722657500</v>
      </c>
      <c r="AA539" s="30" t="n">
        <v>8850070650</v>
      </c>
      <c r="AB539" s="30" t="n">
        <v>22973667152.5</v>
      </c>
      <c r="AC539" s="35" t="n">
        <v>0.002583417145758829</v>
      </c>
      <c r="AD539" s="24" t="inlineStr">
        <is>
          <t>yfinance_download</t>
        </is>
      </c>
      <c r="AE539" s="24" t="inlineStr">
        <is>
          <t>058470.KQ</t>
        </is>
      </c>
    </row>
    <row r="540" ht="24" customHeight="1">
      <c r="A540" s="29" t="inlineStr">
        <is>
          <t>2025-08-25</t>
        </is>
      </c>
      <c r="B540" s="31" t="n">
        <v>45400</v>
      </c>
      <c r="C540" s="31" t="n">
        <v>46850</v>
      </c>
      <c r="D540" s="31" t="n">
        <v>45350</v>
      </c>
      <c r="E540" s="31" t="n">
        <v>46750</v>
      </c>
      <c r="F540" s="31" t="n">
        <v>44454.58203125</v>
      </c>
      <c r="G540" s="31" t="n">
        <v>294461</v>
      </c>
      <c r="H540" s="36" t="n">
        <v>0.04004449388209119</v>
      </c>
      <c r="I540" s="36" t="n">
        <v>-0.2156040268456376</v>
      </c>
      <c r="J540" s="31" t="n">
        <v>46272.5</v>
      </c>
      <c r="K540" s="31" t="n">
        <v>48005</v>
      </c>
      <c r="L540" s="31" t="n">
        <v>44169.91666666666</v>
      </c>
      <c r="M540" s="36" t="n">
        <v>0.3566504330169342</v>
      </c>
      <c r="N540" s="36" t="n">
        <v>0.4145674158357059</v>
      </c>
      <c r="O540" s="36" t="n">
        <v>0.01962922573609593</v>
      </c>
      <c r="P540" s="36" t="n">
        <v>0.1600496277915633</v>
      </c>
      <c r="Q540" s="36" t="n">
        <v>0.01630434782608692</v>
      </c>
      <c r="R540" s="36" t="n">
        <v>0.01031930412231885</v>
      </c>
      <c r="S540" s="36" t="n">
        <v>-0.02614311009269865</v>
      </c>
      <c r="T540" s="36" t="n">
        <v>0.05841268284031931</v>
      </c>
      <c r="U540" s="31" t="n">
        <v>53000</v>
      </c>
      <c r="V540" s="31" t="n">
        <v>30040</v>
      </c>
      <c r="W540" s="36" t="n">
        <v>-0.1179245283018868</v>
      </c>
      <c r="X540" s="36" t="n">
        <v>0.5562583222370172</v>
      </c>
      <c r="Y540" s="31" t="n">
        <v>76211850</v>
      </c>
      <c r="Z540" s="31" t="n">
        <v>3562903987500</v>
      </c>
      <c r="AA540" s="31" t="n">
        <v>13766051750</v>
      </c>
      <c r="AB540" s="31" t="n">
        <v>22899021155</v>
      </c>
      <c r="AC540" s="36" t="n">
        <v>0.003863716731715606</v>
      </c>
      <c r="AD540" s="29" t="inlineStr">
        <is>
          <t>yfinance_download</t>
        </is>
      </c>
      <c r="AE540" s="29" t="inlineStr">
        <is>
          <t>058470.KQ</t>
        </is>
      </c>
    </row>
    <row r="541" ht="24" customHeight="1">
      <c r="A541" s="24" t="inlineStr">
        <is>
          <t>2025-08-26</t>
        </is>
      </c>
      <c r="B541" s="30" t="n">
        <v>46200</v>
      </c>
      <c r="C541" s="30" t="n">
        <v>47450</v>
      </c>
      <c r="D541" s="30" t="n">
        <v>46200</v>
      </c>
      <c r="E541" s="30" t="n">
        <v>47300</v>
      </c>
      <c r="F541" s="30" t="n">
        <v>44977.578125</v>
      </c>
      <c r="G541" s="30" t="n">
        <v>267152</v>
      </c>
      <c r="H541" s="35" t="n">
        <v>0.0117647058823529</v>
      </c>
      <c r="I541" s="35" t="n">
        <v>-0.2063758389261745</v>
      </c>
      <c r="J541" s="30" t="n">
        <v>46270</v>
      </c>
      <c r="K541" s="30" t="n">
        <v>48110</v>
      </c>
      <c r="L541" s="30" t="n">
        <v>44179.91666666666</v>
      </c>
      <c r="M541" s="35" t="n">
        <v>0.3394451985776334</v>
      </c>
      <c r="N541" s="35" t="n">
        <v>0.4138851884220806</v>
      </c>
      <c r="O541" s="35" t="n">
        <v>-0.001055966209081327</v>
      </c>
      <c r="P541" s="35" t="n">
        <v>0.1536585365853658</v>
      </c>
      <c r="Q541" s="35" t="n">
        <v>0.02603036876355747</v>
      </c>
      <c r="R541" s="35" t="n">
        <v>0.02226064404581796</v>
      </c>
      <c r="S541" s="35" t="n">
        <v>-0.01683641654541679</v>
      </c>
      <c r="T541" s="35" t="n">
        <v>0.07062220956354603</v>
      </c>
      <c r="U541" s="30" t="n">
        <v>53000</v>
      </c>
      <c r="V541" s="30" t="n">
        <v>30040</v>
      </c>
      <c r="W541" s="35" t="n">
        <v>-0.1075471698113207</v>
      </c>
      <c r="X541" s="35" t="n">
        <v>0.5745672436750999</v>
      </c>
      <c r="Y541" s="30" t="n">
        <v>76211850</v>
      </c>
      <c r="Z541" s="30" t="n">
        <v>3604820505000</v>
      </c>
      <c r="AA541" s="30" t="n">
        <v>12636289600</v>
      </c>
      <c r="AB541" s="30" t="n">
        <v>22184795877.5</v>
      </c>
      <c r="AC541" s="35" t="n">
        <v>0.003505386629507091</v>
      </c>
      <c r="AD541" s="24" t="inlineStr">
        <is>
          <t>yfinance_download</t>
        </is>
      </c>
      <c r="AE541" s="24" t="inlineStr">
        <is>
          <t>058470.KQ</t>
        </is>
      </c>
    </row>
    <row r="542" ht="24" customHeight="1">
      <c r="A542" s="29" t="inlineStr">
        <is>
          <t>2025-08-27</t>
        </is>
      </c>
      <c r="B542" s="31" t="n">
        <v>47350</v>
      </c>
      <c r="C542" s="31" t="n">
        <v>47950</v>
      </c>
      <c r="D542" s="31" t="n">
        <v>47000</v>
      </c>
      <c r="E542" s="31" t="n">
        <v>47700</v>
      </c>
      <c r="F542" s="31" t="n">
        <v>45357.9375</v>
      </c>
      <c r="G542" s="31" t="n">
        <v>203940</v>
      </c>
      <c r="H542" s="36" t="n">
        <v>0.008456659619450413</v>
      </c>
      <c r="I542" s="36" t="n">
        <v>-0.1996644295302014</v>
      </c>
      <c r="J542" s="31" t="n">
        <v>46312.5</v>
      </c>
      <c r="K542" s="31" t="n">
        <v>48245</v>
      </c>
      <c r="L542" s="31" t="n">
        <v>44202.41666666666</v>
      </c>
      <c r="M542" s="36" t="n">
        <v>0.3381850524655907</v>
      </c>
      <c r="N542" s="36" t="n">
        <v>0.4068274929258157</v>
      </c>
      <c r="O542" s="36" t="n">
        <v>0.01814300960512272</v>
      </c>
      <c r="P542" s="36" t="n">
        <v>0.2045454545454546</v>
      </c>
      <c r="Q542" s="36" t="n">
        <v>0.06000000000000005</v>
      </c>
      <c r="R542" s="36" t="n">
        <v>0.02995951417004039</v>
      </c>
      <c r="S542" s="36" t="n">
        <v>-0.01129650741009436</v>
      </c>
      <c r="T542" s="36" t="n">
        <v>0.07912651834647066</v>
      </c>
      <c r="U542" s="31" t="n">
        <v>53000</v>
      </c>
      <c r="V542" s="31" t="n">
        <v>30040</v>
      </c>
      <c r="W542" s="36" t="n">
        <v>-0.09999999999999998</v>
      </c>
      <c r="X542" s="36" t="n">
        <v>0.5878828229027964</v>
      </c>
      <c r="Y542" s="31" t="n">
        <v>76211850</v>
      </c>
      <c r="Z542" s="31" t="n">
        <v>3635305245000</v>
      </c>
      <c r="AA542" s="31" t="n">
        <v>9727938000</v>
      </c>
      <c r="AB542" s="31" t="n">
        <v>21645882870</v>
      </c>
      <c r="AC542" s="36" t="n">
        <v>0.002675961809088744</v>
      </c>
      <c r="AD542" s="29" t="inlineStr">
        <is>
          <t>yfinance_download</t>
        </is>
      </c>
      <c r="AE542" s="29" t="inlineStr">
        <is>
          <t>058470.KQ</t>
        </is>
      </c>
    </row>
    <row r="543" ht="24" customHeight="1">
      <c r="A543" s="24" t="inlineStr">
        <is>
          <t>2025-08-28</t>
        </is>
      </c>
      <c r="B543" s="30" t="n">
        <v>47350</v>
      </c>
      <c r="C543" s="30" t="n">
        <v>47950</v>
      </c>
      <c r="D543" s="30" t="n">
        <v>46800</v>
      </c>
      <c r="E543" s="30" t="n">
        <v>47200</v>
      </c>
      <c r="F543" s="30" t="n">
        <v>44882.48828125</v>
      </c>
      <c r="G543" s="30" t="n">
        <v>306069</v>
      </c>
      <c r="H543" s="35" t="n">
        <v>-0.01048218029350101</v>
      </c>
      <c r="I543" s="35" t="n">
        <v>-0.2080536912751678</v>
      </c>
      <c r="J543" s="30" t="n">
        <v>46315</v>
      </c>
      <c r="K543" s="30" t="n">
        <v>48355</v>
      </c>
      <c r="L543" s="30" t="n">
        <v>44217.41666666666</v>
      </c>
      <c r="M543" s="35" t="n">
        <v>0.3399907472958275</v>
      </c>
      <c r="N543" s="35" t="n">
        <v>0.4052273489802085</v>
      </c>
      <c r="O543" s="35" t="n">
        <v>0.001060445387062625</v>
      </c>
      <c r="P543" s="35" t="n">
        <v>0.1625615763546797</v>
      </c>
      <c r="Q543" s="35" t="n">
        <v>0.0396475770925111</v>
      </c>
      <c r="R543" s="35" t="n">
        <v>0.01910828025477707</v>
      </c>
      <c r="S543" s="35" t="n">
        <v>-0.02388584427670359</v>
      </c>
      <c r="T543" s="35" t="n">
        <v>0.0674526817298613</v>
      </c>
      <c r="U543" s="30" t="n">
        <v>53000</v>
      </c>
      <c r="V543" s="30" t="n">
        <v>30040</v>
      </c>
      <c r="W543" s="35" t="n">
        <v>-0.1094339622641509</v>
      </c>
      <c r="X543" s="35" t="n">
        <v>0.5712383488681758</v>
      </c>
      <c r="Y543" s="30" t="n">
        <v>76211850</v>
      </c>
      <c r="Z543" s="30" t="n">
        <v>3597199320000</v>
      </c>
      <c r="AA543" s="30" t="n">
        <v>14446456800</v>
      </c>
      <c r="AB543" s="30" t="n">
        <v>21432846367.5</v>
      </c>
      <c r="AC543" s="35" t="n">
        <v>0.00401602900336365</v>
      </c>
      <c r="AD543" s="24" t="inlineStr">
        <is>
          <t>yfinance_download</t>
        </is>
      </c>
      <c r="AE543" s="24" t="inlineStr">
        <is>
          <t>058470.KQ</t>
        </is>
      </c>
    </row>
    <row r="544" ht="24" customHeight="1">
      <c r="A544" s="29" t="inlineStr">
        <is>
          <t>2025-08-29</t>
        </is>
      </c>
      <c r="B544" s="31" t="n">
        <v>47200</v>
      </c>
      <c r="C544" s="31" t="n">
        <v>47750</v>
      </c>
      <c r="D544" s="31" t="n">
        <v>46800</v>
      </c>
      <c r="E544" s="31" t="n">
        <v>47000</v>
      </c>
      <c r="F544" s="31" t="n">
        <v>44692.3046875</v>
      </c>
      <c r="G544" s="31" t="n">
        <v>219848</v>
      </c>
      <c r="H544" s="36" t="n">
        <v>-0.004237288135593209</v>
      </c>
      <c r="I544" s="36" t="n">
        <v>-0.2114093959731543</v>
      </c>
      <c r="J544" s="31" t="n">
        <v>46280</v>
      </c>
      <c r="K544" s="31" t="n">
        <v>48411.66666666666</v>
      </c>
      <c r="L544" s="31" t="n">
        <v>44219.91666666666</v>
      </c>
      <c r="M544" s="36" t="n">
        <v>0.337600877135407</v>
      </c>
      <c r="N544" s="36" t="n">
        <v>0.3773857437604428</v>
      </c>
      <c r="O544" s="36" t="n">
        <v>-0.0146750524109015</v>
      </c>
      <c r="P544" s="36" t="n">
        <v>0.07798165137614688</v>
      </c>
      <c r="Q544" s="36" t="n">
        <v>0.006423982869379063</v>
      </c>
      <c r="R544" s="36" t="n">
        <v>0.0155574762316335</v>
      </c>
      <c r="S544" s="36" t="n">
        <v>-0.02915963782834707</v>
      </c>
      <c r="T544" s="36" t="n">
        <v>0.06286948377333745</v>
      </c>
      <c r="U544" s="31" t="n">
        <v>53000</v>
      </c>
      <c r="V544" s="31" t="n">
        <v>30040</v>
      </c>
      <c r="W544" s="36" t="n">
        <v>-0.1132075471698113</v>
      </c>
      <c r="X544" s="36" t="n">
        <v>0.5645805592543276</v>
      </c>
      <c r="Y544" s="31" t="n">
        <v>76211850</v>
      </c>
      <c r="Z544" s="31" t="n">
        <v>3581956950000</v>
      </c>
      <c r="AA544" s="31" t="n">
        <v>10332856000</v>
      </c>
      <c r="AB544" s="31" t="n">
        <v>21083977437.5</v>
      </c>
      <c r="AC544" s="36" t="n">
        <v>0.002884695752694627</v>
      </c>
      <c r="AD544" s="29" t="inlineStr">
        <is>
          <t>yfinance_download</t>
        </is>
      </c>
      <c r="AE544" s="29" t="inlineStr">
        <is>
          <t>058470.KQ</t>
        </is>
      </c>
    </row>
    <row r="545" ht="24" customHeight="1">
      <c r="A545" s="24" t="inlineStr">
        <is>
          <t>2025-09-01</t>
        </is>
      </c>
      <c r="B545" s="30" t="n">
        <v>46550</v>
      </c>
      <c r="C545" s="30" t="n">
        <v>47450</v>
      </c>
      <c r="D545" s="30" t="n">
        <v>45850</v>
      </c>
      <c r="E545" s="30" t="n">
        <v>46250</v>
      </c>
      <c r="F545" s="30" t="n">
        <v>43979.1328125</v>
      </c>
      <c r="G545" s="30" t="n">
        <v>310793</v>
      </c>
      <c r="H545" s="35" t="n">
        <v>-0.01595744680851063</v>
      </c>
      <c r="I545" s="35" t="n">
        <v>-0.2239932885906041</v>
      </c>
      <c r="J545" s="30" t="n">
        <v>46335</v>
      </c>
      <c r="K545" s="30" t="n">
        <v>48396.66666666666</v>
      </c>
      <c r="L545" s="30" t="n">
        <v>44222</v>
      </c>
      <c r="M545" s="35" t="n">
        <v>0.2811307383433395</v>
      </c>
      <c r="N545" s="35" t="n">
        <v>0.3402764180814149</v>
      </c>
      <c r="O545" s="35" t="n">
        <v>0.02436323366555926</v>
      </c>
      <c r="P545" s="35" t="n">
        <v>-0.01908801696712614</v>
      </c>
      <c r="Q545" s="35" t="n">
        <v>0.005434782608695565</v>
      </c>
      <c r="R545" s="35" t="n">
        <v>-0.001834466386101186</v>
      </c>
      <c r="S545" s="35" t="n">
        <v>-0.04435567187822853</v>
      </c>
      <c r="T545" s="35" t="n">
        <v>0.04585952693229611</v>
      </c>
      <c r="U545" s="30" t="n">
        <v>53000</v>
      </c>
      <c r="V545" s="30" t="n">
        <v>30040</v>
      </c>
      <c r="W545" s="35" t="n">
        <v>-0.1273584905660378</v>
      </c>
      <c r="X545" s="35" t="n">
        <v>0.5396138482023969</v>
      </c>
      <c r="Y545" s="30" t="n">
        <v>76211850</v>
      </c>
      <c r="Z545" s="30" t="n">
        <v>3524798062500</v>
      </c>
      <c r="AA545" s="30" t="n">
        <v>14374176250</v>
      </c>
      <c r="AB545" s="30" t="n">
        <v>20584448950</v>
      </c>
      <c r="AC545" s="35" t="n">
        <v>0.004078014114602913</v>
      </c>
      <c r="AD545" s="24" t="inlineStr">
        <is>
          <t>yfinance_download</t>
        </is>
      </c>
      <c r="AE545" s="24" t="inlineStr">
        <is>
          <t>058470.KQ</t>
        </is>
      </c>
    </row>
    <row r="546" ht="24" customHeight="1">
      <c r="A546" s="29" t="inlineStr">
        <is>
          <t>2025-09-02</t>
        </is>
      </c>
      <c r="B546" s="31" t="n">
        <v>46300</v>
      </c>
      <c r="C546" s="31" t="n">
        <v>46550</v>
      </c>
      <c r="D546" s="31" t="n">
        <v>45150</v>
      </c>
      <c r="E546" s="31" t="n">
        <v>45250</v>
      </c>
      <c r="F546" s="31" t="n">
        <v>43028.23046875</v>
      </c>
      <c r="G546" s="31" t="n">
        <v>253140</v>
      </c>
      <c r="H546" s="36" t="n">
        <v>-0.02162162162162162</v>
      </c>
      <c r="I546" s="36" t="n">
        <v>-0.2407718120805369</v>
      </c>
      <c r="J546" s="31" t="n">
        <v>46342.5</v>
      </c>
      <c r="K546" s="31" t="n">
        <v>48345.83333333334</v>
      </c>
      <c r="L546" s="31" t="n">
        <v>44222.41666666666</v>
      </c>
      <c r="M546" s="36" t="n">
        <v>0.2927038477159803</v>
      </c>
      <c r="N546" s="36" t="n">
        <v>0.3391991921933415</v>
      </c>
      <c r="O546" s="36" t="n">
        <v>0.003325942350332678</v>
      </c>
      <c r="P546" s="36" t="n">
        <v>-0.06314699792960665</v>
      </c>
      <c r="Q546" s="36" t="n">
        <v>0.001106194690265516</v>
      </c>
      <c r="R546" s="36" t="n">
        <v>-0.02357447267626911</v>
      </c>
      <c r="S546" s="36" t="n">
        <v>-0.06403516331983117</v>
      </c>
      <c r="T546" s="36" t="n">
        <v>0.02323670687377644</v>
      </c>
      <c r="U546" s="31" t="n">
        <v>53000</v>
      </c>
      <c r="V546" s="31" t="n">
        <v>30040</v>
      </c>
      <c r="W546" s="36" t="n">
        <v>-0.1462264150943396</v>
      </c>
      <c r="X546" s="36" t="n">
        <v>0.5063249001331558</v>
      </c>
      <c r="Y546" s="31" t="n">
        <v>76211850</v>
      </c>
      <c r="Z546" s="31" t="n">
        <v>3448586212500</v>
      </c>
      <c r="AA546" s="31" t="n">
        <v>11454585000</v>
      </c>
      <c r="AB546" s="31" t="n">
        <v>19981340020</v>
      </c>
      <c r="AC546" s="36" t="n">
        <v>0.003321530706838897</v>
      </c>
      <c r="AD546" s="29" t="inlineStr">
        <is>
          <t>yfinance_download</t>
        </is>
      </c>
      <c r="AE546" s="29" t="inlineStr">
        <is>
          <t>058470.KQ</t>
        </is>
      </c>
    </row>
    <row r="547" ht="24" customHeight="1">
      <c r="A547" s="24" t="inlineStr">
        <is>
          <t>2025-09-03</t>
        </is>
      </c>
      <c r="B547" s="30" t="n">
        <v>45100</v>
      </c>
      <c r="C547" s="30" t="n">
        <v>45850</v>
      </c>
      <c r="D547" s="30" t="n">
        <v>45000</v>
      </c>
      <c r="E547" s="30" t="n">
        <v>45450</v>
      </c>
      <c r="F547" s="30" t="n">
        <v>43218.41015625</v>
      </c>
      <c r="G547" s="30" t="n">
        <v>220629</v>
      </c>
      <c r="H547" s="35" t="n">
        <v>0.004419889502762508</v>
      </c>
      <c r="I547" s="35" t="n">
        <v>-0.2374161073825504</v>
      </c>
      <c r="J547" s="30" t="n">
        <v>46315</v>
      </c>
      <c r="K547" s="30" t="n">
        <v>48302.5</v>
      </c>
      <c r="L547" s="30" t="n">
        <v>44222</v>
      </c>
      <c r="M547" s="35" t="n">
        <v>0.2839497499350715</v>
      </c>
      <c r="N547" s="35" t="n">
        <v>0.3392479239344476</v>
      </c>
      <c r="O547" s="35" t="n">
        <v>-0.01195652173913042</v>
      </c>
      <c r="P547" s="35" t="n">
        <v>-0.05411030176899068</v>
      </c>
      <c r="Q547" s="35" t="n">
        <v>-0.001098901098901095</v>
      </c>
      <c r="R547" s="35" t="n">
        <v>-0.01867645471229629</v>
      </c>
      <c r="S547" s="35" t="n">
        <v>-0.05905491434190779</v>
      </c>
      <c r="T547" s="35" t="n">
        <v>0.0277689837637376</v>
      </c>
      <c r="U547" s="30" t="n">
        <v>53000</v>
      </c>
      <c r="V547" s="30" t="n">
        <v>30040</v>
      </c>
      <c r="W547" s="35" t="n">
        <v>-0.1424528301886793</v>
      </c>
      <c r="X547" s="35" t="n">
        <v>0.512982689747004</v>
      </c>
      <c r="Y547" s="30" t="n">
        <v>76211850</v>
      </c>
      <c r="Z547" s="30" t="n">
        <v>3463828582500</v>
      </c>
      <c r="AA547" s="30" t="n">
        <v>10027588050</v>
      </c>
      <c r="AB547" s="30" t="n">
        <v>19745511922.5</v>
      </c>
      <c r="AC547" s="35" t="n">
        <v>0.002894943502880457</v>
      </c>
      <c r="AD547" s="24" t="inlineStr">
        <is>
          <t>yfinance_download</t>
        </is>
      </c>
      <c r="AE547" s="24" t="inlineStr">
        <is>
          <t>058470.KQ</t>
        </is>
      </c>
    </row>
    <row r="548" ht="24" customHeight="1">
      <c r="A548" s="29" t="inlineStr">
        <is>
          <t>2025-09-04</t>
        </is>
      </c>
      <c r="B548" s="31" t="n">
        <v>45450</v>
      </c>
      <c r="C548" s="31" t="n">
        <v>46300</v>
      </c>
      <c r="D548" s="31" t="n">
        <v>45100</v>
      </c>
      <c r="E548" s="31" t="n">
        <v>45750</v>
      </c>
      <c r="F548" s="31" t="n">
        <v>43503.6796875</v>
      </c>
      <c r="G548" s="31" t="n">
        <v>276971</v>
      </c>
      <c r="H548" s="36" t="n">
        <v>0.006600660066006681</v>
      </c>
      <c r="I548" s="36" t="n">
        <v>-0.2323825503355704</v>
      </c>
      <c r="J548" s="31" t="n">
        <v>46320</v>
      </c>
      <c r="K548" s="31" t="n">
        <v>48237.5</v>
      </c>
      <c r="L548" s="31" t="n">
        <v>44228.25</v>
      </c>
      <c r="M548" s="36" t="n">
        <v>0.2836780471129547</v>
      </c>
      <c r="N548" s="36" t="n">
        <v>0.3321575600289005</v>
      </c>
      <c r="O548" s="36" t="n">
        <v>0.002190580503833583</v>
      </c>
      <c r="P548" s="36" t="n">
        <v>-0.0785498489425982</v>
      </c>
      <c r="Q548" s="36" t="n">
        <v>0.01666666666666661</v>
      </c>
      <c r="R548" s="36" t="n">
        <v>-0.01230569948186533</v>
      </c>
      <c r="S548" s="36" t="n">
        <v>-0.05156776366934435</v>
      </c>
      <c r="T548" s="36" t="n">
        <v>0.03440674229706131</v>
      </c>
      <c r="U548" s="31" t="n">
        <v>53000</v>
      </c>
      <c r="V548" s="31" t="n">
        <v>30040</v>
      </c>
      <c r="W548" s="36" t="n">
        <v>-0.1367924528301887</v>
      </c>
      <c r="X548" s="36" t="n">
        <v>0.5229693741677763</v>
      </c>
      <c r="Y548" s="31" t="n">
        <v>76211850</v>
      </c>
      <c r="Z548" s="31" t="n">
        <v>3486692137500</v>
      </c>
      <c r="AA548" s="31" t="n">
        <v>12671423250</v>
      </c>
      <c r="AB548" s="31" t="n">
        <v>19720072837.5</v>
      </c>
      <c r="AC548" s="36" t="n">
        <v>0.003634224861356862</v>
      </c>
      <c r="AD548" s="29" t="inlineStr">
        <is>
          <t>yfinance_download</t>
        </is>
      </c>
      <c r="AE548" s="29" t="inlineStr">
        <is>
          <t>058470.KQ</t>
        </is>
      </c>
    </row>
    <row r="549" ht="24" customHeight="1">
      <c r="A549" s="24" t="inlineStr">
        <is>
          <t>2025-09-05</t>
        </is>
      </c>
      <c r="B549" s="30" t="n">
        <v>46450</v>
      </c>
      <c r="C549" s="30" t="n">
        <v>46700</v>
      </c>
      <c r="D549" s="30" t="n">
        <v>45850</v>
      </c>
      <c r="E549" s="30" t="n">
        <v>46200</v>
      </c>
      <c r="F549" s="30" t="n">
        <v>43931.5859375</v>
      </c>
      <c r="G549" s="30" t="n">
        <v>256769</v>
      </c>
      <c r="H549" s="35" t="n">
        <v>0.009836065573770592</v>
      </c>
      <c r="I549" s="35" t="n">
        <v>-0.2248322147651006</v>
      </c>
      <c r="J549" s="30" t="n">
        <v>46325</v>
      </c>
      <c r="K549" s="30" t="n">
        <v>48190.83333333334</v>
      </c>
      <c r="L549" s="30" t="n">
        <v>44249.08333333334</v>
      </c>
      <c r="M549" s="35" t="n">
        <v>0.2836683890181427</v>
      </c>
      <c r="N549" s="35" t="n">
        <v>0.3319592394469182</v>
      </c>
      <c r="O549" s="35" t="n">
        <v>0.002169197396963085</v>
      </c>
      <c r="P549" s="35" t="n">
        <v>-0.05714285714285716</v>
      </c>
      <c r="Q549" s="35" t="n">
        <v>0.05720823798626995</v>
      </c>
      <c r="R549" s="35" t="n">
        <v>-0.002698327037236936</v>
      </c>
      <c r="S549" s="35" t="n">
        <v>-0.04131145273132864</v>
      </c>
      <c r="T549" s="35" t="n">
        <v>0.0440894255813209</v>
      </c>
      <c r="U549" s="30" t="n">
        <v>53000</v>
      </c>
      <c r="V549" s="30" t="n">
        <v>30040</v>
      </c>
      <c r="W549" s="35" t="n">
        <v>-0.1283018867924528</v>
      </c>
      <c r="X549" s="35" t="n">
        <v>0.5379494007989347</v>
      </c>
      <c r="Y549" s="30" t="n">
        <v>76211850</v>
      </c>
      <c r="Z549" s="30" t="n">
        <v>3520987470000</v>
      </c>
      <c r="AA549" s="30" t="n">
        <v>11862727800</v>
      </c>
      <c r="AB549" s="30" t="n">
        <v>19722144992.5</v>
      </c>
      <c r="AC549" s="35" t="n">
        <v>0.003369147973707501</v>
      </c>
      <c r="AD549" s="24" t="inlineStr">
        <is>
          <t>yfinance_download</t>
        </is>
      </c>
      <c r="AE549" s="24" t="inlineStr">
        <is>
          <t>058470.KQ</t>
        </is>
      </c>
    </row>
    <row r="550" ht="24" customHeight="1">
      <c r="A550" s="29" t="inlineStr">
        <is>
          <t>2025-09-08</t>
        </is>
      </c>
      <c r="B550" s="31" t="n">
        <v>46800</v>
      </c>
      <c r="C550" s="31" t="n">
        <v>49200</v>
      </c>
      <c r="D550" s="31" t="n">
        <v>46800</v>
      </c>
      <c r="E550" s="31" t="n">
        <v>48950</v>
      </c>
      <c r="F550" s="31" t="n">
        <v>46546.5625</v>
      </c>
      <c r="G550" s="31" t="n">
        <v>782242</v>
      </c>
      <c r="H550" s="36" t="n">
        <v>0.05952380952380953</v>
      </c>
      <c r="I550" s="36" t="n">
        <v>-0.1786912751677853</v>
      </c>
      <c r="J550" s="31" t="n">
        <v>46460</v>
      </c>
      <c r="K550" s="31" t="n">
        <v>48209.16666666666</v>
      </c>
      <c r="L550" s="31" t="n">
        <v>44292</v>
      </c>
      <c r="M550" s="36" t="n">
        <v>0.3533171277225857</v>
      </c>
      <c r="N550" s="36" t="n">
        <v>0.3507548835782039</v>
      </c>
      <c r="O550" s="36" t="n">
        <v>0.05837837837837845</v>
      </c>
      <c r="P550" s="36" t="n">
        <v>0.02298850574712641</v>
      </c>
      <c r="Q550" s="36" t="n">
        <v>0.1175799086757991</v>
      </c>
      <c r="R550" s="36" t="n">
        <v>0.05359448988377102</v>
      </c>
      <c r="S550" s="36" t="n">
        <v>0.01536706366354945</v>
      </c>
      <c r="T550" s="36" t="n">
        <v>0.1051657184141606</v>
      </c>
      <c r="U550" s="31" t="n">
        <v>53000</v>
      </c>
      <c r="V550" s="31" t="n">
        <v>30040</v>
      </c>
      <c r="W550" s="36" t="n">
        <v>-0.07641509433962268</v>
      </c>
      <c r="X550" s="36" t="n">
        <v>0.6294940079893476</v>
      </c>
      <c r="Y550" s="31" t="n">
        <v>76211850</v>
      </c>
      <c r="Z550" s="31" t="n">
        <v>3730570057500</v>
      </c>
      <c r="AA550" s="31" t="n">
        <v>38290745900</v>
      </c>
      <c r="AB550" s="31" t="n">
        <v>20836057787.5</v>
      </c>
      <c r="AC550" s="36" t="n">
        <v>0.01026404686410315</v>
      </c>
      <c r="AD550" s="29" t="inlineStr">
        <is>
          <t>yfinance_download</t>
        </is>
      </c>
      <c r="AE550" s="29" t="inlineStr">
        <is>
          <t>058470.KQ</t>
        </is>
      </c>
    </row>
    <row r="551" ht="24" customHeight="1">
      <c r="A551" s="24" t="inlineStr">
        <is>
          <t>2025-09-09</t>
        </is>
      </c>
      <c r="B551" s="30" t="n">
        <v>50100</v>
      </c>
      <c r="C551" s="30" t="n">
        <v>50200</v>
      </c>
      <c r="D551" s="30" t="n">
        <v>48200</v>
      </c>
      <c r="E551" s="30" t="n">
        <v>49350</v>
      </c>
      <c r="F551" s="30" t="n">
        <v>46926.921875</v>
      </c>
      <c r="G551" s="30" t="n">
        <v>714587</v>
      </c>
      <c r="H551" s="35" t="n">
        <v>0.008171603677221695</v>
      </c>
      <c r="I551" s="35" t="n">
        <v>-0.1719798657718121</v>
      </c>
      <c r="J551" s="30" t="n">
        <v>46587.5</v>
      </c>
      <c r="K551" s="30" t="n">
        <v>48228.33333333334</v>
      </c>
      <c r="L551" s="30" t="n">
        <v>44337.41666666666</v>
      </c>
      <c r="M551" s="35" t="n">
        <v>0.3523309068730036</v>
      </c>
      <c r="N551" s="35" t="n">
        <v>0.3508291536729224</v>
      </c>
      <c r="O551" s="35" t="n">
        <v>0.05448717948717952</v>
      </c>
      <c r="P551" s="35" t="n">
        <v>0.02385892116182564</v>
      </c>
      <c r="Q551" s="35" t="n">
        <v>0.1241457858769932</v>
      </c>
      <c r="R551" s="35" t="n">
        <v>0.05929702173329754</v>
      </c>
      <c r="S551" s="35" t="n">
        <v>0.02325742129453645</v>
      </c>
      <c r="T551" s="35" t="n">
        <v>0.1130553764784823</v>
      </c>
      <c r="U551" s="30" t="n">
        <v>53000</v>
      </c>
      <c r="V551" s="30" t="n">
        <v>30040</v>
      </c>
      <c r="W551" s="35" t="n">
        <v>-0.06886792452830193</v>
      </c>
      <c r="X551" s="35" t="n">
        <v>0.6428095872170438</v>
      </c>
      <c r="Y551" s="30" t="n">
        <v>76211850</v>
      </c>
      <c r="Z551" s="30" t="n">
        <v>3761054797500</v>
      </c>
      <c r="AA551" s="30" t="n">
        <v>35264868450</v>
      </c>
      <c r="AB551" s="30" t="n">
        <v>21787059130</v>
      </c>
      <c r="AC551" s="35" t="n">
        <v>0.009376324023101394</v>
      </c>
      <c r="AD551" s="24" t="inlineStr">
        <is>
          <t>yfinance_download</t>
        </is>
      </c>
      <c r="AE551" s="24" t="inlineStr">
        <is>
          <t>058470.KQ</t>
        </is>
      </c>
    </row>
    <row r="552" ht="24" customHeight="1">
      <c r="A552" s="29" t="inlineStr">
        <is>
          <t>2025-09-10</t>
        </is>
      </c>
      <c r="B552" s="31" t="n">
        <v>49500</v>
      </c>
      <c r="C552" s="31" t="n">
        <v>50700</v>
      </c>
      <c r="D552" s="31" t="n">
        <v>49200</v>
      </c>
      <c r="E552" s="31" t="n">
        <v>49500</v>
      </c>
      <c r="F552" s="31" t="n">
        <v>47069.55859375</v>
      </c>
      <c r="G552" s="31" t="n">
        <v>494919</v>
      </c>
      <c r="H552" s="36" t="n">
        <v>0.003039513677811634</v>
      </c>
      <c r="I552" s="36" t="n">
        <v>-0.1694630872483222</v>
      </c>
      <c r="J552" s="31" t="n">
        <v>46757.5</v>
      </c>
      <c r="K552" s="31" t="n">
        <v>48246.66666666666</v>
      </c>
      <c r="L552" s="31" t="n">
        <v>44402.41666666666</v>
      </c>
      <c r="M552" s="36" t="n">
        <v>0.3459760994264633</v>
      </c>
      <c r="N552" s="36" t="n">
        <v>0.3507890144739197</v>
      </c>
      <c r="O552" s="36" t="n">
        <v>0.07375271149674623</v>
      </c>
      <c r="P552" s="36" t="n">
        <v>0.02272727272727271</v>
      </c>
      <c r="Q552" s="36" t="n">
        <v>0.1870503597122302</v>
      </c>
      <c r="R552" s="36" t="n">
        <v>0.05865369192108227</v>
      </c>
      <c r="S552" s="36" t="n">
        <v>0.02597761503385376</v>
      </c>
      <c r="T552" s="36" t="n">
        <v>0.1148041867090568</v>
      </c>
      <c r="U552" s="31" t="n">
        <v>53000</v>
      </c>
      <c r="V552" s="31" t="n">
        <v>30040</v>
      </c>
      <c r="W552" s="36" t="n">
        <v>-0.06603773584905659</v>
      </c>
      <c r="X552" s="36" t="n">
        <v>0.6478029294274301</v>
      </c>
      <c r="Y552" s="31" t="n">
        <v>76211850</v>
      </c>
      <c r="Z552" s="31" t="n">
        <v>3772486575000</v>
      </c>
      <c r="AA552" s="31" t="n">
        <v>24498490500</v>
      </c>
      <c r="AB552" s="31" t="n">
        <v>22283423865</v>
      </c>
      <c r="AC552" s="36" t="n">
        <v>0.006493990107837561</v>
      </c>
      <c r="AD552" s="29" t="inlineStr">
        <is>
          <t>yfinance_download</t>
        </is>
      </c>
      <c r="AE552" s="29" t="inlineStr">
        <is>
          <t>058470.KQ</t>
        </is>
      </c>
    </row>
    <row r="553" ht="24" customHeight="1">
      <c r="A553" s="24" t="inlineStr">
        <is>
          <t>2025-09-11</t>
        </is>
      </c>
      <c r="B553" s="30" t="n">
        <v>49750</v>
      </c>
      <c r="C553" s="30" t="n">
        <v>50000</v>
      </c>
      <c r="D553" s="30" t="n">
        <v>49100</v>
      </c>
      <c r="E553" s="30" t="n">
        <v>49700</v>
      </c>
      <c r="F553" s="30" t="n">
        <v>47259.73828125</v>
      </c>
      <c r="G553" s="30" t="n">
        <v>803585</v>
      </c>
      <c r="H553" s="35" t="n">
        <v>0.004040404040404066</v>
      </c>
      <c r="I553" s="35" t="n">
        <v>-0.1661073825503355</v>
      </c>
      <c r="J553" s="30" t="n">
        <v>46862.5</v>
      </c>
      <c r="K553" s="30" t="n">
        <v>48238.33333333334</v>
      </c>
      <c r="L553" s="30" t="n">
        <v>44477.41666666666</v>
      </c>
      <c r="M553" s="35" t="n">
        <v>0.3289345205322384</v>
      </c>
      <c r="N553" s="35" t="n">
        <v>0.3425069762364175</v>
      </c>
      <c r="O553" s="35" t="n">
        <v>0.04411764705882359</v>
      </c>
      <c r="P553" s="35" t="n">
        <v>-0.009960159362549792</v>
      </c>
      <c r="Q553" s="35" t="n">
        <v>0.2211302211302211</v>
      </c>
      <c r="R553" s="35" t="n">
        <v>0.06054947986129644</v>
      </c>
      <c r="S553" s="35" t="n">
        <v>0.0303009363231177</v>
      </c>
      <c r="T553" s="35" t="n">
        <v>0.1174210132857687</v>
      </c>
      <c r="U553" s="30" t="n">
        <v>53000</v>
      </c>
      <c r="V553" s="30" t="n">
        <v>30040</v>
      </c>
      <c r="W553" s="35" t="n">
        <v>-0.06226415094339621</v>
      </c>
      <c r="X553" s="35" t="n">
        <v>0.6544607190412783</v>
      </c>
      <c r="Y553" s="30" t="n">
        <v>76211850</v>
      </c>
      <c r="Z553" s="30" t="n">
        <v>3787728945000</v>
      </c>
      <c r="AA553" s="30" t="n">
        <v>39938174500</v>
      </c>
      <c r="AB553" s="30" t="n">
        <v>19244880910</v>
      </c>
      <c r="AC553" s="35" t="n">
        <v>0.01054409517679993</v>
      </c>
      <c r="AD553" s="24" t="inlineStr">
        <is>
          <t>yfinance_download</t>
        </is>
      </c>
      <c r="AE553" s="24" t="inlineStr">
        <is>
          <t>058470.KQ</t>
        </is>
      </c>
    </row>
    <row r="554" ht="24" customHeight="1">
      <c r="A554" s="29" t="inlineStr">
        <is>
          <t>2025-09-12</t>
        </is>
      </c>
      <c r="B554" s="31" t="n">
        <v>50100</v>
      </c>
      <c r="C554" s="31" t="n">
        <v>50100</v>
      </c>
      <c r="D554" s="31" t="n">
        <v>48750</v>
      </c>
      <c r="E554" s="31" t="n">
        <v>49050</v>
      </c>
      <c r="F554" s="31" t="n">
        <v>46641.65234375</v>
      </c>
      <c r="G554" s="31" t="n">
        <v>515615</v>
      </c>
      <c r="H554" s="36" t="n">
        <v>-0.01307847082494973</v>
      </c>
      <c r="I554" s="36" t="n">
        <v>-0.177013422818792</v>
      </c>
      <c r="J554" s="31" t="n">
        <v>46972.5</v>
      </c>
      <c r="K554" s="31" t="n">
        <v>48212.5</v>
      </c>
      <c r="L554" s="31" t="n">
        <v>44542.83333333334</v>
      </c>
      <c r="M554" s="36" t="n">
        <v>0.3271105168781553</v>
      </c>
      <c r="N554" s="36" t="n">
        <v>0.3431473129376718</v>
      </c>
      <c r="O554" s="36" t="n">
        <v>0.04695837780149414</v>
      </c>
      <c r="P554" s="36" t="n">
        <v>-0.03063241106719372</v>
      </c>
      <c r="Q554" s="36" t="n">
        <v>0.1905339805825244</v>
      </c>
      <c r="R554" s="36" t="n">
        <v>0.04422800574804397</v>
      </c>
      <c r="S554" s="36" t="n">
        <v>0.01737101374124972</v>
      </c>
      <c r="T554" s="36" t="n">
        <v>0.1011872467325459</v>
      </c>
      <c r="U554" s="31" t="n">
        <v>53000</v>
      </c>
      <c r="V554" s="31" t="n">
        <v>30040</v>
      </c>
      <c r="W554" s="36" t="n">
        <v>-0.07452830188679249</v>
      </c>
      <c r="X554" s="36" t="n">
        <v>0.6328229027962717</v>
      </c>
      <c r="Y554" s="31" t="n">
        <v>76211850</v>
      </c>
      <c r="Z554" s="31" t="n">
        <v>3738191242500</v>
      </c>
      <c r="AA554" s="31" t="n">
        <v>25290915750</v>
      </c>
      <c r="AB554" s="31" t="n">
        <v>19080937402.5</v>
      </c>
      <c r="AC554" s="36" t="n">
        <v>0.006765548927102544</v>
      </c>
      <c r="AD554" s="29" t="inlineStr">
        <is>
          <t>yfinance_download</t>
        </is>
      </c>
      <c r="AE554" s="29" t="inlineStr">
        <is>
          <t>058470.KQ</t>
        </is>
      </c>
    </row>
    <row r="555" ht="24" customHeight="1">
      <c r="A555" s="24" t="inlineStr">
        <is>
          <t>2025-09-15</t>
        </is>
      </c>
      <c r="B555" s="30" t="n">
        <v>49450</v>
      </c>
      <c r="C555" s="30" t="n">
        <v>50200</v>
      </c>
      <c r="D555" s="30" t="n">
        <v>48750</v>
      </c>
      <c r="E555" s="30" t="n">
        <v>50100</v>
      </c>
      <c r="F555" s="30" t="n">
        <v>47640.09765625</v>
      </c>
      <c r="G555" s="30" t="n">
        <v>529225</v>
      </c>
      <c r="H555" s="35" t="n">
        <v>0.0214067278287462</v>
      </c>
      <c r="I555" s="35" t="n">
        <v>-0.1593959731543624</v>
      </c>
      <c r="J555" s="30" t="n">
        <v>47162.5</v>
      </c>
      <c r="K555" s="30" t="n">
        <v>48187.5</v>
      </c>
      <c r="L555" s="30" t="n">
        <v>44643.5</v>
      </c>
      <c r="M555" s="35" t="n">
        <v>0.3291326562512473</v>
      </c>
      <c r="N555" s="35" t="n">
        <v>0.3435738677155883</v>
      </c>
      <c r="O555" s="35" t="n">
        <v>0.08207343412527002</v>
      </c>
      <c r="P555" s="35" t="n">
        <v>-0.02906976744186052</v>
      </c>
      <c r="Q555" s="35" t="n">
        <v>0.3177275118358758</v>
      </c>
      <c r="R555" s="35" t="n">
        <v>0.06228465412138884</v>
      </c>
      <c r="S555" s="35" t="n">
        <v>0.03968871595330747</v>
      </c>
      <c r="T555" s="35" t="n">
        <v>0.1222238399767044</v>
      </c>
      <c r="U555" s="30" t="n">
        <v>53000</v>
      </c>
      <c r="V555" s="30" t="n">
        <v>30040</v>
      </c>
      <c r="W555" s="35" t="n">
        <v>-0.05471698113207546</v>
      </c>
      <c r="X555" s="35" t="n">
        <v>0.6677762982689748</v>
      </c>
      <c r="Y555" s="30" t="n">
        <v>76211850</v>
      </c>
      <c r="Z555" s="30" t="n">
        <v>3818213685000</v>
      </c>
      <c r="AA555" s="30" t="n">
        <v>26514172500</v>
      </c>
      <c r="AB555" s="30" t="n">
        <v>19365595157.5</v>
      </c>
      <c r="AC555" s="35" t="n">
        <v>0.006944130079508633</v>
      </c>
      <c r="AD555" s="24" t="inlineStr">
        <is>
          <t>yfinance_download</t>
        </is>
      </c>
      <c r="AE555" s="24" t="inlineStr">
        <is>
          <t>058470.KQ</t>
        </is>
      </c>
    </row>
    <row r="556" ht="24" customHeight="1">
      <c r="A556" s="29" t="inlineStr">
        <is>
          <t>2025-09-16</t>
        </is>
      </c>
      <c r="B556" s="31" t="n">
        <v>50200</v>
      </c>
      <c r="C556" s="31" t="n">
        <v>51600</v>
      </c>
      <c r="D556" s="31" t="n">
        <v>49750</v>
      </c>
      <c r="E556" s="31" t="n">
        <v>51100</v>
      </c>
      <c r="F556" s="31" t="n">
        <v>48590.99609375</v>
      </c>
      <c r="G556" s="31" t="n">
        <v>657960</v>
      </c>
      <c r="H556" s="36" t="n">
        <v>0.01996007984031944</v>
      </c>
      <c r="I556" s="36" t="n">
        <v>-0.1426174496644296</v>
      </c>
      <c r="J556" s="31" t="n">
        <v>47387.5</v>
      </c>
      <c r="K556" s="31" t="n">
        <v>48199.16666666666</v>
      </c>
      <c r="L556" s="31" t="n">
        <v>44738.5</v>
      </c>
      <c r="M556" s="36" t="n">
        <v>0.3338412791590573</v>
      </c>
      <c r="N556" s="36" t="n">
        <v>0.3426340810550962</v>
      </c>
      <c r="O556" s="36" t="n">
        <v>0.09656652360515028</v>
      </c>
      <c r="P556" s="36" t="n">
        <v>0.01388888888888884</v>
      </c>
      <c r="Q556" s="36" t="n">
        <v>0.2871536523929472</v>
      </c>
      <c r="R556" s="36" t="n">
        <v>0.07834344500131896</v>
      </c>
      <c r="S556" s="36" t="n">
        <v>0.06018430470789604</v>
      </c>
      <c r="T556" s="36" t="n">
        <v>0.1421929657900913</v>
      </c>
      <c r="U556" s="31" t="n">
        <v>53000</v>
      </c>
      <c r="V556" s="31" t="n">
        <v>30040</v>
      </c>
      <c r="W556" s="36" t="n">
        <v>-0.03584905660377358</v>
      </c>
      <c r="X556" s="36" t="n">
        <v>0.7010652463382157</v>
      </c>
      <c r="Y556" s="31" t="n">
        <v>76211850</v>
      </c>
      <c r="Z556" s="31" t="n">
        <v>3894425535000</v>
      </c>
      <c r="AA556" s="31" t="n">
        <v>33621756000</v>
      </c>
      <c r="AB556" s="31" t="n">
        <v>19880865127.5</v>
      </c>
      <c r="AC556" s="36" t="n">
        <v>0.0086333030886929</v>
      </c>
      <c r="AD556" s="29" t="inlineStr">
        <is>
          <t>yfinance_download</t>
        </is>
      </c>
      <c r="AE556" s="29" t="inlineStr">
        <is>
          <t>058470.KQ</t>
        </is>
      </c>
    </row>
    <row r="557" ht="24" customHeight="1">
      <c r="A557" s="24" t="inlineStr">
        <is>
          <t>2025-09-17</t>
        </is>
      </c>
      <c r="B557" s="30" t="n">
        <v>50000</v>
      </c>
      <c r="C557" s="30" t="n">
        <v>50100</v>
      </c>
      <c r="D557" s="30" t="n">
        <v>48450</v>
      </c>
      <c r="E557" s="30" t="n">
        <v>48600</v>
      </c>
      <c r="F557" s="30" t="n">
        <v>46213.74609375</v>
      </c>
      <c r="G557" s="30" t="n">
        <v>622559</v>
      </c>
      <c r="H557" s="35" t="n">
        <v>-0.04892367906066541</v>
      </c>
      <c r="I557" s="35" t="n">
        <v>-0.1845637583892618</v>
      </c>
      <c r="J557" s="30" t="n">
        <v>47527.5</v>
      </c>
      <c r="K557" s="30" t="n">
        <v>48159.16666666666</v>
      </c>
      <c r="L557" s="30" t="n">
        <v>44821</v>
      </c>
      <c r="M557" s="35" t="n">
        <v>0.3777356175263035</v>
      </c>
      <c r="N557" s="35" t="n">
        <v>0.3563582014373543</v>
      </c>
      <c r="O557" s="35" t="n">
        <v>0.06113537117903922</v>
      </c>
      <c r="P557" s="35" t="n">
        <v>-0.04705882352941182</v>
      </c>
      <c r="Q557" s="35" t="n">
        <v>0.2558139534883721</v>
      </c>
      <c r="R557" s="35" t="n">
        <v>0.02256588290989425</v>
      </c>
      <c r="S557" s="35" t="n">
        <v>0.009153674447578419</v>
      </c>
      <c r="T557" s="35" t="n">
        <v>0.08431315677918838</v>
      </c>
      <c r="U557" s="30" t="n">
        <v>53000</v>
      </c>
      <c r="V557" s="30" t="n">
        <v>30040</v>
      </c>
      <c r="W557" s="35" t="n">
        <v>-0.08301886792452828</v>
      </c>
      <c r="X557" s="35" t="n">
        <v>0.6178428761651131</v>
      </c>
      <c r="Y557" s="30" t="n">
        <v>76211850</v>
      </c>
      <c r="Z557" s="30" t="n">
        <v>3703895910000</v>
      </c>
      <c r="AA557" s="30" t="n">
        <v>30256367400</v>
      </c>
      <c r="AB557" s="30" t="n">
        <v>20428601927.5</v>
      </c>
      <c r="AC557" s="35" t="n">
        <v>0.008168795272651169</v>
      </c>
      <c r="AD557" s="24" t="inlineStr">
        <is>
          <t>yfinance_download</t>
        </is>
      </c>
      <c r="AE557" s="24" t="inlineStr">
        <is>
          <t>058470.KQ</t>
        </is>
      </c>
    </row>
    <row r="558" ht="24" customHeight="1">
      <c r="A558" s="29" t="inlineStr">
        <is>
          <t>2025-09-18</t>
        </is>
      </c>
      <c r="B558" s="31" t="n">
        <v>49100</v>
      </c>
      <c r="C558" s="31" t="n">
        <v>49500</v>
      </c>
      <c r="D558" s="31" t="n">
        <v>48600</v>
      </c>
      <c r="E558" s="31" t="n">
        <v>49250</v>
      </c>
      <c r="F558" s="31" t="n">
        <v>46831.83203125</v>
      </c>
      <c r="G558" s="31" t="n">
        <v>505573</v>
      </c>
      <c r="H558" s="36" t="n">
        <v>0.01337448559670773</v>
      </c>
      <c r="I558" s="36" t="n">
        <v>-0.1736577181208053</v>
      </c>
      <c r="J558" s="31" t="n">
        <v>47770</v>
      </c>
      <c r="K558" s="31" t="n">
        <v>48115</v>
      </c>
      <c r="L558" s="31" t="n">
        <v>44910.41666666666</v>
      </c>
      <c r="M558" s="36" t="n">
        <v>0.3572220959326028</v>
      </c>
      <c r="N558" s="36" t="n">
        <v>0.3555327177506017</v>
      </c>
      <c r="O558" s="36" t="n">
        <v>0.1092342342342343</v>
      </c>
      <c r="P558" s="36" t="n">
        <v>-0.05105973025048172</v>
      </c>
      <c r="Q558" s="36" t="n">
        <v>0.2785565939771548</v>
      </c>
      <c r="R558" s="36" t="n">
        <v>0.03098178773288685</v>
      </c>
      <c r="S558" s="36" t="n">
        <v>0.02358931726072955</v>
      </c>
      <c r="T558" s="36" t="n">
        <v>0.09662754557684283</v>
      </c>
      <c r="U558" s="31" t="n">
        <v>53000</v>
      </c>
      <c r="V558" s="31" t="n">
        <v>30040</v>
      </c>
      <c r="W558" s="36" t="n">
        <v>-0.07075471698113212</v>
      </c>
      <c r="X558" s="36" t="n">
        <v>0.6394806924101197</v>
      </c>
      <c r="Y558" s="31" t="n">
        <v>76211850</v>
      </c>
      <c r="Z558" s="31" t="n">
        <v>3753433612500</v>
      </c>
      <c r="AA558" s="31" t="n">
        <v>24899470250</v>
      </c>
      <c r="AB558" s="31" t="n">
        <v>20436256220</v>
      </c>
      <c r="AC558" s="36" t="n">
        <v>0.006633784641102401</v>
      </c>
      <c r="AD558" s="29" t="inlineStr">
        <is>
          <t>yfinance_download</t>
        </is>
      </c>
      <c r="AE558" s="29" t="inlineStr">
        <is>
          <t>058470.KQ</t>
        </is>
      </c>
    </row>
    <row r="559" ht="24" customHeight="1">
      <c r="A559" s="24" t="inlineStr">
        <is>
          <t>2025-09-19</t>
        </is>
      </c>
      <c r="B559" s="30" t="n">
        <v>50200</v>
      </c>
      <c r="C559" s="30" t="n">
        <v>51300</v>
      </c>
      <c r="D559" s="30" t="n">
        <v>49300</v>
      </c>
      <c r="E559" s="30" t="n">
        <v>50500</v>
      </c>
      <c r="F559" s="30" t="n">
        <v>48020.45703125</v>
      </c>
      <c r="G559" s="30" t="n">
        <v>750526</v>
      </c>
      <c r="H559" s="35" t="n">
        <v>0.02538071065989844</v>
      </c>
      <c r="I559" s="35" t="n">
        <v>-0.1526845637583892</v>
      </c>
      <c r="J559" s="30" t="n">
        <v>48047.5</v>
      </c>
      <c r="K559" s="30" t="n">
        <v>48116.66666666666</v>
      </c>
      <c r="L559" s="30" t="n">
        <v>44978.75</v>
      </c>
      <c r="M559" s="35" t="n">
        <v>0.3634977841123046</v>
      </c>
      <c r="N559" s="35" t="n">
        <v>0.3544962948339638</v>
      </c>
      <c r="O559" s="35" t="n">
        <v>0.1234705228031145</v>
      </c>
      <c r="P559" s="35" t="n">
        <v>0.001984126984126977</v>
      </c>
      <c r="Q559" s="35" t="n">
        <v>0.1938534278959811</v>
      </c>
      <c r="R559" s="35" t="n">
        <v>0.05104323846193881</v>
      </c>
      <c r="S559" s="35" t="n">
        <v>0.04953238656044334</v>
      </c>
      <c r="T559" s="35" t="n">
        <v>0.1227524108606841</v>
      </c>
      <c r="U559" s="30" t="n">
        <v>53000</v>
      </c>
      <c r="V559" s="30" t="n">
        <v>30040</v>
      </c>
      <c r="W559" s="35" t="n">
        <v>-0.04716981132075471</v>
      </c>
      <c r="X559" s="35" t="n">
        <v>0.681091877496671</v>
      </c>
      <c r="Y559" s="30" t="n">
        <v>76211850</v>
      </c>
      <c r="Z559" s="30" t="n">
        <v>3848698425000</v>
      </c>
      <c r="AA559" s="30" t="n">
        <v>37901563000</v>
      </c>
      <c r="AB559" s="30" t="n">
        <v>21888830837.5</v>
      </c>
      <c r="AC559" s="35" t="n">
        <v>0.009847891108797385</v>
      </c>
      <c r="AD559" s="24" t="inlineStr">
        <is>
          <t>yfinance_download</t>
        </is>
      </c>
      <c r="AE559" s="24" t="inlineStr">
        <is>
          <t>058470.KQ</t>
        </is>
      </c>
    </row>
    <row r="560" ht="24" customHeight="1">
      <c r="A560" s="29" t="inlineStr">
        <is>
          <t>2025-09-22</t>
        </is>
      </c>
      <c r="B560" s="31" t="n">
        <v>51100</v>
      </c>
      <c r="C560" s="31" t="n">
        <v>53300</v>
      </c>
      <c r="D560" s="31" t="n">
        <v>51000</v>
      </c>
      <c r="E560" s="31" t="n">
        <v>53000</v>
      </c>
      <c r="F560" s="31" t="n">
        <v>50397.70703125</v>
      </c>
      <c r="G560" s="31" t="n">
        <v>1009105</v>
      </c>
      <c r="H560" s="36" t="n">
        <v>0.04950495049504955</v>
      </c>
      <c r="I560" s="36" t="n">
        <v>-0.1107382550335571</v>
      </c>
      <c r="J560" s="31" t="n">
        <v>48360</v>
      </c>
      <c r="K560" s="31" t="n">
        <v>48155</v>
      </c>
      <c r="L560" s="31" t="n">
        <v>45074.58333333334</v>
      </c>
      <c r="M560" s="36" t="n">
        <v>0.3765372134358427</v>
      </c>
      <c r="N560" s="36" t="n">
        <v>0.3684360085148604</v>
      </c>
      <c r="O560" s="36" t="n">
        <v>0.1336898395721926</v>
      </c>
      <c r="P560" s="36" t="n">
        <v>0.04536489151873768</v>
      </c>
      <c r="Q560" s="36" t="n">
        <v>0.2771084337349397</v>
      </c>
      <c r="R560" s="36" t="n">
        <v>0.09594706368899919</v>
      </c>
      <c r="S560" s="36" t="n">
        <v>0.1006126051292702</v>
      </c>
      <c r="T560" s="36" t="n">
        <v>0.1758289501659287</v>
      </c>
      <c r="U560" s="31" t="n">
        <v>53000</v>
      </c>
      <c r="V560" s="31" t="n">
        <v>30040</v>
      </c>
      <c r="W560" s="36" t="n">
        <v>0</v>
      </c>
      <c r="X560" s="36" t="n">
        <v>0.7643142476697737</v>
      </c>
      <c r="Y560" s="31" t="n">
        <v>76211850</v>
      </c>
      <c r="Z560" s="31" t="n">
        <v>4039228050000</v>
      </c>
      <c r="AA560" s="31" t="n">
        <v>53482565000</v>
      </c>
      <c r="AB560" s="31" t="n">
        <v>23874656500</v>
      </c>
      <c r="AC560" s="36" t="n">
        <v>0.01324078867000342</v>
      </c>
      <c r="AD560" s="29" t="inlineStr">
        <is>
          <t>yfinance_download</t>
        </is>
      </c>
      <c r="AE560" s="29" t="inlineStr">
        <is>
          <t>058470.KQ</t>
        </is>
      </c>
    </row>
    <row r="561" ht="24" customHeight="1">
      <c r="A561" s="24" t="inlineStr">
        <is>
          <t>2025-09-23</t>
        </is>
      </c>
      <c r="B561" s="30" t="n">
        <v>54800</v>
      </c>
      <c r="C561" s="30" t="n">
        <v>54800</v>
      </c>
      <c r="D561" s="30" t="n">
        <v>52000</v>
      </c>
      <c r="E561" s="30" t="n">
        <v>52300</v>
      </c>
      <c r="F561" s="30" t="n">
        <v>49732.078125</v>
      </c>
      <c r="G561" s="30" t="n">
        <v>764312</v>
      </c>
      <c r="H561" s="35" t="n">
        <v>-0.01320754716981132</v>
      </c>
      <c r="I561" s="35" t="n">
        <v>-0.12248322147651</v>
      </c>
      <c r="J561" s="30" t="n">
        <v>48610</v>
      </c>
      <c r="K561" s="30" t="n">
        <v>48178.33333333334</v>
      </c>
      <c r="L561" s="30" t="n">
        <v>45148.75</v>
      </c>
      <c r="M561" s="35" t="n">
        <v>0.3823472438268222</v>
      </c>
      <c r="N561" s="35" t="n">
        <v>0.3695266687327866</v>
      </c>
      <c r="O561" s="35" t="n">
        <v>0.1057082452431291</v>
      </c>
      <c r="P561" s="35" t="n">
        <v>0.02750491159135571</v>
      </c>
      <c r="Q561" s="35" t="n">
        <v>0.2050691244239631</v>
      </c>
      <c r="R561" s="35" t="n">
        <v>0.07591030652129183</v>
      </c>
      <c r="S561" s="35" t="n">
        <v>0.08555021275123664</v>
      </c>
      <c r="T561" s="35" t="n">
        <v>0.1583930895096763</v>
      </c>
      <c r="U561" s="30" t="n">
        <v>53000</v>
      </c>
      <c r="V561" s="30" t="n">
        <v>30040</v>
      </c>
      <c r="W561" s="35" t="n">
        <v>-0.01320754716981132</v>
      </c>
      <c r="X561" s="35" t="n">
        <v>0.741011984021305</v>
      </c>
      <c r="Y561" s="30" t="n">
        <v>76211850</v>
      </c>
      <c r="Z561" s="30" t="n">
        <v>3985879755000</v>
      </c>
      <c r="AA561" s="30" t="n">
        <v>39973517600</v>
      </c>
      <c r="AB561" s="30" t="n">
        <v>25241517900</v>
      </c>
      <c r="AC561" s="35" t="n">
        <v>0.01002878161335803</v>
      </c>
      <c r="AD561" s="24" t="inlineStr">
        <is>
          <t>yfinance_download</t>
        </is>
      </c>
      <c r="AE561" s="24" t="inlineStr">
        <is>
          <t>058470.KQ</t>
        </is>
      </c>
    </row>
    <row r="562" ht="24" customHeight="1">
      <c r="A562" s="29" t="inlineStr">
        <is>
          <t>2025-09-24</t>
        </is>
      </c>
      <c r="B562" s="31" t="n">
        <v>51700</v>
      </c>
      <c r="C562" s="31" t="n">
        <v>53600</v>
      </c>
      <c r="D562" s="31" t="n">
        <v>51500</v>
      </c>
      <c r="E562" s="31" t="n">
        <v>53400</v>
      </c>
      <c r="F562" s="31" t="n">
        <v>50778.06640625</v>
      </c>
      <c r="G562" s="31" t="n">
        <v>540005</v>
      </c>
      <c r="H562" s="36" t="n">
        <v>0.02103250478011476</v>
      </c>
      <c r="I562" s="36" t="n">
        <v>-0.1040268456375839</v>
      </c>
      <c r="J562" s="31" t="n">
        <v>48895</v>
      </c>
      <c r="K562" s="31" t="n">
        <v>48216.66666666666</v>
      </c>
      <c r="L562" s="31" t="n">
        <v>45227.08333333334</v>
      </c>
      <c r="M562" s="36" t="n">
        <v>0.3863051943700597</v>
      </c>
      <c r="N562" s="36" t="n">
        <v>0.3718166167171852</v>
      </c>
      <c r="O562" s="36" t="n">
        <v>0.1194968553459119</v>
      </c>
      <c r="P562" s="36" t="n">
        <v>0.04500978473581219</v>
      </c>
      <c r="Q562" s="36" t="n">
        <v>0.2136363636363636</v>
      </c>
      <c r="R562" s="36" t="n">
        <v>0.09213621024644647</v>
      </c>
      <c r="S562" s="36" t="n">
        <v>0.1075008641548567</v>
      </c>
      <c r="T562" s="36" t="n">
        <v>0.1807084619282324</v>
      </c>
      <c r="U562" s="31" t="n">
        <v>53400</v>
      </c>
      <c r="V562" s="31" t="n">
        <v>30040</v>
      </c>
      <c r="W562" s="36" t="n">
        <v>0</v>
      </c>
      <c r="X562" s="36" t="n">
        <v>0.77762982689747</v>
      </c>
      <c r="Y562" s="31" t="n">
        <v>76211850</v>
      </c>
      <c r="Z562" s="31" t="n">
        <v>4069712790000</v>
      </c>
      <c r="AA562" s="31" t="n">
        <v>28836267000</v>
      </c>
      <c r="AB562" s="31" t="n">
        <v>26196934350</v>
      </c>
      <c r="AC562" s="36" t="n">
        <v>0.007085577898975028</v>
      </c>
      <c r="AD562" s="29" t="inlineStr">
        <is>
          <t>yfinance_download</t>
        </is>
      </c>
      <c r="AE562" s="29" t="inlineStr">
        <is>
          <t>058470.KQ</t>
        </is>
      </c>
    </row>
    <row r="563" ht="24" customHeight="1">
      <c r="A563" s="24" t="inlineStr">
        <is>
          <t>2025-09-25</t>
        </is>
      </c>
      <c r="B563" s="30" t="n">
        <v>52500</v>
      </c>
      <c r="C563" s="30" t="n">
        <v>53100</v>
      </c>
      <c r="D563" s="30" t="n">
        <v>51200</v>
      </c>
      <c r="E563" s="30" t="n">
        <v>51500</v>
      </c>
      <c r="F563" s="30" t="n">
        <v>48971.35546875</v>
      </c>
      <c r="G563" s="30" t="n">
        <v>421881</v>
      </c>
      <c r="H563" s="35" t="n">
        <v>-0.03558052434456926</v>
      </c>
      <c r="I563" s="35" t="n">
        <v>-0.1359060402684564</v>
      </c>
      <c r="J563" s="30" t="n">
        <v>49110</v>
      </c>
      <c r="K563" s="30" t="n">
        <v>48255</v>
      </c>
      <c r="L563" s="30" t="n">
        <v>45302.08333333334</v>
      </c>
      <c r="M563" s="35" t="n">
        <v>0.4100019033533795</v>
      </c>
      <c r="N563" s="35" t="n">
        <v>0.3711279714643927</v>
      </c>
      <c r="O563" s="35" t="n">
        <v>0.09110169491525433</v>
      </c>
      <c r="P563" s="35" t="n">
        <v>0.04674796747967469</v>
      </c>
      <c r="Q563" s="35" t="n">
        <v>0.2117647058823529</v>
      </c>
      <c r="R563" s="35" t="n">
        <v>0.04866625941763392</v>
      </c>
      <c r="S563" s="35" t="n">
        <v>0.06724691741788424</v>
      </c>
      <c r="T563" s="35" t="n">
        <v>0.1368130604736721</v>
      </c>
      <c r="U563" s="30" t="n">
        <v>53400</v>
      </c>
      <c r="V563" s="30" t="n">
        <v>30040</v>
      </c>
      <c r="W563" s="35" t="n">
        <v>-0.03558052434456926</v>
      </c>
      <c r="X563" s="35" t="n">
        <v>0.7143808255659121</v>
      </c>
      <c r="Y563" s="30" t="n">
        <v>76211850</v>
      </c>
      <c r="Z563" s="30" t="n">
        <v>3924910275000</v>
      </c>
      <c r="AA563" s="30" t="n">
        <v>21726871500</v>
      </c>
      <c r="AB563" s="30" t="n">
        <v>26560955085</v>
      </c>
      <c r="AC563" s="35" t="n">
        <v>0.005535635206336023</v>
      </c>
      <c r="AD563" s="24" t="inlineStr">
        <is>
          <t>yfinance_download</t>
        </is>
      </c>
      <c r="AE563" s="24" t="inlineStr">
        <is>
          <t>058470.KQ</t>
        </is>
      </c>
    </row>
    <row r="564" ht="24" customHeight="1">
      <c r="A564" s="29" t="inlineStr">
        <is>
          <t>2025-09-26</t>
        </is>
      </c>
      <c r="B564" s="31" t="n">
        <v>50800</v>
      </c>
      <c r="C564" s="31" t="n">
        <v>52200</v>
      </c>
      <c r="D564" s="31" t="n">
        <v>50600</v>
      </c>
      <c r="E564" s="31" t="n">
        <v>51100</v>
      </c>
      <c r="F564" s="31" t="n">
        <v>48590.99609375</v>
      </c>
      <c r="G564" s="31" t="n">
        <v>453103</v>
      </c>
      <c r="H564" s="36" t="n">
        <v>-0.007766990291262155</v>
      </c>
      <c r="I564" s="36" t="n">
        <v>-0.1426174496644296</v>
      </c>
      <c r="J564" s="31" t="n">
        <v>49315</v>
      </c>
      <c r="K564" s="31" t="n">
        <v>48248.33333333334</v>
      </c>
      <c r="L564" s="31" t="n">
        <v>45375.41666666666</v>
      </c>
      <c r="M564" s="36" t="n">
        <v>0.4112102434926481</v>
      </c>
      <c r="N564" s="36" t="n">
        <v>0.3590652790167129</v>
      </c>
      <c r="O564" s="36" t="n">
        <v>0.08723404255319145</v>
      </c>
      <c r="P564" s="36" t="n">
        <v>-0.007766990291262155</v>
      </c>
      <c r="Q564" s="36" t="n">
        <v>0.2080378250591017</v>
      </c>
      <c r="R564" s="36" t="n">
        <v>0.03619588360539394</v>
      </c>
      <c r="S564" s="36" t="n">
        <v>0.05910394141421116</v>
      </c>
      <c r="T564" s="36" t="n">
        <v>0.1261604576633824</v>
      </c>
      <c r="U564" s="31" t="n">
        <v>53400</v>
      </c>
      <c r="V564" s="31" t="n">
        <v>30040</v>
      </c>
      <c r="W564" s="36" t="n">
        <v>-0.04307116104868913</v>
      </c>
      <c r="X564" s="36" t="n">
        <v>0.7010652463382157</v>
      </c>
      <c r="Y564" s="31" t="n">
        <v>76211850</v>
      </c>
      <c r="Z564" s="31" t="n">
        <v>3894425535000</v>
      </c>
      <c r="AA564" s="31" t="n">
        <v>23153563300</v>
      </c>
      <c r="AB564" s="31" t="n">
        <v>27201990450</v>
      </c>
      <c r="AC564" s="36" t="n">
        <v>0.00594530903002617</v>
      </c>
      <c r="AD564" s="29" t="inlineStr">
        <is>
          <t>yfinance_download</t>
        </is>
      </c>
      <c r="AE564" s="29" t="inlineStr">
        <is>
          <t>058470.KQ</t>
        </is>
      </c>
    </row>
    <row r="565" ht="24" customHeight="1">
      <c r="A565" s="24" t="inlineStr">
        <is>
          <t>2025-09-29</t>
        </is>
      </c>
      <c r="B565" s="30" t="n">
        <v>51500</v>
      </c>
      <c r="C565" s="30" t="n">
        <v>52500</v>
      </c>
      <c r="D565" s="30" t="n">
        <v>50800</v>
      </c>
      <c r="E565" s="30" t="n">
        <v>51800</v>
      </c>
      <c r="F565" s="30" t="n">
        <v>49256.62890625</v>
      </c>
      <c r="G565" s="30" t="n">
        <v>286110</v>
      </c>
      <c r="H565" s="35" t="n">
        <v>0.01369863013698636</v>
      </c>
      <c r="I565" s="35" t="n">
        <v>-0.1308724832214765</v>
      </c>
      <c r="J565" s="30" t="n">
        <v>49592.5</v>
      </c>
      <c r="K565" s="30" t="n">
        <v>48278.33333333334</v>
      </c>
      <c r="L565" s="30" t="n">
        <v>45462.08333333334</v>
      </c>
      <c r="M565" s="35" t="n">
        <v>0.4050630321299356</v>
      </c>
      <c r="N565" s="35" t="n">
        <v>0.354867278781031</v>
      </c>
      <c r="O565" s="35" t="n">
        <v>0.1200000000000001</v>
      </c>
      <c r="P565" s="35" t="n">
        <v>0.03600000000000003</v>
      </c>
      <c r="Q565" s="35" t="n">
        <v>0.251207729468599</v>
      </c>
      <c r="R565" s="35" t="n">
        <v>0.04451277915007301</v>
      </c>
      <c r="S565" s="35" t="n">
        <v>0.07294507543066242</v>
      </c>
      <c r="T565" s="35" t="n">
        <v>0.1394110476679284</v>
      </c>
      <c r="U565" s="30" t="n">
        <v>53400</v>
      </c>
      <c r="V565" s="30" t="n">
        <v>30040</v>
      </c>
      <c r="W565" s="35" t="n">
        <v>-0.02996254681647936</v>
      </c>
      <c r="X565" s="35" t="n">
        <v>0.7243675099866844</v>
      </c>
      <c r="Y565" s="30" t="n">
        <v>76211850</v>
      </c>
      <c r="Z565" s="30" t="n">
        <v>3947773830000</v>
      </c>
      <c r="AA565" s="30" t="n">
        <v>14820498000</v>
      </c>
      <c r="AB565" s="30" t="n">
        <v>27224306537.5</v>
      </c>
      <c r="AC565" s="35" t="n">
        <v>0.00375414059624586</v>
      </c>
      <c r="AD565" s="24" t="inlineStr">
        <is>
          <t>yfinance_download</t>
        </is>
      </c>
      <c r="AE565" s="24" t="inlineStr">
        <is>
          <t>058470.KQ</t>
        </is>
      </c>
    </row>
    <row r="566" ht="24" customHeight="1">
      <c r="A566" s="29" t="inlineStr">
        <is>
          <t>2025-09-30</t>
        </is>
      </c>
      <c r="B566" s="31" t="n">
        <v>52400</v>
      </c>
      <c r="C566" s="31" t="n">
        <v>53000</v>
      </c>
      <c r="D566" s="31" t="n">
        <v>51400</v>
      </c>
      <c r="E566" s="31" t="n">
        <v>51500</v>
      </c>
      <c r="F566" s="31" t="n">
        <v>48971.35546875</v>
      </c>
      <c r="G566" s="31" t="n">
        <v>285678</v>
      </c>
      <c r="H566" s="36" t="n">
        <v>-0.00579150579150578</v>
      </c>
      <c r="I566" s="36" t="n">
        <v>-0.1359060402684564</v>
      </c>
      <c r="J566" s="31" t="n">
        <v>49905</v>
      </c>
      <c r="K566" s="31" t="n">
        <v>48301.66666666666</v>
      </c>
      <c r="L566" s="31" t="n">
        <v>45539.58333333334</v>
      </c>
      <c r="M566" s="36" t="n">
        <v>0.3945107941216807</v>
      </c>
      <c r="N566" s="36" t="n">
        <v>0.3551172583706727</v>
      </c>
      <c r="O566" s="36" t="n">
        <v>0.1381215469613259</v>
      </c>
      <c r="P566" s="36" t="n">
        <v>0.02794411177644718</v>
      </c>
      <c r="Q566" s="36" t="n">
        <v>0.2203791469194314</v>
      </c>
      <c r="R566" s="36" t="n">
        <v>0.03196072537821859</v>
      </c>
      <c r="S566" s="36" t="n">
        <v>0.06621579655636456</v>
      </c>
      <c r="T566" s="36" t="n">
        <v>0.1308843039480305</v>
      </c>
      <c r="U566" s="31" t="n">
        <v>53400</v>
      </c>
      <c r="V566" s="31" t="n">
        <v>30040</v>
      </c>
      <c r="W566" s="36" t="n">
        <v>-0.03558052434456926</v>
      </c>
      <c r="X566" s="36" t="n">
        <v>0.7143808255659121</v>
      </c>
      <c r="Y566" s="31" t="n">
        <v>76211850</v>
      </c>
      <c r="Z566" s="31" t="n">
        <v>3924910275000</v>
      </c>
      <c r="AA566" s="31" t="n">
        <v>14712417000</v>
      </c>
      <c r="AB566" s="31" t="n">
        <v>27387198137.5</v>
      </c>
      <c r="AC566" s="36" t="n">
        <v>0.003748472186411955</v>
      </c>
      <c r="AD566" s="29" t="inlineStr">
        <is>
          <t>yfinance_download</t>
        </is>
      </c>
      <c r="AE566" s="29" t="inlineStr">
        <is>
          <t>058470.KQ</t>
        </is>
      </c>
    </row>
    <row r="567" ht="24" customHeight="1">
      <c r="A567" s="24" t="inlineStr">
        <is>
          <t>2025-10-01</t>
        </is>
      </c>
      <c r="B567" s="30" t="n">
        <v>51900</v>
      </c>
      <c r="C567" s="30" t="n">
        <v>53200</v>
      </c>
      <c r="D567" s="30" t="n">
        <v>51800</v>
      </c>
      <c r="E567" s="30" t="n">
        <v>52700</v>
      </c>
      <c r="F567" s="30" t="n">
        <v>50112.4375</v>
      </c>
      <c r="G567" s="30" t="n">
        <v>369026</v>
      </c>
      <c r="H567" s="35" t="n">
        <v>0.02330097087378635</v>
      </c>
      <c r="I567" s="35" t="n">
        <v>-0.1157718120805369</v>
      </c>
      <c r="J567" s="30" t="n">
        <v>50267.5</v>
      </c>
      <c r="K567" s="30" t="n">
        <v>48336.66666666666</v>
      </c>
      <c r="L567" s="30" t="n">
        <v>45635.41666666666</v>
      </c>
      <c r="M567" s="35" t="n">
        <v>0.3986822307846483</v>
      </c>
      <c r="N567" s="35" t="n">
        <v>0.3576434994645321</v>
      </c>
      <c r="O567" s="35" t="n">
        <v>0.1595159515951594</v>
      </c>
      <c r="P567" s="35" t="n">
        <v>0.04150197628458496</v>
      </c>
      <c r="Q567" s="35" t="n">
        <v>0.279126213592233</v>
      </c>
      <c r="R567" s="35" t="n">
        <v>0.04839110757447651</v>
      </c>
      <c r="S567" s="35" t="n">
        <v>0.09026963657678788</v>
      </c>
      <c r="T567" s="35" t="n">
        <v>0.1548048390778363</v>
      </c>
      <c r="U567" s="30" t="n">
        <v>53400</v>
      </c>
      <c r="V567" s="30" t="n">
        <v>30040</v>
      </c>
      <c r="W567" s="35" t="n">
        <v>-0.01310861423220977</v>
      </c>
      <c r="X567" s="35" t="n">
        <v>0.7543275632490014</v>
      </c>
      <c r="Y567" s="30" t="n">
        <v>76211850</v>
      </c>
      <c r="Z567" s="30" t="n">
        <v>4016364495000</v>
      </c>
      <c r="AA567" s="30" t="n">
        <v>19447670200</v>
      </c>
      <c r="AB567" s="30" t="n">
        <v>27858202245</v>
      </c>
      <c r="AC567" s="35" t="n">
        <v>0.004842107887421706</v>
      </c>
      <c r="AD567" s="24" t="inlineStr">
        <is>
          <t>yfinance_download</t>
        </is>
      </c>
      <c r="AE567" s="24" t="inlineStr">
        <is>
          <t>058470.KQ</t>
        </is>
      </c>
    </row>
    <row r="568" ht="24" customHeight="1">
      <c r="A568" s="29" t="inlineStr">
        <is>
          <t>2025-10-02</t>
        </is>
      </c>
      <c r="B568" s="31" t="n">
        <v>53800</v>
      </c>
      <c r="C568" s="31" t="n">
        <v>54000</v>
      </c>
      <c r="D568" s="31" t="n">
        <v>52500</v>
      </c>
      <c r="E568" s="31" t="n">
        <v>53600</v>
      </c>
      <c r="F568" s="31" t="n">
        <v>50968.24609375</v>
      </c>
      <c r="G568" s="31" t="n">
        <v>1048625</v>
      </c>
      <c r="H568" s="36" t="n">
        <v>0.01707779886148009</v>
      </c>
      <c r="I568" s="36" t="n">
        <v>-0.1006711409395973</v>
      </c>
      <c r="J568" s="31" t="n">
        <v>50660</v>
      </c>
      <c r="K568" s="31" t="n">
        <v>48396.66666666666</v>
      </c>
      <c r="L568" s="31" t="n">
        <v>45747.08333333334</v>
      </c>
      <c r="M568" s="36" t="n">
        <v>0.4000223005786069</v>
      </c>
      <c r="N568" s="36" t="n">
        <v>0.3581411152932567</v>
      </c>
      <c r="O568" s="36" t="n">
        <v>0.1715846994535519</v>
      </c>
      <c r="P568" s="36" t="n">
        <v>0.07200000000000006</v>
      </c>
      <c r="Q568" s="36" t="n">
        <v>0.3333333333333333</v>
      </c>
      <c r="R568" s="36" t="n">
        <v>0.05803395183576776</v>
      </c>
      <c r="S568" s="36" t="n">
        <v>0.1075142916178802</v>
      </c>
      <c r="T568" s="36" t="n">
        <v>0.1716593954077217</v>
      </c>
      <c r="U568" s="31" t="n">
        <v>53600</v>
      </c>
      <c r="V568" s="31" t="n">
        <v>30040</v>
      </c>
      <c r="W568" s="36" t="n">
        <v>0</v>
      </c>
      <c r="X568" s="36" t="n">
        <v>0.7842876165113182</v>
      </c>
      <c r="Y568" s="31" t="n">
        <v>76211850</v>
      </c>
      <c r="Z568" s="31" t="n">
        <v>4084955160000</v>
      </c>
      <c r="AA568" s="31" t="n">
        <v>56206300000</v>
      </c>
      <c r="AB568" s="31" t="n">
        <v>30034946082.5</v>
      </c>
      <c r="AC568" s="36" t="n">
        <v>0.01375934319925314</v>
      </c>
      <c r="AD568" s="29" t="inlineStr">
        <is>
          <t>yfinance_download</t>
        </is>
      </c>
      <c r="AE568" s="29" t="inlineStr">
        <is>
          <t>058470.KQ</t>
        </is>
      </c>
    </row>
    <row r="569" ht="24" customHeight="1">
      <c r="A569" s="24" t="inlineStr">
        <is>
          <t>2025-10-10</t>
        </is>
      </c>
      <c r="B569" s="30" t="n">
        <v>55000</v>
      </c>
      <c r="C569" s="30" t="n">
        <v>55100</v>
      </c>
      <c r="D569" s="30" t="n">
        <v>53000</v>
      </c>
      <c r="E569" s="30" t="n">
        <v>53700</v>
      </c>
      <c r="F569" s="30" t="n">
        <v>51063.3359375</v>
      </c>
      <c r="G569" s="30" t="n">
        <v>1047579</v>
      </c>
      <c r="H569" s="35" t="n">
        <v>0.001865671641791078</v>
      </c>
      <c r="I569" s="35" t="n">
        <v>-0.09899328859060408</v>
      </c>
      <c r="J569" s="30" t="n">
        <v>51035</v>
      </c>
      <c r="K569" s="30" t="n">
        <v>48462.5</v>
      </c>
      <c r="L569" s="30" t="n">
        <v>45857.91666666666</v>
      </c>
      <c r="M569" s="35" t="n">
        <v>0.4006032255591603</v>
      </c>
      <c r="N569" s="35" t="n">
        <v>0.3578925609074197</v>
      </c>
      <c r="O569" s="35" t="n">
        <v>0.1623376623376624</v>
      </c>
      <c r="P569" s="35" t="n">
        <v>0.07939698492462322</v>
      </c>
      <c r="Q569" s="35" t="n">
        <v>0.3292079207920793</v>
      </c>
      <c r="R569" s="35" t="n">
        <v>0.05221906534731069</v>
      </c>
      <c r="S569" s="35" t="n">
        <v>0.1080732525148311</v>
      </c>
      <c r="T569" s="35" t="n">
        <v>0.1710082773784971</v>
      </c>
      <c r="U569" s="30" t="n">
        <v>53700</v>
      </c>
      <c r="V569" s="30" t="n">
        <v>30040</v>
      </c>
      <c r="W569" s="35" t="n">
        <v>0</v>
      </c>
      <c r="X569" s="35" t="n">
        <v>0.7876165113182423</v>
      </c>
      <c r="Y569" s="30" t="n">
        <v>76211850</v>
      </c>
      <c r="Z569" s="30" t="n">
        <v>4092576345000</v>
      </c>
      <c r="AA569" s="30" t="n">
        <v>56254992300</v>
      </c>
      <c r="AB569" s="30" t="n">
        <v>32254559307.5</v>
      </c>
      <c r="AC569" s="35" t="n">
        <v>0.01374561829951641</v>
      </c>
      <c r="AD569" s="24" t="inlineStr">
        <is>
          <t>yfinance_download</t>
        </is>
      </c>
      <c r="AE569" s="24" t="inlineStr">
        <is>
          <t>058470.KQ</t>
        </is>
      </c>
    </row>
    <row r="570" ht="24" customHeight="1">
      <c r="A570" s="29" t="inlineStr">
        <is>
          <t>2025-10-13</t>
        </is>
      </c>
      <c r="B570" s="31" t="n">
        <v>51500</v>
      </c>
      <c r="C570" s="31" t="n">
        <v>56400</v>
      </c>
      <c r="D570" s="31" t="n">
        <v>51300</v>
      </c>
      <c r="E570" s="31" t="n">
        <v>56300</v>
      </c>
      <c r="F570" s="31" t="n">
        <v>53535.6796875</v>
      </c>
      <c r="G570" s="31" t="n">
        <v>982436</v>
      </c>
      <c r="H570" s="36" t="n">
        <v>0.04841713221601496</v>
      </c>
      <c r="I570" s="36" t="n">
        <v>-0.05536912751677847</v>
      </c>
      <c r="J570" s="31" t="n">
        <v>51402.5</v>
      </c>
      <c r="K570" s="31" t="n">
        <v>48564.16666666666</v>
      </c>
      <c r="L570" s="31" t="n">
        <v>45997.08333333334</v>
      </c>
      <c r="M570" s="36" t="n">
        <v>0.3831626156525672</v>
      </c>
      <c r="N570" s="36" t="n">
        <v>0.370306782711246</v>
      </c>
      <c r="O570" s="36" t="n">
        <v>0.1501532175689479</v>
      </c>
      <c r="P570" s="36" t="n">
        <v>0.1215139442231075</v>
      </c>
      <c r="Q570" s="36" t="n">
        <v>0.4217171717171717</v>
      </c>
      <c r="R570" s="36" t="n">
        <v>0.09527746704926798</v>
      </c>
      <c r="S570" s="36" t="n">
        <v>0.1592909724247988</v>
      </c>
      <c r="T570" s="36" t="n">
        <v>0.2239906515811689</v>
      </c>
      <c r="U570" s="31" t="n">
        <v>56300</v>
      </c>
      <c r="V570" s="31" t="n">
        <v>30040</v>
      </c>
      <c r="W570" s="36" t="n">
        <v>0</v>
      </c>
      <c r="X570" s="36" t="n">
        <v>0.8741677762982689</v>
      </c>
      <c r="Y570" s="31" t="n">
        <v>76211850</v>
      </c>
      <c r="Z570" s="31" t="n">
        <v>4290727155000</v>
      </c>
      <c r="AA570" s="31" t="n">
        <v>55311146800</v>
      </c>
      <c r="AB570" s="31" t="n">
        <v>33105579352.5</v>
      </c>
      <c r="AC570" s="36" t="n">
        <v>0.01289085621199328</v>
      </c>
      <c r="AD570" s="29" t="inlineStr">
        <is>
          <t>yfinance_download</t>
        </is>
      </c>
      <c r="AE570" s="29" t="inlineStr">
        <is>
          <t>058470.KQ</t>
        </is>
      </c>
    </row>
    <row r="571" ht="24" customHeight="1">
      <c r="A571" s="24" t="inlineStr">
        <is>
          <t>2025-10-14</t>
        </is>
      </c>
      <c r="B571" s="30" t="n">
        <v>57700</v>
      </c>
      <c r="C571" s="30" t="n">
        <v>59700</v>
      </c>
      <c r="D571" s="30" t="n">
        <v>55200</v>
      </c>
      <c r="E571" s="30" t="n">
        <v>57000</v>
      </c>
      <c r="F571" s="30" t="n">
        <v>54201.30859375</v>
      </c>
      <c r="G571" s="30" t="n">
        <v>1415598</v>
      </c>
      <c r="H571" s="35" t="n">
        <v>0.01243339253996445</v>
      </c>
      <c r="I571" s="35" t="n">
        <v>-0.0436241610738255</v>
      </c>
      <c r="J571" s="30" t="n">
        <v>51785</v>
      </c>
      <c r="K571" s="30" t="n">
        <v>48660.83333333334</v>
      </c>
      <c r="L571" s="30" t="n">
        <v>46147.08333333334</v>
      </c>
      <c r="M571" s="35" t="n">
        <v>0.3835901648064578</v>
      </c>
      <c r="N571" s="35" t="n">
        <v>0.3690907600247486</v>
      </c>
      <c r="O571" s="35" t="n">
        <v>0.1550151975683891</v>
      </c>
      <c r="P571" s="35" t="n">
        <v>0.11328125</v>
      </c>
      <c r="Q571" s="35" t="n">
        <v>0.4615384615384615</v>
      </c>
      <c r="R571" s="35" t="n">
        <v>0.1007048373081008</v>
      </c>
      <c r="S571" s="35" t="n">
        <v>0.1713732810439608</v>
      </c>
      <c r="T571" s="35" t="n">
        <v>0.2351809883253726</v>
      </c>
      <c r="U571" s="30" t="n">
        <v>57000</v>
      </c>
      <c r="V571" s="30" t="n">
        <v>30040</v>
      </c>
      <c r="W571" s="35" t="n">
        <v>0</v>
      </c>
      <c r="X571" s="35" t="n">
        <v>0.8974700399467377</v>
      </c>
      <c r="Y571" s="30" t="n">
        <v>76211850</v>
      </c>
      <c r="Z571" s="30" t="n">
        <v>4344075450000</v>
      </c>
      <c r="AA571" s="30" t="n">
        <v>80689086000</v>
      </c>
      <c r="AB571" s="30" t="n">
        <v>35376790230</v>
      </c>
      <c r="AC571" s="35" t="n">
        <v>0.01857451301864474</v>
      </c>
      <c r="AD571" s="24" t="inlineStr">
        <is>
          <t>yfinance_download</t>
        </is>
      </c>
      <c r="AE571" s="24" t="inlineStr">
        <is>
          <t>058470.KQ</t>
        </is>
      </c>
    </row>
    <row r="572" ht="24" customHeight="1">
      <c r="A572" s="29" t="inlineStr">
        <is>
          <t>2025-10-15</t>
        </is>
      </c>
      <c r="B572" s="31" t="n">
        <v>56900</v>
      </c>
      <c r="C572" s="31" t="n">
        <v>58500</v>
      </c>
      <c r="D572" s="31" t="n">
        <v>56400</v>
      </c>
      <c r="E572" s="31" t="n">
        <v>57900</v>
      </c>
      <c r="F572" s="31" t="n">
        <v>55057.1171875</v>
      </c>
      <c r="G572" s="31" t="n">
        <v>745341</v>
      </c>
      <c r="H572" s="36" t="n">
        <v>0.01578947368421058</v>
      </c>
      <c r="I572" s="36" t="n">
        <v>-0.02852348993288589</v>
      </c>
      <c r="J572" s="31" t="n">
        <v>52205</v>
      </c>
      <c r="K572" s="31" t="n">
        <v>48765.83333333334</v>
      </c>
      <c r="L572" s="31" t="n">
        <v>46316.08333333334</v>
      </c>
      <c r="M572" s="36" t="n">
        <v>0.3842889468102443</v>
      </c>
      <c r="N572" s="36" t="n">
        <v>0.3699831136918459</v>
      </c>
      <c r="O572" s="36" t="n">
        <v>0.1696969696969697</v>
      </c>
      <c r="P572" s="36" t="n">
        <v>0.1220930232558139</v>
      </c>
      <c r="Q572" s="36" t="n">
        <v>0.5390749601275917</v>
      </c>
      <c r="R572" s="36" t="n">
        <v>0.1090891677042429</v>
      </c>
      <c r="S572" s="36" t="n">
        <v>0.1873066867171345</v>
      </c>
      <c r="T572" s="36" t="n">
        <v>0.2501057048217592</v>
      </c>
      <c r="U572" s="31" t="n">
        <v>57900</v>
      </c>
      <c r="V572" s="31" t="n">
        <v>30040</v>
      </c>
      <c r="W572" s="36" t="n">
        <v>0</v>
      </c>
      <c r="X572" s="36" t="n">
        <v>0.9274300932090547</v>
      </c>
      <c r="Y572" s="31" t="n">
        <v>76211850</v>
      </c>
      <c r="Z572" s="31" t="n">
        <v>4412666115000</v>
      </c>
      <c r="AA572" s="31" t="n">
        <v>43155243900</v>
      </c>
      <c r="AB572" s="31" t="n">
        <v>36309627900</v>
      </c>
      <c r="AC572" s="36" t="n">
        <v>0.00977985706947148</v>
      </c>
      <c r="AD572" s="29" t="inlineStr">
        <is>
          <t>yfinance_download</t>
        </is>
      </c>
      <c r="AE572" s="29" t="inlineStr">
        <is>
          <t>058470.KQ</t>
        </is>
      </c>
    </row>
    <row r="573" ht="24" customHeight="1">
      <c r="A573" s="24" t="inlineStr">
        <is>
          <t>2025-10-16</t>
        </is>
      </c>
      <c r="B573" s="30" t="n">
        <v>58400</v>
      </c>
      <c r="C573" s="30" t="n">
        <v>58500</v>
      </c>
      <c r="D573" s="30" t="n">
        <v>57400</v>
      </c>
      <c r="E573" s="30" t="n">
        <v>57700</v>
      </c>
      <c r="F573" s="30" t="n">
        <v>54866.9375</v>
      </c>
      <c r="G573" s="30" t="n">
        <v>449495</v>
      </c>
      <c r="H573" s="35" t="n">
        <v>-0.003454231433506094</v>
      </c>
      <c r="I573" s="35" t="n">
        <v>-0.03187919463087252</v>
      </c>
      <c r="J573" s="30" t="n">
        <v>52605</v>
      </c>
      <c r="K573" s="30" t="n">
        <v>48844.16666666666</v>
      </c>
      <c r="L573" s="30" t="n">
        <v>46476.75</v>
      </c>
      <c r="M573" s="35" t="n">
        <v>0.3862668581389984</v>
      </c>
      <c r="N573" s="35" t="n">
        <v>0.366469142816907</v>
      </c>
      <c r="O573" s="35" t="n">
        <v>0.1609657947686116</v>
      </c>
      <c r="P573" s="35" t="n">
        <v>0.08867924528301896</v>
      </c>
      <c r="Q573" s="35" t="n">
        <v>0.5018219677251432</v>
      </c>
      <c r="R573" s="35" t="n">
        <v>0.09685391122516873</v>
      </c>
      <c r="S573" s="35" t="n">
        <v>0.1813079009775989</v>
      </c>
      <c r="T573" s="35" t="n">
        <v>0.2414809555315292</v>
      </c>
      <c r="U573" s="30" t="n">
        <v>57900</v>
      </c>
      <c r="V573" s="30" t="n">
        <v>30040</v>
      </c>
      <c r="W573" s="35" t="n">
        <v>-0.003454231433506094</v>
      </c>
      <c r="X573" s="35" t="n">
        <v>0.9207723035952065</v>
      </c>
      <c r="Y573" s="30" t="n">
        <v>76211850</v>
      </c>
      <c r="Z573" s="30" t="n">
        <v>4397423745000</v>
      </c>
      <c r="AA573" s="30" t="n">
        <v>25935861500</v>
      </c>
      <c r="AB573" s="30" t="n">
        <v>35609512250</v>
      </c>
      <c r="AC573" s="35" t="n">
        <v>0.005897967310857826</v>
      </c>
      <c r="AD573" s="24" t="inlineStr">
        <is>
          <t>yfinance_download</t>
        </is>
      </c>
      <c r="AE573" s="24" t="inlineStr">
        <is>
          <t>058470.KQ</t>
        </is>
      </c>
    </row>
    <row r="574" ht="24" customHeight="1">
      <c r="A574" s="29" t="inlineStr">
        <is>
          <t>2025-10-17</t>
        </is>
      </c>
      <c r="B574" s="31" t="n">
        <v>56400</v>
      </c>
      <c r="C574" s="31" t="n">
        <v>58500</v>
      </c>
      <c r="D574" s="31" t="n">
        <v>56300</v>
      </c>
      <c r="E574" s="31" t="n">
        <v>57100</v>
      </c>
      <c r="F574" s="31" t="n">
        <v>54296.3984375</v>
      </c>
      <c r="G574" s="31" t="n">
        <v>544740</v>
      </c>
      <c r="H574" s="36" t="n">
        <v>-0.0103986135181976</v>
      </c>
      <c r="I574" s="36" t="n">
        <v>-0.04194630872483218</v>
      </c>
      <c r="J574" s="31" t="n">
        <v>53007.5</v>
      </c>
      <c r="K574" s="31" t="n">
        <v>48954.16666666666</v>
      </c>
      <c r="L574" s="31" t="n">
        <v>46631.08333333334</v>
      </c>
      <c r="M574" s="36" t="n">
        <v>0.3844611602862583</v>
      </c>
      <c r="N574" s="36" t="n">
        <v>0.3530360038335934</v>
      </c>
      <c r="O574" s="36" t="n">
        <v>0.1641182466870541</v>
      </c>
      <c r="P574" s="36" t="n">
        <v>0.1306930693069306</v>
      </c>
      <c r="Q574" s="36" t="n">
        <v>0.4800414722654225</v>
      </c>
      <c r="R574" s="36" t="n">
        <v>0.07720605574682837</v>
      </c>
      <c r="S574" s="36" t="n">
        <v>0.1663971401821431</v>
      </c>
      <c r="T574" s="36" t="n">
        <v>0.2245051137206404</v>
      </c>
      <c r="U574" s="31" t="n">
        <v>57900</v>
      </c>
      <c r="V574" s="31" t="n">
        <v>30040</v>
      </c>
      <c r="W574" s="36" t="n">
        <v>-0.01381692573402415</v>
      </c>
      <c r="X574" s="36" t="n">
        <v>0.9007989347536618</v>
      </c>
      <c r="Y574" s="31" t="n">
        <v>76211850</v>
      </c>
      <c r="Z574" s="31" t="n">
        <v>4351696635000</v>
      </c>
      <c r="AA574" s="31" t="n">
        <v>31104654000</v>
      </c>
      <c r="AB574" s="31" t="n">
        <v>35900199162.5</v>
      </c>
      <c r="AC574" s="36" t="n">
        <v>0.00714770734472395</v>
      </c>
      <c r="AD574" s="29" t="inlineStr">
        <is>
          <t>yfinance_download</t>
        </is>
      </c>
      <c r="AE574" s="29" t="inlineStr">
        <is>
          <t>058470.KQ</t>
        </is>
      </c>
    </row>
    <row r="575" ht="24" customHeight="1">
      <c r="A575" s="24" t="inlineStr">
        <is>
          <t>2025-10-20</t>
        </is>
      </c>
      <c r="B575" s="30" t="n">
        <v>56900</v>
      </c>
      <c r="C575" s="30" t="n">
        <v>58800</v>
      </c>
      <c r="D575" s="30" t="n">
        <v>56900</v>
      </c>
      <c r="E575" s="30" t="n">
        <v>57900</v>
      </c>
      <c r="F575" s="30" t="n">
        <v>55057.1171875</v>
      </c>
      <c r="G575" s="30" t="n">
        <v>408961</v>
      </c>
      <c r="H575" s="35" t="n">
        <v>0.01401050788091074</v>
      </c>
      <c r="I575" s="35" t="n">
        <v>-0.02852348993288589</v>
      </c>
      <c r="J575" s="30" t="n">
        <v>53397.5</v>
      </c>
      <c r="K575" s="30" t="n">
        <v>49085.83333333334</v>
      </c>
      <c r="L575" s="30" t="n">
        <v>46792.25</v>
      </c>
      <c r="M575" s="35" t="n">
        <v>0.3819042830871097</v>
      </c>
      <c r="N575" s="35" t="n">
        <v>0.3529096911836476</v>
      </c>
      <c r="O575" s="35" t="n">
        <v>0.1556886227544909</v>
      </c>
      <c r="P575" s="35" t="n">
        <v>0.1579999999999999</v>
      </c>
      <c r="Q575" s="35" t="n">
        <v>0.5015560165975104</v>
      </c>
      <c r="R575" s="35" t="n">
        <v>0.08432042698628206</v>
      </c>
      <c r="S575" s="35" t="n">
        <v>0.1795664057857833</v>
      </c>
      <c r="T575" s="35" t="n">
        <v>0.2373843959202646</v>
      </c>
      <c r="U575" s="30" t="n">
        <v>57900</v>
      </c>
      <c r="V575" s="30" t="n">
        <v>30040</v>
      </c>
      <c r="W575" s="35" t="n">
        <v>0</v>
      </c>
      <c r="X575" s="35" t="n">
        <v>0.9274300932090547</v>
      </c>
      <c r="Y575" s="30" t="n">
        <v>76211850</v>
      </c>
      <c r="Z575" s="30" t="n">
        <v>4412666115000</v>
      </c>
      <c r="AA575" s="30" t="n">
        <v>23678841900</v>
      </c>
      <c r="AB575" s="30" t="n">
        <v>35758432632.5</v>
      </c>
      <c r="AC575" s="35" t="n">
        <v>0.005366107764081308</v>
      </c>
      <c r="AD575" s="24" t="inlineStr">
        <is>
          <t>yfinance_download</t>
        </is>
      </c>
      <c r="AE575" s="24" t="inlineStr">
        <is>
          <t>058470.KQ</t>
        </is>
      </c>
    </row>
    <row r="576" ht="24" customHeight="1">
      <c r="A576" s="29" t="inlineStr">
        <is>
          <t>2025-10-21</t>
        </is>
      </c>
      <c r="B576" s="31" t="n">
        <v>58200</v>
      </c>
      <c r="C576" s="31" t="n">
        <v>58600</v>
      </c>
      <c r="D576" s="31" t="n">
        <v>55800</v>
      </c>
      <c r="E576" s="31" t="n">
        <v>56800</v>
      </c>
      <c r="F576" s="31" t="n">
        <v>54011.12890625</v>
      </c>
      <c r="G576" s="31" t="n">
        <v>550673</v>
      </c>
      <c r="H576" s="36" t="n">
        <v>-0.01899827288428324</v>
      </c>
      <c r="I576" s="36" t="n">
        <v>-0.04697986577181212</v>
      </c>
      <c r="J576" s="31" t="n">
        <v>53682.5</v>
      </c>
      <c r="K576" s="31" t="n">
        <v>49205.83333333334</v>
      </c>
      <c r="L576" s="31" t="n">
        <v>46954.08333333334</v>
      </c>
      <c r="M576" s="36" t="n">
        <v>0.3900454160122379</v>
      </c>
      <c r="N576" s="36" t="n">
        <v>0.3550460308756161</v>
      </c>
      <c r="O576" s="36" t="n">
        <v>0.111545988258317</v>
      </c>
      <c r="P576" s="36" t="n">
        <v>0.1451612903225807</v>
      </c>
      <c r="Q576" s="36" t="n">
        <v>0.5195291599785983</v>
      </c>
      <c r="R576" s="36" t="n">
        <v>0.05807292879429982</v>
      </c>
      <c r="S576" s="36" t="n">
        <v>0.1543346825410266</v>
      </c>
      <c r="T576" s="36" t="n">
        <v>0.2096924477636839</v>
      </c>
      <c r="U576" s="31" t="n">
        <v>57900</v>
      </c>
      <c r="V576" s="31" t="n">
        <v>30040</v>
      </c>
      <c r="W576" s="36" t="n">
        <v>-0.01899827288428324</v>
      </c>
      <c r="X576" s="36" t="n">
        <v>0.8908122503328895</v>
      </c>
      <c r="Y576" s="31" t="n">
        <v>76211850</v>
      </c>
      <c r="Z576" s="31" t="n">
        <v>4328833080000</v>
      </c>
      <c r="AA576" s="31" t="n">
        <v>31278226400</v>
      </c>
      <c r="AB576" s="31" t="n">
        <v>35641256152.5</v>
      </c>
      <c r="AC576" s="36" t="n">
        <v>0.007225556130706708</v>
      </c>
      <c r="AD576" s="29" t="inlineStr">
        <is>
          <t>yfinance_download</t>
        </is>
      </c>
      <c r="AE576" s="29" t="inlineStr">
        <is>
          <t>058470.KQ</t>
        </is>
      </c>
    </row>
    <row r="577" ht="24" customHeight="1">
      <c r="A577" s="24" t="inlineStr">
        <is>
          <t>2025-10-22</t>
        </is>
      </c>
      <c r="B577" s="30" t="n">
        <v>56400</v>
      </c>
      <c r="C577" s="30" t="n">
        <v>57800</v>
      </c>
      <c r="D577" s="30" t="n">
        <v>55400</v>
      </c>
      <c r="E577" s="30" t="n">
        <v>57500</v>
      </c>
      <c r="F577" s="30" t="n">
        <v>54676.7578125</v>
      </c>
      <c r="G577" s="30" t="n">
        <v>483994</v>
      </c>
      <c r="H577" s="35" t="n">
        <v>0.01232394366197176</v>
      </c>
      <c r="I577" s="35" t="n">
        <v>-0.03523489932885904</v>
      </c>
      <c r="J577" s="30" t="n">
        <v>54127.5</v>
      </c>
      <c r="K577" s="30" t="n">
        <v>49350.83333333334</v>
      </c>
      <c r="L577" s="30" t="n">
        <v>47144.08333333334</v>
      </c>
      <c r="M577" s="35" t="n">
        <v>0.3329224441790026</v>
      </c>
      <c r="N577" s="35" t="n">
        <v>0.3534518680712763</v>
      </c>
      <c r="O577" s="35" t="n">
        <v>0.1831275720164609</v>
      </c>
      <c r="P577" s="35" t="n">
        <v>0.1782786885245902</v>
      </c>
      <c r="Q577" s="35" t="n">
        <v>0.6570605187319885</v>
      </c>
      <c r="R577" s="35" t="n">
        <v>0.0623065909195879</v>
      </c>
      <c r="S577" s="35" t="n">
        <v>0.165127235271272</v>
      </c>
      <c r="T577" s="35" t="n">
        <v>0.2196652460807205</v>
      </c>
      <c r="U577" s="30" t="n">
        <v>57900</v>
      </c>
      <c r="V577" s="30" t="n">
        <v>30040</v>
      </c>
      <c r="W577" s="35" t="n">
        <v>-0.006908462867012077</v>
      </c>
      <c r="X577" s="35" t="n">
        <v>0.9141145139813582</v>
      </c>
      <c r="Y577" s="30" t="n">
        <v>76211850</v>
      </c>
      <c r="Z577" s="30" t="n">
        <v>4382181375000</v>
      </c>
      <c r="AA577" s="30" t="n">
        <v>27829655000</v>
      </c>
      <c r="AB577" s="30" t="n">
        <v>35519920532.5</v>
      </c>
      <c r="AC577" s="35" t="n">
        <v>0.006350639697107471</v>
      </c>
      <c r="AD577" s="24" t="inlineStr">
        <is>
          <t>yfinance_download</t>
        </is>
      </c>
      <c r="AE577" s="24" t="inlineStr">
        <is>
          <t>058470.KQ</t>
        </is>
      </c>
    </row>
    <row r="578" ht="24" customHeight="1">
      <c r="A578" s="29" t="inlineStr">
        <is>
          <t>2025-10-23</t>
        </is>
      </c>
      <c r="B578" s="31" t="n">
        <v>56500</v>
      </c>
      <c r="C578" s="31" t="n">
        <v>57600</v>
      </c>
      <c r="D578" s="31" t="n">
        <v>56200</v>
      </c>
      <c r="E578" s="31" t="n">
        <v>57500</v>
      </c>
      <c r="F578" s="31" t="n">
        <v>54676.7578125</v>
      </c>
      <c r="G578" s="31" t="n">
        <v>464571</v>
      </c>
      <c r="H578" s="36" t="n">
        <v>0</v>
      </c>
      <c r="I578" s="36" t="n">
        <v>-0.03523489932885904</v>
      </c>
      <c r="J578" s="31" t="n">
        <v>54540</v>
      </c>
      <c r="K578" s="31" t="n">
        <v>49530</v>
      </c>
      <c r="L578" s="31" t="n">
        <v>47330.08333333334</v>
      </c>
      <c r="M578" s="36" t="n">
        <v>0.3337892906611332</v>
      </c>
      <c r="N578" s="36" t="n">
        <v>0.3408744392327044</v>
      </c>
      <c r="O578" s="36" t="n">
        <v>0.1675126903553299</v>
      </c>
      <c r="P578" s="36" t="n">
        <v>0.2299465240641712</v>
      </c>
      <c r="Q578" s="36" t="n">
        <v>0.6344513928368392</v>
      </c>
      <c r="R578" s="36" t="n">
        <v>0.05427209387605436</v>
      </c>
      <c r="S578" s="36" t="n">
        <v>0.1609125782354128</v>
      </c>
      <c r="T578" s="36" t="n">
        <v>0.2148721479115643</v>
      </c>
      <c r="U578" s="31" t="n">
        <v>57900</v>
      </c>
      <c r="V578" s="31" t="n">
        <v>30040</v>
      </c>
      <c r="W578" s="36" t="n">
        <v>-0.006908462867012077</v>
      </c>
      <c r="X578" s="36" t="n">
        <v>0.9141145139813582</v>
      </c>
      <c r="Y578" s="31" t="n">
        <v>76211850</v>
      </c>
      <c r="Z578" s="31" t="n">
        <v>4382181375000</v>
      </c>
      <c r="AA578" s="31" t="n">
        <v>26712832500</v>
      </c>
      <c r="AB578" s="31" t="n">
        <v>35610588645</v>
      </c>
      <c r="AC578" s="36" t="n">
        <v>0.00609578431700582</v>
      </c>
      <c r="AD578" s="29" t="inlineStr">
        <is>
          <t>yfinance_download</t>
        </is>
      </c>
      <c r="AE578" s="29" t="inlineStr">
        <is>
          <t>058470.KQ</t>
        </is>
      </c>
    </row>
    <row r="579" ht="24" customHeight="1">
      <c r="A579" s="24" t="inlineStr">
        <is>
          <t>2025-10-24</t>
        </is>
      </c>
      <c r="B579" s="30" t="n">
        <v>58300</v>
      </c>
      <c r="C579" s="30" t="n">
        <v>58700</v>
      </c>
      <c r="D579" s="30" t="n">
        <v>57600</v>
      </c>
      <c r="E579" s="30" t="n">
        <v>58000</v>
      </c>
      <c r="F579" s="30" t="n">
        <v>55152.20703125</v>
      </c>
      <c r="G579" s="30" t="n">
        <v>425450</v>
      </c>
      <c r="H579" s="35" t="n">
        <v>0.008695652173912993</v>
      </c>
      <c r="I579" s="35" t="n">
        <v>-0.02684563758389258</v>
      </c>
      <c r="J579" s="30" t="n">
        <v>54915</v>
      </c>
      <c r="K579" s="30" t="n">
        <v>49730</v>
      </c>
      <c r="L579" s="30" t="n">
        <v>47526.25</v>
      </c>
      <c r="M579" s="35" t="n">
        <v>0.3274483552499298</v>
      </c>
      <c r="N579" s="35" t="n">
        <v>0.3385225022312137</v>
      </c>
      <c r="O579" s="35" t="n">
        <v>0.1485148514851484</v>
      </c>
      <c r="P579" s="35" t="n">
        <v>0.2608695652173914</v>
      </c>
      <c r="Q579" s="35" t="n">
        <v>0.6831108531630876</v>
      </c>
      <c r="R579" s="35" t="n">
        <v>0.05617772921788222</v>
      </c>
      <c r="S579" s="35" t="n">
        <v>0.1662980092499498</v>
      </c>
      <c r="T579" s="35" t="n">
        <v>0.2203782120407143</v>
      </c>
      <c r="U579" s="30" t="n">
        <v>58000</v>
      </c>
      <c r="V579" s="30" t="n">
        <v>30040</v>
      </c>
      <c r="W579" s="35" t="n">
        <v>0</v>
      </c>
      <c r="X579" s="35" t="n">
        <v>0.9307589880159788</v>
      </c>
      <c r="Y579" s="30" t="n">
        <v>76211850</v>
      </c>
      <c r="Z579" s="30" t="n">
        <v>4420287300000</v>
      </c>
      <c r="AA579" s="30" t="n">
        <v>24676100000</v>
      </c>
      <c r="AB579" s="30" t="n">
        <v>34949315495</v>
      </c>
      <c r="AC579" s="35" t="n">
        <v>0.005582465194061029</v>
      </c>
      <c r="AD579" s="24" t="inlineStr">
        <is>
          <t>yfinance_download</t>
        </is>
      </c>
      <c r="AE579" s="24" t="inlineStr">
        <is>
          <t>058470.KQ</t>
        </is>
      </c>
    </row>
    <row r="580" ht="24" customHeight="1">
      <c r="A580" s="29" t="inlineStr">
        <is>
          <t>2025-10-27</t>
        </is>
      </c>
      <c r="B580" s="31" t="n">
        <v>58800</v>
      </c>
      <c r="C580" s="31" t="n">
        <v>58900</v>
      </c>
      <c r="D580" s="31" t="n">
        <v>56800</v>
      </c>
      <c r="E580" s="31" t="n">
        <v>57300</v>
      </c>
      <c r="F580" s="31" t="n">
        <v>54486.578125</v>
      </c>
      <c r="G580" s="31" t="n">
        <v>535102</v>
      </c>
      <c r="H580" s="36" t="n">
        <v>-0.01206896551724135</v>
      </c>
      <c r="I580" s="36" t="n">
        <v>-0.03859060402684567</v>
      </c>
      <c r="J580" s="31" t="n">
        <v>55130</v>
      </c>
      <c r="K580" s="31" t="n">
        <v>49920.83333333334</v>
      </c>
      <c r="L580" s="31" t="n">
        <v>47683.75</v>
      </c>
      <c r="M580" s="36" t="n">
        <v>0.2929334078023277</v>
      </c>
      <c r="N580" s="36" t="n">
        <v>0.3398186590644431</v>
      </c>
      <c r="O580" s="36" t="n">
        <v>0.08113207547169821</v>
      </c>
      <c r="P580" s="36" t="n">
        <v>0.2497273718647763</v>
      </c>
      <c r="Q580" s="36" t="n">
        <v>0.4921875</v>
      </c>
      <c r="R580" s="36" t="n">
        <v>0.0393615091601669</v>
      </c>
      <c r="S580" s="36" t="n">
        <v>0.1478173775143978</v>
      </c>
      <c r="T580" s="36" t="n">
        <v>0.2016672346449262</v>
      </c>
      <c r="U580" s="31" t="n">
        <v>58000</v>
      </c>
      <c r="V580" s="31" t="n">
        <v>30040</v>
      </c>
      <c r="W580" s="36" t="n">
        <v>-0.01206896551724135</v>
      </c>
      <c r="X580" s="36" t="n">
        <v>0.90745672436751</v>
      </c>
      <c r="Y580" s="31" t="n">
        <v>76211850</v>
      </c>
      <c r="Z580" s="31" t="n">
        <v>4366939005000</v>
      </c>
      <c r="AA580" s="31" t="n">
        <v>30661344600</v>
      </c>
      <c r="AB580" s="31" t="n">
        <v>33808254475</v>
      </c>
      <c r="AC580" s="36" t="n">
        <v>0.007021244071624032</v>
      </c>
      <c r="AD580" s="29" t="inlineStr">
        <is>
          <t>yfinance_download</t>
        </is>
      </c>
      <c r="AE580" s="29" t="inlineStr">
        <is>
          <t>058470.KQ</t>
        </is>
      </c>
    </row>
    <row r="581" ht="24" customHeight="1">
      <c r="A581" s="24" t="inlineStr">
        <is>
          <t>2025-10-28</t>
        </is>
      </c>
      <c r="B581" s="30" t="n">
        <v>57500</v>
      </c>
      <c r="C581" s="30" t="n">
        <v>58400</v>
      </c>
      <c r="D581" s="30" t="n">
        <v>56800</v>
      </c>
      <c r="E581" s="30" t="n">
        <v>57300</v>
      </c>
      <c r="F581" s="30" t="n">
        <v>54486.578125</v>
      </c>
      <c r="G581" s="30" t="n">
        <v>446955</v>
      </c>
      <c r="H581" s="35" t="n">
        <v>0</v>
      </c>
      <c r="I581" s="35" t="n">
        <v>-0.03859060402684567</v>
      </c>
      <c r="J581" s="30" t="n">
        <v>55380</v>
      </c>
      <c r="K581" s="30" t="n">
        <v>50086.66666666666</v>
      </c>
      <c r="L581" s="30" t="n">
        <v>47860.83333333334</v>
      </c>
      <c r="M581" s="35" t="n">
        <v>0.2862780770211806</v>
      </c>
      <c r="N581" s="35" t="n">
        <v>0.3345626819144895</v>
      </c>
      <c r="O581" s="35" t="n">
        <v>0.09560229445506696</v>
      </c>
      <c r="P581" s="35" t="n">
        <v>0.2101372756071807</v>
      </c>
      <c r="Q581" s="35" t="n">
        <v>0.5894590846047156</v>
      </c>
      <c r="R581" s="35" t="n">
        <v>0.03466955579631636</v>
      </c>
      <c r="S581" s="35" t="n">
        <v>0.1440170371356315</v>
      </c>
      <c r="T581" s="35" t="n">
        <v>0.1972211098149148</v>
      </c>
      <c r="U581" s="30" t="n">
        <v>58000</v>
      </c>
      <c r="V581" s="30" t="n">
        <v>30040</v>
      </c>
      <c r="W581" s="35" t="n">
        <v>-0.01206896551724135</v>
      </c>
      <c r="X581" s="35" t="n">
        <v>0.90745672436751</v>
      </c>
      <c r="Y581" s="30" t="n">
        <v>76211850</v>
      </c>
      <c r="Z581" s="30" t="n">
        <v>4366939005000</v>
      </c>
      <c r="AA581" s="30" t="n">
        <v>25610521500</v>
      </c>
      <c r="AB581" s="30" t="n">
        <v>33090104670</v>
      </c>
      <c r="AC581" s="35" t="n">
        <v>0.005864639160445521</v>
      </c>
      <c r="AD581" s="24" t="inlineStr">
        <is>
          <t>yfinance_download</t>
        </is>
      </c>
      <c r="AE581" s="24" t="inlineStr">
        <is>
          <t>058470.KQ</t>
        </is>
      </c>
    </row>
    <row r="582" ht="24" customHeight="1">
      <c r="A582" s="29" t="inlineStr">
        <is>
          <t>2025-10-29</t>
        </is>
      </c>
      <c r="B582" s="31" t="n">
        <v>57800</v>
      </c>
      <c r="C582" s="31" t="n">
        <v>58800</v>
      </c>
      <c r="D582" s="31" t="n">
        <v>57400</v>
      </c>
      <c r="E582" s="31" t="n">
        <v>58400</v>
      </c>
      <c r="F582" s="31" t="n">
        <v>55532.56640625</v>
      </c>
      <c r="G582" s="31" t="n">
        <v>532745</v>
      </c>
      <c r="H582" s="36" t="n">
        <v>0.01919720767888311</v>
      </c>
      <c r="I582" s="36" t="n">
        <v>-0.02013422818791943</v>
      </c>
      <c r="J582" s="31" t="n">
        <v>55630</v>
      </c>
      <c r="K582" s="31" t="n">
        <v>50279.16666666666</v>
      </c>
      <c r="L582" s="31" t="n">
        <v>48047.5</v>
      </c>
      <c r="M582" s="36" t="n">
        <v>0.2849629444458843</v>
      </c>
      <c r="N582" s="36" t="n">
        <v>0.3348167059171747</v>
      </c>
      <c r="O582" s="36" t="n">
        <v>0.09363295880149813</v>
      </c>
      <c r="P582" s="36" t="n">
        <v>0.2465314834578443</v>
      </c>
      <c r="Q582" s="36" t="n">
        <v>0.6222222222222222</v>
      </c>
      <c r="R582" s="36" t="n">
        <v>0.04979327700880809</v>
      </c>
      <c r="S582" s="36" t="n">
        <v>0.1615148752796884</v>
      </c>
      <c r="T582" s="36" t="n">
        <v>0.2154638638846975</v>
      </c>
      <c r="U582" s="31" t="n">
        <v>58400</v>
      </c>
      <c r="V582" s="31" t="n">
        <v>30040</v>
      </c>
      <c r="W582" s="36" t="n">
        <v>0</v>
      </c>
      <c r="X582" s="36" t="n">
        <v>0.944074567243675</v>
      </c>
      <c r="Y582" s="31" t="n">
        <v>76211850</v>
      </c>
      <c r="Z582" s="31" t="n">
        <v>4450772040000</v>
      </c>
      <c r="AA582" s="31" t="n">
        <v>31112308000</v>
      </c>
      <c r="AB582" s="31" t="n">
        <v>33203906720</v>
      </c>
      <c r="AC582" s="36" t="n">
        <v>0.006990317122599701</v>
      </c>
      <c r="AD582" s="29" t="inlineStr">
        <is>
          <t>yfinance_download</t>
        </is>
      </c>
      <c r="AE582" s="29" t="inlineStr">
        <is>
          <t>058470.KQ</t>
        </is>
      </c>
    </row>
    <row r="583" ht="24" customHeight="1">
      <c r="A583" s="24" t="inlineStr">
        <is>
          <t>2025-10-30</t>
        </is>
      </c>
      <c r="B583" s="30" t="n">
        <v>58300</v>
      </c>
      <c r="C583" s="30" t="n">
        <v>58700</v>
      </c>
      <c r="D583" s="30" t="n">
        <v>56600</v>
      </c>
      <c r="E583" s="30" t="n">
        <v>58200</v>
      </c>
      <c r="F583" s="30" t="n">
        <v>55342.38671875</v>
      </c>
      <c r="G583" s="30" t="n">
        <v>499486</v>
      </c>
      <c r="H583" s="35" t="n">
        <v>-0.003424657534246589</v>
      </c>
      <c r="I583" s="35" t="n">
        <v>-0.02348993288590606</v>
      </c>
      <c r="J583" s="30" t="n">
        <v>55965</v>
      </c>
      <c r="K583" s="30" t="n">
        <v>50463.33333333334</v>
      </c>
      <c r="L583" s="30" t="n">
        <v>48231.66666666666</v>
      </c>
      <c r="M583" s="35" t="n">
        <v>0.2448002972744499</v>
      </c>
      <c r="N583" s="35" t="n">
        <v>0.3351082676677486</v>
      </c>
      <c r="O583" s="35" t="n">
        <v>0.1300970873786407</v>
      </c>
      <c r="P583" s="35" t="n">
        <v>0.2343584305408271</v>
      </c>
      <c r="Q583" s="35" t="n">
        <v>0.6121883656509695</v>
      </c>
      <c r="R583" s="35" t="n">
        <v>0.03993567408201559</v>
      </c>
      <c r="S583" s="35" t="n">
        <v>0.1533126362375321</v>
      </c>
      <c r="T583" s="35" t="n">
        <v>0.2066761118214175</v>
      </c>
      <c r="U583" s="30" t="n">
        <v>58400</v>
      </c>
      <c r="V583" s="30" t="n">
        <v>30040</v>
      </c>
      <c r="W583" s="35" t="n">
        <v>-0.003424657534246589</v>
      </c>
      <c r="X583" s="35" t="n">
        <v>0.937416777629827</v>
      </c>
      <c r="Y583" s="30" t="n">
        <v>76211850</v>
      </c>
      <c r="Z583" s="30" t="n">
        <v>4435529670000</v>
      </c>
      <c r="AA583" s="30" t="n">
        <v>29070085200</v>
      </c>
      <c r="AB583" s="30" t="n">
        <v>33571067405</v>
      </c>
      <c r="AC583" s="35" t="n">
        <v>0.006553915171984409</v>
      </c>
      <c r="AD583" s="24" t="inlineStr">
        <is>
          <t>yfinance_download</t>
        </is>
      </c>
      <c r="AE583" s="24" t="inlineStr">
        <is>
          <t>058470.KQ</t>
        </is>
      </c>
    </row>
    <row r="584" ht="24" customHeight="1">
      <c r="A584" s="29" t="inlineStr">
        <is>
          <t>2025-10-31</t>
        </is>
      </c>
      <c r="B584" s="31" t="n">
        <v>57500</v>
      </c>
      <c r="C584" s="31" t="n">
        <v>58400</v>
      </c>
      <c r="D584" s="31" t="n">
        <v>57500</v>
      </c>
      <c r="E584" s="31" t="n">
        <v>57700</v>
      </c>
      <c r="F584" s="31" t="n">
        <v>54866.9375</v>
      </c>
      <c r="G584" s="31" t="n">
        <v>322699</v>
      </c>
      <c r="H584" s="36" t="n">
        <v>-0.008591065292096189</v>
      </c>
      <c r="I584" s="36" t="n">
        <v>-0.03187919463087252</v>
      </c>
      <c r="J584" s="31" t="n">
        <v>56295</v>
      </c>
      <c r="K584" s="31" t="n">
        <v>50630</v>
      </c>
      <c r="L584" s="31" t="n">
        <v>48406.25</v>
      </c>
      <c r="M584" s="36" t="n">
        <v>0.2454425544707783</v>
      </c>
      <c r="N584" s="36" t="n">
        <v>0.33563151751228</v>
      </c>
      <c r="O584" s="36" t="n">
        <v>0.1291585127201567</v>
      </c>
      <c r="P584" s="36" t="n">
        <v>0.2096436058700211</v>
      </c>
      <c r="Q584" s="36" t="n">
        <v>0.5700680272108845</v>
      </c>
      <c r="R584" s="36" t="n">
        <v>0.02495781152855492</v>
      </c>
      <c r="S584" s="36" t="n">
        <v>0.1396405293304366</v>
      </c>
      <c r="T584" s="36" t="n">
        <v>0.191994835377663</v>
      </c>
      <c r="U584" s="31" t="n">
        <v>58400</v>
      </c>
      <c r="V584" s="31" t="n">
        <v>30040</v>
      </c>
      <c r="W584" s="36" t="n">
        <v>-0.01198630136986301</v>
      </c>
      <c r="X584" s="36" t="n">
        <v>0.9207723035952065</v>
      </c>
      <c r="Y584" s="31" t="n">
        <v>76211850</v>
      </c>
      <c r="Z584" s="31" t="n">
        <v>4397423745000</v>
      </c>
      <c r="AA584" s="31" t="n">
        <v>18619732300</v>
      </c>
      <c r="AB584" s="31" t="n">
        <v>33344375855</v>
      </c>
      <c r="AC584" s="36" t="n">
        <v>0.004234236539330826</v>
      </c>
      <c r="AD584" s="29" t="inlineStr">
        <is>
          <t>yfinance_download</t>
        </is>
      </c>
      <c r="AE584" s="29" t="inlineStr">
        <is>
          <t>058470.KQ</t>
        </is>
      </c>
    </row>
    <row r="585" ht="24" customHeight="1">
      <c r="A585" s="24" t="inlineStr">
        <is>
          <t>2025-11-03</t>
        </is>
      </c>
      <c r="B585" s="30" t="n">
        <v>58000</v>
      </c>
      <c r="C585" s="30" t="n">
        <v>58100</v>
      </c>
      <c r="D585" s="30" t="n">
        <v>56300</v>
      </c>
      <c r="E585" s="30" t="n">
        <v>58000</v>
      </c>
      <c r="F585" s="30" t="n">
        <v>55152.20703125</v>
      </c>
      <c r="G585" s="30" t="n">
        <v>603933</v>
      </c>
      <c r="H585" s="35" t="n">
        <v>0.005199306759098743</v>
      </c>
      <c r="I585" s="35" t="n">
        <v>-0.02684563758389258</v>
      </c>
      <c r="J585" s="30" t="n">
        <v>56605</v>
      </c>
      <c r="K585" s="30" t="n">
        <v>50844.16666666666</v>
      </c>
      <c r="L585" s="30" t="n">
        <v>48582.5</v>
      </c>
      <c r="M585" s="35" t="n">
        <v>0.2438495024926922</v>
      </c>
      <c r="N585" s="35" t="n">
        <v>0.3140232923379264</v>
      </c>
      <c r="O585" s="35" t="n">
        <v>0.1196911196911197</v>
      </c>
      <c r="P585" s="35" t="n">
        <v>0.2846068660022147</v>
      </c>
      <c r="Q585" s="35" t="n">
        <v>0.5739484396200814</v>
      </c>
      <c r="R585" s="35" t="n">
        <v>0.02464446603656922</v>
      </c>
      <c r="S585" s="35" t="n">
        <v>0.1407404979266713</v>
      </c>
      <c r="T585" s="35" t="n">
        <v>0.1938455205063552</v>
      </c>
      <c r="U585" s="30" t="n">
        <v>58400</v>
      </c>
      <c r="V585" s="30" t="n">
        <v>30040</v>
      </c>
      <c r="W585" s="35" t="n">
        <v>-0.006849315068493178</v>
      </c>
      <c r="X585" s="35" t="n">
        <v>0.9307589880159788</v>
      </c>
      <c r="Y585" s="30" t="n">
        <v>76211850</v>
      </c>
      <c r="Z585" s="30" t="n">
        <v>4420287300000</v>
      </c>
      <c r="AA585" s="30" t="n">
        <v>35028114000</v>
      </c>
      <c r="AB585" s="30" t="n">
        <v>34354756655</v>
      </c>
      <c r="AC585" s="35" t="n">
        <v>0.007924397583840309</v>
      </c>
      <c r="AD585" s="24" t="inlineStr">
        <is>
          <t>yfinance_download</t>
        </is>
      </c>
      <c r="AE585" s="24" t="inlineStr">
        <is>
          <t>058470.KQ</t>
        </is>
      </c>
    </row>
    <row r="586" ht="24" customHeight="1">
      <c r="A586" s="29" t="inlineStr">
        <is>
          <t>2025-11-04</t>
        </is>
      </c>
      <c r="B586" s="31" t="n">
        <v>58200</v>
      </c>
      <c r="C586" s="31" t="n">
        <v>60300</v>
      </c>
      <c r="D586" s="31" t="n">
        <v>57100</v>
      </c>
      <c r="E586" s="31" t="n">
        <v>58900</v>
      </c>
      <c r="F586" s="31" t="n">
        <v>56008.01953125</v>
      </c>
      <c r="G586" s="31" t="n">
        <v>889538</v>
      </c>
      <c r="H586" s="36" t="n">
        <v>0.01551724137931032</v>
      </c>
      <c r="I586" s="36" t="n">
        <v>-0.01174496644295298</v>
      </c>
      <c r="J586" s="31" t="n">
        <v>56975</v>
      </c>
      <c r="K586" s="31" t="n">
        <v>51074.16666666666</v>
      </c>
      <c r="L586" s="31" t="n">
        <v>48762.91666666666</v>
      </c>
      <c r="M586" s="36" t="n">
        <v>0.2421642455390514</v>
      </c>
      <c r="N586" s="36" t="n">
        <v>0.3146314906464968</v>
      </c>
      <c r="O586" s="36" t="n">
        <v>0.1436893203883496</v>
      </c>
      <c r="P586" s="36" t="n">
        <v>0.3059866962305986</v>
      </c>
      <c r="Q586" s="36" t="n">
        <v>0.5812080536912752</v>
      </c>
      <c r="R586" s="36" t="n">
        <v>0.03378674857393604</v>
      </c>
      <c r="S586" s="36" t="n">
        <v>0.1532248853791056</v>
      </c>
      <c r="T586" s="36" t="n">
        <v>0.2078850902752263</v>
      </c>
      <c r="U586" s="31" t="n">
        <v>58900</v>
      </c>
      <c r="V586" s="31" t="n">
        <v>30040</v>
      </c>
      <c r="W586" s="36" t="n">
        <v>0</v>
      </c>
      <c r="X586" s="36" t="n">
        <v>0.9607190412782955</v>
      </c>
      <c r="Y586" s="31" t="n">
        <v>76211850</v>
      </c>
      <c r="Z586" s="31" t="n">
        <v>4488877965000</v>
      </c>
      <c r="AA586" s="31" t="n">
        <v>52393788200</v>
      </c>
      <c r="AB586" s="31" t="n">
        <v>36238825215</v>
      </c>
      <c r="AC586" s="36" t="n">
        <v>0.01167191191396089</v>
      </c>
      <c r="AD586" s="29" t="inlineStr">
        <is>
          <t>yfinance_download</t>
        </is>
      </c>
      <c r="AE586" s="29" t="inlineStr">
        <is>
          <t>058470.KQ</t>
        </is>
      </c>
    </row>
    <row r="587" ht="24" customHeight="1">
      <c r="A587" s="24" t="inlineStr">
        <is>
          <t>2025-11-05</t>
        </is>
      </c>
      <c r="B587" s="30" t="n">
        <v>57100</v>
      </c>
      <c r="C587" s="30" t="n">
        <v>58500</v>
      </c>
      <c r="D587" s="30" t="n">
        <v>53100</v>
      </c>
      <c r="E587" s="30" t="n">
        <v>55400</v>
      </c>
      <c r="F587" s="30" t="n">
        <v>52679.8671875</v>
      </c>
      <c r="G587" s="30" t="n">
        <v>954911</v>
      </c>
      <c r="H587" s="35" t="n">
        <v>-0.05942275042444822</v>
      </c>
      <c r="I587" s="35" t="n">
        <v>-0.07046979865771807</v>
      </c>
      <c r="J587" s="30" t="n">
        <v>57110</v>
      </c>
      <c r="K587" s="30" t="n">
        <v>51230.83333333334</v>
      </c>
      <c r="L587" s="30" t="n">
        <v>48920.83333333334</v>
      </c>
      <c r="M587" s="35" t="n">
        <v>0.3297831777377767</v>
      </c>
      <c r="N587" s="35" t="n">
        <v>0.3392332488014925</v>
      </c>
      <c r="O587" s="35" t="n">
        <v>0.05123339658444026</v>
      </c>
      <c r="P587" s="35" t="n">
        <v>0.2043478260869565</v>
      </c>
      <c r="Q587" s="35" t="n">
        <v>0.5198902606310014</v>
      </c>
      <c r="R587" s="35" t="n">
        <v>-0.02994221677464537</v>
      </c>
      <c r="S587" s="35" t="n">
        <v>0.08138002830326774</v>
      </c>
      <c r="T587" s="35" t="n">
        <v>0.1324418703687931</v>
      </c>
      <c r="U587" s="30" t="n">
        <v>58900</v>
      </c>
      <c r="V587" s="30" t="n">
        <v>30040</v>
      </c>
      <c r="W587" s="35" t="n">
        <v>-0.05942275042444822</v>
      </c>
      <c r="X587" s="35" t="n">
        <v>0.8442077230359522</v>
      </c>
      <c r="Y587" s="30" t="n">
        <v>76211850</v>
      </c>
      <c r="Z587" s="30" t="n">
        <v>4222136490000</v>
      </c>
      <c r="AA587" s="30" t="n">
        <v>52902069400</v>
      </c>
      <c r="AB587" s="30" t="n">
        <v>37911545175</v>
      </c>
      <c r="AC587" s="35" t="n">
        <v>0.01252969190486781</v>
      </c>
      <c r="AD587" s="24" t="inlineStr">
        <is>
          <t>yfinance_download</t>
        </is>
      </c>
      <c r="AE587" s="24" t="inlineStr">
        <is>
          <t>058470.KQ</t>
        </is>
      </c>
    </row>
    <row r="588" ht="24" customHeight="1">
      <c r="A588" s="29" t="inlineStr">
        <is>
          <t>2025-11-06</t>
        </is>
      </c>
      <c r="B588" s="31" t="n">
        <v>56700</v>
      </c>
      <c r="C588" s="31" t="n">
        <v>57900</v>
      </c>
      <c r="D588" s="31" t="n">
        <v>56400</v>
      </c>
      <c r="E588" s="31" t="n">
        <v>57600</v>
      </c>
      <c r="F588" s="31" t="n">
        <v>54771.84765625</v>
      </c>
      <c r="G588" s="31" t="n">
        <v>564875</v>
      </c>
      <c r="H588" s="36" t="n">
        <v>0.03971119133573997</v>
      </c>
      <c r="I588" s="36" t="n">
        <v>-0.03355704697986572</v>
      </c>
      <c r="J588" s="31" t="n">
        <v>57310</v>
      </c>
      <c r="K588" s="31" t="n">
        <v>51430</v>
      </c>
      <c r="L588" s="31" t="n">
        <v>49083.33333333334</v>
      </c>
      <c r="M588" s="36" t="n">
        <v>0.3519071411394661</v>
      </c>
      <c r="N588" s="36" t="n">
        <v>0.3465007611621639</v>
      </c>
      <c r="O588" s="36" t="n">
        <v>0.07462686567164178</v>
      </c>
      <c r="P588" s="36" t="n">
        <v>0.2617743702081052</v>
      </c>
      <c r="Q588" s="36" t="n">
        <v>0.5118110236220472</v>
      </c>
      <c r="R588" s="36" t="n">
        <v>0.005060198918164449</v>
      </c>
      <c r="S588" s="36" t="n">
        <v>0.1199688897530624</v>
      </c>
      <c r="T588" s="36" t="n">
        <v>0.1735144312393888</v>
      </c>
      <c r="U588" s="31" t="n">
        <v>58900</v>
      </c>
      <c r="V588" s="31" t="n">
        <v>30040</v>
      </c>
      <c r="W588" s="36" t="n">
        <v>-0.02207130730050932</v>
      </c>
      <c r="X588" s="36" t="n">
        <v>0.9174434087882823</v>
      </c>
      <c r="Y588" s="31" t="n">
        <v>76211850</v>
      </c>
      <c r="Z588" s="31" t="n">
        <v>4389802560000</v>
      </c>
      <c r="AA588" s="31" t="n">
        <v>32536800000</v>
      </c>
      <c r="AB588" s="31" t="n">
        <v>36728070175</v>
      </c>
      <c r="AC588" s="36" t="n">
        <v>0.007411905103996295</v>
      </c>
      <c r="AD588" s="29" t="inlineStr">
        <is>
          <t>yfinance_download</t>
        </is>
      </c>
      <c r="AE588" s="29" t="inlineStr">
        <is>
          <t>058470.KQ</t>
        </is>
      </c>
    </row>
    <row r="589" ht="24" customHeight="1">
      <c r="A589" s="24" t="inlineStr">
        <is>
          <t>2025-11-07</t>
        </is>
      </c>
      <c r="B589" s="30" t="n">
        <v>56500</v>
      </c>
      <c r="C589" s="30" t="n">
        <v>57300</v>
      </c>
      <c r="D589" s="30" t="n">
        <v>54200</v>
      </c>
      <c r="E589" s="30" t="n">
        <v>54900</v>
      </c>
      <c r="F589" s="30" t="n">
        <v>52204.41796875</v>
      </c>
      <c r="G589" s="30" t="n">
        <v>527415</v>
      </c>
      <c r="H589" s="35" t="n">
        <v>-0.046875</v>
      </c>
      <c r="I589" s="35" t="n">
        <v>-0.07885906040268453</v>
      </c>
      <c r="J589" s="30" t="n">
        <v>57370</v>
      </c>
      <c r="K589" s="30" t="n">
        <v>51576.66666666666</v>
      </c>
      <c r="L589" s="30" t="n">
        <v>49204.16666666666</v>
      </c>
      <c r="M589" s="35" t="n">
        <v>0.3953791020910887</v>
      </c>
      <c r="N589" s="35" t="n">
        <v>0.3616610127064931</v>
      </c>
      <c r="O589" s="35" t="n">
        <v>0.02234636871508378</v>
      </c>
      <c r="P589" s="35" t="n">
        <v>0.1908893709327548</v>
      </c>
      <c r="Q589" s="35" t="n">
        <v>0.358910891089109</v>
      </c>
      <c r="R589" s="35" t="n">
        <v>-0.04305386090291097</v>
      </c>
      <c r="S589" s="35" t="n">
        <v>0.06443482194790939</v>
      </c>
      <c r="T589" s="35" t="n">
        <v>0.1157591667372344</v>
      </c>
      <c r="U589" s="30" t="n">
        <v>58900</v>
      </c>
      <c r="V589" s="30" t="n">
        <v>30040</v>
      </c>
      <c r="W589" s="35" t="n">
        <v>-0.06791171477079794</v>
      </c>
      <c r="X589" s="35" t="n">
        <v>0.8275632490013316</v>
      </c>
      <c r="Y589" s="30" t="n">
        <v>76211850</v>
      </c>
      <c r="Z589" s="30" t="n">
        <v>4184030565000</v>
      </c>
      <c r="AA589" s="30" t="n">
        <v>28955083500</v>
      </c>
      <c r="AB589" s="30" t="n">
        <v>35363074735</v>
      </c>
      <c r="AC589" s="35" t="n">
        <v>0.0069203804920101</v>
      </c>
      <c r="AD589" s="24" t="inlineStr">
        <is>
          <t>yfinance_download</t>
        </is>
      </c>
      <c r="AE589" s="24" t="inlineStr">
        <is>
          <t>058470.KQ</t>
        </is>
      </c>
    </row>
    <row r="590" ht="24" customHeight="1">
      <c r="A590" s="29" t="inlineStr">
        <is>
          <t>2025-11-10</t>
        </is>
      </c>
      <c r="B590" s="31" t="n">
        <v>55500</v>
      </c>
      <c r="C590" s="31" t="n">
        <v>56900</v>
      </c>
      <c r="D590" s="31" t="n">
        <v>54600</v>
      </c>
      <c r="E590" s="31" t="n">
        <v>56900</v>
      </c>
      <c r="F590" s="31" t="n">
        <v>54106.21875</v>
      </c>
      <c r="G590" s="31" t="n">
        <v>420504</v>
      </c>
      <c r="H590" s="36" t="n">
        <v>0.03642987249544616</v>
      </c>
      <c r="I590" s="36" t="n">
        <v>-0.04530201342281881</v>
      </c>
      <c r="J590" s="31" t="n">
        <v>57400</v>
      </c>
      <c r="K590" s="31" t="n">
        <v>51754.16666666666</v>
      </c>
      <c r="L590" s="31" t="n">
        <v>49345.41666666666</v>
      </c>
      <c r="M590" s="36" t="n">
        <v>0.3783989368727099</v>
      </c>
      <c r="N590" s="36" t="n">
        <v>0.3680282756328777</v>
      </c>
      <c r="O590" s="36" t="n">
        <v>0.01065719360568385</v>
      </c>
      <c r="P590" s="36" t="n">
        <v>0.2302702702702704</v>
      </c>
      <c r="Q590" s="36" t="n">
        <v>0.4242803504380475</v>
      </c>
      <c r="R590" s="36" t="n">
        <v>-0.008710801393728262</v>
      </c>
      <c r="S590" s="36" t="n">
        <v>0.09942838740842119</v>
      </c>
      <c r="T590" s="36" t="n">
        <v>0.15309594778306</v>
      </c>
      <c r="U590" s="31" t="n">
        <v>58900</v>
      </c>
      <c r="V590" s="31" t="n">
        <v>30040</v>
      </c>
      <c r="W590" s="36" t="n">
        <v>-0.03395585738539897</v>
      </c>
      <c r="X590" s="36" t="n">
        <v>0.8941411451398136</v>
      </c>
      <c r="Y590" s="31" t="n">
        <v>76211850</v>
      </c>
      <c r="Z590" s="31" t="n">
        <v>4336454265000</v>
      </c>
      <c r="AA590" s="31" t="n">
        <v>23926677600</v>
      </c>
      <c r="AB590" s="31" t="n">
        <v>33793851275</v>
      </c>
      <c r="AC590" s="36" t="n">
        <v>0.005517567149990454</v>
      </c>
      <c r="AD590" s="29" t="inlineStr">
        <is>
          <t>yfinance_download</t>
        </is>
      </c>
      <c r="AE590" s="29" t="inlineStr">
        <is>
          <t>058470.KQ</t>
        </is>
      </c>
    </row>
    <row r="591" ht="24" customHeight="1">
      <c r="A591" s="24" t="inlineStr">
        <is>
          <t>2025-11-11</t>
        </is>
      </c>
      <c r="B591" s="30" t="n">
        <v>57900</v>
      </c>
      <c r="C591" s="30" t="n">
        <v>58400</v>
      </c>
      <c r="D591" s="30" t="n">
        <v>56200</v>
      </c>
      <c r="E591" s="30" t="n">
        <v>57100</v>
      </c>
      <c r="F591" s="30" t="n">
        <v>54296.3984375</v>
      </c>
      <c r="G591" s="30" t="n">
        <v>346148</v>
      </c>
      <c r="H591" s="35" t="n">
        <v>0.003514938488576425</v>
      </c>
      <c r="I591" s="35" t="n">
        <v>-0.04194630872483218</v>
      </c>
      <c r="J591" s="30" t="n">
        <v>57405</v>
      </c>
      <c r="K591" s="30" t="n">
        <v>51925.83333333334</v>
      </c>
      <c r="L591" s="30" t="n">
        <v>49496.25</v>
      </c>
      <c r="M591" s="35" t="n">
        <v>0.3760806663764794</v>
      </c>
      <c r="N591" s="35" t="n">
        <v>0.3676344223517549</v>
      </c>
      <c r="O591" s="35" t="n">
        <v>0.001754385964912286</v>
      </c>
      <c r="P591" s="35" t="n">
        <v>0.2200854700854702</v>
      </c>
      <c r="Q591" s="35" t="n">
        <v>0.464102564102564</v>
      </c>
      <c r="R591" s="35" t="n">
        <v>-0.00531312603431755</v>
      </c>
      <c r="S591" s="35" t="n">
        <v>0.09964532747027</v>
      </c>
      <c r="T591" s="35" t="n">
        <v>0.1536227491981716</v>
      </c>
      <c r="U591" s="30" t="n">
        <v>58900</v>
      </c>
      <c r="V591" s="30" t="n">
        <v>30040</v>
      </c>
      <c r="W591" s="35" t="n">
        <v>-0.03056027164685904</v>
      </c>
      <c r="X591" s="35" t="n">
        <v>0.9007989347536618</v>
      </c>
      <c r="Y591" s="30" t="n">
        <v>76211850</v>
      </c>
      <c r="Z591" s="30" t="n">
        <v>4351696635000</v>
      </c>
      <c r="AA591" s="30" t="n">
        <v>19765050800</v>
      </c>
      <c r="AB591" s="30" t="n">
        <v>30747649515</v>
      </c>
      <c r="AC591" s="35" t="n">
        <v>0.004541918349967885</v>
      </c>
      <c r="AD591" s="24" t="inlineStr">
        <is>
          <t>yfinance_download</t>
        </is>
      </c>
      <c r="AE591" s="24" t="inlineStr">
        <is>
          <t>058470.KQ</t>
        </is>
      </c>
    </row>
    <row r="592" ht="24" customHeight="1">
      <c r="A592" s="29" t="inlineStr">
        <is>
          <t>2025-11-12</t>
        </is>
      </c>
      <c r="B592" s="31" t="n">
        <v>57100</v>
      </c>
      <c r="C592" s="31" t="n">
        <v>57200</v>
      </c>
      <c r="D592" s="31" t="n">
        <v>55800</v>
      </c>
      <c r="E592" s="31" t="n">
        <v>56900</v>
      </c>
      <c r="F592" s="31" t="n">
        <v>54106.21875</v>
      </c>
      <c r="G592" s="31" t="n">
        <v>331412</v>
      </c>
      <c r="H592" s="36" t="n">
        <v>-0.003502626970227629</v>
      </c>
      <c r="I592" s="36" t="n">
        <v>-0.04530201342281881</v>
      </c>
      <c r="J592" s="31" t="n">
        <v>57355</v>
      </c>
      <c r="K592" s="31" t="n">
        <v>52105.83333333334</v>
      </c>
      <c r="L592" s="31" t="n">
        <v>49634.58333333334</v>
      </c>
      <c r="M592" s="36" t="n">
        <v>0.371791690622211</v>
      </c>
      <c r="N592" s="36" t="n">
        <v>0.3659123223132615</v>
      </c>
      <c r="O592" s="36" t="n">
        <v>-0.01727115716753025</v>
      </c>
      <c r="P592" s="36" t="n">
        <v>0.2342733188720174</v>
      </c>
      <c r="Q592" s="36" t="n">
        <v>0.411910669975186</v>
      </c>
      <c r="R592" s="36" t="n">
        <v>-0.007933048557231315</v>
      </c>
      <c r="S592" s="36" t="n">
        <v>0.09200825243494815</v>
      </c>
      <c r="T592" s="36" t="n">
        <v>0.1463781133786086</v>
      </c>
      <c r="U592" s="31" t="n">
        <v>58900</v>
      </c>
      <c r="V592" s="31" t="n">
        <v>30040</v>
      </c>
      <c r="W592" s="36" t="n">
        <v>-0.03395585738539897</v>
      </c>
      <c r="X592" s="36" t="n">
        <v>0.8941411451398136</v>
      </c>
      <c r="Y592" s="31" t="n">
        <v>76211850</v>
      </c>
      <c r="Z592" s="31" t="n">
        <v>4336454265000</v>
      </c>
      <c r="AA592" s="31" t="n">
        <v>18857342800</v>
      </c>
      <c r="AB592" s="31" t="n">
        <v>29532754460</v>
      </c>
      <c r="AC592" s="36" t="n">
        <v>0.004348562592300279</v>
      </c>
      <c r="AD592" s="29" t="inlineStr">
        <is>
          <t>yfinance_download</t>
        </is>
      </c>
      <c r="AE592" s="29" t="inlineStr">
        <is>
          <t>058470.KQ</t>
        </is>
      </c>
    </row>
    <row r="593" ht="24" customHeight="1">
      <c r="A593" s="24" t="inlineStr">
        <is>
          <t>2025-11-13</t>
        </is>
      </c>
      <c r="B593" s="30" t="n">
        <v>56200</v>
      </c>
      <c r="C593" s="30" t="n">
        <v>57500</v>
      </c>
      <c r="D593" s="30" t="n">
        <v>55800</v>
      </c>
      <c r="E593" s="30" t="n">
        <v>56200</v>
      </c>
      <c r="F593" s="30" t="n">
        <v>53440.5859375</v>
      </c>
      <c r="G593" s="30" t="n">
        <v>404694</v>
      </c>
      <c r="H593" s="35" t="n">
        <v>-0.0123022847100176</v>
      </c>
      <c r="I593" s="35" t="n">
        <v>-0.05704697986577179</v>
      </c>
      <c r="J593" s="30" t="n">
        <v>57280</v>
      </c>
      <c r="K593" s="30" t="n">
        <v>52249.16666666666</v>
      </c>
      <c r="L593" s="30" t="n">
        <v>49779.16666666666</v>
      </c>
      <c r="M593" s="35" t="n">
        <v>0.3740104233825463</v>
      </c>
      <c r="N593" s="35" t="n">
        <v>0.3623800743029555</v>
      </c>
      <c r="O593" s="35" t="n">
        <v>-0.02599653379549394</v>
      </c>
      <c r="P593" s="35" t="n">
        <v>0.180672268907563</v>
      </c>
      <c r="Q593" s="35" t="n">
        <v>0.4465894465894467</v>
      </c>
      <c r="R593" s="35" t="n">
        <v>-0.0188547486033519</v>
      </c>
      <c r="S593" s="35" t="n">
        <v>0.07561524107242534</v>
      </c>
      <c r="T593" s="35" t="n">
        <v>0.1289863564074665</v>
      </c>
      <c r="U593" s="30" t="n">
        <v>58900</v>
      </c>
      <c r="V593" s="30" t="n">
        <v>30040</v>
      </c>
      <c r="W593" s="35" t="n">
        <v>-0.04584040747028861</v>
      </c>
      <c r="X593" s="35" t="n">
        <v>0.8708388814913448</v>
      </c>
      <c r="Y593" s="30" t="n">
        <v>76211850</v>
      </c>
      <c r="Z593" s="30" t="n">
        <v>4283105970000</v>
      </c>
      <c r="AA593" s="30" t="n">
        <v>22743802800</v>
      </c>
      <c r="AB593" s="30" t="n">
        <v>29373151525</v>
      </c>
      <c r="AC593" s="35" t="n">
        <v>0.005310119095652448</v>
      </c>
      <c r="AD593" s="24" t="inlineStr">
        <is>
          <t>yfinance_download</t>
        </is>
      </c>
      <c r="AE593" s="24" t="inlineStr">
        <is>
          <t>058470.KQ</t>
        </is>
      </c>
    </row>
    <row r="594" ht="24" customHeight="1">
      <c r="A594" s="29" t="inlineStr">
        <is>
          <t>2025-11-14</t>
        </is>
      </c>
      <c r="B594" s="31" t="n">
        <v>55700</v>
      </c>
      <c r="C594" s="31" t="n">
        <v>59600</v>
      </c>
      <c r="D594" s="31" t="n">
        <v>55000</v>
      </c>
      <c r="E594" s="31" t="n">
        <v>56500</v>
      </c>
      <c r="F594" s="31" t="n">
        <v>53725.859375</v>
      </c>
      <c r="G594" s="31" t="n">
        <v>845771</v>
      </c>
      <c r="H594" s="36" t="n">
        <v>0.005338078291814874</v>
      </c>
      <c r="I594" s="36" t="n">
        <v>-0.05201342281879195</v>
      </c>
      <c r="J594" s="31" t="n">
        <v>57250</v>
      </c>
      <c r="K594" s="31" t="n">
        <v>52410</v>
      </c>
      <c r="L594" s="31" t="n">
        <v>49921.66666666666</v>
      </c>
      <c r="M594" s="36" t="n">
        <v>0.3729629020262493</v>
      </c>
      <c r="N594" s="36" t="n">
        <v>0.3602822724512301</v>
      </c>
      <c r="O594" s="36" t="n">
        <v>-0.010507880910683</v>
      </c>
      <c r="P594" s="36" t="n">
        <v>0.2059765208110993</v>
      </c>
      <c r="Q594" s="36" t="n">
        <v>0.4340101522842639</v>
      </c>
      <c r="R594" s="36" t="n">
        <v>-0.01310043668122274</v>
      </c>
      <c r="S594" s="36" t="n">
        <v>0.07803854226292684</v>
      </c>
      <c r="T594" s="36" t="n">
        <v>0.1317731112075586</v>
      </c>
      <c r="U594" s="31" t="n">
        <v>58900</v>
      </c>
      <c r="V594" s="31" t="n">
        <v>30040</v>
      </c>
      <c r="W594" s="36" t="n">
        <v>-0.04074702886247883</v>
      </c>
      <c r="X594" s="36" t="n">
        <v>0.8808255659121171</v>
      </c>
      <c r="Y594" s="31" t="n">
        <v>76211850</v>
      </c>
      <c r="Z594" s="31" t="n">
        <v>4305969525000</v>
      </c>
      <c r="AA594" s="31" t="n">
        <v>47786061500</v>
      </c>
      <c r="AB594" s="31" t="n">
        <v>30207221900</v>
      </c>
      <c r="AC594" s="36" t="n">
        <v>0.01109763114266351</v>
      </c>
      <c r="AD594" s="29" t="inlineStr">
        <is>
          <t>yfinance_download</t>
        </is>
      </c>
      <c r="AE594" s="29" t="inlineStr">
        <is>
          <t>058470.KQ</t>
        </is>
      </c>
    </row>
    <row r="595" ht="24" customHeight="1">
      <c r="A595" s="24" t="inlineStr">
        <is>
          <t>2025-11-17</t>
        </is>
      </c>
      <c r="B595" s="30" t="n">
        <v>58000</v>
      </c>
      <c r="C595" s="30" t="n">
        <v>59400</v>
      </c>
      <c r="D595" s="30" t="n">
        <v>56600</v>
      </c>
      <c r="E595" s="30" t="n">
        <v>59100</v>
      </c>
      <c r="F595" s="30" t="n">
        <v>56198.19921875</v>
      </c>
      <c r="G595" s="30" t="n">
        <v>472529</v>
      </c>
      <c r="H595" s="35" t="n">
        <v>0.04601769911504427</v>
      </c>
      <c r="I595" s="35" t="n">
        <v>-0.008389261744966459</v>
      </c>
      <c r="J595" s="30" t="n">
        <v>57310</v>
      </c>
      <c r="K595" s="30" t="n">
        <v>52623.33333333334</v>
      </c>
      <c r="L595" s="30" t="n">
        <v>50081.66666666666</v>
      </c>
      <c r="M595" s="35" t="n">
        <v>0.4051267460087075</v>
      </c>
      <c r="N595" s="35" t="n">
        <v>0.3692620626314103</v>
      </c>
      <c r="O595" s="35" t="n">
        <v>0.02072538860103634</v>
      </c>
      <c r="P595" s="35" t="n">
        <v>0.2764578833693305</v>
      </c>
      <c r="Q595" s="35" t="n">
        <v>0.481203007518797</v>
      </c>
      <c r="R595" s="35" t="n">
        <v>0.03123364159832498</v>
      </c>
      <c r="S595" s="35" t="n">
        <v>0.1230759485652753</v>
      </c>
      <c r="T595" s="35" t="n">
        <v>0.1800725481713201</v>
      </c>
      <c r="U595" s="30" t="n">
        <v>59100</v>
      </c>
      <c r="V595" s="30" t="n">
        <v>30040</v>
      </c>
      <c r="W595" s="35" t="n">
        <v>0</v>
      </c>
      <c r="X595" s="35" t="n">
        <v>0.9673768308921438</v>
      </c>
      <c r="Y595" s="30" t="n">
        <v>76211850</v>
      </c>
      <c r="Z595" s="30" t="n">
        <v>4504120335000</v>
      </c>
      <c r="AA595" s="30" t="n">
        <v>27926463900</v>
      </c>
      <c r="AB595" s="30" t="n">
        <v>30419603000</v>
      </c>
      <c r="AC595" s="35" t="n">
        <v>0.006200203774085001</v>
      </c>
      <c r="AD595" s="24" t="inlineStr">
        <is>
          <t>yfinance_download</t>
        </is>
      </c>
      <c r="AE595" s="24" t="inlineStr">
        <is>
          <t>058470.KQ</t>
        </is>
      </c>
    </row>
    <row r="596" ht="24" customHeight="1">
      <c r="A596" s="29" t="inlineStr">
        <is>
          <t>2025-11-18</t>
        </is>
      </c>
      <c r="B596" s="31" t="n">
        <v>58000</v>
      </c>
      <c r="C596" s="31" t="n">
        <v>58700</v>
      </c>
      <c r="D596" s="31" t="n">
        <v>56400</v>
      </c>
      <c r="E596" s="31" t="n">
        <v>56900</v>
      </c>
      <c r="F596" s="31" t="n">
        <v>54106.21875</v>
      </c>
      <c r="G596" s="31" t="n">
        <v>554449</v>
      </c>
      <c r="H596" s="36" t="n">
        <v>-0.0372250423011844</v>
      </c>
      <c r="I596" s="36" t="n">
        <v>-0.04530201342281881</v>
      </c>
      <c r="J596" s="31" t="n">
        <v>57315</v>
      </c>
      <c r="K596" s="31" t="n">
        <v>52795</v>
      </c>
      <c r="L596" s="31" t="n">
        <v>50222.91666666666</v>
      </c>
      <c r="M596" s="36" t="n">
        <v>0.4220733870731715</v>
      </c>
      <c r="N596" s="36" t="n">
        <v>0.3789181425189094</v>
      </c>
      <c r="O596" s="36" t="n">
        <v>0.001760563380281743</v>
      </c>
      <c r="P596" s="36" t="n">
        <v>0.2210300429184548</v>
      </c>
      <c r="Q596" s="36" t="n">
        <v>0.4242803504380475</v>
      </c>
      <c r="R596" s="36" t="n">
        <v>-0.007240687429119763</v>
      </c>
      <c r="S596" s="36" t="n">
        <v>0.07775357514916181</v>
      </c>
      <c r="T596" s="36" t="n">
        <v>0.1329489359936948</v>
      </c>
      <c r="U596" s="31" t="n">
        <v>59100</v>
      </c>
      <c r="V596" s="31" t="n">
        <v>30040</v>
      </c>
      <c r="W596" s="36" t="n">
        <v>-0.0372250423011844</v>
      </c>
      <c r="X596" s="36" t="n">
        <v>0.8941411451398136</v>
      </c>
      <c r="Y596" s="31" t="n">
        <v>76211850</v>
      </c>
      <c r="Z596" s="31" t="n">
        <v>4336454265000</v>
      </c>
      <c r="AA596" s="31" t="n">
        <v>31548148100</v>
      </c>
      <c r="AB596" s="31" t="n">
        <v>30433099085</v>
      </c>
      <c r="AC596" s="36" t="n">
        <v>0.007275102231477126</v>
      </c>
      <c r="AD596" s="29" t="inlineStr">
        <is>
          <t>yfinance_download</t>
        </is>
      </c>
      <c r="AE596" s="29" t="inlineStr">
        <is>
          <t>058470.KQ</t>
        </is>
      </c>
    </row>
    <row r="597" ht="24" customHeight="1">
      <c r="A597" s="24" t="inlineStr">
        <is>
          <t>2025-11-19</t>
        </is>
      </c>
      <c r="B597" s="30" t="n">
        <v>56900</v>
      </c>
      <c r="C597" s="30" t="n">
        <v>57400</v>
      </c>
      <c r="D597" s="30" t="n">
        <v>54400</v>
      </c>
      <c r="E597" s="30" t="n">
        <v>56100</v>
      </c>
      <c r="F597" s="30" t="n">
        <v>53345.49609375</v>
      </c>
      <c r="G597" s="30" t="n">
        <v>409357</v>
      </c>
      <c r="H597" s="35" t="n">
        <v>-0.01405975395430581</v>
      </c>
      <c r="I597" s="35" t="n">
        <v>-0.0587248322147651</v>
      </c>
      <c r="J597" s="30" t="n">
        <v>57245</v>
      </c>
      <c r="K597" s="30" t="n">
        <v>52966.66666666666</v>
      </c>
      <c r="L597" s="30" t="n">
        <v>50361.66666666666</v>
      </c>
      <c r="M597" s="35" t="n">
        <v>0.4225994810521655</v>
      </c>
      <c r="N597" s="35" t="n">
        <v>0.3782431061960178</v>
      </c>
      <c r="O597" s="35" t="n">
        <v>-0.02434782608695651</v>
      </c>
      <c r="P597" s="35" t="n">
        <v>0.2248908296943231</v>
      </c>
      <c r="Q597" s="35" t="n">
        <v>0.4220532319391634</v>
      </c>
      <c r="R597" s="35" t="n">
        <v>-0.02000174687745659</v>
      </c>
      <c r="S597" s="35" t="n">
        <v>0.05915670232850845</v>
      </c>
      <c r="T597" s="35" t="n">
        <v>0.1139424827084092</v>
      </c>
      <c r="U597" s="30" t="n">
        <v>59100</v>
      </c>
      <c r="V597" s="30" t="n">
        <v>30040</v>
      </c>
      <c r="W597" s="35" t="n">
        <v>-0.050761421319797</v>
      </c>
      <c r="X597" s="35" t="n">
        <v>0.8675099866844207</v>
      </c>
      <c r="Y597" s="30" t="n">
        <v>76211850</v>
      </c>
      <c r="Z597" s="30" t="n">
        <v>4275484785000</v>
      </c>
      <c r="AA597" s="30" t="n">
        <v>22964927700</v>
      </c>
      <c r="AB597" s="30" t="n">
        <v>30189862720</v>
      </c>
      <c r="AC597" s="35" t="n">
        <v>0.005371303806429053</v>
      </c>
      <c r="AD597" s="24" t="inlineStr">
        <is>
          <t>yfinance_download</t>
        </is>
      </c>
      <c r="AE597" s="24" t="inlineStr">
        <is>
          <t>058470.KQ</t>
        </is>
      </c>
    </row>
    <row r="598" ht="24" customHeight="1">
      <c r="A598" s="29" t="inlineStr">
        <is>
          <t>2025-11-20</t>
        </is>
      </c>
      <c r="B598" s="31" t="n">
        <v>58300</v>
      </c>
      <c r="C598" s="31" t="n">
        <v>58700</v>
      </c>
      <c r="D598" s="31" t="n">
        <v>56600</v>
      </c>
      <c r="E598" s="31" t="n">
        <v>58100</v>
      </c>
      <c r="F598" s="31" t="n">
        <v>55247.296875</v>
      </c>
      <c r="G598" s="31" t="n">
        <v>382474</v>
      </c>
      <c r="H598" s="36" t="n">
        <v>0.035650623885918</v>
      </c>
      <c r="I598" s="36" t="n">
        <v>-0.02516778523489938</v>
      </c>
      <c r="J598" s="31" t="n">
        <v>57275</v>
      </c>
      <c r="K598" s="31" t="n">
        <v>53195</v>
      </c>
      <c r="L598" s="31" t="n">
        <v>50505.83333333334</v>
      </c>
      <c r="M598" s="36" t="n">
        <v>0.4420956569120852</v>
      </c>
      <c r="N598" s="36" t="n">
        <v>0.3769877194636398</v>
      </c>
      <c r="O598" s="36" t="n">
        <v>0.01043478260869568</v>
      </c>
      <c r="P598" s="36" t="n">
        <v>0.3085585585585586</v>
      </c>
      <c r="Q598" s="36" t="n">
        <v>0.4240196078431373</v>
      </c>
      <c r="R598" s="36" t="n">
        <v>0.01440419030990836</v>
      </c>
      <c r="S598" s="36" t="n">
        <v>0.09220791427765773</v>
      </c>
      <c r="T598" s="36" t="n">
        <v>0.1503621693863744</v>
      </c>
      <c r="U598" s="31" t="n">
        <v>59100</v>
      </c>
      <c r="V598" s="31" t="n">
        <v>30040</v>
      </c>
      <c r="W598" s="36" t="n">
        <v>-0.01692047377326567</v>
      </c>
      <c r="X598" s="36" t="n">
        <v>0.9340878828229029</v>
      </c>
      <c r="Y598" s="31" t="n">
        <v>76211850</v>
      </c>
      <c r="Z598" s="31" t="n">
        <v>4427908485000</v>
      </c>
      <c r="AA598" s="31" t="n">
        <v>22221739400</v>
      </c>
      <c r="AB598" s="31" t="n">
        <v>29965308065</v>
      </c>
      <c r="AC598" s="36" t="n">
        <v>0.005018563386140082</v>
      </c>
      <c r="AD598" s="29" t="inlineStr">
        <is>
          <t>yfinance_download</t>
        </is>
      </c>
      <c r="AE598" s="29" t="inlineStr">
        <is>
          <t>058470.KQ</t>
        </is>
      </c>
    </row>
    <row r="599" ht="24" customHeight="1">
      <c r="A599" s="24" t="inlineStr">
        <is>
          <t>2025-11-21</t>
        </is>
      </c>
      <c r="B599" s="30" t="n">
        <v>55400</v>
      </c>
      <c r="C599" s="30" t="n">
        <v>56500</v>
      </c>
      <c r="D599" s="30" t="n">
        <v>54200</v>
      </c>
      <c r="E599" s="30" t="n">
        <v>54400</v>
      </c>
      <c r="F599" s="30" t="n">
        <v>51728.96875</v>
      </c>
      <c r="G599" s="30" t="n">
        <v>510694</v>
      </c>
      <c r="H599" s="35" t="n">
        <v>-0.0636833046471601</v>
      </c>
      <c r="I599" s="35" t="n">
        <v>-0.08724832214765099</v>
      </c>
      <c r="J599" s="30" t="n">
        <v>57095</v>
      </c>
      <c r="K599" s="30" t="n">
        <v>53352.5</v>
      </c>
      <c r="L599" s="30" t="n">
        <v>50625</v>
      </c>
      <c r="M599" s="35" t="n">
        <v>0.4964573369679656</v>
      </c>
      <c r="N599" s="35" t="n">
        <v>0.4018379436322927</v>
      </c>
      <c r="O599" s="35" t="n">
        <v>-0.06206896551724139</v>
      </c>
      <c r="P599" s="35" t="n">
        <v>0.2102335928809789</v>
      </c>
      <c r="Q599" s="35" t="n">
        <v>0.3566084788029926</v>
      </c>
      <c r="R599" s="35" t="n">
        <v>-0.04720203170155002</v>
      </c>
      <c r="S599" s="35" t="n">
        <v>0.01963356918607384</v>
      </c>
      <c r="T599" s="35" t="n">
        <v>0.07456790123456791</v>
      </c>
      <c r="U599" s="30" t="n">
        <v>59100</v>
      </c>
      <c r="V599" s="30" t="n">
        <v>30040</v>
      </c>
      <c r="W599" s="35" t="n">
        <v>-0.07952622673434862</v>
      </c>
      <c r="X599" s="35" t="n">
        <v>0.8109187749667111</v>
      </c>
      <c r="Y599" s="30" t="n">
        <v>76211850</v>
      </c>
      <c r="Z599" s="30" t="n">
        <v>4145924640000</v>
      </c>
      <c r="AA599" s="30" t="n">
        <v>27781753600</v>
      </c>
      <c r="AB599" s="30" t="n">
        <v>30120590745</v>
      </c>
      <c r="AC599" s="35" t="n">
        <v>0.006700978916008469</v>
      </c>
      <c r="AD599" s="24" t="inlineStr">
        <is>
          <t>yfinance_download</t>
        </is>
      </c>
      <c r="AE599" s="24" t="inlineStr">
        <is>
          <t>058470.KQ</t>
        </is>
      </c>
    </row>
    <row r="600" ht="24" customHeight="1">
      <c r="A600" s="29" t="inlineStr">
        <is>
          <t>2025-11-24</t>
        </is>
      </c>
      <c r="B600" s="31" t="n">
        <v>55200</v>
      </c>
      <c r="C600" s="31" t="n">
        <v>56500</v>
      </c>
      <c r="D600" s="31" t="n">
        <v>54700</v>
      </c>
      <c r="E600" s="31" t="n">
        <v>56400</v>
      </c>
      <c r="F600" s="31" t="n">
        <v>53630.76953125</v>
      </c>
      <c r="G600" s="31" t="n">
        <v>406516</v>
      </c>
      <c r="H600" s="36" t="n">
        <v>0.03676470588235303</v>
      </c>
      <c r="I600" s="36" t="n">
        <v>-0.05369127516778527</v>
      </c>
      <c r="J600" s="31" t="n">
        <v>57050</v>
      </c>
      <c r="K600" s="31" t="n">
        <v>53513.33333333334</v>
      </c>
      <c r="L600" s="31" t="n">
        <v>50759.16666666666</v>
      </c>
      <c r="M600" s="36" t="n">
        <v>0.5142165180654117</v>
      </c>
      <c r="N600" s="36" t="n">
        <v>0.4006183749278499</v>
      </c>
      <c r="O600" s="36" t="n">
        <v>-0.01570680628272247</v>
      </c>
      <c r="P600" s="36" t="n">
        <v>0.2064171122994651</v>
      </c>
      <c r="Q600" s="36" t="n">
        <v>0.3995037220843674</v>
      </c>
      <c r="R600" s="36" t="n">
        <v>-0.01139351446099912</v>
      </c>
      <c r="S600" s="36" t="n">
        <v>0.05394294256883025</v>
      </c>
      <c r="T600" s="36" t="n">
        <v>0.1111293526620809</v>
      </c>
      <c r="U600" s="31" t="n">
        <v>59100</v>
      </c>
      <c r="V600" s="31" t="n">
        <v>30040</v>
      </c>
      <c r="W600" s="36" t="n">
        <v>-0.04568527918781728</v>
      </c>
      <c r="X600" s="36" t="n">
        <v>0.877496671105193</v>
      </c>
      <c r="Y600" s="31" t="n">
        <v>76211850</v>
      </c>
      <c r="Z600" s="31" t="n">
        <v>4298348340000</v>
      </c>
      <c r="AA600" s="31" t="n">
        <v>22927502400</v>
      </c>
      <c r="AB600" s="31" t="n">
        <v>29733898635</v>
      </c>
      <c r="AC600" s="36" t="n">
        <v>0.0053340261389797</v>
      </c>
      <c r="AD600" s="29" t="inlineStr">
        <is>
          <t>yfinance_download</t>
        </is>
      </c>
      <c r="AE600" s="29" t="inlineStr">
        <is>
          <t>058470.KQ</t>
        </is>
      </c>
    </row>
    <row r="601" ht="24" customHeight="1">
      <c r="A601" s="24" t="inlineStr">
        <is>
          <t>2025-11-25</t>
        </is>
      </c>
      <c r="B601" s="30" t="n">
        <v>60600</v>
      </c>
      <c r="C601" s="30" t="n">
        <v>64500</v>
      </c>
      <c r="D601" s="30" t="n">
        <v>58900</v>
      </c>
      <c r="E601" s="30" t="n">
        <v>63100</v>
      </c>
      <c r="F601" s="30" t="n">
        <v>60001.796875</v>
      </c>
      <c r="G601" s="30" t="n">
        <v>2804197</v>
      </c>
      <c r="H601" s="35" t="n">
        <v>0.1187943262411348</v>
      </c>
      <c r="I601" s="35" t="n">
        <v>0</v>
      </c>
      <c r="J601" s="30" t="n">
        <v>57340</v>
      </c>
      <c r="K601" s="30" t="n">
        <v>53776.66666666666</v>
      </c>
      <c r="L601" s="30" t="n">
        <v>50943.33333333334</v>
      </c>
      <c r="M601" s="35" t="n">
        <v>0.6656848045472917</v>
      </c>
      <c r="N601" s="35" t="n">
        <v>0.4649864357337526</v>
      </c>
      <c r="O601" s="35" t="n">
        <v>0.1012216404886561</v>
      </c>
      <c r="P601" s="35" t="n">
        <v>0.3340380549682875</v>
      </c>
      <c r="Q601" s="35" t="n">
        <v>0.5390243902439025</v>
      </c>
      <c r="R601" s="35" t="n">
        <v>0.1004534356470177</v>
      </c>
      <c r="S601" s="35" t="n">
        <v>0.1733713506477408</v>
      </c>
      <c r="T601" s="35" t="n">
        <v>0.2386311588038996</v>
      </c>
      <c r="U601" s="30" t="n">
        <v>63100</v>
      </c>
      <c r="V601" s="30" t="n">
        <v>30040</v>
      </c>
      <c r="W601" s="35" t="n">
        <v>0</v>
      </c>
      <c r="X601" s="35" t="n">
        <v>1.100532623169108</v>
      </c>
      <c r="Y601" s="30" t="n">
        <v>76211850</v>
      </c>
      <c r="Z601" s="30" t="n">
        <v>4808967735000</v>
      </c>
      <c r="AA601" s="30" t="n">
        <v>176944830700</v>
      </c>
      <c r="AB601" s="30" t="n">
        <v>37300614095</v>
      </c>
      <c r="AC601" s="35" t="n">
        <v>0.03679476354398955</v>
      </c>
      <c r="AD601" s="24" t="inlineStr">
        <is>
          <t>yfinance_download</t>
        </is>
      </c>
      <c r="AE601" s="24" t="inlineStr">
        <is>
          <t>058470.KQ</t>
        </is>
      </c>
    </row>
    <row r="602" ht="24" customHeight="1">
      <c r="A602" s="29" t="inlineStr">
        <is>
          <t>2025-11-26</t>
        </is>
      </c>
      <c r="B602" s="31" t="n">
        <v>65700</v>
      </c>
      <c r="C602" s="31" t="n">
        <v>66600</v>
      </c>
      <c r="D602" s="31" t="n">
        <v>62600</v>
      </c>
      <c r="E602" s="31" t="n">
        <v>64500</v>
      </c>
      <c r="F602" s="31" t="n">
        <v>61333.05859375</v>
      </c>
      <c r="G602" s="31" t="n">
        <v>1521284</v>
      </c>
      <c r="H602" s="36" t="n">
        <v>0.0221870047543582</v>
      </c>
      <c r="I602" s="36" t="n">
        <v>0</v>
      </c>
      <c r="J602" s="31" t="n">
        <v>57645</v>
      </c>
      <c r="K602" s="31" t="n">
        <v>54056.66666666666</v>
      </c>
      <c r="L602" s="31" t="n">
        <v>51150.83333333334</v>
      </c>
      <c r="M602" s="36" t="n">
        <v>0.666575653520783</v>
      </c>
      <c r="N602" s="36" t="n">
        <v>0.4662430161860966</v>
      </c>
      <c r="O602" s="36" t="n">
        <v>0.1044520547945205</v>
      </c>
      <c r="P602" s="36" t="n">
        <v>0.3522012578616351</v>
      </c>
      <c r="Q602" s="36" t="n">
        <v>0.6287878787878789</v>
      </c>
      <c r="R602" s="36" t="n">
        <v>0.1189175123601354</v>
      </c>
      <c r="S602" s="36" t="n">
        <v>0.19319232903743</v>
      </c>
      <c r="T602" s="36" t="n">
        <v>0.2609765236799662</v>
      </c>
      <c r="U602" s="31" t="n">
        <v>64500</v>
      </c>
      <c r="V602" s="31" t="n">
        <v>30040</v>
      </c>
      <c r="W602" s="36" t="n">
        <v>0</v>
      </c>
      <c r="X602" s="36" t="n">
        <v>1.147137150466045</v>
      </c>
      <c r="Y602" s="31" t="n">
        <v>76211850</v>
      </c>
      <c r="Z602" s="31" t="n">
        <v>4915664325000</v>
      </c>
      <c r="AA602" s="31" t="n">
        <v>98122818000</v>
      </c>
      <c r="AB602" s="31" t="n">
        <v>40651139595</v>
      </c>
      <c r="AC602" s="36" t="n">
        <v>0.01996125274481593</v>
      </c>
      <c r="AD602" s="29" t="inlineStr">
        <is>
          <t>yfinance_download</t>
        </is>
      </c>
      <c r="AE602" s="29" t="inlineStr">
        <is>
          <t>058470.KQ</t>
        </is>
      </c>
    </row>
    <row r="603" ht="24" customHeight="1">
      <c r="A603" s="24" t="inlineStr">
        <is>
          <t>2025-11-27</t>
        </is>
      </c>
      <c r="B603" s="30" t="n">
        <v>63700</v>
      </c>
      <c r="C603" s="30" t="n">
        <v>65300</v>
      </c>
      <c r="D603" s="30" t="n">
        <v>63400</v>
      </c>
      <c r="E603" s="30" t="n">
        <v>64800</v>
      </c>
      <c r="F603" s="30" t="n">
        <v>61618.328125</v>
      </c>
      <c r="G603" s="30" t="n">
        <v>528515</v>
      </c>
      <c r="H603" s="35" t="n">
        <v>0.004651162790697771</v>
      </c>
      <c r="I603" s="35" t="n">
        <v>0</v>
      </c>
      <c r="J603" s="30" t="n">
        <v>57975</v>
      </c>
      <c r="K603" s="30" t="n">
        <v>54350</v>
      </c>
      <c r="L603" s="30" t="n">
        <v>51352.5</v>
      </c>
      <c r="M603" s="35" t="n">
        <v>0.665708889002557</v>
      </c>
      <c r="N603" s="35" t="n">
        <v>0.4650629682053264</v>
      </c>
      <c r="O603" s="35" t="n">
        <v>0.1134020618556701</v>
      </c>
      <c r="P603" s="35" t="n">
        <v>0.3728813559322033</v>
      </c>
      <c r="Q603" s="35" t="n">
        <v>0.5960591133004927</v>
      </c>
      <c r="R603" s="35" t="n">
        <v>0.1177231565329884</v>
      </c>
      <c r="S603" s="35" t="n">
        <v>0.1922723091076357</v>
      </c>
      <c r="T603" s="35" t="n">
        <v>0.2618665108806777</v>
      </c>
      <c r="U603" s="30" t="n">
        <v>64800</v>
      </c>
      <c r="V603" s="30" t="n">
        <v>30040</v>
      </c>
      <c r="W603" s="35" t="n">
        <v>0</v>
      </c>
      <c r="X603" s="35" t="n">
        <v>1.157123834886817</v>
      </c>
      <c r="Y603" s="30" t="n">
        <v>76211850</v>
      </c>
      <c r="Z603" s="30" t="n">
        <v>4938527880000</v>
      </c>
      <c r="AA603" s="30" t="n">
        <v>34247772000</v>
      </c>
      <c r="AB603" s="30" t="n">
        <v>40910023935</v>
      </c>
      <c r="AC603" s="35" t="n">
        <v>0.00693481394297606</v>
      </c>
      <c r="AD603" s="24" t="inlineStr">
        <is>
          <t>yfinance_download</t>
        </is>
      </c>
      <c r="AE603" s="24" t="inlineStr">
        <is>
          <t>058470.KQ</t>
        </is>
      </c>
    </row>
    <row r="604" ht="24" customHeight="1">
      <c r="A604" s="29" t="inlineStr">
        <is>
          <t>2025-11-28</t>
        </is>
      </c>
      <c r="B604" s="31" t="n">
        <v>65200</v>
      </c>
      <c r="C604" s="31" t="n">
        <v>69000</v>
      </c>
      <c r="D604" s="31" t="n">
        <v>64100</v>
      </c>
      <c r="E604" s="31" t="n">
        <v>68300</v>
      </c>
      <c r="F604" s="31" t="n">
        <v>64946.48046875</v>
      </c>
      <c r="G604" s="31" t="n">
        <v>1161350</v>
      </c>
      <c r="H604" s="36" t="n">
        <v>0.05401234567901225</v>
      </c>
      <c r="I604" s="36" t="n">
        <v>0</v>
      </c>
      <c r="J604" s="31" t="n">
        <v>58505</v>
      </c>
      <c r="K604" s="31" t="n">
        <v>54705</v>
      </c>
      <c r="L604" s="31" t="n">
        <v>51558.33333333334</v>
      </c>
      <c r="M604" s="36" t="n">
        <v>0.6840891656822824</v>
      </c>
      <c r="N604" s="36" t="n">
        <v>0.4749565181996928</v>
      </c>
      <c r="O604" s="36" t="n">
        <v>0.1837088388214905</v>
      </c>
      <c r="P604" s="36" t="n">
        <v>0.4531914893617022</v>
      </c>
      <c r="Q604" s="36" t="n">
        <v>0.5665137614678899</v>
      </c>
      <c r="R604" s="36" t="n">
        <v>0.1674215878984702</v>
      </c>
      <c r="S604" s="36" t="n">
        <v>0.2485147609907687</v>
      </c>
      <c r="T604" s="36" t="n">
        <v>0.3247131081299499</v>
      </c>
      <c r="U604" s="31" t="n">
        <v>68300</v>
      </c>
      <c r="V604" s="31" t="n">
        <v>30040</v>
      </c>
      <c r="W604" s="36" t="n">
        <v>0</v>
      </c>
      <c r="X604" s="36" t="n">
        <v>1.273635153129161</v>
      </c>
      <c r="Y604" s="31" t="n">
        <v>76211850</v>
      </c>
      <c r="Z604" s="31" t="n">
        <v>5205269355000</v>
      </c>
      <c r="AA604" s="31" t="n">
        <v>79320205000</v>
      </c>
      <c r="AB604" s="31" t="n">
        <v>43945047570</v>
      </c>
      <c r="AC604" s="36" t="n">
        <v>0.0152384438902874</v>
      </c>
      <c r="AD604" s="29" t="inlineStr">
        <is>
          <t>yfinance_download</t>
        </is>
      </c>
      <c r="AE604" s="29" t="inlineStr">
        <is>
          <t>058470.KQ</t>
        </is>
      </c>
    </row>
    <row r="605" ht="24" customHeight="1">
      <c r="A605" s="24" t="inlineStr">
        <is>
          <t>2025-12-01</t>
        </is>
      </c>
      <c r="B605" s="30" t="n">
        <v>70100</v>
      </c>
      <c r="C605" s="30" t="n">
        <v>70300</v>
      </c>
      <c r="D605" s="30" t="n">
        <v>65900</v>
      </c>
      <c r="E605" s="30" t="n">
        <v>66600</v>
      </c>
      <c r="F605" s="30" t="n">
        <v>63329.94921875</v>
      </c>
      <c r="G605" s="30" t="n">
        <v>810603</v>
      </c>
      <c r="H605" s="35" t="n">
        <v>-0.02489019033674966</v>
      </c>
      <c r="I605" s="35" t="n">
        <v>-0.02489019033674966</v>
      </c>
      <c r="J605" s="30" t="n">
        <v>58935</v>
      </c>
      <c r="K605" s="30" t="n">
        <v>55044.16666666666</v>
      </c>
      <c r="L605" s="30" t="n">
        <v>51720.41666666666</v>
      </c>
      <c r="M605" s="35" t="n">
        <v>0.6947570902597145</v>
      </c>
      <c r="N605" s="35" t="n">
        <v>0.4771230644318201</v>
      </c>
      <c r="O605" s="35" t="n">
        <v>0.1482758620689655</v>
      </c>
      <c r="P605" s="35" t="n">
        <v>0.4399999999999999</v>
      </c>
      <c r="Q605" s="35" t="n">
        <v>0.4125132555673383</v>
      </c>
      <c r="R605" s="35" t="n">
        <v>0.1300585390684652</v>
      </c>
      <c r="S605" s="35" t="n">
        <v>0.2099374744523337</v>
      </c>
      <c r="T605" s="35" t="n">
        <v>0.2876926423317678</v>
      </c>
      <c r="U605" s="30" t="n">
        <v>68300</v>
      </c>
      <c r="V605" s="30" t="n">
        <v>30040</v>
      </c>
      <c r="W605" s="35" t="n">
        <v>-0.02489019033674966</v>
      </c>
      <c r="X605" s="35" t="n">
        <v>1.217043941411451</v>
      </c>
      <c r="Y605" s="30" t="n">
        <v>76211850</v>
      </c>
      <c r="Z605" s="30" t="n">
        <v>5075709210000</v>
      </c>
      <c r="AA605" s="30" t="n">
        <v>53986159800</v>
      </c>
      <c r="AB605" s="30" t="n">
        <v>44892949860</v>
      </c>
      <c r="AC605" s="35" t="n">
        <v>0.01063618059396275</v>
      </c>
      <c r="AD605" s="24" t="inlineStr">
        <is>
          <t>yfinance_download</t>
        </is>
      </c>
      <c r="AE605" s="24" t="inlineStr">
        <is>
          <t>058470.KQ</t>
        </is>
      </c>
    </row>
    <row r="606" ht="24" customHeight="1">
      <c r="A606" s="29" t="inlineStr">
        <is>
          <t>2025-12-02</t>
        </is>
      </c>
      <c r="B606" s="31" t="n">
        <v>67000</v>
      </c>
      <c r="C606" s="31" t="n">
        <v>67200</v>
      </c>
      <c r="D606" s="31" t="n">
        <v>64900</v>
      </c>
      <c r="E606" s="31" t="n">
        <v>65600</v>
      </c>
      <c r="F606" s="31" t="n">
        <v>62379.05078125</v>
      </c>
      <c r="G606" s="31" t="n">
        <v>480525</v>
      </c>
      <c r="H606" s="36" t="n">
        <v>-0.01501501501501501</v>
      </c>
      <c r="I606" s="36" t="n">
        <v>-0.03953147877013174</v>
      </c>
      <c r="J606" s="31" t="n">
        <v>59270</v>
      </c>
      <c r="K606" s="31" t="n">
        <v>55383.33333333334</v>
      </c>
      <c r="L606" s="31" t="n">
        <v>51864.58333333334</v>
      </c>
      <c r="M606" s="36" t="n">
        <v>0.6987192232259714</v>
      </c>
      <c r="N606" s="36" t="n">
        <v>0.4756477262495775</v>
      </c>
      <c r="O606" s="36" t="n">
        <v>0.1137521222410867</v>
      </c>
      <c r="P606" s="36" t="n">
        <v>0.4497237569060772</v>
      </c>
      <c r="Q606" s="36" t="n">
        <v>0.3581780538302277</v>
      </c>
      <c r="R606" s="36" t="n">
        <v>0.1067993926100894</v>
      </c>
      <c r="S606" s="36" t="n">
        <v>0.1844718627746011</v>
      </c>
      <c r="T606" s="36" t="n">
        <v>0.2648322956416951</v>
      </c>
      <c r="U606" s="31" t="n">
        <v>68300</v>
      </c>
      <c r="V606" s="31" t="n">
        <v>30040</v>
      </c>
      <c r="W606" s="36" t="n">
        <v>-0.03953147877013174</v>
      </c>
      <c r="X606" s="36" t="n">
        <v>1.18375499334221</v>
      </c>
      <c r="Y606" s="31" t="n">
        <v>76211850</v>
      </c>
      <c r="Z606" s="31" t="n">
        <v>4999497360000</v>
      </c>
      <c r="AA606" s="31" t="n">
        <v>31522440000</v>
      </c>
      <c r="AB606" s="31" t="n">
        <v>43849382450</v>
      </c>
      <c r="AC606" s="36" t="n">
        <v>0.006305121841288461</v>
      </c>
      <c r="AD606" s="29" t="inlineStr">
        <is>
          <t>yfinance_download</t>
        </is>
      </c>
      <c r="AE606" s="29" t="inlineStr">
        <is>
          <t>058470.KQ</t>
        </is>
      </c>
    </row>
    <row r="607" ht="24" customHeight="1">
      <c r="A607" s="24" t="inlineStr">
        <is>
          <t>2025-12-03</t>
        </is>
      </c>
      <c r="B607" s="30" t="n">
        <v>67000</v>
      </c>
      <c r="C607" s="30" t="n">
        <v>68700</v>
      </c>
      <c r="D607" s="30" t="n">
        <v>65500</v>
      </c>
      <c r="E607" s="30" t="n">
        <v>66000</v>
      </c>
      <c r="F607" s="30" t="n">
        <v>62759.41015625</v>
      </c>
      <c r="G607" s="30" t="n">
        <v>633096</v>
      </c>
      <c r="H607" s="35" t="n">
        <v>0.006097560975609762</v>
      </c>
      <c r="I607" s="35" t="n">
        <v>-0.03367496339677889</v>
      </c>
      <c r="J607" s="30" t="n">
        <v>59800</v>
      </c>
      <c r="K607" s="30" t="n">
        <v>55725.83333333334</v>
      </c>
      <c r="L607" s="30" t="n">
        <v>52014.16666666666</v>
      </c>
      <c r="M607" s="35" t="n">
        <v>0.6542659501090383</v>
      </c>
      <c r="N607" s="35" t="n">
        <v>0.4756266485206588</v>
      </c>
      <c r="O607" s="35" t="n">
        <v>0.1913357400722022</v>
      </c>
      <c r="P607" s="35" t="n">
        <v>0.4521452145214522</v>
      </c>
      <c r="Q607" s="35" t="n">
        <v>0.3735691987513008</v>
      </c>
      <c r="R607" s="35" t="n">
        <v>0.1036789297658862</v>
      </c>
      <c r="S607" s="35" t="n">
        <v>0.1843699062373825</v>
      </c>
      <c r="T607" s="35" t="n">
        <v>0.2688850793854238</v>
      </c>
      <c r="U607" s="30" t="n">
        <v>68300</v>
      </c>
      <c r="V607" s="30" t="n">
        <v>30040</v>
      </c>
      <c r="W607" s="35" t="n">
        <v>-0.03367496339677889</v>
      </c>
      <c r="X607" s="35" t="n">
        <v>1.197070572569907</v>
      </c>
      <c r="Y607" s="30" t="n">
        <v>76211850</v>
      </c>
      <c r="Z607" s="30" t="n">
        <v>5029982100000</v>
      </c>
      <c r="AA607" s="30" t="n">
        <v>41784336000</v>
      </c>
      <c r="AB607" s="30" t="n">
        <v>43293495780</v>
      </c>
      <c r="AC607" s="35" t="n">
        <v>0.008307054611585993</v>
      </c>
      <c r="AD607" s="24" t="inlineStr">
        <is>
          <t>yfinance_download</t>
        </is>
      </c>
      <c r="AE607" s="24" t="inlineStr">
        <is>
          <t>058470.KQ</t>
        </is>
      </c>
    </row>
    <row r="608" ht="24" customHeight="1">
      <c r="A608" s="29" t="inlineStr">
        <is>
          <t>2025-12-04</t>
        </is>
      </c>
      <c r="B608" s="31" t="n">
        <v>65100</v>
      </c>
      <c r="C608" s="31" t="n">
        <v>66100</v>
      </c>
      <c r="D608" s="31" t="n">
        <v>64000</v>
      </c>
      <c r="E608" s="31" t="n">
        <v>65100</v>
      </c>
      <c r="F608" s="31" t="n">
        <v>61903.59765625</v>
      </c>
      <c r="G608" s="31" t="n">
        <v>498537</v>
      </c>
      <c r="H608" s="36" t="n">
        <v>-0.01363636363636367</v>
      </c>
      <c r="I608" s="36" t="n">
        <v>-0.04685212298682284</v>
      </c>
      <c r="J608" s="31" t="n">
        <v>60175</v>
      </c>
      <c r="K608" s="31" t="n">
        <v>56048.33333333334</v>
      </c>
      <c r="L608" s="31" t="n">
        <v>52142.91666666666</v>
      </c>
      <c r="M608" s="36" t="n">
        <v>0.6490648112891048</v>
      </c>
      <c r="N608" s="36" t="n">
        <v>0.4774443017696585</v>
      </c>
      <c r="O608" s="36" t="n">
        <v>0.1302083333333333</v>
      </c>
      <c r="P608" s="36" t="n">
        <v>0.4229508196721312</v>
      </c>
      <c r="Q608" s="36" t="n">
        <v>0.3111782477341389</v>
      </c>
      <c r="R608" s="36" t="n">
        <v>0.08184461985874525</v>
      </c>
      <c r="S608" s="36" t="n">
        <v>0.1614975170239972</v>
      </c>
      <c r="T608" s="36" t="n">
        <v>0.2484917254660668</v>
      </c>
      <c r="U608" s="31" t="n">
        <v>68300</v>
      </c>
      <c r="V608" s="31" t="n">
        <v>30040</v>
      </c>
      <c r="W608" s="36" t="n">
        <v>-0.04685212298682284</v>
      </c>
      <c r="X608" s="36" t="n">
        <v>1.16711051930759</v>
      </c>
      <c r="Y608" s="31" t="n">
        <v>76211850</v>
      </c>
      <c r="Z608" s="31" t="n">
        <v>4961391435000</v>
      </c>
      <c r="AA608" s="31" t="n">
        <v>32454758700</v>
      </c>
      <c r="AB608" s="31" t="n">
        <v>43289393715</v>
      </c>
      <c r="AC608" s="36" t="n">
        <v>0.006541463040196505</v>
      </c>
      <c r="AD608" s="29" t="inlineStr">
        <is>
          <t>yfinance_download</t>
        </is>
      </c>
      <c r="AE608" s="29" t="inlineStr">
        <is>
          <t>058470.KQ</t>
        </is>
      </c>
    </row>
    <row r="609" ht="24" customHeight="1">
      <c r="A609" s="24" t="inlineStr">
        <is>
          <t>2025-12-05</t>
        </is>
      </c>
      <c r="B609" s="30" t="n">
        <v>64700</v>
      </c>
      <c r="C609" s="30" t="n">
        <v>65700</v>
      </c>
      <c r="D609" s="30" t="n">
        <v>64200</v>
      </c>
      <c r="E609" s="30" t="n">
        <v>65400</v>
      </c>
      <c r="F609" s="30" t="n">
        <v>62188.8671875</v>
      </c>
      <c r="G609" s="30" t="n">
        <v>298890</v>
      </c>
      <c r="H609" s="35" t="n">
        <v>0.004608294930875667</v>
      </c>
      <c r="I609" s="35" t="n">
        <v>-0.04245973645680823</v>
      </c>
      <c r="J609" s="30" t="n">
        <v>60700</v>
      </c>
      <c r="K609" s="30" t="n">
        <v>56368.33333333334</v>
      </c>
      <c r="L609" s="30" t="n">
        <v>52279.58333333334</v>
      </c>
      <c r="M609" s="35" t="n">
        <v>0.6174341836952381</v>
      </c>
      <c r="N609" s="35" t="n">
        <v>0.4774007483067584</v>
      </c>
      <c r="O609" s="35" t="n">
        <v>0.1912568306010929</v>
      </c>
      <c r="P609" s="35" t="n">
        <v>0.4155844155844155</v>
      </c>
      <c r="Q609" s="35" t="n">
        <v>0.3346938775510204</v>
      </c>
      <c r="R609" s="35" t="n">
        <v>0.07742998352553543</v>
      </c>
      <c r="S609" s="35" t="n">
        <v>0.1602258951538984</v>
      </c>
      <c r="T609" s="35" t="n">
        <v>0.2509663587601916</v>
      </c>
      <c r="U609" s="30" t="n">
        <v>68300</v>
      </c>
      <c r="V609" s="30" t="n">
        <v>30040</v>
      </c>
      <c r="W609" s="35" t="n">
        <v>-0.04245973645680823</v>
      </c>
      <c r="X609" s="35" t="n">
        <v>1.177097203728362</v>
      </c>
      <c r="Y609" s="30" t="n">
        <v>76211850</v>
      </c>
      <c r="Z609" s="30" t="n">
        <v>4984254990000</v>
      </c>
      <c r="AA609" s="30" t="n">
        <v>19547406000</v>
      </c>
      <c r="AB609" s="30" t="n">
        <v>42819009840</v>
      </c>
      <c r="AC609" s="35" t="n">
        <v>0.00392183105383218</v>
      </c>
      <c r="AD609" s="24" t="inlineStr">
        <is>
          <t>yfinance_download</t>
        </is>
      </c>
      <c r="AE609" s="24" t="inlineStr">
        <is>
          <t>058470.KQ</t>
        </is>
      </c>
    </row>
    <row r="610" ht="24" customHeight="1">
      <c r="A610" s="29" t="inlineStr">
        <is>
          <t>2025-12-08</t>
        </is>
      </c>
      <c r="B610" s="31" t="n">
        <v>65500</v>
      </c>
      <c r="C610" s="31" t="n">
        <v>66000</v>
      </c>
      <c r="D610" s="31" t="n">
        <v>64600</v>
      </c>
      <c r="E610" s="31" t="n">
        <v>65200</v>
      </c>
      <c r="F610" s="31" t="n">
        <v>61998.6875</v>
      </c>
      <c r="G610" s="31" t="n">
        <v>314465</v>
      </c>
      <c r="H610" s="36" t="n">
        <v>-0.003058103975535187</v>
      </c>
      <c r="I610" s="36" t="n">
        <v>-0.0453879941434846</v>
      </c>
      <c r="J610" s="31" t="n">
        <v>61115</v>
      </c>
      <c r="K610" s="31" t="n">
        <v>56639.16666666666</v>
      </c>
      <c r="L610" s="31" t="n">
        <v>52424.16666666666</v>
      </c>
      <c r="M610" s="36" t="n">
        <v>0.6104514066808027</v>
      </c>
      <c r="N610" s="36" t="n">
        <v>0.4646281106889292</v>
      </c>
      <c r="O610" s="36" t="n">
        <v>0.1458699472759226</v>
      </c>
      <c r="P610" s="36" t="n">
        <v>0.3319713993871298</v>
      </c>
      <c r="Q610" s="36" t="n">
        <v>0.3625914315569487</v>
      </c>
      <c r="R610" s="36" t="n">
        <v>0.06684120101448099</v>
      </c>
      <c r="S610" s="36" t="n">
        <v>0.1511468801035798</v>
      </c>
      <c r="T610" s="36" t="n">
        <v>0.2437012192214152</v>
      </c>
      <c r="U610" s="31" t="n">
        <v>68300</v>
      </c>
      <c r="V610" s="31" t="n">
        <v>30040</v>
      </c>
      <c r="W610" s="36" t="n">
        <v>-0.0453879941434846</v>
      </c>
      <c r="X610" s="36" t="n">
        <v>1.170439414114514</v>
      </c>
      <c r="Y610" s="31" t="n">
        <v>76211850</v>
      </c>
      <c r="Z610" s="31" t="n">
        <v>4969012620000</v>
      </c>
      <c r="AA610" s="31" t="n">
        <v>20503118000</v>
      </c>
      <c r="AB610" s="31" t="n">
        <v>42647831860</v>
      </c>
      <c r="AC610" s="36" t="n">
        <v>0.004126195598191095</v>
      </c>
      <c r="AD610" s="29" t="inlineStr">
        <is>
          <t>yfinance_download</t>
        </is>
      </c>
      <c r="AE610" s="29" t="inlineStr">
        <is>
          <t>058470.KQ</t>
        </is>
      </c>
    </row>
    <row r="611" ht="24" customHeight="1">
      <c r="A611" s="24" t="inlineStr">
        <is>
          <t>2025-12-09</t>
        </is>
      </c>
      <c r="B611" s="30" t="n">
        <v>65200</v>
      </c>
      <c r="C611" s="30" t="n">
        <v>65400</v>
      </c>
      <c r="D611" s="30" t="n">
        <v>64500</v>
      </c>
      <c r="E611" s="30" t="n">
        <v>65300</v>
      </c>
      <c r="F611" s="30" t="n">
        <v>62093.77734375</v>
      </c>
      <c r="G611" s="30" t="n">
        <v>250657</v>
      </c>
      <c r="H611" s="35" t="n">
        <v>0.001533742331288446</v>
      </c>
      <c r="I611" s="35" t="n">
        <v>-0.04392386530014636</v>
      </c>
      <c r="J611" s="30" t="n">
        <v>61525</v>
      </c>
      <c r="K611" s="30" t="n">
        <v>56905</v>
      </c>
      <c r="L611" s="30" t="n">
        <v>52566.66666666666</v>
      </c>
      <c r="M611" s="35" t="n">
        <v>0.6106639835304396</v>
      </c>
      <c r="N611" s="35" t="n">
        <v>0.4646461940251892</v>
      </c>
      <c r="O611" s="35" t="n">
        <v>0.1436077057793346</v>
      </c>
      <c r="P611" s="35" t="n">
        <v>0.3232016210739614</v>
      </c>
      <c r="Q611" s="35" t="n">
        <v>0.3547717842323652</v>
      </c>
      <c r="R611" s="35" t="n">
        <v>0.06135717188134904</v>
      </c>
      <c r="S611" s="35" t="n">
        <v>0.1475265793866971</v>
      </c>
      <c r="T611" s="35" t="n">
        <v>0.2422320862396956</v>
      </c>
      <c r="U611" s="30" t="n">
        <v>68300</v>
      </c>
      <c r="V611" s="30" t="n">
        <v>30040</v>
      </c>
      <c r="W611" s="35" t="n">
        <v>-0.04392386530014636</v>
      </c>
      <c r="X611" s="35" t="n">
        <v>1.173768308921438</v>
      </c>
      <c r="Y611" s="30" t="n">
        <v>76211850</v>
      </c>
      <c r="Z611" s="30" t="n">
        <v>4976633805000</v>
      </c>
      <c r="AA611" s="30" t="n">
        <v>16367902100</v>
      </c>
      <c r="AB611" s="30" t="n">
        <v>42477974425</v>
      </c>
      <c r="AC611" s="35" t="n">
        <v>0.00328895047161301</v>
      </c>
      <c r="AD611" s="24" t="inlineStr">
        <is>
          <t>yfinance_download</t>
        </is>
      </c>
      <c r="AE611" s="24" t="inlineStr">
        <is>
          <t>058470.KQ</t>
        </is>
      </c>
    </row>
    <row r="612" ht="24" customHeight="1">
      <c r="A612" s="29" t="inlineStr">
        <is>
          <t>2025-12-10</t>
        </is>
      </c>
      <c r="B612" s="31" t="n">
        <v>64800</v>
      </c>
      <c r="C612" s="31" t="n">
        <v>65700</v>
      </c>
      <c r="D612" s="31" t="n">
        <v>63500</v>
      </c>
      <c r="E612" s="31" t="n">
        <v>63800</v>
      </c>
      <c r="F612" s="31" t="n">
        <v>60667.4296875</v>
      </c>
      <c r="G612" s="31" t="n">
        <v>314651</v>
      </c>
      <c r="H612" s="36" t="n">
        <v>-0.02297090352220521</v>
      </c>
      <c r="I612" s="36" t="n">
        <v>-0.06588579795021965</v>
      </c>
      <c r="J612" s="31" t="n">
        <v>61870</v>
      </c>
      <c r="K612" s="31" t="n">
        <v>57143.33333333334</v>
      </c>
      <c r="L612" s="31" t="n">
        <v>52695</v>
      </c>
      <c r="M612" s="36" t="n">
        <v>0.6191314326709584</v>
      </c>
      <c r="N612" s="36" t="n">
        <v>0.4681815732873787</v>
      </c>
      <c r="O612" s="36" t="n">
        <v>0.1212653778558874</v>
      </c>
      <c r="P612" s="36" t="n">
        <v>0.288888888888889</v>
      </c>
      <c r="Q612" s="36" t="n">
        <v>0.3181818181818181</v>
      </c>
      <c r="R612" s="36" t="n">
        <v>0.03119443995474391</v>
      </c>
      <c r="S612" s="36" t="n">
        <v>0.1164906959108674</v>
      </c>
      <c r="T612" s="36" t="n">
        <v>0.2107410570262833</v>
      </c>
      <c r="U612" s="31" t="n">
        <v>68300</v>
      </c>
      <c r="V612" s="31" t="n">
        <v>30040</v>
      </c>
      <c r="W612" s="36" t="n">
        <v>-0.06588579795021965</v>
      </c>
      <c r="X612" s="36" t="n">
        <v>1.123834886817577</v>
      </c>
      <c r="Y612" s="31" t="n">
        <v>76211850</v>
      </c>
      <c r="Z612" s="31" t="n">
        <v>4862316030000</v>
      </c>
      <c r="AA612" s="31" t="n">
        <v>20074733800</v>
      </c>
      <c r="AB612" s="31" t="n">
        <v>42538843975</v>
      </c>
      <c r="AC612" s="36" t="n">
        <v>0.004128636163536248</v>
      </c>
      <c r="AD612" s="29" t="inlineStr">
        <is>
          <t>yfinance_download</t>
        </is>
      </c>
      <c r="AE612" s="29" t="inlineStr">
        <is>
          <t>058470.KQ</t>
        </is>
      </c>
    </row>
    <row r="613" ht="24" customHeight="1">
      <c r="A613" s="24" t="inlineStr">
        <is>
          <t>2025-12-11</t>
        </is>
      </c>
      <c r="B613" s="30" t="n">
        <v>64300</v>
      </c>
      <c r="C613" s="30" t="n">
        <v>65200</v>
      </c>
      <c r="D613" s="30" t="n">
        <v>63900</v>
      </c>
      <c r="E613" s="30" t="n">
        <v>64500</v>
      </c>
      <c r="F613" s="30" t="n">
        <v>61333.05859375</v>
      </c>
      <c r="G613" s="30" t="n">
        <v>511424</v>
      </c>
      <c r="H613" s="35" t="n">
        <v>0.01097178683385569</v>
      </c>
      <c r="I613" s="35" t="n">
        <v>-0.05563689604685207</v>
      </c>
      <c r="J613" s="30" t="n">
        <v>62285</v>
      </c>
      <c r="K613" s="30" t="n">
        <v>57390</v>
      </c>
      <c r="L613" s="30" t="n">
        <v>52814.16666666666</v>
      </c>
      <c r="M613" s="35" t="n">
        <v>0.6152864813255789</v>
      </c>
      <c r="N613" s="35" t="n">
        <v>0.4683578458581694</v>
      </c>
      <c r="O613" s="35" t="n">
        <v>0.1476868327402134</v>
      </c>
      <c r="P613" s="35" t="n">
        <v>0.2977867203219315</v>
      </c>
      <c r="Q613" s="35" t="n">
        <v>0.2848605577689243</v>
      </c>
      <c r="R613" s="35" t="n">
        <v>0.03556233443044077</v>
      </c>
      <c r="S613" s="35" t="n">
        <v>0.1238891792995296</v>
      </c>
      <c r="T613" s="35" t="n">
        <v>0.2212632342963536</v>
      </c>
      <c r="U613" s="30" t="n">
        <v>68300</v>
      </c>
      <c r="V613" s="30" t="n">
        <v>30040</v>
      </c>
      <c r="W613" s="35" t="n">
        <v>-0.05563689604685207</v>
      </c>
      <c r="X613" s="35" t="n">
        <v>1.147137150466045</v>
      </c>
      <c r="Y613" s="30" t="n">
        <v>76211850</v>
      </c>
      <c r="Z613" s="30" t="n">
        <v>4915664325000</v>
      </c>
      <c r="AA613" s="30" t="n">
        <v>32986848000</v>
      </c>
      <c r="AB613" s="30" t="n">
        <v>43050996235</v>
      </c>
      <c r="AC613" s="35" t="n">
        <v>0.006710557478922241</v>
      </c>
      <c r="AD613" s="24" t="inlineStr">
        <is>
          <t>yfinance_download</t>
        </is>
      </c>
      <c r="AE613" s="24" t="inlineStr">
        <is>
          <t>058470.KQ</t>
        </is>
      </c>
    </row>
    <row r="614" ht="24" customHeight="1">
      <c r="A614" s="29" t="inlineStr">
        <is>
          <t>2025-12-12</t>
        </is>
      </c>
      <c r="B614" s="31" t="n">
        <v>64000</v>
      </c>
      <c r="C614" s="31" t="n">
        <v>64500</v>
      </c>
      <c r="D614" s="31" t="n">
        <v>62200</v>
      </c>
      <c r="E614" s="31" t="n">
        <v>63600</v>
      </c>
      <c r="F614" s="31" t="n">
        <v>60477.25</v>
      </c>
      <c r="G614" s="31" t="n">
        <v>852674</v>
      </c>
      <c r="H614" s="36" t="n">
        <v>-0.01395348837209298</v>
      </c>
      <c r="I614" s="36" t="n">
        <v>-0.06881405563689602</v>
      </c>
      <c r="J614" s="31" t="n">
        <v>62640</v>
      </c>
      <c r="K614" s="31" t="n">
        <v>57632.5</v>
      </c>
      <c r="L614" s="31" t="n">
        <v>52922.5</v>
      </c>
      <c r="M614" s="36" t="n">
        <v>0.6200213693132194</v>
      </c>
      <c r="N614" s="36" t="n">
        <v>0.4685037276269712</v>
      </c>
      <c r="O614" s="36" t="n">
        <v>0.1256637168141592</v>
      </c>
      <c r="P614" s="36" t="n">
        <v>0.2966360856269112</v>
      </c>
      <c r="Q614" s="36" t="n">
        <v>0.2569169960474309</v>
      </c>
      <c r="R614" s="36" t="n">
        <v>0.0153256704980842</v>
      </c>
      <c r="S614" s="36" t="n">
        <v>0.1035440072875549</v>
      </c>
      <c r="T614" s="36" t="n">
        <v>0.2017572865983277</v>
      </c>
      <c r="U614" s="31" t="n">
        <v>68300</v>
      </c>
      <c r="V614" s="31" t="n">
        <v>30040</v>
      </c>
      <c r="W614" s="36" t="n">
        <v>-0.06881405563689602</v>
      </c>
      <c r="X614" s="36" t="n">
        <v>1.117177097203728</v>
      </c>
      <c r="Y614" s="31" t="n">
        <v>76211850</v>
      </c>
      <c r="Z614" s="31" t="n">
        <v>4847073660000</v>
      </c>
      <c r="AA614" s="31" t="n">
        <v>54230066400</v>
      </c>
      <c r="AB614" s="31" t="n">
        <v>43373196480</v>
      </c>
      <c r="AC614" s="36" t="n">
        <v>0.01118820760813443</v>
      </c>
      <c r="AD614" s="29" t="inlineStr">
        <is>
          <t>yfinance_download</t>
        </is>
      </c>
      <c r="AE614" s="29" t="inlineStr">
        <is>
          <t>058470.KQ</t>
        </is>
      </c>
    </row>
    <row r="615" ht="24" customHeight="1">
      <c r="A615" s="24" t="inlineStr">
        <is>
          <t>2025-12-15</t>
        </is>
      </c>
      <c r="B615" s="30" t="n">
        <v>61700</v>
      </c>
      <c r="C615" s="30" t="n">
        <v>62500</v>
      </c>
      <c r="D615" s="30" t="n">
        <v>60800</v>
      </c>
      <c r="E615" s="30" t="n">
        <v>61600</v>
      </c>
      <c r="F615" s="30" t="n">
        <v>58575.44921875</v>
      </c>
      <c r="G615" s="30" t="n">
        <v>433857</v>
      </c>
      <c r="H615" s="35" t="n">
        <v>-0.03144654088050314</v>
      </c>
      <c r="I615" s="35" t="n">
        <v>-0.0980966325036603</v>
      </c>
      <c r="J615" s="30" t="n">
        <v>62765</v>
      </c>
      <c r="K615" s="30" t="n">
        <v>57824.16666666666</v>
      </c>
      <c r="L615" s="30" t="n">
        <v>53005.83333333334</v>
      </c>
      <c r="M615" s="35" t="n">
        <v>0.6157273906644457</v>
      </c>
      <c r="N615" s="35" t="n">
        <v>0.4729830404576608</v>
      </c>
      <c r="O615" s="35" t="n">
        <v>0.04230118443316422</v>
      </c>
      <c r="P615" s="35" t="n">
        <v>0.2295409181636727</v>
      </c>
      <c r="Q615" s="35" t="n">
        <v>0.193798449612403</v>
      </c>
      <c r="R615" s="35" t="n">
        <v>-0.01856130008762846</v>
      </c>
      <c r="S615" s="35" t="n">
        <v>0.06529853434982491</v>
      </c>
      <c r="T615" s="35" t="n">
        <v>0.1621362428663511</v>
      </c>
      <c r="U615" s="30" t="n">
        <v>68300</v>
      </c>
      <c r="V615" s="30" t="n">
        <v>30280</v>
      </c>
      <c r="W615" s="35" t="n">
        <v>-0.0980966325036603</v>
      </c>
      <c r="X615" s="35" t="n">
        <v>1.034346103038309</v>
      </c>
      <c r="Y615" s="30" t="n">
        <v>76211850</v>
      </c>
      <c r="Z615" s="30" t="n">
        <v>4694649960000</v>
      </c>
      <c r="AA615" s="30" t="n">
        <v>26725591200</v>
      </c>
      <c r="AB615" s="30" t="n">
        <v>43313152845</v>
      </c>
      <c r="AC615" s="35" t="n">
        <v>0.005692776123398133</v>
      </c>
      <c r="AD615" s="24" t="inlineStr">
        <is>
          <t>yfinance_download</t>
        </is>
      </c>
      <c r="AE615" s="24" t="inlineStr">
        <is>
          <t>058470.KQ</t>
        </is>
      </c>
    </row>
    <row r="616" ht="24" customHeight="1">
      <c r="A616" s="29" t="inlineStr">
        <is>
          <t>2025-12-16</t>
        </is>
      </c>
      <c r="B616" s="31" t="n">
        <v>61100</v>
      </c>
      <c r="C616" s="31" t="n">
        <v>61600</v>
      </c>
      <c r="D616" s="31" t="n">
        <v>59000</v>
      </c>
      <c r="E616" s="31" t="n">
        <v>59300</v>
      </c>
      <c r="F616" s="31" t="n">
        <v>56388.37890625</v>
      </c>
      <c r="G616" s="31" t="n">
        <v>521427</v>
      </c>
      <c r="H616" s="36" t="n">
        <v>-0.03733766233766234</v>
      </c>
      <c r="I616" s="36" t="n">
        <v>-0.1317715959004392</v>
      </c>
      <c r="J616" s="31" t="n">
        <v>62885</v>
      </c>
      <c r="K616" s="31" t="n">
        <v>57960.83333333334</v>
      </c>
      <c r="L616" s="31" t="n">
        <v>53080</v>
      </c>
      <c r="M616" s="36" t="n">
        <v>0.615824528878662</v>
      </c>
      <c r="N616" s="36" t="n">
        <v>0.4791985812297984</v>
      </c>
      <c r="O616" s="36" t="n">
        <v>0.04217926186291732</v>
      </c>
      <c r="P616" s="36" t="n">
        <v>0.1604696673189825</v>
      </c>
      <c r="Q616" s="36" t="n">
        <v>0.1765873015873016</v>
      </c>
      <c r="R616" s="36" t="n">
        <v>-0.05700882563409393</v>
      </c>
      <c r="S616" s="36" t="n">
        <v>0.02310468275990973</v>
      </c>
      <c r="T616" s="36" t="n">
        <v>0.1171816126601357</v>
      </c>
      <c r="U616" s="31" t="n">
        <v>68300</v>
      </c>
      <c r="V616" s="31" t="n">
        <v>30280</v>
      </c>
      <c r="W616" s="36" t="n">
        <v>-0.1317715959004392</v>
      </c>
      <c r="X616" s="36" t="n">
        <v>0.9583883751651254</v>
      </c>
      <c r="Y616" s="31" t="n">
        <v>76211850</v>
      </c>
      <c r="Z616" s="31" t="n">
        <v>4519362705000</v>
      </c>
      <c r="AA616" s="31" t="n">
        <v>30920621100</v>
      </c>
      <c r="AB616" s="31" t="n">
        <v>43281776495</v>
      </c>
      <c r="AC616" s="36" t="n">
        <v>0.006841810033479045</v>
      </c>
      <c r="AD616" s="29" t="inlineStr">
        <is>
          <t>yfinance_download</t>
        </is>
      </c>
      <c r="AE616" s="29" t="inlineStr">
        <is>
          <t>058470.KQ</t>
        </is>
      </c>
    </row>
    <row r="617" ht="24" customHeight="1">
      <c r="A617" s="24" t="inlineStr">
        <is>
          <t>2025-12-17</t>
        </is>
      </c>
      <c r="B617" s="30" t="n">
        <v>59700</v>
      </c>
      <c r="C617" s="30" t="n">
        <v>61000</v>
      </c>
      <c r="D617" s="30" t="n">
        <v>59150</v>
      </c>
      <c r="E617" s="30" t="n">
        <v>60300</v>
      </c>
      <c r="F617" s="30" t="n">
        <v>57339.27734375</v>
      </c>
      <c r="G617" s="30" t="n">
        <v>327770</v>
      </c>
      <c r="H617" s="35" t="n">
        <v>0.01686340640809436</v>
      </c>
      <c r="I617" s="35" t="n">
        <v>-0.1171303074670571</v>
      </c>
      <c r="J617" s="30" t="n">
        <v>63095</v>
      </c>
      <c r="K617" s="30" t="n">
        <v>58155.83333333334</v>
      </c>
      <c r="L617" s="30" t="n">
        <v>53157.5</v>
      </c>
      <c r="M617" s="35" t="n">
        <v>0.6144028011125988</v>
      </c>
      <c r="N617" s="35" t="n">
        <v>0.4676223438420274</v>
      </c>
      <c r="O617" s="35" t="n">
        <v>0.07486631016042788</v>
      </c>
      <c r="P617" s="35" t="n">
        <v>0.2407407407407407</v>
      </c>
      <c r="Q617" s="35" t="n">
        <v>0.1823529411764706</v>
      </c>
      <c r="R617" s="35" t="n">
        <v>-0.04429828037086936</v>
      </c>
      <c r="S617" s="35" t="n">
        <v>0.03686933096421963</v>
      </c>
      <c r="T617" s="35" t="n">
        <v>0.1343648591449937</v>
      </c>
      <c r="U617" s="30" t="n">
        <v>68300</v>
      </c>
      <c r="V617" s="30" t="n">
        <v>30460</v>
      </c>
      <c r="W617" s="35" t="n">
        <v>-0.1171303074670571</v>
      </c>
      <c r="X617" s="35" t="n">
        <v>0.9796454366382141</v>
      </c>
      <c r="Y617" s="30" t="n">
        <v>76211850</v>
      </c>
      <c r="Z617" s="30" t="n">
        <v>4595574555000</v>
      </c>
      <c r="AA617" s="30" t="n">
        <v>19764531000</v>
      </c>
      <c r="AB617" s="30" t="n">
        <v>43121756660</v>
      </c>
      <c r="AC617" s="35" t="n">
        <v>0.004300774748283895</v>
      </c>
      <c r="AD617" s="24" t="inlineStr">
        <is>
          <t>yfinance_download</t>
        </is>
      </c>
      <c r="AE617" s="24" t="inlineStr">
        <is>
          <t>058470.KQ</t>
        </is>
      </c>
    </row>
    <row r="618" ht="24" customHeight="1">
      <c r="A618" s="29" t="inlineStr">
        <is>
          <t>2025-12-18</t>
        </is>
      </c>
      <c r="B618" s="31" t="n">
        <v>59400</v>
      </c>
      <c r="C618" s="31" t="n">
        <v>61400</v>
      </c>
      <c r="D618" s="31" t="n">
        <v>59100</v>
      </c>
      <c r="E618" s="31" t="n">
        <v>60000</v>
      </c>
      <c r="F618" s="31" t="n">
        <v>57054.0078125</v>
      </c>
      <c r="G618" s="31" t="n">
        <v>332223</v>
      </c>
      <c r="H618" s="36" t="n">
        <v>-0.00497512437810943</v>
      </c>
      <c r="I618" s="36" t="n">
        <v>-0.1215226939970717</v>
      </c>
      <c r="J618" s="31" t="n">
        <v>63190</v>
      </c>
      <c r="K618" s="31" t="n">
        <v>58335</v>
      </c>
      <c r="L618" s="31" t="n">
        <v>53225</v>
      </c>
      <c r="M618" s="36" t="n">
        <v>0.6037459494340701</v>
      </c>
      <c r="N618" s="36" t="n">
        <v>0.4675668900837072</v>
      </c>
      <c r="O618" s="36" t="n">
        <v>0.03270223752151469</v>
      </c>
      <c r="P618" s="36" t="n">
        <v>0.218274111675127</v>
      </c>
      <c r="Q618" s="36" t="n">
        <v>0.1560693641618498</v>
      </c>
      <c r="R618" s="36" t="n">
        <v>-0.05048267130875139</v>
      </c>
      <c r="S618" s="36" t="n">
        <v>0.02854204165595275</v>
      </c>
      <c r="T618" s="36" t="n">
        <v>0.1272898074213247</v>
      </c>
      <c r="U618" s="31" t="n">
        <v>68300</v>
      </c>
      <c r="V618" s="31" t="n">
        <v>30620</v>
      </c>
      <c r="W618" s="36" t="n">
        <v>-0.1215226939970717</v>
      </c>
      <c r="X618" s="36" t="n">
        <v>0.9595035924232527</v>
      </c>
      <c r="Y618" s="31" t="n">
        <v>76211850</v>
      </c>
      <c r="Z618" s="31" t="n">
        <v>4572711000000</v>
      </c>
      <c r="AA618" s="31" t="n">
        <v>19933380000</v>
      </c>
      <c r="AB618" s="31" t="n">
        <v>43007338690</v>
      </c>
      <c r="AC618" s="36" t="n">
        <v>0.004359203982057908</v>
      </c>
      <c r="AD618" s="29" t="inlineStr">
        <is>
          <t>yfinance_download</t>
        </is>
      </c>
      <c r="AE618" s="29" t="inlineStr">
        <is>
          <t>058470.KQ</t>
        </is>
      </c>
    </row>
    <row r="619" ht="24" customHeight="1">
      <c r="A619" s="24" t="inlineStr">
        <is>
          <t>2025-12-19</t>
        </is>
      </c>
      <c r="B619" s="30" t="n">
        <v>61800</v>
      </c>
      <c r="C619" s="30" t="n">
        <v>61800</v>
      </c>
      <c r="D619" s="30" t="n">
        <v>59200</v>
      </c>
      <c r="E619" s="30" t="n">
        <v>59500</v>
      </c>
      <c r="F619" s="30" t="n">
        <v>56578.55859375</v>
      </c>
      <c r="G619" s="30" t="n">
        <v>295662</v>
      </c>
      <c r="H619" s="35" t="n">
        <v>-0.008333333333333304</v>
      </c>
      <c r="I619" s="35" t="n">
        <v>-0.1288433382137628</v>
      </c>
      <c r="J619" s="30" t="n">
        <v>63445</v>
      </c>
      <c r="K619" s="30" t="n">
        <v>58485</v>
      </c>
      <c r="L619" s="30" t="n">
        <v>53300.83333333334</v>
      </c>
      <c r="M619" s="35" t="n">
        <v>0.5534143695279082</v>
      </c>
      <c r="N619" s="35" t="n">
        <v>0.4659970564727705</v>
      </c>
      <c r="O619" s="35" t="n">
        <v>0.09375</v>
      </c>
      <c r="P619" s="35" t="n">
        <v>0.1782178217821782</v>
      </c>
      <c r="Q619" s="35" t="n">
        <v>0.1805555555555556</v>
      </c>
      <c r="R619" s="35" t="n">
        <v>-0.06217984080699823</v>
      </c>
      <c r="S619" s="35" t="n">
        <v>0.01735487731897067</v>
      </c>
      <c r="T619" s="35" t="n">
        <v>0.1163052485108111</v>
      </c>
      <c r="U619" s="30" t="n">
        <v>68300</v>
      </c>
      <c r="V619" s="30" t="n">
        <v>30620</v>
      </c>
      <c r="W619" s="35" t="n">
        <v>-0.1288433382137628</v>
      </c>
      <c r="X619" s="35" t="n">
        <v>0.9431743958197256</v>
      </c>
      <c r="Y619" s="30" t="n">
        <v>76211850</v>
      </c>
      <c r="Z619" s="30" t="n">
        <v>4534605075000</v>
      </c>
      <c r="AA619" s="30" t="n">
        <v>17591889000</v>
      </c>
      <c r="AB619" s="30" t="n">
        <v>42497845460</v>
      </c>
      <c r="AC619" s="35" t="n">
        <v>0.003879475435906621</v>
      </c>
      <c r="AD619" s="24" t="inlineStr">
        <is>
          <t>yfinance_download</t>
        </is>
      </c>
      <c r="AE619" s="24" t="inlineStr">
        <is>
          <t>058470.KQ</t>
        </is>
      </c>
    </row>
    <row r="620" ht="24" customHeight="1">
      <c r="A620" s="29" t="inlineStr">
        <is>
          <t>2025-12-22</t>
        </is>
      </c>
      <c r="B620" s="31" t="n">
        <v>61300</v>
      </c>
      <c r="C620" s="31" t="n">
        <v>61700</v>
      </c>
      <c r="D620" s="31" t="n">
        <v>60000</v>
      </c>
      <c r="E620" s="31" t="n">
        <v>61400</v>
      </c>
      <c r="F620" s="31" t="n">
        <v>58385.26953125</v>
      </c>
      <c r="G620" s="31" t="n">
        <v>357271</v>
      </c>
      <c r="H620" s="36" t="n">
        <v>0.03193277310924381</v>
      </c>
      <c r="I620" s="36" t="n">
        <v>-0.1010248901903368</v>
      </c>
      <c r="J620" s="31" t="n">
        <v>63695</v>
      </c>
      <c r="K620" s="31" t="n">
        <v>58625</v>
      </c>
      <c r="L620" s="31" t="n">
        <v>53390</v>
      </c>
      <c r="M620" s="36" t="n">
        <v>0.5499961950065313</v>
      </c>
      <c r="N620" s="36" t="n">
        <v>0.4598831254079083</v>
      </c>
      <c r="O620" s="36" t="n">
        <v>0.08865248226950362</v>
      </c>
      <c r="P620" s="36" t="n">
        <v>0.1584905660377358</v>
      </c>
      <c r="Q620" s="36" t="n">
        <v>0.2110453648915187</v>
      </c>
      <c r="R620" s="36" t="n">
        <v>-0.03603108564251511</v>
      </c>
      <c r="S620" s="36" t="n">
        <v>0.04733475479744143</v>
      </c>
      <c r="T620" s="36" t="n">
        <v>0.1500280951489044</v>
      </c>
      <c r="U620" s="31" t="n">
        <v>68300</v>
      </c>
      <c r="V620" s="31" t="n">
        <v>30620</v>
      </c>
      <c r="W620" s="36" t="n">
        <v>-0.1010248901903368</v>
      </c>
      <c r="X620" s="36" t="n">
        <v>1.005225342913129</v>
      </c>
      <c r="Y620" s="31" t="n">
        <v>76211850</v>
      </c>
      <c r="Z620" s="31" t="n">
        <v>4679407590000</v>
      </c>
      <c r="AA620" s="31" t="n">
        <v>21936439400</v>
      </c>
      <c r="AB620" s="31" t="n">
        <v>42448292310</v>
      </c>
      <c r="AC620" s="36" t="n">
        <v>0.004687866781871848</v>
      </c>
      <c r="AD620" s="29" t="inlineStr">
        <is>
          <t>yfinance_download</t>
        </is>
      </c>
      <c r="AE620" s="29" t="inlineStr">
        <is>
          <t>058470.KQ</t>
        </is>
      </c>
    </row>
    <row r="621" ht="24" customHeight="1">
      <c r="A621" s="24" t="inlineStr">
        <is>
          <t>2025-12-23</t>
        </is>
      </c>
      <c r="B621" s="30" t="n">
        <v>62000</v>
      </c>
      <c r="C621" s="30" t="n">
        <v>62400</v>
      </c>
      <c r="D621" s="30" t="n">
        <v>61100</v>
      </c>
      <c r="E621" s="30" t="n">
        <v>61400</v>
      </c>
      <c r="F621" s="30" t="n">
        <v>58385.26953125</v>
      </c>
      <c r="G621" s="30" t="n">
        <v>260399</v>
      </c>
      <c r="H621" s="35" t="n">
        <v>0</v>
      </c>
      <c r="I621" s="35" t="n">
        <v>-0.1010248901903368</v>
      </c>
      <c r="J621" s="30" t="n">
        <v>63610</v>
      </c>
      <c r="K621" s="30" t="n">
        <v>58776.66666666666</v>
      </c>
      <c r="L621" s="30" t="n">
        <v>53477.5</v>
      </c>
      <c r="M621" s="35" t="n">
        <v>0.3479908489285002</v>
      </c>
      <c r="N621" s="35" t="n">
        <v>0.4587070989034906</v>
      </c>
      <c r="O621" s="35" t="n">
        <v>-0.02694136291600635</v>
      </c>
      <c r="P621" s="35" t="n">
        <v>0.1739961759082218</v>
      </c>
      <c r="Q621" s="35" t="n">
        <v>0.2062868369351669</v>
      </c>
      <c r="R621" s="35" t="n">
        <v>-0.03474296494261908</v>
      </c>
      <c r="S621" s="35" t="n">
        <v>0.04463222367152508</v>
      </c>
      <c r="T621" s="35" t="n">
        <v>0.148146416717311</v>
      </c>
      <c r="U621" s="30" t="n">
        <v>68300</v>
      </c>
      <c r="V621" s="30" t="n">
        <v>30620</v>
      </c>
      <c r="W621" s="35" t="n">
        <v>-0.1010248901903368</v>
      </c>
      <c r="X621" s="35" t="n">
        <v>1.005225342913129</v>
      </c>
      <c r="Y621" s="30" t="n">
        <v>76211850</v>
      </c>
      <c r="Z621" s="30" t="n">
        <v>4679407590000</v>
      </c>
      <c r="AA621" s="30" t="n">
        <v>15988498600</v>
      </c>
      <c r="AB621" s="30" t="n">
        <v>34400475705</v>
      </c>
      <c r="AC621" s="35" t="n">
        <v>0.003416778361895165</v>
      </c>
      <c r="AD621" s="24" t="inlineStr">
        <is>
          <t>yfinance_download</t>
        </is>
      </c>
      <c r="AE621" s="24" t="inlineStr">
        <is>
          <t>058470.KQ</t>
        </is>
      </c>
    </row>
    <row r="622" ht="24" customHeight="1">
      <c r="A622" s="29" t="inlineStr">
        <is>
          <t>2025-12-24</t>
        </is>
      </c>
      <c r="B622" s="31" t="n">
        <v>61800</v>
      </c>
      <c r="C622" s="31" t="n">
        <v>61900</v>
      </c>
      <c r="D622" s="31" t="n">
        <v>60700</v>
      </c>
      <c r="E622" s="31" t="n">
        <v>60900</v>
      </c>
      <c r="F622" s="31" t="n">
        <v>57909.8203125</v>
      </c>
      <c r="G622" s="31" t="n">
        <v>210175</v>
      </c>
      <c r="H622" s="36" t="n">
        <v>-0.008143322475570036</v>
      </c>
      <c r="I622" s="36" t="n">
        <v>-0.1083455344070278</v>
      </c>
      <c r="J622" s="31" t="n">
        <v>63430</v>
      </c>
      <c r="K622" s="31" t="n">
        <v>58901.66666666666</v>
      </c>
      <c r="L622" s="31" t="n">
        <v>53559.16666666666</v>
      </c>
      <c r="M622" s="36" t="n">
        <v>0.3375242393167278</v>
      </c>
      <c r="N622" s="36" t="n">
        <v>0.4577262994616927</v>
      </c>
      <c r="O622" s="36" t="n">
        <v>-0.05581395348837215</v>
      </c>
      <c r="P622" s="36" t="n">
        <v>0.1404494382022472</v>
      </c>
      <c r="Q622" s="36" t="n">
        <v>0.1917808219178083</v>
      </c>
      <c r="R622" s="36" t="n">
        <v>-0.0398864890430396</v>
      </c>
      <c r="S622" s="36" t="n">
        <v>0.03392660083189503</v>
      </c>
      <c r="T622" s="36" t="n">
        <v>0.1370602604596163</v>
      </c>
      <c r="U622" s="31" t="n">
        <v>68300</v>
      </c>
      <c r="V622" s="31" t="n">
        <v>30620</v>
      </c>
      <c r="W622" s="36" t="n">
        <v>-0.1083455344070278</v>
      </c>
      <c r="X622" s="36" t="n">
        <v>0.9888961463096015</v>
      </c>
      <c r="Y622" s="31" t="n">
        <v>76211850</v>
      </c>
      <c r="Z622" s="31" t="n">
        <v>4641301665000</v>
      </c>
      <c r="AA622" s="31" t="n">
        <v>12799657500</v>
      </c>
      <c r="AB622" s="31" t="n">
        <v>30134317680</v>
      </c>
      <c r="AC622" s="36" t="n">
        <v>0.00275777323342761</v>
      </c>
      <c r="AD622" s="29" t="inlineStr">
        <is>
          <t>yfinance_download</t>
        </is>
      </c>
      <c r="AE622" s="29" t="inlineStr">
        <is>
          <t>058470.KQ</t>
        </is>
      </c>
    </row>
    <row r="623" ht="24" customHeight="1">
      <c r="A623" s="24" t="inlineStr">
        <is>
          <t>2025-12-26</t>
        </is>
      </c>
      <c r="B623" s="30" t="n">
        <v>61200</v>
      </c>
      <c r="C623" s="30" t="n">
        <v>61500</v>
      </c>
      <c r="D623" s="30" t="n">
        <v>60100</v>
      </c>
      <c r="E623" s="30" t="n">
        <v>61100</v>
      </c>
      <c r="F623" s="30" t="n">
        <v>58100</v>
      </c>
      <c r="G623" s="30" t="n">
        <v>331150</v>
      </c>
      <c r="H623" s="35" t="n">
        <v>0.003284072249589487</v>
      </c>
      <c r="I623" s="35" t="n">
        <v>-0.1054172767203514</v>
      </c>
      <c r="J623" s="30" t="n">
        <v>63245</v>
      </c>
      <c r="K623" s="30" t="n">
        <v>59061.66666666666</v>
      </c>
      <c r="L623" s="30" t="n">
        <v>53658.33333333334</v>
      </c>
      <c r="M623" s="35" t="n">
        <v>0.3371664736295505</v>
      </c>
      <c r="N623" s="35" t="n">
        <v>0.450758430830685</v>
      </c>
      <c r="O623" s="35" t="n">
        <v>-0.0570987654320988</v>
      </c>
      <c r="P623" s="35" t="n">
        <v>0.1864077669902913</v>
      </c>
      <c r="Q623" s="35" t="n">
        <v>0.2418699186991871</v>
      </c>
      <c r="R623" s="35" t="n">
        <v>-0.03391572456320657</v>
      </c>
      <c r="S623" s="35" t="n">
        <v>0.03451195078590175</v>
      </c>
      <c r="T623" s="35" t="n">
        <v>0.1386861313868613</v>
      </c>
      <c r="U623" s="30" t="n">
        <v>68300</v>
      </c>
      <c r="V623" s="30" t="n">
        <v>30620</v>
      </c>
      <c r="W623" s="35" t="n">
        <v>-0.1054172767203514</v>
      </c>
      <c r="X623" s="35" t="n">
        <v>0.9954278249510125</v>
      </c>
      <c r="Y623" s="30" t="n">
        <v>76211850</v>
      </c>
      <c r="Z623" s="30" t="n">
        <v>4656544035000</v>
      </c>
      <c r="AA623" s="30" t="n">
        <v>20233265000</v>
      </c>
      <c r="AB623" s="30" t="n">
        <v>29433592330</v>
      </c>
      <c r="AC623" s="35" t="n">
        <v>0.004345124806706568</v>
      </c>
      <c r="AD623" s="24" t="inlineStr">
        <is>
          <t>yfinance_download</t>
        </is>
      </c>
      <c r="AE623" s="24" t="inlineStr">
        <is>
          <t>058470.KQ</t>
        </is>
      </c>
    </row>
    <row r="624" ht="24" customHeight="1">
      <c r="A624" s="29" t="inlineStr">
        <is>
          <t>2025-12-29</t>
        </is>
      </c>
      <c r="B624" s="31" t="n">
        <v>62100</v>
      </c>
      <c r="C624" s="31" t="n">
        <v>62300</v>
      </c>
      <c r="D624" s="31" t="n">
        <v>59700</v>
      </c>
      <c r="E624" s="31" t="n">
        <v>60900</v>
      </c>
      <c r="F624" s="31" t="n">
        <v>60900</v>
      </c>
      <c r="G624" s="31" t="n">
        <v>482064</v>
      </c>
      <c r="H624" s="36" t="n">
        <v>-0.00327332242225864</v>
      </c>
      <c r="I624" s="36" t="n">
        <v>-0.1083455344070278</v>
      </c>
      <c r="J624" s="31" t="n">
        <v>62875</v>
      </c>
      <c r="K624" s="31" t="n">
        <v>59225</v>
      </c>
      <c r="L624" s="31" t="n">
        <v>53736.66666666666</v>
      </c>
      <c r="M624" s="36" t="n">
        <v>0.2623290384246494</v>
      </c>
      <c r="N624" s="36" t="n">
        <v>0.4503835556203891</v>
      </c>
      <c r="O624" s="36" t="n">
        <v>-0.1083455344070278</v>
      </c>
      <c r="P624" s="36" t="n">
        <v>0.1917808219178083</v>
      </c>
      <c r="Q624" s="36" t="n">
        <v>0.1825242718446602</v>
      </c>
      <c r="R624" s="36" t="n">
        <v>-0.03141153081510939</v>
      </c>
      <c r="S624" s="36" t="n">
        <v>0.02828197551709577</v>
      </c>
      <c r="T624" s="36" t="n">
        <v>0.1333043855840208</v>
      </c>
      <c r="U624" s="31" t="n">
        <v>68300</v>
      </c>
      <c r="V624" s="31" t="n">
        <v>30620</v>
      </c>
      <c r="W624" s="36" t="n">
        <v>-0.1083455344070278</v>
      </c>
      <c r="X624" s="36" t="n">
        <v>0.9888961463096015</v>
      </c>
      <c r="Y624" s="31" t="n">
        <v>76211850</v>
      </c>
      <c r="Z624" s="31" t="n">
        <v>4641301665000</v>
      </c>
      <c r="AA624" s="31" t="n">
        <v>29357697600</v>
      </c>
      <c r="AB624" s="31" t="n">
        <v>26935466960</v>
      </c>
      <c r="AC624" s="36" t="n">
        <v>0.006325315551321743</v>
      </c>
      <c r="AD624" s="29" t="inlineStr">
        <is>
          <t>yfinance_download</t>
        </is>
      </c>
      <c r="AE624" s="29" t="inlineStr">
        <is>
          <t>058470.KQ</t>
        </is>
      </c>
    </row>
    <row r="625" ht="24" customHeight="1">
      <c r="A625" s="24" t="inlineStr">
        <is>
          <t>2025-12-30</t>
        </is>
      </c>
      <c r="B625" s="30" t="n">
        <v>60300</v>
      </c>
      <c r="C625" s="30" t="n">
        <v>60600</v>
      </c>
      <c r="D625" s="30" t="n">
        <v>59600</v>
      </c>
      <c r="E625" s="30" t="n">
        <v>60300</v>
      </c>
      <c r="F625" s="30" t="n">
        <v>60300</v>
      </c>
      <c r="G625" s="30" t="n">
        <v>311847</v>
      </c>
      <c r="H625" s="35" t="n">
        <v>-0.009852216748768461</v>
      </c>
      <c r="I625" s="35" t="n">
        <v>-0.1171303074670571</v>
      </c>
      <c r="J625" s="30" t="n">
        <v>62560</v>
      </c>
      <c r="K625" s="30" t="n">
        <v>59366.66666666666</v>
      </c>
      <c r="L625" s="30" t="n">
        <v>53822.5</v>
      </c>
      <c r="M625" s="35" t="n">
        <v>0.2529147074349171</v>
      </c>
      <c r="N625" s="35" t="n">
        <v>0.4506510830508452</v>
      </c>
      <c r="O625" s="35" t="n">
        <v>-0.09459459459459463</v>
      </c>
      <c r="P625" s="35" t="n">
        <v>0.1640926640926641</v>
      </c>
      <c r="Q625" s="35" t="n">
        <v>0.206</v>
      </c>
      <c r="R625" s="35" t="n">
        <v>-0.03612531969309463</v>
      </c>
      <c r="S625" s="35" t="n">
        <v>0.01572150477259981</v>
      </c>
      <c r="T625" s="35" t="n">
        <v>0.1203492962980166</v>
      </c>
      <c r="U625" s="30" t="n">
        <v>68300</v>
      </c>
      <c r="V625" s="30" t="n">
        <v>30620</v>
      </c>
      <c r="W625" s="35" t="n">
        <v>-0.1171303074670571</v>
      </c>
      <c r="X625" s="35" t="n">
        <v>0.969301110385369</v>
      </c>
      <c r="Y625" s="30" t="n">
        <v>76211850</v>
      </c>
      <c r="Z625" s="30" t="n">
        <v>4595574555000</v>
      </c>
      <c r="AA625" s="30" t="n">
        <v>18804374100</v>
      </c>
      <c r="AB625" s="30" t="n">
        <v>25176377675</v>
      </c>
      <c r="AC625" s="35" t="n">
        <v>0.004091843984892114</v>
      </c>
      <c r="AD625" s="24" t="inlineStr">
        <is>
          <t>yfinance_download</t>
        </is>
      </c>
      <c r="AE625" s="24" t="inlineStr">
        <is>
          <t>058470.KQ</t>
        </is>
      </c>
    </row>
    <row r="626" ht="24" customHeight="1">
      <c r="A626" s="29" t="inlineStr">
        <is>
          <t>2026-01-02</t>
        </is>
      </c>
      <c r="B626" s="31" t="n">
        <v>60300</v>
      </c>
      <c r="C626" s="31" t="n">
        <v>65000</v>
      </c>
      <c r="D626" s="31" t="n">
        <v>60200</v>
      </c>
      <c r="E626" s="31" t="n">
        <v>64900</v>
      </c>
      <c r="F626" s="31" t="n">
        <v>64900</v>
      </c>
      <c r="G626" s="31" t="n">
        <v>747905</v>
      </c>
      <c r="H626" s="36" t="n">
        <v>0.07628524046434504</v>
      </c>
      <c r="I626" s="36" t="n">
        <v>-0.04978038067349921</v>
      </c>
      <c r="J626" s="31" t="n">
        <v>62525</v>
      </c>
      <c r="K626" s="31" t="n">
        <v>59590</v>
      </c>
      <c r="L626" s="31" t="n">
        <v>53945.83333333334</v>
      </c>
      <c r="M626" s="36" t="n">
        <v>0.3799237044887854</v>
      </c>
      <c r="N626" s="36" t="n">
        <v>0.4746246779586983</v>
      </c>
      <c r="O626" s="36" t="n">
        <v>-0.01067073170731703</v>
      </c>
      <c r="P626" s="36" t="n">
        <v>0.2601941747572816</v>
      </c>
      <c r="Q626" s="36" t="n">
        <v>0.2954091816367266</v>
      </c>
      <c r="R626" s="36" t="n">
        <v>0.03798480607756893</v>
      </c>
      <c r="S626" s="36" t="n">
        <v>0.08910891089108919</v>
      </c>
      <c r="T626" s="36" t="n">
        <v>0.2030586236193712</v>
      </c>
      <c r="U626" s="31" t="n">
        <v>68300</v>
      </c>
      <c r="V626" s="31" t="n">
        <v>30620</v>
      </c>
      <c r="W626" s="36" t="n">
        <v>-0.04978038067349921</v>
      </c>
      <c r="X626" s="36" t="n">
        <v>1.119529719137819</v>
      </c>
      <c r="Y626" s="31" t="n">
        <v>76211850</v>
      </c>
      <c r="Z626" s="31" t="n">
        <v>4946149065000</v>
      </c>
      <c r="AA626" s="31" t="n">
        <v>48539034500</v>
      </c>
      <c r="AB626" s="31" t="n">
        <v>26027207400</v>
      </c>
      <c r="AC626" s="36" t="n">
        <v>0.009813500131541223</v>
      </c>
      <c r="AD626" s="29" t="inlineStr">
        <is>
          <t>yfinance_download</t>
        </is>
      </c>
      <c r="AE626" s="29" t="inlineStr">
        <is>
          <t>058470.KQ</t>
        </is>
      </c>
    </row>
    <row r="627" ht="24" customHeight="1">
      <c r="A627" s="24" t="inlineStr">
        <is>
          <t>2026-01-05</t>
        </is>
      </c>
      <c r="B627" s="30" t="n">
        <v>67000</v>
      </c>
      <c r="C627" s="30" t="n">
        <v>68300</v>
      </c>
      <c r="D627" s="30" t="n">
        <v>64200</v>
      </c>
      <c r="E627" s="30" t="n">
        <v>65000</v>
      </c>
      <c r="F627" s="30" t="n">
        <v>65000</v>
      </c>
      <c r="G627" s="30" t="n">
        <v>842118</v>
      </c>
      <c r="H627" s="35" t="n">
        <v>0.001540832049306662</v>
      </c>
      <c r="I627" s="35" t="n">
        <v>-0.04831625183016108</v>
      </c>
      <c r="J627" s="30" t="n">
        <v>62475</v>
      </c>
      <c r="K627" s="30" t="n">
        <v>59795</v>
      </c>
      <c r="L627" s="30" t="n">
        <v>54065.83333333334</v>
      </c>
      <c r="M627" s="35" t="n">
        <v>0.3792544739283469</v>
      </c>
      <c r="N627" s="35" t="n">
        <v>0.4729947703610577</v>
      </c>
      <c r="O627" s="35" t="n">
        <v>-0.01515151515151514</v>
      </c>
      <c r="P627" s="35" t="n">
        <v>0.2333965844402277</v>
      </c>
      <c r="Q627" s="35" t="n">
        <v>0.2845849802371541</v>
      </c>
      <c r="R627" s="35" t="n">
        <v>0.04041616646658674</v>
      </c>
      <c r="S627" s="35" t="n">
        <v>0.08704741199096921</v>
      </c>
      <c r="T627" s="35" t="n">
        <v>0.2022380122998195</v>
      </c>
      <c r="U627" s="30" t="n">
        <v>68300</v>
      </c>
      <c r="V627" s="30" t="n">
        <v>30620</v>
      </c>
      <c r="W627" s="35" t="n">
        <v>-0.04831625183016108</v>
      </c>
      <c r="X627" s="35" t="n">
        <v>1.122795558458524</v>
      </c>
      <c r="Y627" s="30" t="n">
        <v>76211850</v>
      </c>
      <c r="Z627" s="30" t="n">
        <v>4953770250000</v>
      </c>
      <c r="AA627" s="30" t="n">
        <v>54737670000</v>
      </c>
      <c r="AB627" s="30" t="n">
        <v>26674874100</v>
      </c>
      <c r="AC627" s="35" t="n">
        <v>0.01104969896413747</v>
      </c>
      <c r="AD627" s="24" t="inlineStr">
        <is>
          <t>yfinance_download</t>
        </is>
      </c>
      <c r="AE627" s="24" t="inlineStr">
        <is>
          <t>058470.KQ</t>
        </is>
      </c>
    </row>
    <row r="628" ht="24" customHeight="1">
      <c r="A628" s="29" t="inlineStr">
        <is>
          <t>2026-01-06</t>
        </is>
      </c>
      <c r="B628" s="31" t="n">
        <v>65000</v>
      </c>
      <c r="C628" s="31" t="n">
        <v>66300</v>
      </c>
      <c r="D628" s="31" t="n">
        <v>62800</v>
      </c>
      <c r="E628" s="31" t="n">
        <v>66300</v>
      </c>
      <c r="F628" s="31" t="n">
        <v>66300</v>
      </c>
      <c r="G628" s="31" t="n">
        <v>966316</v>
      </c>
      <c r="H628" s="36" t="n">
        <v>0.02000000000000002</v>
      </c>
      <c r="I628" s="36" t="n">
        <v>-0.02928257686676428</v>
      </c>
      <c r="J628" s="31" t="n">
        <v>62535</v>
      </c>
      <c r="K628" s="31" t="n">
        <v>60006.66666666666</v>
      </c>
      <c r="L628" s="31" t="n">
        <v>54201.66666666666</v>
      </c>
      <c r="M628" s="36" t="n">
        <v>0.3825793769420833</v>
      </c>
      <c r="N628" s="36" t="n">
        <v>0.4733794563508587</v>
      </c>
      <c r="O628" s="36" t="n">
        <v>0.01843317972350222</v>
      </c>
      <c r="P628" s="36" t="n">
        <v>0.2369402985074627</v>
      </c>
      <c r="Q628" s="36" t="n">
        <v>0.3260000000000001</v>
      </c>
      <c r="R628" s="36" t="n">
        <v>0.06020628448069076</v>
      </c>
      <c r="S628" s="36" t="n">
        <v>0.1048772358626819</v>
      </c>
      <c r="T628" s="36" t="n">
        <v>0.2232096184004182</v>
      </c>
      <c r="U628" s="31" t="n">
        <v>68300</v>
      </c>
      <c r="V628" s="31" t="n">
        <v>30620</v>
      </c>
      <c r="W628" s="36" t="n">
        <v>-0.02928257686676428</v>
      </c>
      <c r="X628" s="36" t="n">
        <v>1.165251469627694</v>
      </c>
      <c r="Y628" s="31" t="n">
        <v>76211850</v>
      </c>
      <c r="Z628" s="31" t="n">
        <v>5052845655000</v>
      </c>
      <c r="AA628" s="31" t="n">
        <v>64066750800</v>
      </c>
      <c r="AB628" s="31" t="n">
        <v>28255473705</v>
      </c>
      <c r="AC628" s="36" t="n">
        <v>0.01267934054874668</v>
      </c>
      <c r="AD628" s="29" t="inlineStr">
        <is>
          <t>yfinance_download</t>
        </is>
      </c>
      <c r="AE628" s="29" t="inlineStr">
        <is>
          <t>058470.KQ</t>
        </is>
      </c>
    </row>
    <row r="629" ht="24" customHeight="1">
      <c r="A629" s="24" t="inlineStr">
        <is>
          <t>2026-01-07</t>
        </is>
      </c>
      <c r="B629" s="30" t="n">
        <v>65700</v>
      </c>
      <c r="C629" s="30" t="n">
        <v>66700</v>
      </c>
      <c r="D629" s="30" t="n">
        <v>63400</v>
      </c>
      <c r="E629" s="30" t="n">
        <v>64200</v>
      </c>
      <c r="F629" s="30" t="n">
        <v>64200</v>
      </c>
      <c r="G629" s="30" t="n">
        <v>685951</v>
      </c>
      <c r="H629" s="35" t="n">
        <v>-0.03167420814479638</v>
      </c>
      <c r="I629" s="35" t="n">
        <v>-0.06002928257686679</v>
      </c>
      <c r="J629" s="30" t="n">
        <v>62475</v>
      </c>
      <c r="K629" s="30" t="n">
        <v>60181.66666666666</v>
      </c>
      <c r="L629" s="30" t="n">
        <v>54322.08333333334</v>
      </c>
      <c r="M629" s="35" t="n">
        <v>0.3995722756891659</v>
      </c>
      <c r="N629" s="35" t="n">
        <v>0.4789763169170141</v>
      </c>
      <c r="O629" s="35" t="n">
        <v>-0.01834862385321101</v>
      </c>
      <c r="P629" s="35" t="n">
        <v>0.1955307262569832</v>
      </c>
      <c r="Q629" s="35" t="n">
        <v>0.2904522613065326</v>
      </c>
      <c r="R629" s="35" t="n">
        <v>0.02761104441776707</v>
      </c>
      <c r="S629" s="35" t="n">
        <v>0.06677005732642827</v>
      </c>
      <c r="T629" s="35" t="n">
        <v>0.1818397981177085</v>
      </c>
      <c r="U629" s="30" t="n">
        <v>68300</v>
      </c>
      <c r="V629" s="30" t="n">
        <v>30620</v>
      </c>
      <c r="W629" s="35" t="n">
        <v>-0.06002928257686679</v>
      </c>
      <c r="X629" s="35" t="n">
        <v>1.096668843892881</v>
      </c>
      <c r="Y629" s="30" t="n">
        <v>76211850</v>
      </c>
      <c r="Z629" s="30" t="n">
        <v>4892800770000</v>
      </c>
      <c r="AA629" s="30" t="n">
        <v>44038054200</v>
      </c>
      <c r="AB629" s="30" t="n">
        <v>29480006115</v>
      </c>
      <c r="AC629" s="35" t="n">
        <v>0.009000581930500309</v>
      </c>
      <c r="AD629" s="24" t="inlineStr">
        <is>
          <t>yfinance_download</t>
        </is>
      </c>
      <c r="AE629" s="24" t="inlineStr">
        <is>
          <t>058470.KQ</t>
        </is>
      </c>
    </row>
    <row r="630" ht="24" customHeight="1">
      <c r="A630" s="29" t="inlineStr">
        <is>
          <t>2026-01-08</t>
        </is>
      </c>
      <c r="B630" s="31" t="n">
        <v>64000</v>
      </c>
      <c r="C630" s="31" t="n">
        <v>65900</v>
      </c>
      <c r="D630" s="31" t="n">
        <v>63500</v>
      </c>
      <c r="E630" s="31" t="n">
        <v>64300</v>
      </c>
      <c r="F630" s="31" t="n">
        <v>64300</v>
      </c>
      <c r="G630" s="31" t="n">
        <v>501689</v>
      </c>
      <c r="H630" s="36" t="n">
        <v>0.001557632398753839</v>
      </c>
      <c r="I630" s="36" t="n">
        <v>-0.05856515373352855</v>
      </c>
      <c r="J630" s="31" t="n">
        <v>62430</v>
      </c>
      <c r="K630" s="31" t="n">
        <v>60315</v>
      </c>
      <c r="L630" s="31" t="n">
        <v>54439.58333333334</v>
      </c>
      <c r="M630" s="36" t="n">
        <v>0.3995362216800329</v>
      </c>
      <c r="N630" s="36" t="n">
        <v>0.4697114133633489</v>
      </c>
      <c r="O630" s="36" t="n">
        <v>-0.01380368098159512</v>
      </c>
      <c r="P630" s="36" t="n">
        <v>0.1420959147424512</v>
      </c>
      <c r="Q630" s="36" t="n">
        <v>0.2808764940239044</v>
      </c>
      <c r="R630" s="36" t="n">
        <v>0.02995354797373051</v>
      </c>
      <c r="S630" s="36" t="n">
        <v>0.0660698002155351</v>
      </c>
      <c r="T630" s="36" t="n">
        <v>0.1811258658298571</v>
      </c>
      <c r="U630" s="31" t="n">
        <v>68300</v>
      </c>
      <c r="V630" s="31" t="n">
        <v>30620</v>
      </c>
      <c r="W630" s="36" t="n">
        <v>-0.05856515373352855</v>
      </c>
      <c r="X630" s="36" t="n">
        <v>1.099934683213586</v>
      </c>
      <c r="Y630" s="31" t="n">
        <v>76211850</v>
      </c>
      <c r="Z630" s="31" t="n">
        <v>4900421955000</v>
      </c>
      <c r="AA630" s="31" t="n">
        <v>32258602700</v>
      </c>
      <c r="AB630" s="31" t="n">
        <v>30067780350</v>
      </c>
      <c r="AC630" s="36" t="n">
        <v>0.006582821437873507</v>
      </c>
      <c r="AD630" s="29" t="inlineStr">
        <is>
          <t>yfinance_download</t>
        </is>
      </c>
      <c r="AE630" s="29" t="inlineStr">
        <is>
          <t>058470.KQ</t>
        </is>
      </c>
    </row>
    <row r="631" ht="24" customHeight="1">
      <c r="A631" s="24" t="inlineStr">
        <is>
          <t>2026-01-09</t>
        </is>
      </c>
      <c r="B631" s="30" t="n">
        <v>64700</v>
      </c>
      <c r="C631" s="30" t="n">
        <v>64700</v>
      </c>
      <c r="D631" s="30" t="n">
        <v>61400</v>
      </c>
      <c r="E631" s="30" t="n">
        <v>62700</v>
      </c>
      <c r="F631" s="30" t="n">
        <v>62700</v>
      </c>
      <c r="G631" s="30" t="n">
        <v>677646</v>
      </c>
      <c r="H631" s="35" t="n">
        <v>-0.02488335925349927</v>
      </c>
      <c r="I631" s="35" t="n">
        <v>-0.08199121522693997</v>
      </c>
      <c r="J631" s="30" t="n">
        <v>62300</v>
      </c>
      <c r="K631" s="30" t="n">
        <v>60410</v>
      </c>
      <c r="L631" s="30" t="n">
        <v>54535.41666666666</v>
      </c>
      <c r="M631" s="35" t="n">
        <v>0.4087389518033398</v>
      </c>
      <c r="N631" s="35" t="n">
        <v>0.4726048312211734</v>
      </c>
      <c r="O631" s="35" t="n">
        <v>-0.03981623277182234</v>
      </c>
      <c r="P631" s="35" t="n">
        <v>0.1000000000000001</v>
      </c>
      <c r="Q631" s="35" t="n">
        <v>0.224609375</v>
      </c>
      <c r="R631" s="35" t="n">
        <v>0.006420545746388395</v>
      </c>
      <c r="S631" s="35" t="n">
        <v>0.03790763118688956</v>
      </c>
      <c r="T631" s="35" t="n">
        <v>0.1497115788669443</v>
      </c>
      <c r="U631" s="30" t="n">
        <v>68300</v>
      </c>
      <c r="V631" s="30" t="n">
        <v>30620</v>
      </c>
      <c r="W631" s="35" t="n">
        <v>-0.08199121522693997</v>
      </c>
      <c r="X631" s="35" t="n">
        <v>1.047681254082299</v>
      </c>
      <c r="Y631" s="30" t="n">
        <v>76211850</v>
      </c>
      <c r="Z631" s="30" t="n">
        <v>4778482995000</v>
      </c>
      <c r="AA631" s="30" t="n">
        <v>42488404200</v>
      </c>
      <c r="AB631" s="30" t="n">
        <v>31373805455</v>
      </c>
      <c r="AC631" s="35" t="n">
        <v>0.008891609375707321</v>
      </c>
      <c r="AD631" s="24" t="inlineStr">
        <is>
          <t>yfinance_download</t>
        </is>
      </c>
      <c r="AE631" s="24" t="inlineStr">
        <is>
          <t>058470.KQ</t>
        </is>
      </c>
    </row>
    <row r="632" ht="24" customHeight="1">
      <c r="A632" s="29" t="inlineStr">
        <is>
          <t>2026-01-12</t>
        </is>
      </c>
      <c r="B632" s="31" t="n">
        <v>63800</v>
      </c>
      <c r="C632" s="31" t="n">
        <v>64700</v>
      </c>
      <c r="D632" s="31" t="n">
        <v>62100</v>
      </c>
      <c r="E632" s="31" t="n">
        <v>62900</v>
      </c>
      <c r="F632" s="31" t="n">
        <v>62900</v>
      </c>
      <c r="G632" s="31" t="n">
        <v>360444</v>
      </c>
      <c r="H632" s="36" t="n">
        <v>0.003189792663476965</v>
      </c>
      <c r="I632" s="36" t="n">
        <v>-0.07906295754026349</v>
      </c>
      <c r="J632" s="31" t="n">
        <v>62255</v>
      </c>
      <c r="K632" s="31" t="n">
        <v>60493.33333333334</v>
      </c>
      <c r="L632" s="31" t="n">
        <v>54629.58333333334</v>
      </c>
      <c r="M632" s="36" t="n">
        <v>0.4011782825166405</v>
      </c>
      <c r="N632" s="36" t="n">
        <v>0.4717411968250597</v>
      </c>
      <c r="O632" s="36" t="n">
        <v>-0.01410658307210033</v>
      </c>
      <c r="P632" s="36" t="n">
        <v>0.08635578583765113</v>
      </c>
      <c r="Q632" s="36" t="n">
        <v>0.2189922480620154</v>
      </c>
      <c r="R632" s="36" t="n">
        <v>0.01036061360533291</v>
      </c>
      <c r="S632" s="36" t="n">
        <v>0.0397839982367203</v>
      </c>
      <c r="T632" s="36" t="n">
        <v>0.1513908062633951</v>
      </c>
      <c r="U632" s="31" t="n">
        <v>68300</v>
      </c>
      <c r="V632" s="31" t="n">
        <v>31160</v>
      </c>
      <c r="W632" s="36" t="n">
        <v>-0.07906295754026349</v>
      </c>
      <c r="X632" s="36" t="n">
        <v>1.018613607188704</v>
      </c>
      <c r="Y632" s="31" t="n">
        <v>76211850</v>
      </c>
      <c r="Z632" s="31" t="n">
        <v>4793725365000</v>
      </c>
      <c r="AA632" s="31" t="n">
        <v>22671927600</v>
      </c>
      <c r="AB632" s="31" t="n">
        <v>31503665145</v>
      </c>
      <c r="AC632" s="36" t="n">
        <v>0.004729500727249109</v>
      </c>
      <c r="AD632" s="29" t="inlineStr">
        <is>
          <t>yfinance_download</t>
        </is>
      </c>
      <c r="AE632" s="29" t="inlineStr">
        <is>
          <t>058470.KQ</t>
        </is>
      </c>
    </row>
    <row r="633" ht="24" customHeight="1">
      <c r="A633" s="24" t="inlineStr">
        <is>
          <t>2026-01-13</t>
        </is>
      </c>
      <c r="B633" s="30" t="n">
        <v>62900</v>
      </c>
      <c r="C633" s="30" t="n">
        <v>63900</v>
      </c>
      <c r="D633" s="30" t="n">
        <v>62800</v>
      </c>
      <c r="E633" s="30" t="n">
        <v>63600</v>
      </c>
      <c r="F633" s="30" t="n">
        <v>63600</v>
      </c>
      <c r="G633" s="30" t="n">
        <v>398309</v>
      </c>
      <c r="H633" s="35" t="n">
        <v>0.0111287758346581</v>
      </c>
      <c r="I633" s="35" t="n">
        <v>-0.06881405563689602</v>
      </c>
      <c r="J633" s="30" t="n">
        <v>62210</v>
      </c>
      <c r="K633" s="30" t="n">
        <v>60591.66666666666</v>
      </c>
      <c r="L633" s="30" t="n">
        <v>54717.91666666666</v>
      </c>
      <c r="M633" s="35" t="n">
        <v>0.4012377503674032</v>
      </c>
      <c r="N633" s="35" t="n">
        <v>0.4719931278882951</v>
      </c>
      <c r="O633" s="35" t="n">
        <v>-0.01395348837209298</v>
      </c>
      <c r="P633" s="35" t="n">
        <v>0.1022530329289428</v>
      </c>
      <c r="Q633" s="35" t="n">
        <v>0.2</v>
      </c>
      <c r="R633" s="35" t="n">
        <v>0.02234367465037779</v>
      </c>
      <c r="S633" s="35" t="n">
        <v>0.04964929170678034</v>
      </c>
      <c r="T633" s="35" t="n">
        <v>0.1623249545014964</v>
      </c>
      <c r="U633" s="30" t="n">
        <v>68300</v>
      </c>
      <c r="V633" s="30" t="n">
        <v>33080</v>
      </c>
      <c r="W633" s="35" t="n">
        <v>-0.06881405563689602</v>
      </c>
      <c r="X633" s="35" t="n">
        <v>0.9226118500604594</v>
      </c>
      <c r="Y633" s="30" t="n">
        <v>76211850</v>
      </c>
      <c r="Z633" s="30" t="n">
        <v>4847073660000</v>
      </c>
      <c r="AA633" s="30" t="n">
        <v>25332452400</v>
      </c>
      <c r="AB633" s="30" t="n">
        <v>31120945365</v>
      </c>
      <c r="AC633" s="35" t="n">
        <v>0.005226339473454587</v>
      </c>
      <c r="AD633" s="24" t="inlineStr">
        <is>
          <t>yfinance_download</t>
        </is>
      </c>
      <c r="AE633" s="24" t="inlineStr">
        <is>
          <t>058470.KQ</t>
        </is>
      </c>
    </row>
    <row r="634" ht="24" customHeight="1">
      <c r="A634" s="29" t="inlineStr">
        <is>
          <t>2026-01-14</t>
        </is>
      </c>
      <c r="B634" s="31" t="n">
        <v>64200</v>
      </c>
      <c r="C634" s="31" t="n">
        <v>65900</v>
      </c>
      <c r="D634" s="31" t="n">
        <v>63200</v>
      </c>
      <c r="E634" s="31" t="n">
        <v>64600</v>
      </c>
      <c r="F634" s="31" t="n">
        <v>64600</v>
      </c>
      <c r="G634" s="31" t="n">
        <v>397274</v>
      </c>
      <c r="H634" s="36" t="n">
        <v>0.01572327044025168</v>
      </c>
      <c r="I634" s="36" t="n">
        <v>-0.05417276720351394</v>
      </c>
      <c r="J634" s="31" t="n">
        <v>62260</v>
      </c>
      <c r="K634" s="31" t="n">
        <v>60716.66666666666</v>
      </c>
      <c r="L634" s="31" t="n">
        <v>54835.41666666666</v>
      </c>
      <c r="M634" s="36" t="n">
        <v>0.4017744549805105</v>
      </c>
      <c r="N634" s="36" t="n">
        <v>0.4720863505011141</v>
      </c>
      <c r="O634" s="36" t="n">
        <v>0.01572327044025168</v>
      </c>
      <c r="P634" s="36" t="n">
        <v>0.1313485113835378</v>
      </c>
      <c r="Q634" s="36" t="n">
        <v>0.2792079207920792</v>
      </c>
      <c r="R634" s="36" t="n">
        <v>0.03758432380340504</v>
      </c>
      <c r="S634" s="36" t="n">
        <v>0.06395827614603355</v>
      </c>
      <c r="T634" s="36" t="n">
        <v>0.1780707419930854</v>
      </c>
      <c r="U634" s="31" t="n">
        <v>68300</v>
      </c>
      <c r="V634" s="31" t="n">
        <v>34180</v>
      </c>
      <c r="W634" s="36" t="n">
        <v>-0.05417276720351394</v>
      </c>
      <c r="X634" s="36" t="n">
        <v>0.8899941486249268</v>
      </c>
      <c r="Y634" s="31" t="n">
        <v>76211850</v>
      </c>
      <c r="Z634" s="31" t="n">
        <v>4923285510000</v>
      </c>
      <c r="AA634" s="31" t="n">
        <v>25663900400</v>
      </c>
      <c r="AB634" s="31" t="n">
        <v>29692637065</v>
      </c>
      <c r="AC634" s="36" t="n">
        <v>0.005212758908227527</v>
      </c>
      <c r="AD634" s="29" t="inlineStr">
        <is>
          <t>yfinance_download</t>
        </is>
      </c>
      <c r="AE634" s="29" t="inlineStr">
        <is>
          <t>058470.KQ</t>
        </is>
      </c>
    </row>
    <row r="635" ht="24" customHeight="1">
      <c r="A635" s="24" t="inlineStr">
        <is>
          <t>2026-01-15</t>
        </is>
      </c>
      <c r="B635" s="30" t="n">
        <v>63500</v>
      </c>
      <c r="C635" s="30" t="n">
        <v>65400</v>
      </c>
      <c r="D635" s="30" t="n">
        <v>63100</v>
      </c>
      <c r="E635" s="30" t="n">
        <v>64800</v>
      </c>
      <c r="F635" s="30" t="n">
        <v>64800</v>
      </c>
      <c r="G635" s="30" t="n">
        <v>362316</v>
      </c>
      <c r="H635" s="35" t="n">
        <v>0.003095975232198178</v>
      </c>
      <c r="I635" s="35" t="n">
        <v>-0.05124450951683746</v>
      </c>
      <c r="J635" s="30" t="n">
        <v>62420</v>
      </c>
      <c r="K635" s="30" t="n">
        <v>60831.66666666666</v>
      </c>
      <c r="L635" s="30" t="n">
        <v>54958.75</v>
      </c>
      <c r="M635" s="35" t="n">
        <v>0.3829541148208577</v>
      </c>
      <c r="N635" s="35" t="n">
        <v>0.4714778039281035</v>
      </c>
      <c r="O635" s="35" t="n">
        <v>0.05194805194805197</v>
      </c>
      <c r="P635" s="35" t="n">
        <v>0.1191709844559585</v>
      </c>
      <c r="Q635" s="35" t="n">
        <v>0.296</v>
      </c>
      <c r="R635" s="35" t="n">
        <v>0.03812880487023396</v>
      </c>
      <c r="S635" s="35" t="n">
        <v>0.06523466396339628</v>
      </c>
      <c r="T635" s="35" t="n">
        <v>0.1790661177701458</v>
      </c>
      <c r="U635" s="30" t="n">
        <v>68300</v>
      </c>
      <c r="V635" s="30" t="n">
        <v>34460</v>
      </c>
      <c r="W635" s="35" t="n">
        <v>-0.05124450951683746</v>
      </c>
      <c r="X635" s="35" t="n">
        <v>0.8804410911201392</v>
      </c>
      <c r="Y635" s="30" t="n">
        <v>76211850</v>
      </c>
      <c r="Z635" s="30" t="n">
        <v>4938527880000</v>
      </c>
      <c r="AA635" s="30" t="n">
        <v>23478076800</v>
      </c>
      <c r="AB635" s="30" t="n">
        <v>29530261345</v>
      </c>
      <c r="AC635" s="35" t="n">
        <v>0.004754063836529359</v>
      </c>
      <c r="AD635" s="24" t="inlineStr">
        <is>
          <t>yfinance_download</t>
        </is>
      </c>
      <c r="AE635" s="24" t="inlineStr">
        <is>
          <t>058470.KQ</t>
        </is>
      </c>
    </row>
    <row r="636" ht="24" customHeight="1">
      <c r="A636" s="29" t="inlineStr">
        <is>
          <t>2026-01-16</t>
        </is>
      </c>
      <c r="B636" s="31" t="n">
        <v>66600</v>
      </c>
      <c r="C636" s="31" t="n">
        <v>67600</v>
      </c>
      <c r="D636" s="31" t="n">
        <v>64200</v>
      </c>
      <c r="E636" s="31" t="n">
        <v>64700</v>
      </c>
      <c r="F636" s="31" t="n">
        <v>64700</v>
      </c>
      <c r="G636" s="31" t="n">
        <v>556497</v>
      </c>
      <c r="H636" s="36" t="n">
        <v>-0.001543209876543217</v>
      </c>
      <c r="I636" s="36" t="n">
        <v>-0.0527086383601757</v>
      </c>
      <c r="J636" s="31" t="n">
        <v>62690</v>
      </c>
      <c r="K636" s="31" t="n">
        <v>60963.33333333334</v>
      </c>
      <c r="L636" s="31" t="n">
        <v>55084.58333333334</v>
      </c>
      <c r="M636" s="36" t="n">
        <v>0.3531017859398939</v>
      </c>
      <c r="N636" s="36" t="n">
        <v>0.4694621242726221</v>
      </c>
      <c r="O636" s="36" t="n">
        <v>0.09106239460370991</v>
      </c>
      <c r="P636" s="36" t="n">
        <v>0.1390845070422535</v>
      </c>
      <c r="Q636" s="36" t="n">
        <v>0.3044354838709677</v>
      </c>
      <c r="R636" s="36" t="n">
        <v>0.03206252990907643</v>
      </c>
      <c r="S636" s="36" t="n">
        <v>0.06129367379299033</v>
      </c>
      <c r="T636" s="36" t="n">
        <v>0.1745573095920667</v>
      </c>
      <c r="U636" s="31" t="n">
        <v>68300</v>
      </c>
      <c r="V636" s="31" t="n">
        <v>34460</v>
      </c>
      <c r="W636" s="36" t="n">
        <v>-0.0527086383601757</v>
      </c>
      <c r="X636" s="36" t="n">
        <v>0.8775391758560651</v>
      </c>
      <c r="Y636" s="31" t="n">
        <v>76211850</v>
      </c>
      <c r="Z636" s="31" t="n">
        <v>4930906695000</v>
      </c>
      <c r="AA636" s="31" t="n">
        <v>36005355900</v>
      </c>
      <c r="AB636" s="31" t="n">
        <v>29784498085</v>
      </c>
      <c r="AC636" s="36" t="n">
        <v>0.007301974692911929</v>
      </c>
      <c r="AD636" s="29" t="inlineStr">
        <is>
          <t>yfinance_download</t>
        </is>
      </c>
      <c r="AE636" s="29" t="inlineStr">
        <is>
          <t>058470.KQ</t>
        </is>
      </c>
    </row>
    <row r="637" ht="24" customHeight="1">
      <c r="A637" s="24" t="inlineStr">
        <is>
          <t>2026-01-19</t>
        </is>
      </c>
      <c r="B637" s="30" t="n">
        <v>64700</v>
      </c>
      <c r="C637" s="30" t="n">
        <v>66600</v>
      </c>
      <c r="D637" s="30" t="n">
        <v>63700</v>
      </c>
      <c r="E637" s="30" t="n">
        <v>65900</v>
      </c>
      <c r="F637" s="30" t="n">
        <v>65900</v>
      </c>
      <c r="G637" s="30" t="n">
        <v>431186</v>
      </c>
      <c r="H637" s="35" t="n">
        <v>0.01854714064914997</v>
      </c>
      <c r="I637" s="35" t="n">
        <v>-0.03513909224011713</v>
      </c>
      <c r="J637" s="30" t="n">
        <v>62970</v>
      </c>
      <c r="K637" s="30" t="n">
        <v>61103.33333333334</v>
      </c>
      <c r="L637" s="30" t="n">
        <v>55227.08333333334</v>
      </c>
      <c r="M637" s="35" t="n">
        <v>0.3539272325989287</v>
      </c>
      <c r="N637" s="35" t="n">
        <v>0.4701856700111285</v>
      </c>
      <c r="O637" s="35" t="n">
        <v>0.09286898839137647</v>
      </c>
      <c r="P637" s="35" t="n">
        <v>0.1460869565217391</v>
      </c>
      <c r="Q637" s="35" t="n">
        <v>0.3504098360655739</v>
      </c>
      <c r="R637" s="35" t="n">
        <v>0.0465300936954105</v>
      </c>
      <c r="S637" s="35" t="n">
        <v>0.07850090011456001</v>
      </c>
      <c r="T637" s="35" t="n">
        <v>0.193255120902335</v>
      </c>
      <c r="U637" s="30" t="n">
        <v>68300</v>
      </c>
      <c r="V637" s="30" t="n">
        <v>34460</v>
      </c>
      <c r="W637" s="35" t="n">
        <v>-0.03513909224011713</v>
      </c>
      <c r="X637" s="35" t="n">
        <v>0.9123621590249564</v>
      </c>
      <c r="Y637" s="30" t="n">
        <v>76211850</v>
      </c>
      <c r="Z637" s="30" t="n">
        <v>5022360915000</v>
      </c>
      <c r="AA637" s="30" t="n">
        <v>28415157400</v>
      </c>
      <c r="AB637" s="30" t="n">
        <v>30217029405</v>
      </c>
      <c r="AC637" s="35" t="n">
        <v>0.005657729080188973</v>
      </c>
      <c r="AD637" s="24" t="inlineStr">
        <is>
          <t>yfinance_download</t>
        </is>
      </c>
      <c r="AE637" s="24" t="inlineStr">
        <is>
          <t>058470.KQ</t>
        </is>
      </c>
    </row>
    <row r="638" ht="24" customHeight="1">
      <c r="A638" s="29" t="inlineStr">
        <is>
          <t>2026-01-20</t>
        </is>
      </c>
      <c r="B638" s="31" t="n">
        <v>67500</v>
      </c>
      <c r="C638" s="31" t="n">
        <v>67600</v>
      </c>
      <c r="D638" s="31" t="n">
        <v>64000</v>
      </c>
      <c r="E638" s="31" t="n">
        <v>64500</v>
      </c>
      <c r="F638" s="31" t="n">
        <v>64500</v>
      </c>
      <c r="G638" s="31" t="n">
        <v>552666</v>
      </c>
      <c r="H638" s="36" t="n">
        <v>-0.02124430955993928</v>
      </c>
      <c r="I638" s="36" t="n">
        <v>-0.05563689604685207</v>
      </c>
      <c r="J638" s="31" t="n">
        <v>63195</v>
      </c>
      <c r="K638" s="31" t="n">
        <v>61220</v>
      </c>
      <c r="L638" s="31" t="n">
        <v>55375</v>
      </c>
      <c r="M638" s="36" t="n">
        <v>0.364371341747657</v>
      </c>
      <c r="N638" s="36" t="n">
        <v>0.4727153431196582</v>
      </c>
      <c r="O638" s="36" t="n">
        <v>0.07499999999999996</v>
      </c>
      <c r="P638" s="36" t="n">
        <v>0.1217391304347826</v>
      </c>
      <c r="Q638" s="36" t="n">
        <v>0.3796791443850267</v>
      </c>
      <c r="R638" s="36" t="n">
        <v>0.02065036790885344</v>
      </c>
      <c r="S638" s="36" t="n">
        <v>0.05357726233257099</v>
      </c>
      <c r="T638" s="36" t="n">
        <v>0.1647855530474041</v>
      </c>
      <c r="U638" s="31" t="n">
        <v>68300</v>
      </c>
      <c r="V638" s="31" t="n">
        <v>34460</v>
      </c>
      <c r="W638" s="36" t="n">
        <v>-0.05563689604685207</v>
      </c>
      <c r="X638" s="36" t="n">
        <v>0.8717353453279164</v>
      </c>
      <c r="Y638" s="31" t="n">
        <v>76211850</v>
      </c>
      <c r="Z638" s="31" t="n">
        <v>4915664325000</v>
      </c>
      <c r="AA638" s="31" t="n">
        <v>35646957000</v>
      </c>
      <c r="AB638" s="31" t="n">
        <v>31002708255</v>
      </c>
      <c r="AC638" s="36" t="n">
        <v>0.007251706919593212</v>
      </c>
      <c r="AD638" s="29" t="inlineStr">
        <is>
          <t>yfinance_download</t>
        </is>
      </c>
      <c r="AE638" s="29" t="inlineStr">
        <is>
          <t>058470.KQ</t>
        </is>
      </c>
    </row>
    <row r="639" ht="24" customHeight="1">
      <c r="A639" s="24" t="inlineStr">
        <is>
          <t>2026-01-21</t>
        </is>
      </c>
      <c r="B639" s="30" t="n">
        <v>62900</v>
      </c>
      <c r="C639" s="30" t="n">
        <v>65500</v>
      </c>
      <c r="D639" s="30" t="n">
        <v>62800</v>
      </c>
      <c r="E639" s="30" t="n">
        <v>64700</v>
      </c>
      <c r="F639" s="30" t="n">
        <v>64700</v>
      </c>
      <c r="G639" s="30" t="n">
        <v>470233</v>
      </c>
      <c r="H639" s="35" t="n">
        <v>0.003100775193798366</v>
      </c>
      <c r="I639" s="35" t="n">
        <v>-0.0527086383601757</v>
      </c>
      <c r="J639" s="30" t="n">
        <v>63455</v>
      </c>
      <c r="K639" s="30" t="n">
        <v>61331.66666666666</v>
      </c>
      <c r="L639" s="30" t="n">
        <v>55530.83333333334</v>
      </c>
      <c r="M639" s="35" t="n">
        <v>0.3615430702541412</v>
      </c>
      <c r="N639" s="35" t="n">
        <v>0.4725332911695838</v>
      </c>
      <c r="O639" s="35" t="n">
        <v>0.08739495798319319</v>
      </c>
      <c r="P639" s="35" t="n">
        <v>0.1155172413793104</v>
      </c>
      <c r="Q639" s="35" t="n">
        <v>0.4065217391304348</v>
      </c>
      <c r="R639" s="35" t="n">
        <v>0.01962020329367276</v>
      </c>
      <c r="S639" s="35" t="n">
        <v>0.05491997065137655</v>
      </c>
      <c r="T639" s="35" t="n">
        <v>0.1651184777225865</v>
      </c>
      <c r="U639" s="30" t="n">
        <v>68300</v>
      </c>
      <c r="V639" s="30" t="n">
        <v>34460</v>
      </c>
      <c r="W639" s="35" t="n">
        <v>-0.0527086383601757</v>
      </c>
      <c r="X639" s="35" t="n">
        <v>0.8775391758560651</v>
      </c>
      <c r="Y639" s="30" t="n">
        <v>76211850</v>
      </c>
      <c r="Z639" s="30" t="n">
        <v>4930906695000</v>
      </c>
      <c r="AA639" s="30" t="n">
        <v>30424075100</v>
      </c>
      <c r="AB639" s="30" t="n">
        <v>31644317560</v>
      </c>
      <c r="AC639" s="35" t="n">
        <v>0.006170077225523328</v>
      </c>
      <c r="AD639" s="24" t="inlineStr">
        <is>
          <t>yfinance_download</t>
        </is>
      </c>
      <c r="AE639" s="24" t="inlineStr">
        <is>
          <t>058470.KQ</t>
        </is>
      </c>
    </row>
    <row r="640" ht="24" customHeight="1">
      <c r="A640" s="29" t="inlineStr">
        <is>
          <t>2026-01-22</t>
        </is>
      </c>
      <c r="B640" s="31" t="n">
        <v>64800</v>
      </c>
      <c r="C640" s="31" t="n">
        <v>66100</v>
      </c>
      <c r="D640" s="31" t="n">
        <v>64100</v>
      </c>
      <c r="E640" s="31" t="n">
        <v>65700</v>
      </c>
      <c r="F640" s="31" t="n">
        <v>65700</v>
      </c>
      <c r="G640" s="31" t="n">
        <v>505932</v>
      </c>
      <c r="H640" s="36" t="n">
        <v>0.01545595054095816</v>
      </c>
      <c r="I640" s="36" t="n">
        <v>-0.0380673499267935</v>
      </c>
      <c r="J640" s="31" t="n">
        <v>63670</v>
      </c>
      <c r="K640" s="31" t="n">
        <v>61471.66666666666</v>
      </c>
      <c r="L640" s="31" t="n">
        <v>55696.25</v>
      </c>
      <c r="M640" s="36" t="n">
        <v>0.3494527962186653</v>
      </c>
      <c r="N640" s="36" t="n">
        <v>0.4723374754300112</v>
      </c>
      <c r="O640" s="36" t="n">
        <v>0.07003257328990231</v>
      </c>
      <c r="P640" s="36" t="n">
        <v>0.1465968586387434</v>
      </c>
      <c r="Q640" s="36" t="n">
        <v>0.4329334787350054</v>
      </c>
      <c r="R640" s="36" t="n">
        <v>0.03188314747918963</v>
      </c>
      <c r="S640" s="36" t="n">
        <v>0.06878507713580784</v>
      </c>
      <c r="T640" s="36" t="n">
        <v>0.1796126310119621</v>
      </c>
      <c r="U640" s="31" t="n">
        <v>68300</v>
      </c>
      <c r="V640" s="31" t="n">
        <v>34460</v>
      </c>
      <c r="W640" s="36" t="n">
        <v>-0.0380673499267935</v>
      </c>
      <c r="X640" s="36" t="n">
        <v>0.906558328496808</v>
      </c>
      <c r="Y640" s="31" t="n">
        <v>76211850</v>
      </c>
      <c r="Z640" s="31" t="n">
        <v>5007118545000</v>
      </c>
      <c r="AA640" s="31" t="n">
        <v>33239732400</v>
      </c>
      <c r="AB640" s="31" t="n">
        <v>32209482210</v>
      </c>
      <c r="AC640" s="36" t="n">
        <v>0.006638495194644927</v>
      </c>
      <c r="AD640" s="29" t="inlineStr">
        <is>
          <t>yfinance_download</t>
        </is>
      </c>
      <c r="AE640" s="29" t="inlineStr">
        <is>
          <t>058470.KQ</t>
        </is>
      </c>
    </row>
    <row r="641" ht="24" customHeight="1">
      <c r="A641" s="24" t="inlineStr">
        <is>
          <t>2026-01-23</t>
        </is>
      </c>
      <c r="B641" s="30" t="n">
        <v>66000</v>
      </c>
      <c r="C641" s="30" t="n">
        <v>68800</v>
      </c>
      <c r="D641" s="30" t="n">
        <v>64700</v>
      </c>
      <c r="E641" s="30" t="n">
        <v>68700</v>
      </c>
      <c r="F641" s="30" t="n">
        <v>68700</v>
      </c>
      <c r="G641" s="30" t="n">
        <v>870641</v>
      </c>
      <c r="H641" s="35" t="n">
        <v>0.04566210045662111</v>
      </c>
      <c r="I641" s="35" t="n">
        <v>0</v>
      </c>
      <c r="J641" s="30" t="n">
        <v>64035</v>
      </c>
      <c r="K641" s="30" t="n">
        <v>61661.66666666666</v>
      </c>
      <c r="L641" s="30" t="n">
        <v>55874.16666666666</v>
      </c>
      <c r="M641" s="35" t="n">
        <v>0.379486778753056</v>
      </c>
      <c r="N641" s="35" t="n">
        <v>0.4804194311173701</v>
      </c>
      <c r="O641" s="35" t="n">
        <v>0.1188925081433225</v>
      </c>
      <c r="P641" s="35" t="n">
        <v>0.1989528795811519</v>
      </c>
      <c r="Q641" s="35" t="n">
        <v>0.450897571277719</v>
      </c>
      <c r="R641" s="35" t="n">
        <v>0.07285078472710227</v>
      </c>
      <c r="S641" s="35" t="n">
        <v>0.1141443900856827</v>
      </c>
      <c r="T641" s="35" t="n">
        <v>0.2295485391281005</v>
      </c>
      <c r="U641" s="30" t="n">
        <v>68700</v>
      </c>
      <c r="V641" s="30" t="n">
        <v>34460</v>
      </c>
      <c r="W641" s="35" t="n">
        <v>0</v>
      </c>
      <c r="X641" s="35" t="n">
        <v>0.9936157864190365</v>
      </c>
      <c r="Y641" s="30" t="n">
        <v>76211850</v>
      </c>
      <c r="Z641" s="30" t="n">
        <v>5235754095000</v>
      </c>
      <c r="AA641" s="30" t="n">
        <v>59813036700</v>
      </c>
      <c r="AB641" s="30" t="n">
        <v>34400709115</v>
      </c>
      <c r="AC641" s="35" t="n">
        <v>0.01142395834768478</v>
      </c>
      <c r="AD641" s="24" t="inlineStr">
        <is>
          <t>yfinance_download</t>
        </is>
      </c>
      <c r="AE641" s="24" t="inlineStr">
        <is>
          <t>058470.KQ</t>
        </is>
      </c>
    </row>
    <row r="642" ht="24" customHeight="1">
      <c r="A642" s="29" t="inlineStr">
        <is>
          <t>2026-01-26</t>
        </is>
      </c>
      <c r="B642" s="31" t="n">
        <v>71900</v>
      </c>
      <c r="C642" s="31" t="n">
        <v>76000</v>
      </c>
      <c r="D642" s="31" t="n">
        <v>71200</v>
      </c>
      <c r="E642" s="31" t="n">
        <v>75300</v>
      </c>
      <c r="F642" s="31" t="n">
        <v>75300</v>
      </c>
      <c r="G642" s="31" t="n">
        <v>1993462</v>
      </c>
      <c r="H642" s="36" t="n">
        <v>0.09606986899563319</v>
      </c>
      <c r="I642" s="36" t="n">
        <v>0</v>
      </c>
      <c r="J642" s="31" t="n">
        <v>64755</v>
      </c>
      <c r="K642" s="31" t="n">
        <v>61943.33333333334</v>
      </c>
      <c r="L642" s="31" t="n">
        <v>56111.25</v>
      </c>
      <c r="M642" s="36" t="n">
        <v>0.4919712701262807</v>
      </c>
      <c r="N642" s="36" t="n">
        <v>0.5157028957213973</v>
      </c>
      <c r="O642" s="36" t="n">
        <v>0.2364532019704433</v>
      </c>
      <c r="P642" s="36" t="n">
        <v>0.2893835616438356</v>
      </c>
      <c r="Q642" s="36" t="n">
        <v>0.6072572038420492</v>
      </c>
      <c r="R642" s="36" t="n">
        <v>0.1628445679870281</v>
      </c>
      <c r="S642" s="36" t="n">
        <v>0.2156271861378678</v>
      </c>
      <c r="T642" s="36" t="n">
        <v>0.3419768762948607</v>
      </c>
      <c r="U642" s="31" t="n">
        <v>75300</v>
      </c>
      <c r="V642" s="31" t="n">
        <v>34460</v>
      </c>
      <c r="W642" s="36" t="n">
        <v>0</v>
      </c>
      <c r="X642" s="36" t="n">
        <v>1.18514219384794</v>
      </c>
      <c r="Y642" s="31" t="n">
        <v>76211850</v>
      </c>
      <c r="Z642" s="31" t="n">
        <v>5738752305000</v>
      </c>
      <c r="AA642" s="31" t="n">
        <v>150107688600</v>
      </c>
      <c r="AB642" s="31" t="n">
        <v>41266110670</v>
      </c>
      <c r="AC642" s="36" t="n">
        <v>0.02615685093591089</v>
      </c>
      <c r="AD642" s="29" t="inlineStr">
        <is>
          <t>yfinance_download</t>
        </is>
      </c>
      <c r="AE642" s="29" t="inlineStr">
        <is>
          <t>058470.KQ</t>
        </is>
      </c>
    </row>
    <row r="643" ht="24" customHeight="1">
      <c r="A643" s="24" t="inlineStr">
        <is>
          <t>2026-01-27</t>
        </is>
      </c>
      <c r="B643" s="30" t="n">
        <v>75300</v>
      </c>
      <c r="C643" s="30" t="n">
        <v>84800</v>
      </c>
      <c r="D643" s="30" t="n">
        <v>74900</v>
      </c>
      <c r="E643" s="30" t="n">
        <v>83300</v>
      </c>
      <c r="F643" s="30" t="n">
        <v>83300</v>
      </c>
      <c r="G643" s="30" t="n">
        <v>2020852</v>
      </c>
      <c r="H643" s="35" t="n">
        <v>0.1062416998671978</v>
      </c>
      <c r="I643" s="35" t="n">
        <v>0</v>
      </c>
      <c r="J643" s="30" t="n">
        <v>65865</v>
      </c>
      <c r="K643" s="30" t="n">
        <v>62361.66666666666</v>
      </c>
      <c r="L643" s="30" t="n">
        <v>56412.5</v>
      </c>
      <c r="M643" s="35" t="n">
        <v>0.595172137080679</v>
      </c>
      <c r="N643" s="35" t="n">
        <v>0.5556992633141969</v>
      </c>
      <c r="O643" s="35" t="n">
        <v>0.3633387888707038</v>
      </c>
      <c r="P643" s="35" t="n">
        <v>0.4312714776632303</v>
      </c>
      <c r="Q643" s="35" t="n">
        <v>0.7667020148462353</v>
      </c>
      <c r="R643" s="35" t="n">
        <v>0.2647081150838837</v>
      </c>
      <c r="S643" s="35" t="n">
        <v>0.3357564743298502</v>
      </c>
      <c r="T643" s="35" t="n">
        <v>0.4766230888544205</v>
      </c>
      <c r="U643" s="30" t="n">
        <v>83300</v>
      </c>
      <c r="V643" s="30" t="n">
        <v>34460</v>
      </c>
      <c r="W643" s="35" t="n">
        <v>0</v>
      </c>
      <c r="X643" s="35" t="n">
        <v>1.417295414973883</v>
      </c>
      <c r="Y643" s="30" t="n">
        <v>76211850</v>
      </c>
      <c r="Z643" s="30" t="n">
        <v>6348447105000</v>
      </c>
      <c r="AA643" s="30" t="n">
        <v>168336971600</v>
      </c>
      <c r="AB643" s="30" t="n">
        <v>48671296000</v>
      </c>
      <c r="AC643" s="35" t="n">
        <v>0.02651624386496326</v>
      </c>
      <c r="AD643" s="24" t="inlineStr">
        <is>
          <t>yfinance_download</t>
        </is>
      </c>
      <c r="AE643" s="24" t="inlineStr">
        <is>
          <t>058470.KQ</t>
        </is>
      </c>
    </row>
    <row r="644" ht="24" customHeight="1">
      <c r="A644" s="29" t="inlineStr">
        <is>
          <t>2026-01-28</t>
        </is>
      </c>
      <c r="B644" s="31" t="n">
        <v>85900</v>
      </c>
      <c r="C644" s="31" t="n">
        <v>86900</v>
      </c>
      <c r="D644" s="31" t="n">
        <v>80500</v>
      </c>
      <c r="E644" s="31" t="n">
        <v>86900</v>
      </c>
      <c r="F644" s="31" t="n">
        <v>86900</v>
      </c>
      <c r="G644" s="31" t="n">
        <v>1972865</v>
      </c>
      <c r="H644" s="36" t="n">
        <v>0.04321728691476601</v>
      </c>
      <c r="I644" s="36" t="n">
        <v>0</v>
      </c>
      <c r="J644" s="31" t="n">
        <v>67165</v>
      </c>
      <c r="K644" s="31" t="n">
        <v>62848.33333333334</v>
      </c>
      <c r="L644" s="31" t="n">
        <v>56739.16666666666</v>
      </c>
      <c r="M644" s="36" t="n">
        <v>0.5978115586289188</v>
      </c>
      <c r="N644" s="36" t="n">
        <v>0.5597863970182357</v>
      </c>
      <c r="O644" s="36" t="n">
        <v>0.4269293924466337</v>
      </c>
      <c r="P644" s="36" t="n">
        <v>0.5060658578856152</v>
      </c>
      <c r="Q644" s="36" t="n">
        <v>0.8218029350104821</v>
      </c>
      <c r="R644" s="36" t="n">
        <v>0.2938286309833991</v>
      </c>
      <c r="S644" s="36" t="n">
        <v>0.3826937866291866</v>
      </c>
      <c r="T644" s="36" t="n">
        <v>0.5315699032120669</v>
      </c>
      <c r="U644" s="31" t="n">
        <v>86900</v>
      </c>
      <c r="V644" s="31" t="n">
        <v>34460</v>
      </c>
      <c r="W644" s="36" t="n">
        <v>0</v>
      </c>
      <c r="X644" s="36" t="n">
        <v>1.521764364480557</v>
      </c>
      <c r="Y644" s="31" t="n">
        <v>76211850</v>
      </c>
      <c r="Z644" s="31" t="n">
        <v>6622809765000</v>
      </c>
      <c r="AA644" s="31" t="n">
        <v>171441968500</v>
      </c>
      <c r="AB644" s="31" t="n">
        <v>55775509545</v>
      </c>
      <c r="AC644" s="36" t="n">
        <v>0.02588659112723284</v>
      </c>
      <c r="AD644" s="29" t="inlineStr">
        <is>
          <t>yfinance_download</t>
        </is>
      </c>
      <c r="AE644" s="29" t="inlineStr">
        <is>
          <t>058470.KQ</t>
        </is>
      </c>
    </row>
    <row r="645" ht="24" customHeight="1">
      <c r="A645" s="24" t="inlineStr">
        <is>
          <t>2026-01-29</t>
        </is>
      </c>
      <c r="B645" s="30" t="n">
        <v>94000</v>
      </c>
      <c r="C645" s="30" t="n">
        <v>96000</v>
      </c>
      <c r="D645" s="30" t="n">
        <v>85200</v>
      </c>
      <c r="E645" s="30" t="n">
        <v>92100</v>
      </c>
      <c r="F645" s="30" t="n">
        <v>92100</v>
      </c>
      <c r="G645" s="30" t="n">
        <v>2413540</v>
      </c>
      <c r="H645" s="35" t="n">
        <v>0.05983889528193331</v>
      </c>
      <c r="I645" s="35" t="n">
        <v>0</v>
      </c>
      <c r="J645" s="30" t="n">
        <v>68755</v>
      </c>
      <c r="K645" s="30" t="n">
        <v>63416.66666666666</v>
      </c>
      <c r="L645" s="30" t="n">
        <v>57130.41666666666</v>
      </c>
      <c r="M645" s="35" t="n">
        <v>0.6049892977635029</v>
      </c>
      <c r="N645" s="35" t="n">
        <v>0.5699583151778216</v>
      </c>
      <c r="O645" s="35" t="n">
        <v>0.527363184079602</v>
      </c>
      <c r="P645" s="35" t="n">
        <v>0.5879310344827586</v>
      </c>
      <c r="Q645" s="35" t="n">
        <v>1.039867109634551</v>
      </c>
      <c r="R645" s="35" t="n">
        <v>0.3395389426223547</v>
      </c>
      <c r="S645" s="35" t="n">
        <v>0.452299605781866</v>
      </c>
      <c r="T645" s="35" t="n">
        <v>0.6121009678148681</v>
      </c>
      <c r="U645" s="30" t="n">
        <v>92100</v>
      </c>
      <c r="V645" s="30" t="n">
        <v>34460</v>
      </c>
      <c r="W645" s="35" t="n">
        <v>0</v>
      </c>
      <c r="X645" s="35" t="n">
        <v>1.67266395821242</v>
      </c>
      <c r="Y645" s="30" t="n">
        <v>76211850</v>
      </c>
      <c r="Z645" s="30" t="n">
        <v>7019111385000</v>
      </c>
      <c r="AA645" s="30" t="n">
        <v>222287034000</v>
      </c>
      <c r="AB645" s="30" t="n">
        <v>65949642540</v>
      </c>
      <c r="AC645" s="35" t="n">
        <v>0.0316688284039818</v>
      </c>
      <c r="AD645" s="24" t="inlineStr">
        <is>
          <t>yfinance_download</t>
        </is>
      </c>
      <c r="AE645" s="24" t="inlineStr">
        <is>
          <t>058470.KQ</t>
        </is>
      </c>
    </row>
    <row r="646" ht="24" customHeight="1">
      <c r="A646" s="29" t="inlineStr">
        <is>
          <t>2026-01-30</t>
        </is>
      </c>
      <c r="B646" s="31" t="n">
        <v>92800</v>
      </c>
      <c r="C646" s="31" t="n">
        <v>114300</v>
      </c>
      <c r="D646" s="31" t="n">
        <v>92300</v>
      </c>
      <c r="E646" s="31" t="n">
        <v>105900</v>
      </c>
      <c r="F646" s="31" t="n">
        <v>105900</v>
      </c>
      <c r="G646" s="31" t="n">
        <v>3108007</v>
      </c>
      <c r="H646" s="36" t="n">
        <v>0.1498371335504887</v>
      </c>
      <c r="I646" s="36" t="n">
        <v>0</v>
      </c>
      <c r="J646" s="31" t="n">
        <v>70805</v>
      </c>
      <c r="K646" s="31" t="n">
        <v>64200</v>
      </c>
      <c r="L646" s="31" t="n">
        <v>57637.08333333334</v>
      </c>
      <c r="M646" s="36" t="n">
        <v>0.734821436252828</v>
      </c>
      <c r="N646" s="36" t="n">
        <v>0.6394118104407357</v>
      </c>
      <c r="O646" s="36" t="n">
        <v>0.6317411402157165</v>
      </c>
      <c r="P646" s="36" t="n">
        <v>0.797962648556876</v>
      </c>
      <c r="Q646" s="36" t="n">
        <v>1.348115299334812</v>
      </c>
      <c r="R646" s="36" t="n">
        <v>0.4956570863639573</v>
      </c>
      <c r="S646" s="36" t="n">
        <v>0.6495327102803738</v>
      </c>
      <c r="T646" s="36" t="n">
        <v>0.8373587606358752</v>
      </c>
      <c r="U646" s="31" t="n">
        <v>105900</v>
      </c>
      <c r="V646" s="31" t="n">
        <v>34460</v>
      </c>
      <c r="W646" s="36" t="n">
        <v>0</v>
      </c>
      <c r="X646" s="36" t="n">
        <v>2.073128264654672</v>
      </c>
      <c r="Y646" s="31" t="n">
        <v>76211850</v>
      </c>
      <c r="Z646" s="31" t="n">
        <v>8070834915000</v>
      </c>
      <c r="AA646" s="31" t="n">
        <v>329137941300</v>
      </c>
      <c r="AB646" s="31" t="n">
        <v>79979587880</v>
      </c>
      <c r="AC646" s="36" t="n">
        <v>0.04078115148759674</v>
      </c>
      <c r="AD646" s="29" t="inlineStr">
        <is>
          <t>yfinance_download</t>
        </is>
      </c>
      <c r="AE646" s="29" t="inlineStr">
        <is>
          <t>058470.KQ</t>
        </is>
      </c>
    </row>
    <row r="647" ht="24" customHeight="1">
      <c r="A647" s="24" t="inlineStr">
        <is>
          <t>2026-02-02</t>
        </is>
      </c>
      <c r="B647" s="30" t="n">
        <v>100700</v>
      </c>
      <c r="C647" s="30" t="n">
        <v>101200</v>
      </c>
      <c r="D647" s="30" t="n">
        <v>93200</v>
      </c>
      <c r="E647" s="30" t="n">
        <v>94700</v>
      </c>
      <c r="F647" s="30" t="n">
        <v>94700</v>
      </c>
      <c r="G647" s="30" t="n">
        <v>2278250</v>
      </c>
      <c r="H647" s="35" t="n">
        <v>-0.1057601510859302</v>
      </c>
      <c r="I647" s="35" t="n">
        <v>-0.1057601510859302</v>
      </c>
      <c r="J647" s="30" t="n">
        <v>72290</v>
      </c>
      <c r="K647" s="30" t="n">
        <v>64855</v>
      </c>
      <c r="L647" s="30" t="n">
        <v>58042.91666666666</v>
      </c>
      <c r="M647" s="35" t="n">
        <v>0.8682854203752663</v>
      </c>
      <c r="N647" s="35" t="n">
        <v>0.6675176209785193</v>
      </c>
      <c r="O647" s="35" t="n">
        <v>0.456923076923077</v>
      </c>
      <c r="P647" s="35" t="n">
        <v>0.7093862815884477</v>
      </c>
      <c r="Q647" s="35" t="n">
        <v>1.058695652173913</v>
      </c>
      <c r="R647" s="35" t="n">
        <v>0.3100013833171946</v>
      </c>
      <c r="S647" s="35" t="n">
        <v>0.460180402436204</v>
      </c>
      <c r="T647" s="35" t="n">
        <v>0.6315513664458052</v>
      </c>
      <c r="U647" s="30" t="n">
        <v>105900</v>
      </c>
      <c r="V647" s="30" t="n">
        <v>34460</v>
      </c>
      <c r="W647" s="35" t="n">
        <v>-0.1057601510859302</v>
      </c>
      <c r="X647" s="35" t="n">
        <v>1.748113755078352</v>
      </c>
      <c r="Y647" s="30" t="n">
        <v>76211850</v>
      </c>
      <c r="Z647" s="30" t="n">
        <v>7217262195000</v>
      </c>
      <c r="AA647" s="30" t="n">
        <v>215750275000</v>
      </c>
      <c r="AB647" s="30" t="n">
        <v>88030218130</v>
      </c>
      <c r="AC647" s="35" t="n">
        <v>0.02989364514835947</v>
      </c>
      <c r="AD647" s="24" t="inlineStr">
        <is>
          <t>yfinance_download</t>
        </is>
      </c>
      <c r="AE647" s="24" t="inlineStr">
        <is>
          <t>058470.KQ</t>
        </is>
      </c>
    </row>
    <row r="648" ht="24" customHeight="1">
      <c r="A648" s="29" t="inlineStr">
        <is>
          <t>2026-02-03</t>
        </is>
      </c>
      <c r="B648" s="31" t="n">
        <v>97500</v>
      </c>
      <c r="C648" s="31" t="n">
        <v>100000</v>
      </c>
      <c r="D648" s="31" t="n">
        <v>93000</v>
      </c>
      <c r="E648" s="31" t="n">
        <v>96600</v>
      </c>
      <c r="F648" s="31" t="n">
        <v>96600</v>
      </c>
      <c r="G648" s="31" t="n">
        <v>2296186</v>
      </c>
      <c r="H648" s="36" t="n">
        <v>0.02006335797254488</v>
      </c>
      <c r="I648" s="36" t="n">
        <v>-0.08781869688385269</v>
      </c>
      <c r="J648" s="31" t="n">
        <v>73805</v>
      </c>
      <c r="K648" s="31" t="n">
        <v>65505</v>
      </c>
      <c r="L648" s="31" t="n">
        <v>58467.5</v>
      </c>
      <c r="M648" s="36" t="n">
        <v>0.8682850836214139</v>
      </c>
      <c r="N648" s="36" t="n">
        <v>0.6649693736409477</v>
      </c>
      <c r="O648" s="36" t="n">
        <v>0.4570135746606334</v>
      </c>
      <c r="P648" s="36" t="n">
        <v>0.6770833333333333</v>
      </c>
      <c r="Q648" s="36" t="n">
        <v>1.116100766703176</v>
      </c>
      <c r="R648" s="36" t="n">
        <v>0.3088544136576112</v>
      </c>
      <c r="S648" s="36" t="n">
        <v>0.474696588046714</v>
      </c>
      <c r="T648" s="36" t="n">
        <v>0.6521999401376832</v>
      </c>
      <c r="U648" s="31" t="n">
        <v>105900</v>
      </c>
      <c r="V648" s="31" t="n">
        <v>34460</v>
      </c>
      <c r="W648" s="36" t="n">
        <v>-0.08781869688385269</v>
      </c>
      <c r="X648" s="36" t="n">
        <v>1.803250145095763</v>
      </c>
      <c r="Y648" s="31" t="n">
        <v>76211850</v>
      </c>
      <c r="Z648" s="31" t="n">
        <v>7362064710000</v>
      </c>
      <c r="AA648" s="31" t="n">
        <v>221811567600</v>
      </c>
      <c r="AB648" s="31" t="n">
        <v>95917458970</v>
      </c>
      <c r="AC648" s="36" t="n">
        <v>0.03012898912701896</v>
      </c>
      <c r="AD648" s="29" t="inlineStr">
        <is>
          <t>yfinance_download</t>
        </is>
      </c>
      <c r="AE648" s="29" t="inlineStr">
        <is>
          <t>058470.KQ</t>
        </is>
      </c>
    </row>
    <row r="649" ht="24" customHeight="1">
      <c r="A649" s="24" t="inlineStr">
        <is>
          <t>2026-02-04</t>
        </is>
      </c>
      <c r="B649" s="30" t="n">
        <v>95600</v>
      </c>
      <c r="C649" s="30" t="n">
        <v>100500</v>
      </c>
      <c r="D649" s="30" t="n">
        <v>93600</v>
      </c>
      <c r="E649" s="30" t="n">
        <v>98200</v>
      </c>
      <c r="F649" s="30" t="n">
        <v>98200</v>
      </c>
      <c r="G649" s="30" t="n">
        <v>1181745</v>
      </c>
      <c r="H649" s="35" t="n">
        <v>0.01656314699792971</v>
      </c>
      <c r="I649" s="35" t="n">
        <v>-0.07271010387157695</v>
      </c>
      <c r="J649" s="30" t="n">
        <v>75505</v>
      </c>
      <c r="K649" s="30" t="n">
        <v>66226.66666666667</v>
      </c>
      <c r="L649" s="30" t="n">
        <v>58901.66666666666</v>
      </c>
      <c r="M649" s="35" t="n">
        <v>0.8465395394888263</v>
      </c>
      <c r="N649" s="35" t="n">
        <v>0.6546299148660976</v>
      </c>
      <c r="O649" s="35" t="n">
        <v>0.529595015576324</v>
      </c>
      <c r="P649" s="35" t="n">
        <v>0.7887067395264116</v>
      </c>
      <c r="Q649" s="35" t="n">
        <v>1.130151843817787</v>
      </c>
      <c r="R649" s="35" t="n">
        <v>0.3005761207867028</v>
      </c>
      <c r="S649" s="35" t="n">
        <v>0.4827863901751559</v>
      </c>
      <c r="T649" s="35" t="n">
        <v>0.6671854220310689</v>
      </c>
      <c r="U649" s="30" t="n">
        <v>105900</v>
      </c>
      <c r="V649" s="30" t="n">
        <v>34460</v>
      </c>
      <c r="W649" s="35" t="n">
        <v>-0.07271010387157695</v>
      </c>
      <c r="X649" s="35" t="n">
        <v>1.849680789320952</v>
      </c>
      <c r="Y649" s="30" t="n">
        <v>76211850</v>
      </c>
      <c r="Z649" s="30" t="n">
        <v>7484003670000</v>
      </c>
      <c r="AA649" s="30" t="n">
        <v>116047359000</v>
      </c>
      <c r="AB649" s="30" t="n">
        <v>99517924210</v>
      </c>
      <c r="AC649" s="35" t="n">
        <v>0.01550605319251534</v>
      </c>
      <c r="AD649" s="24" t="inlineStr">
        <is>
          <t>yfinance_download</t>
        </is>
      </c>
      <c r="AE649" s="24" t="inlineStr">
        <is>
          <t>058470.KQ</t>
        </is>
      </c>
    </row>
    <row r="650" ht="24" customHeight="1">
      <c r="A650" s="29" t="inlineStr">
        <is>
          <t>2026-02-05</t>
        </is>
      </c>
      <c r="B650" s="31" t="n">
        <v>94500</v>
      </c>
      <c r="C650" s="31" t="n">
        <v>98800</v>
      </c>
      <c r="D650" s="31" t="n">
        <v>94200</v>
      </c>
      <c r="E650" s="31" t="n">
        <v>95700</v>
      </c>
      <c r="F650" s="31" t="n">
        <v>95700</v>
      </c>
      <c r="G650" s="31" t="n">
        <v>1038541</v>
      </c>
      <c r="H650" s="36" t="n">
        <v>-0.02545824847250511</v>
      </c>
      <c r="I650" s="36" t="n">
        <v>-0.09631728045325783</v>
      </c>
      <c r="J650" s="31" t="n">
        <v>77075</v>
      </c>
      <c r="K650" s="31" t="n">
        <v>66873.33333333333</v>
      </c>
      <c r="L650" s="31" t="n">
        <v>59313.75</v>
      </c>
      <c r="M650" s="36" t="n">
        <v>0.8608387789918119</v>
      </c>
      <c r="N650" s="36" t="n">
        <v>0.6564640342840096</v>
      </c>
      <c r="O650" s="36" t="n">
        <v>0.4883359253499222</v>
      </c>
      <c r="P650" s="36" t="n">
        <v>0.6818980667838312</v>
      </c>
      <c r="Q650" s="36" t="n">
        <v>1.069189189189189</v>
      </c>
      <c r="R650" s="36" t="n">
        <v>0.2416477457022381</v>
      </c>
      <c r="S650" s="36" t="n">
        <v>0.4310637025221813</v>
      </c>
      <c r="T650" s="36" t="n">
        <v>0.6134538787380666</v>
      </c>
      <c r="U650" s="31" t="n">
        <v>105900</v>
      </c>
      <c r="V650" s="31" t="n">
        <v>34460</v>
      </c>
      <c r="W650" s="36" t="n">
        <v>-0.09631728045325783</v>
      </c>
      <c r="X650" s="36" t="n">
        <v>1.777132907719094</v>
      </c>
      <c r="Y650" s="31" t="n">
        <v>76211850</v>
      </c>
      <c r="Z650" s="31" t="n">
        <v>7293474045000</v>
      </c>
      <c r="AA650" s="31" t="n">
        <v>99388373700</v>
      </c>
      <c r="AB650" s="31" t="n">
        <v>102874412760</v>
      </c>
      <c r="AC650" s="36" t="n">
        <v>0.01362702781785247</v>
      </c>
      <c r="AD650" s="29" t="inlineStr">
        <is>
          <t>yfinance_download</t>
        </is>
      </c>
      <c r="AE650" s="29" t="inlineStr">
        <is>
          <t>058470.KQ</t>
        </is>
      </c>
    </row>
    <row r="651" ht="24" customHeight="1">
      <c r="A651" s="24" t="inlineStr">
        <is>
          <t>2026-02-06</t>
        </is>
      </c>
      <c r="B651" s="30" t="n">
        <v>94400</v>
      </c>
      <c r="C651" s="30" t="n">
        <v>96400</v>
      </c>
      <c r="D651" s="30" t="n">
        <v>90200</v>
      </c>
      <c r="E651" s="30" t="n">
        <v>95700</v>
      </c>
      <c r="F651" s="30" t="n">
        <v>95700</v>
      </c>
      <c r="G651" s="30" t="n">
        <v>1036216</v>
      </c>
      <c r="H651" s="35" t="n">
        <v>0</v>
      </c>
      <c r="I651" s="35" t="n">
        <v>-0.09631728045325783</v>
      </c>
      <c r="J651" s="30" t="n">
        <v>78725</v>
      </c>
      <c r="K651" s="30" t="n">
        <v>67516.66666666667</v>
      </c>
      <c r="L651" s="30" t="n">
        <v>59721.25</v>
      </c>
      <c r="M651" s="35" t="n">
        <v>0.8475064612923301</v>
      </c>
      <c r="N651" s="35" t="n">
        <v>0.6566408344946314</v>
      </c>
      <c r="O651" s="35" t="n">
        <v>0.5263157894736843</v>
      </c>
      <c r="P651" s="35" t="n">
        <v>0.6760070052539404</v>
      </c>
      <c r="Q651" s="35" t="n">
        <v>1.044871794871795</v>
      </c>
      <c r="R651" s="35" t="n">
        <v>0.2156240076214671</v>
      </c>
      <c r="S651" s="35" t="n">
        <v>0.4174277956060231</v>
      </c>
      <c r="T651" s="35" t="n">
        <v>0.6024446909600853</v>
      </c>
      <c r="U651" s="30" t="n">
        <v>105900</v>
      </c>
      <c r="V651" s="30" t="n">
        <v>34460</v>
      </c>
      <c r="W651" s="35" t="n">
        <v>-0.09631728045325783</v>
      </c>
      <c r="X651" s="35" t="n">
        <v>1.777132907719094</v>
      </c>
      <c r="Y651" s="30" t="n">
        <v>76211850</v>
      </c>
      <c r="Z651" s="30" t="n">
        <v>7293474045000</v>
      </c>
      <c r="AA651" s="30" t="n">
        <v>99165871200</v>
      </c>
      <c r="AB651" s="30" t="n">
        <v>105708286110</v>
      </c>
      <c r="AC651" s="35" t="n">
        <v>0.01359652075103806</v>
      </c>
      <c r="AD651" s="24" t="inlineStr">
        <is>
          <t>yfinance_download</t>
        </is>
      </c>
      <c r="AE651" s="24" t="inlineStr">
        <is>
          <t>058470.KQ</t>
        </is>
      </c>
    </row>
    <row r="652" ht="24" customHeight="1">
      <c r="A652" s="29" t="inlineStr">
        <is>
          <t>2026-02-09</t>
        </is>
      </c>
      <c r="B652" s="31" t="n">
        <v>99700</v>
      </c>
      <c r="C652" s="31" t="n">
        <v>100000</v>
      </c>
      <c r="D652" s="31" t="n">
        <v>96700</v>
      </c>
      <c r="E652" s="31" t="n">
        <v>99000</v>
      </c>
      <c r="F652" s="31" t="n">
        <v>99000</v>
      </c>
      <c r="G652" s="31" t="n">
        <v>835970</v>
      </c>
      <c r="H652" s="36" t="n">
        <v>0.03448275862068972</v>
      </c>
      <c r="I652" s="36" t="n">
        <v>-0.06515580736543913</v>
      </c>
      <c r="J652" s="31" t="n">
        <v>80530</v>
      </c>
      <c r="K652" s="31" t="n">
        <v>68218.33333333333</v>
      </c>
      <c r="L652" s="31" t="n">
        <v>60162.08333333334</v>
      </c>
      <c r="M652" s="36" t="n">
        <v>0.8452347687196864</v>
      </c>
      <c r="N652" s="36" t="n">
        <v>0.6580509977160924</v>
      </c>
      <c r="O652" s="36" t="n">
        <v>0.5739268680445151</v>
      </c>
      <c r="P652" s="36" t="n">
        <v>0.7398945518453428</v>
      </c>
      <c r="Q652" s="36" t="n">
        <v>1.147505422993492</v>
      </c>
      <c r="R652" s="36" t="n">
        <v>0.229355519682106</v>
      </c>
      <c r="S652" s="36" t="n">
        <v>0.4512227895726957</v>
      </c>
      <c r="T652" s="36" t="n">
        <v>0.6455547167720532</v>
      </c>
      <c r="U652" s="31" t="n">
        <v>105900</v>
      </c>
      <c r="V652" s="31" t="n">
        <v>34460</v>
      </c>
      <c r="W652" s="36" t="n">
        <v>-0.06515580736543913</v>
      </c>
      <c r="X652" s="36" t="n">
        <v>1.872896111433546</v>
      </c>
      <c r="Y652" s="31" t="n">
        <v>76211850</v>
      </c>
      <c r="Z652" s="31" t="n">
        <v>7544973150000</v>
      </c>
      <c r="AA652" s="31" t="n">
        <v>82761030000</v>
      </c>
      <c r="AB652" s="31" t="n">
        <v>108712741230</v>
      </c>
      <c r="AC652" s="36" t="n">
        <v>0.01096902909455682</v>
      </c>
      <c r="AD652" s="29" t="inlineStr">
        <is>
          <t>yfinance_download</t>
        </is>
      </c>
      <c r="AE652" s="29" t="inlineStr">
        <is>
          <t>058470.KQ</t>
        </is>
      </c>
    </row>
    <row r="653" ht="24" customHeight="1">
      <c r="A653" s="24" t="inlineStr">
        <is>
          <t>2026-02-10</t>
        </is>
      </c>
      <c r="B653" s="30" t="n">
        <v>98100</v>
      </c>
      <c r="C653" s="30" t="n">
        <v>99000</v>
      </c>
      <c r="D653" s="30" t="n">
        <v>95600</v>
      </c>
      <c r="E653" s="30" t="n">
        <v>96600</v>
      </c>
      <c r="F653" s="30" t="n">
        <v>96600</v>
      </c>
      <c r="G653" s="30" t="n">
        <v>569910</v>
      </c>
      <c r="H653" s="35" t="n">
        <v>-0.02424242424242429</v>
      </c>
      <c r="I653" s="35" t="n">
        <v>-0.08781869688385269</v>
      </c>
      <c r="J653" s="30" t="n">
        <v>82180</v>
      </c>
      <c r="K653" s="30" t="n">
        <v>68891.66666666667</v>
      </c>
      <c r="L653" s="30" t="n">
        <v>60570.41666666666</v>
      </c>
      <c r="M653" s="35" t="n">
        <v>0.8616833588845677</v>
      </c>
      <c r="N653" s="35" t="n">
        <v>0.6602379631109718</v>
      </c>
      <c r="O653" s="35" t="n">
        <v>0.5188679245283019</v>
      </c>
      <c r="P653" s="35" t="n">
        <v>0.7188612099644127</v>
      </c>
      <c r="Q653" s="35" t="n">
        <v>1.029411764705882</v>
      </c>
      <c r="R653" s="35" t="n">
        <v>0.1754684838160137</v>
      </c>
      <c r="S653" s="35" t="n">
        <v>0.4022015241320913</v>
      </c>
      <c r="T653" s="35" t="n">
        <v>0.5948379640776231</v>
      </c>
      <c r="U653" s="30" t="n">
        <v>105900</v>
      </c>
      <c r="V653" s="30" t="n">
        <v>34460</v>
      </c>
      <c r="W653" s="35" t="n">
        <v>-0.08781869688385269</v>
      </c>
      <c r="X653" s="35" t="n">
        <v>1.803250145095763</v>
      </c>
      <c r="Y653" s="30" t="n">
        <v>76211850</v>
      </c>
      <c r="Z653" s="30" t="n">
        <v>7362064710000</v>
      </c>
      <c r="AA653" s="30" t="n">
        <v>55053306000</v>
      </c>
      <c r="AB653" s="30" t="n">
        <v>110198783910</v>
      </c>
      <c r="AC653" s="35" t="n">
        <v>0.007477970945463206</v>
      </c>
      <c r="AD653" s="24" t="inlineStr">
        <is>
          <t>yfinance_download</t>
        </is>
      </c>
      <c r="AE653" s="24" t="inlineStr">
        <is>
          <t>058470.KQ</t>
        </is>
      </c>
    </row>
    <row r="654" ht="24" customHeight="1">
      <c r="A654" s="29" t="inlineStr">
        <is>
          <t>2026-02-11</t>
        </is>
      </c>
      <c r="B654" s="31" t="n">
        <v>96100</v>
      </c>
      <c r="C654" s="31" t="n">
        <v>97200</v>
      </c>
      <c r="D654" s="31" t="n">
        <v>94600</v>
      </c>
      <c r="E654" s="31" t="n">
        <v>95000</v>
      </c>
      <c r="F654" s="31" t="n">
        <v>95000</v>
      </c>
      <c r="G654" s="31" t="n">
        <v>502786</v>
      </c>
      <c r="H654" s="36" t="n">
        <v>-0.0165631469979296</v>
      </c>
      <c r="I654" s="36" t="n">
        <v>-0.1029272898961284</v>
      </c>
      <c r="J654" s="31" t="n">
        <v>83700</v>
      </c>
      <c r="K654" s="31" t="n">
        <v>69533.33333333333</v>
      </c>
      <c r="L654" s="31" t="n">
        <v>60971.66666666666</v>
      </c>
      <c r="M654" s="36" t="n">
        <v>0.8725947099194801</v>
      </c>
      <c r="N654" s="36" t="n">
        <v>0.6624055748474313</v>
      </c>
      <c r="O654" s="36" t="n">
        <v>0.4705882352941178</v>
      </c>
      <c r="P654" s="36" t="n">
        <v>0.6814159292035398</v>
      </c>
      <c r="Q654" s="36" t="n">
        <v>1.027748132337246</v>
      </c>
      <c r="R654" s="36" t="n">
        <v>0.135005973715651</v>
      </c>
      <c r="S654" s="36" t="n">
        <v>0.3662511984659638</v>
      </c>
      <c r="T654" s="36" t="n">
        <v>0.5581007571822978</v>
      </c>
      <c r="U654" s="31" t="n">
        <v>105900</v>
      </c>
      <c r="V654" s="31" t="n">
        <v>34460</v>
      </c>
      <c r="W654" s="36" t="n">
        <v>-0.1029272898961284</v>
      </c>
      <c r="X654" s="36" t="n">
        <v>1.756819500870574</v>
      </c>
      <c r="Y654" s="31" t="n">
        <v>76211850</v>
      </c>
      <c r="Z654" s="31" t="n">
        <v>7240125750000</v>
      </c>
      <c r="AA654" s="31" t="n">
        <v>47764670000</v>
      </c>
      <c r="AB654" s="31" t="n">
        <v>111303822390</v>
      </c>
      <c r="AC654" s="36" t="n">
        <v>0.006597215524882285</v>
      </c>
      <c r="AD654" s="29" t="inlineStr">
        <is>
          <t>yfinance_download</t>
        </is>
      </c>
      <c r="AE654" s="29" t="inlineStr">
        <is>
          <t>058470.KQ</t>
        </is>
      </c>
    </row>
    <row r="655" ht="24" customHeight="1">
      <c r="A655" s="24" t="inlineStr">
        <is>
          <t>2026-02-12</t>
        </is>
      </c>
      <c r="B655" s="30" t="n">
        <v>97200</v>
      </c>
      <c r="C655" s="30" t="n">
        <v>98100</v>
      </c>
      <c r="D655" s="30" t="n">
        <v>95100</v>
      </c>
      <c r="E655" s="30" t="n">
        <v>98100</v>
      </c>
      <c r="F655" s="30" t="n">
        <v>98100</v>
      </c>
      <c r="G655" s="30" t="n">
        <v>677049</v>
      </c>
      <c r="H655" s="35" t="n">
        <v>0.03263157894736834</v>
      </c>
      <c r="I655" s="35" t="n">
        <v>-0.07365439093484416</v>
      </c>
      <c r="J655" s="30" t="n">
        <v>85365</v>
      </c>
      <c r="K655" s="30" t="n">
        <v>70183.33333333333</v>
      </c>
      <c r="L655" s="30" t="n">
        <v>61403.33333333334</v>
      </c>
      <c r="M655" s="35" t="n">
        <v>0.8709128083561284</v>
      </c>
      <c r="N655" s="35" t="n">
        <v>0.6598191399438559</v>
      </c>
      <c r="O655" s="35" t="n">
        <v>0.5138888888888888</v>
      </c>
      <c r="P655" s="35" t="n">
        <v>0.6598984771573604</v>
      </c>
      <c r="Q655" s="35" t="n">
        <v>1.118790496760259</v>
      </c>
      <c r="R655" s="35" t="n">
        <v>0.1491829204006325</v>
      </c>
      <c r="S655" s="35" t="n">
        <v>0.3977677511279982</v>
      </c>
      <c r="T655" s="35" t="n">
        <v>0.5976331360946745</v>
      </c>
      <c r="U655" s="30" t="n">
        <v>105900</v>
      </c>
      <c r="V655" s="30" t="n">
        <v>34460</v>
      </c>
      <c r="W655" s="35" t="n">
        <v>-0.07365439093484416</v>
      </c>
      <c r="X655" s="35" t="n">
        <v>1.846778874056878</v>
      </c>
      <c r="Y655" s="30" t="n">
        <v>76211850</v>
      </c>
      <c r="Z655" s="30" t="n">
        <v>7476382485000</v>
      </c>
      <c r="AA655" s="30" t="n">
        <v>66418506900</v>
      </c>
      <c r="AB655" s="30" t="n">
        <v>113450843895</v>
      </c>
      <c r="AC655" s="35" t="n">
        <v>0.008883775948228523</v>
      </c>
      <c r="AD655" s="24" t="inlineStr">
        <is>
          <t>yfinance_download</t>
        </is>
      </c>
      <c r="AE655" s="24" t="inlineStr">
        <is>
          <t>058470.KQ</t>
        </is>
      </c>
    </row>
    <row r="656" ht="24" customHeight="1">
      <c r="A656" s="29" t="inlineStr">
        <is>
          <t>2026-02-13</t>
        </is>
      </c>
      <c r="B656" s="31" t="n">
        <v>96100</v>
      </c>
      <c r="C656" s="31" t="n">
        <v>100200</v>
      </c>
      <c r="D656" s="31" t="n">
        <v>95800</v>
      </c>
      <c r="E656" s="31" t="n">
        <v>97500</v>
      </c>
      <c r="F656" s="31" t="n">
        <v>97500</v>
      </c>
      <c r="G656" s="31" t="n">
        <v>709273</v>
      </c>
      <c r="H656" s="36" t="n">
        <v>-0.006116207951070374</v>
      </c>
      <c r="I656" s="36" t="n">
        <v>-0.07932011331444755</v>
      </c>
      <c r="J656" s="31" t="n">
        <v>87005</v>
      </c>
      <c r="K656" s="31" t="n">
        <v>70860</v>
      </c>
      <c r="L656" s="31" t="n">
        <v>61827.5</v>
      </c>
      <c r="M656" s="36" t="n">
        <v>0.8727258277518936</v>
      </c>
      <c r="N656" s="36" t="n">
        <v>0.6534987119905673</v>
      </c>
      <c r="O656" s="36" t="n">
        <v>0.5069551777434311</v>
      </c>
      <c r="P656" s="36" t="n">
        <v>0.7135325131810193</v>
      </c>
      <c r="Q656" s="36" t="n">
        <v>1.092274678111588</v>
      </c>
      <c r="R656" s="36" t="n">
        <v>0.120625251422332</v>
      </c>
      <c r="S656" s="36" t="n">
        <v>0.375952582557155</v>
      </c>
      <c r="T656" s="36" t="n">
        <v>0.5769681775908779</v>
      </c>
      <c r="U656" s="31" t="n">
        <v>105900</v>
      </c>
      <c r="V656" s="31" t="n">
        <v>34460</v>
      </c>
      <c r="W656" s="36" t="n">
        <v>-0.07932011331444755</v>
      </c>
      <c r="X656" s="36" t="n">
        <v>1.829367382472432</v>
      </c>
      <c r="Y656" s="31" t="n">
        <v>76211850</v>
      </c>
      <c r="Z656" s="31" t="n">
        <v>7430655375000</v>
      </c>
      <c r="AA656" s="31" t="n">
        <v>69154117500</v>
      </c>
      <c r="AB656" s="31" t="n">
        <v>115108281975</v>
      </c>
      <c r="AC656" s="36" t="n">
        <v>0.009306597333616754</v>
      </c>
      <c r="AD656" s="29" t="inlineStr">
        <is>
          <t>yfinance_download</t>
        </is>
      </c>
      <c r="AE656" s="29" t="inlineStr">
        <is>
          <t>058470.KQ</t>
        </is>
      </c>
    </row>
    <row r="657" ht="24" customHeight="1">
      <c r="A657" s="24" t="inlineStr">
        <is>
          <t>2026-02-19</t>
        </is>
      </c>
      <c r="B657" s="30" t="n">
        <v>98200</v>
      </c>
      <c r="C657" s="30" t="n">
        <v>100400</v>
      </c>
      <c r="D657" s="30" t="n">
        <v>96100</v>
      </c>
      <c r="E657" s="30" t="n">
        <v>99800</v>
      </c>
      <c r="F657" s="30" t="n">
        <v>99800</v>
      </c>
      <c r="G657" s="30" t="n">
        <v>1091208</v>
      </c>
      <c r="H657" s="35" t="n">
        <v>0.02358974358974364</v>
      </c>
      <c r="I657" s="35" t="n">
        <v>-0.05760151085930121</v>
      </c>
      <c r="J657" s="30" t="n">
        <v>88700</v>
      </c>
      <c r="K657" s="30" t="n">
        <v>71588.33333333333</v>
      </c>
      <c r="L657" s="30" t="n">
        <v>62277.5</v>
      </c>
      <c r="M657" s="35" t="n">
        <v>0.872635855587748</v>
      </c>
      <c r="N657" s="35" t="n">
        <v>0.6521751581385875</v>
      </c>
      <c r="O657" s="35" t="n">
        <v>0.5144157814871018</v>
      </c>
      <c r="P657" s="35" t="n">
        <v>0.7789661319073085</v>
      </c>
      <c r="Q657" s="35" t="n">
        <v>1.179039301310044</v>
      </c>
      <c r="R657" s="35" t="n">
        <v>0.125140924464487</v>
      </c>
      <c r="S657" s="35" t="n">
        <v>0.3940819034758924</v>
      </c>
      <c r="T657" s="35" t="n">
        <v>0.6025049175063224</v>
      </c>
      <c r="U657" s="30" t="n">
        <v>105900</v>
      </c>
      <c r="V657" s="30" t="n">
        <v>34460</v>
      </c>
      <c r="W657" s="35" t="n">
        <v>-0.05760151085930121</v>
      </c>
      <c r="X657" s="35" t="n">
        <v>1.896111433546141</v>
      </c>
      <c r="Y657" s="30" t="n">
        <v>76211850</v>
      </c>
      <c r="Z657" s="30" t="n">
        <v>7605942630000</v>
      </c>
      <c r="AA657" s="30" t="n">
        <v>108902558400</v>
      </c>
      <c r="AB657" s="30" t="n">
        <v>119132652025</v>
      </c>
      <c r="AC657" s="35" t="n">
        <v>0.01431808832878352</v>
      </c>
      <c r="AD657" s="24" t="inlineStr">
        <is>
          <t>yfinance_download</t>
        </is>
      </c>
      <c r="AE657" s="24" t="inlineStr">
        <is>
          <t>058470.KQ</t>
        </is>
      </c>
    </row>
    <row r="658" ht="24" customHeight="1">
      <c r="A658" s="29" t="inlineStr">
        <is>
          <t>2026-02-20</t>
        </is>
      </c>
      <c r="B658" s="31" t="n">
        <v>99400</v>
      </c>
      <c r="C658" s="31" t="n">
        <v>99700</v>
      </c>
      <c r="D658" s="31" t="n">
        <v>95800</v>
      </c>
      <c r="E658" s="31" t="n">
        <v>96500</v>
      </c>
      <c r="F658" s="31" t="n">
        <v>96500</v>
      </c>
      <c r="G658" s="31" t="n">
        <v>860365</v>
      </c>
      <c r="H658" s="36" t="n">
        <v>-0.03306613226452904</v>
      </c>
      <c r="I658" s="36" t="n">
        <v>-0.0887629839471199</v>
      </c>
      <c r="J658" s="31" t="n">
        <v>90300</v>
      </c>
      <c r="K658" s="31" t="n">
        <v>72228.33333333333</v>
      </c>
      <c r="L658" s="31" t="n">
        <v>62711.66666666666</v>
      </c>
      <c r="M658" s="36" t="n">
        <v>0.8814367632097838</v>
      </c>
      <c r="N658" s="36" t="n">
        <v>0.6560282880556447</v>
      </c>
      <c r="O658" s="36" t="n">
        <v>0.4961240310077519</v>
      </c>
      <c r="P658" s="36" t="n">
        <v>0.6609294320137693</v>
      </c>
      <c r="Q658" s="36" t="n">
        <v>1.173423423423424</v>
      </c>
      <c r="R658" s="36" t="n">
        <v>0.06866002214839417</v>
      </c>
      <c r="S658" s="36" t="n">
        <v>0.3360407965479846</v>
      </c>
      <c r="T658" s="36" t="n">
        <v>0.5387886358200229</v>
      </c>
      <c r="U658" s="31" t="n">
        <v>105900</v>
      </c>
      <c r="V658" s="31" t="n">
        <v>34460</v>
      </c>
      <c r="W658" s="36" t="n">
        <v>-0.0887629839471199</v>
      </c>
      <c r="X658" s="36" t="n">
        <v>1.800348229831689</v>
      </c>
      <c r="Y658" s="31" t="n">
        <v>76211850</v>
      </c>
      <c r="Z658" s="31" t="n">
        <v>7354443525000</v>
      </c>
      <c r="AA658" s="31" t="n">
        <v>83025222500</v>
      </c>
      <c r="AB658" s="31" t="n">
        <v>121501565300</v>
      </c>
      <c r="AC658" s="36" t="n">
        <v>0.0112891236730246</v>
      </c>
      <c r="AD658" s="29" t="inlineStr">
        <is>
          <t>yfinance_download</t>
        </is>
      </c>
      <c r="AE658" s="29" t="inlineStr">
        <is>
          <t>058470.KQ</t>
        </is>
      </c>
    </row>
    <row r="659" ht="24" customHeight="1">
      <c r="A659" s="24" t="inlineStr">
        <is>
          <t>2026-02-23</t>
        </is>
      </c>
      <c r="B659" s="30" t="n">
        <v>95600</v>
      </c>
      <c r="C659" s="30" t="n">
        <v>98000</v>
      </c>
      <c r="D659" s="30" t="n">
        <v>95100</v>
      </c>
      <c r="E659" s="30" t="n">
        <v>96100</v>
      </c>
      <c r="F659" s="30" t="n">
        <v>96100</v>
      </c>
      <c r="G659" s="30" t="n">
        <v>667312</v>
      </c>
      <c r="H659" s="35" t="n">
        <v>-0.004145077720207224</v>
      </c>
      <c r="I659" s="35" t="n">
        <v>-0.09254013220018886</v>
      </c>
      <c r="J659" s="30" t="n">
        <v>91870</v>
      </c>
      <c r="K659" s="30" t="n">
        <v>72923.33333333333</v>
      </c>
      <c r="L659" s="30" t="n">
        <v>63137.91666666666</v>
      </c>
      <c r="M659" s="35" t="n">
        <v>0.8838450388687736</v>
      </c>
      <c r="N659" s="35" t="n">
        <v>0.6388573471154102</v>
      </c>
      <c r="O659" s="35" t="n">
        <v>0.4853168469860896</v>
      </c>
      <c r="P659" s="35" t="n">
        <v>0.7665441176470589</v>
      </c>
      <c r="Q659" s="35" t="n">
        <v>1.137931034482758</v>
      </c>
      <c r="R659" s="35" t="n">
        <v>0.04604332208555562</v>
      </c>
      <c r="S659" s="35" t="n">
        <v>0.3178223705261234</v>
      </c>
      <c r="T659" s="35" t="n">
        <v>0.5220647920227546</v>
      </c>
      <c r="U659" s="30" t="n">
        <v>105900</v>
      </c>
      <c r="V659" s="30" t="n">
        <v>34460</v>
      </c>
      <c r="W659" s="35" t="n">
        <v>-0.09254013220018886</v>
      </c>
      <c r="X659" s="35" t="n">
        <v>1.788740568775392</v>
      </c>
      <c r="Y659" s="30" t="n">
        <v>76211850</v>
      </c>
      <c r="Z659" s="30" t="n">
        <v>7323958785000</v>
      </c>
      <c r="AA659" s="30" t="n">
        <v>64128683200</v>
      </c>
      <c r="AB659" s="30" t="n">
        <v>123186795705</v>
      </c>
      <c r="AC659" s="35" t="n">
        <v>0.008756013664541668</v>
      </c>
      <c r="AD659" s="24" t="inlineStr">
        <is>
          <t>yfinance_download</t>
        </is>
      </c>
      <c r="AE659" s="24" t="inlineStr">
        <is>
          <t>058470.KQ</t>
        </is>
      </c>
    </row>
    <row r="660" ht="24" customHeight="1">
      <c r="A660" s="29" t="inlineStr">
        <is>
          <t>2026-02-24</t>
        </is>
      </c>
      <c r="B660" s="31" t="n">
        <v>95500</v>
      </c>
      <c r="C660" s="31" t="n">
        <v>97300</v>
      </c>
      <c r="D660" s="31" t="n">
        <v>94500</v>
      </c>
      <c r="E660" s="31" t="n">
        <v>97200</v>
      </c>
      <c r="F660" s="31" t="n">
        <v>97200</v>
      </c>
      <c r="G660" s="31" t="n">
        <v>691777</v>
      </c>
      <c r="H660" s="36" t="n">
        <v>0.01144640998959412</v>
      </c>
      <c r="I660" s="36" t="n">
        <v>-0.0821529745042493</v>
      </c>
      <c r="J660" s="31" t="n">
        <v>93445</v>
      </c>
      <c r="K660" s="31" t="n">
        <v>73603.33333333333</v>
      </c>
      <c r="L660" s="31" t="n">
        <v>63558.33333333334</v>
      </c>
      <c r="M660" s="36" t="n">
        <v>0.8843180544985103</v>
      </c>
      <c r="N660" s="36" t="n">
        <v>0.6364801855337483</v>
      </c>
      <c r="O660" s="36" t="n">
        <v>0.4794520547945205</v>
      </c>
      <c r="P660" s="36" t="n">
        <v>0.7234042553191489</v>
      </c>
      <c r="Q660" s="36" t="n">
        <v>1.079144385026738</v>
      </c>
      <c r="R660" s="36" t="n">
        <v>0.04018406549307074</v>
      </c>
      <c r="S660" s="36" t="n">
        <v>0.3205923644762467</v>
      </c>
      <c r="T660" s="36" t="n">
        <v>0.5293037891700536</v>
      </c>
      <c r="U660" s="31" t="n">
        <v>105900</v>
      </c>
      <c r="V660" s="31" t="n">
        <v>34460</v>
      </c>
      <c r="W660" s="36" t="n">
        <v>-0.0821529745042493</v>
      </c>
      <c r="X660" s="36" t="n">
        <v>1.820661636680209</v>
      </c>
      <c r="Y660" s="31" t="n">
        <v>76211850</v>
      </c>
      <c r="Z660" s="31" t="n">
        <v>7407791820000</v>
      </c>
      <c r="AA660" s="31" t="n">
        <v>67240724400</v>
      </c>
      <c r="AB660" s="31" t="n">
        <v>124886845305</v>
      </c>
      <c r="AC660" s="36" t="n">
        <v>0.009077026735343651</v>
      </c>
      <c r="AD660" s="29" t="inlineStr">
        <is>
          <t>yfinance_download</t>
        </is>
      </c>
      <c r="AE660" s="29" t="inlineStr">
        <is>
          <t>058470.KQ</t>
        </is>
      </c>
    </row>
    <row r="661" ht="24" customHeight="1">
      <c r="A661" s="24" t="inlineStr">
        <is>
          <t>2026-02-25</t>
        </is>
      </c>
      <c r="B661" s="30" t="n">
        <v>97900</v>
      </c>
      <c r="C661" s="30" t="n">
        <v>99000</v>
      </c>
      <c r="D661" s="30" t="n">
        <v>96400</v>
      </c>
      <c r="E661" s="30" t="n">
        <v>97200</v>
      </c>
      <c r="F661" s="30" t="n">
        <v>97200</v>
      </c>
      <c r="G661" s="30" t="n">
        <v>598103</v>
      </c>
      <c r="H661" s="35" t="n">
        <v>0</v>
      </c>
      <c r="I661" s="35" t="n">
        <v>-0.0821529745042493</v>
      </c>
      <c r="J661" s="30" t="n">
        <v>94870</v>
      </c>
      <c r="K661" s="30" t="n">
        <v>74171.66666666667</v>
      </c>
      <c r="L661" s="30" t="n">
        <v>63974.16666666666</v>
      </c>
      <c r="M661" s="35" t="n">
        <v>0.8824272400773071</v>
      </c>
      <c r="N661" s="35" t="n">
        <v>0.5948530581907779</v>
      </c>
      <c r="O661" s="35" t="n">
        <v>0.4148471615720524</v>
      </c>
      <c r="P661" s="35" t="n">
        <v>0.5404120443740095</v>
      </c>
      <c r="Q661" s="35" t="n">
        <v>1.054968287526427</v>
      </c>
      <c r="R661" s="35" t="n">
        <v>0.02455992410667229</v>
      </c>
      <c r="S661" s="35" t="n">
        <v>0.310473451228007</v>
      </c>
      <c r="T661" s="35" t="n">
        <v>0.5193632846591725</v>
      </c>
      <c r="U661" s="30" t="n">
        <v>105900</v>
      </c>
      <c r="V661" s="30" t="n">
        <v>34460</v>
      </c>
      <c r="W661" s="35" t="n">
        <v>-0.0821529745042493</v>
      </c>
      <c r="X661" s="35" t="n">
        <v>1.820661636680209</v>
      </c>
      <c r="Y661" s="30" t="n">
        <v>76211850</v>
      </c>
      <c r="Z661" s="30" t="n">
        <v>7407791820000</v>
      </c>
      <c r="AA661" s="30" t="n">
        <v>58135611600</v>
      </c>
      <c r="AB661" s="30" t="n">
        <v>124802974050</v>
      </c>
      <c r="AC661" s="35" t="n">
        <v>0.007847900293720728</v>
      </c>
      <c r="AD661" s="24" t="inlineStr">
        <is>
          <t>yfinance_download</t>
        </is>
      </c>
      <c r="AE661" s="24" t="inlineStr">
        <is>
          <t>058470.KQ</t>
        </is>
      </c>
    </row>
    <row r="662" ht="24" customHeight="1">
      <c r="A662" s="29" t="inlineStr">
        <is>
          <t>2026-02-26</t>
        </is>
      </c>
      <c r="B662" s="31" t="n">
        <v>101500</v>
      </c>
      <c r="C662" s="31" t="n">
        <v>109600</v>
      </c>
      <c r="D662" s="31" t="n">
        <v>99100</v>
      </c>
      <c r="E662" s="31" t="n">
        <v>106800</v>
      </c>
      <c r="F662" s="31" t="n">
        <v>106800</v>
      </c>
      <c r="G662" s="31" t="n">
        <v>1953534</v>
      </c>
      <c r="H662" s="36" t="n">
        <v>0.09876543209876543</v>
      </c>
      <c r="I662" s="36" t="n">
        <v>0</v>
      </c>
      <c r="J662" s="31" t="n">
        <v>96445</v>
      </c>
      <c r="K662" s="31" t="n">
        <v>74876.66666666667</v>
      </c>
      <c r="L662" s="31" t="n">
        <v>64466.66666666666</v>
      </c>
      <c r="M662" s="36" t="n">
        <v>0.8855986884898488</v>
      </c>
      <c r="N662" s="36" t="n">
        <v>0.6227583011789932</v>
      </c>
      <c r="O662" s="36" t="n">
        <v>0.4183266932270917</v>
      </c>
      <c r="P662" s="36" t="n">
        <v>0.655813953488372</v>
      </c>
      <c r="Q662" s="36" t="n">
        <v>1.238993710691824</v>
      </c>
      <c r="R662" s="36" t="n">
        <v>0.1073668930478511</v>
      </c>
      <c r="S662" s="36" t="n">
        <v>0.4263455460089924</v>
      </c>
      <c r="T662" s="36" t="n">
        <v>0.656670113753878</v>
      </c>
      <c r="U662" s="31" t="n">
        <v>106800</v>
      </c>
      <c r="V662" s="31" t="n">
        <v>34460</v>
      </c>
      <c r="W662" s="36" t="n">
        <v>0</v>
      </c>
      <c r="X662" s="36" t="n">
        <v>2.099245502031341</v>
      </c>
      <c r="Y662" s="31" t="n">
        <v>76211850</v>
      </c>
      <c r="Z662" s="31" t="n">
        <v>8139425580000</v>
      </c>
      <c r="AA662" s="31" t="n">
        <v>208637431200</v>
      </c>
      <c r="AB662" s="31" t="n">
        <v>127729461180</v>
      </c>
      <c r="AC662" s="36" t="n">
        <v>0.0256329429084847</v>
      </c>
      <c r="AD662" s="29" t="inlineStr">
        <is>
          <t>yfinance_download</t>
        </is>
      </c>
      <c r="AE662" s="29" t="inlineStr">
        <is>
          <t>058470.KQ</t>
        </is>
      </c>
    </row>
    <row r="663" ht="24" customHeight="1">
      <c r="A663" s="24" t="inlineStr">
        <is>
          <t>2026-02-27</t>
        </is>
      </c>
      <c r="B663" s="30" t="n">
        <v>101600</v>
      </c>
      <c r="C663" s="30" t="n">
        <v>108700</v>
      </c>
      <c r="D663" s="30" t="n">
        <v>100800</v>
      </c>
      <c r="E663" s="30" t="n">
        <v>106200</v>
      </c>
      <c r="F663" s="30" t="n">
        <v>106200</v>
      </c>
      <c r="G663" s="30" t="n">
        <v>1334311</v>
      </c>
      <c r="H663" s="35" t="n">
        <v>-0.005617977528089901</v>
      </c>
      <c r="I663" s="35" t="n">
        <v>-0.005617977528089901</v>
      </c>
      <c r="J663" s="30" t="n">
        <v>97590</v>
      </c>
      <c r="K663" s="30" t="n">
        <v>75566.66666666667</v>
      </c>
      <c r="L663" s="30" t="n">
        <v>64958.33333333334</v>
      </c>
      <c r="M663" s="35" t="n">
        <v>0.8266042643812763</v>
      </c>
      <c r="N663" s="35" t="n">
        <v>0.623432051476804</v>
      </c>
      <c r="O663" s="35" t="n">
        <v>0.2749099639855943</v>
      </c>
      <c r="P663" s="35" t="n">
        <v>0.6388888888888888</v>
      </c>
      <c r="Q663" s="35" t="n">
        <v>1.25</v>
      </c>
      <c r="R663" s="35" t="n">
        <v>0.08822625268982476</v>
      </c>
      <c r="S663" s="35" t="n">
        <v>0.4053815615350682</v>
      </c>
      <c r="T663" s="35" t="n">
        <v>0.6348941629249518</v>
      </c>
      <c r="U663" s="30" t="n">
        <v>106800</v>
      </c>
      <c r="V663" s="30" t="n">
        <v>34460</v>
      </c>
      <c r="W663" s="35" t="n">
        <v>-0.005617977528089901</v>
      </c>
      <c r="X663" s="35" t="n">
        <v>2.081834010446895</v>
      </c>
      <c r="Y663" s="30" t="n">
        <v>76211850</v>
      </c>
      <c r="Z663" s="30" t="n">
        <v>8093698470000</v>
      </c>
      <c r="AA663" s="30" t="n">
        <v>141703828200</v>
      </c>
      <c r="AB663" s="30" t="n">
        <v>126397804010</v>
      </c>
      <c r="AC663" s="35" t="n">
        <v>0.01750792035621757</v>
      </c>
      <c r="AD663" s="24" t="inlineStr">
        <is>
          <t>yfinance_download</t>
        </is>
      </c>
      <c r="AE663" s="24" t="inlineStr">
        <is>
          <t>058470.KQ</t>
        </is>
      </c>
    </row>
    <row r="664" ht="24" customHeight="1">
      <c r="A664" s="29" t="inlineStr">
        <is>
          <t>2026-03-03</t>
        </is>
      </c>
      <c r="B664" s="31" t="n">
        <v>105400</v>
      </c>
      <c r="C664" s="31" t="n">
        <v>128000</v>
      </c>
      <c r="D664" s="31" t="n">
        <v>104500</v>
      </c>
      <c r="E664" s="31" t="n">
        <v>111500</v>
      </c>
      <c r="F664" s="31" t="n">
        <v>111500</v>
      </c>
      <c r="G664" s="31" t="n">
        <v>3113773</v>
      </c>
      <c r="H664" s="36" t="n">
        <v>0.04990583804143123</v>
      </c>
      <c r="I664" s="36" t="n">
        <v>0</v>
      </c>
      <c r="J664" s="31" t="n">
        <v>98820</v>
      </c>
      <c r="K664" s="31" t="n">
        <v>76286.66666666667</v>
      </c>
      <c r="L664" s="31" t="n">
        <v>65495.83333333334</v>
      </c>
      <c r="M664" s="36" t="n">
        <v>0.8301298363720542</v>
      </c>
      <c r="N664" s="36" t="n">
        <v>0.6222213655688447</v>
      </c>
      <c r="O664" s="36" t="n">
        <v>0.2830840046029919</v>
      </c>
      <c r="P664" s="36" t="n">
        <v>0.6325036603221084</v>
      </c>
      <c r="Q664" s="36" t="n">
        <v>1.372340425531915</v>
      </c>
      <c r="R664" s="36" t="n">
        <v>0.128314106456183</v>
      </c>
      <c r="S664" s="36" t="n">
        <v>0.4615922397972558</v>
      </c>
      <c r="T664" s="36" t="n">
        <v>0.7023983713976716</v>
      </c>
      <c r="U664" s="31" t="n">
        <v>111500</v>
      </c>
      <c r="V664" s="31" t="n">
        <v>34460</v>
      </c>
      <c r="W664" s="36" t="n">
        <v>0</v>
      </c>
      <c r="X664" s="36" t="n">
        <v>2.235635519442832</v>
      </c>
      <c r="Y664" s="31" t="n">
        <v>76211850</v>
      </c>
      <c r="Z664" s="31" t="n">
        <v>8497621275000</v>
      </c>
      <c r="AA664" s="31" t="n">
        <v>347185689500</v>
      </c>
      <c r="AB664" s="31" t="n">
        <v>135184990060</v>
      </c>
      <c r="AC664" s="36" t="n">
        <v>0.04085680901329649</v>
      </c>
      <c r="AD664" s="29" t="inlineStr">
        <is>
          <t>yfinance_download</t>
        </is>
      </c>
      <c r="AE664" s="29" t="inlineStr">
        <is>
          <t>058470.KQ</t>
        </is>
      </c>
    </row>
    <row r="665" ht="24" customHeight="1">
      <c r="A665" s="24" t="inlineStr">
        <is>
          <t>2026-03-04</t>
        </is>
      </c>
      <c r="B665" s="30" t="n">
        <v>112700</v>
      </c>
      <c r="C665" s="30" t="n">
        <v>119900</v>
      </c>
      <c r="D665" s="30" t="n">
        <v>100600</v>
      </c>
      <c r="E665" s="30" t="n">
        <v>100900</v>
      </c>
      <c r="F665" s="30" t="n">
        <v>100900</v>
      </c>
      <c r="G665" s="30" t="n">
        <v>2737444</v>
      </c>
      <c r="H665" s="35" t="n">
        <v>-0.09506726457399106</v>
      </c>
      <c r="I665" s="35" t="n">
        <v>-0.09506726457399106</v>
      </c>
      <c r="J665" s="30" t="n">
        <v>99260</v>
      </c>
      <c r="K665" s="30" t="n">
        <v>76858.33333333333</v>
      </c>
      <c r="L665" s="30" t="n">
        <v>65951.25</v>
      </c>
      <c r="M665" s="35" t="n">
        <v>0.8957220530722423</v>
      </c>
      <c r="N665" s="35" t="n">
        <v>0.654309165744285</v>
      </c>
      <c r="O665" s="35" t="n">
        <v>0.09554831704668842</v>
      </c>
      <c r="P665" s="35" t="n">
        <v>0.515015015015015</v>
      </c>
      <c r="Q665" s="35" t="n">
        <v>1.181621621621622</v>
      </c>
      <c r="R665" s="35" t="n">
        <v>0.01652226475921825</v>
      </c>
      <c r="S665" s="35" t="n">
        <v>0.3128049441613359</v>
      </c>
      <c r="T665" s="35" t="n">
        <v>0.5299179318056899</v>
      </c>
      <c r="U665" s="30" t="n">
        <v>111500</v>
      </c>
      <c r="V665" s="30" t="n">
        <v>34460</v>
      </c>
      <c r="W665" s="35" t="n">
        <v>-0.09506726457399106</v>
      </c>
      <c r="X665" s="35" t="n">
        <v>1.928032501450958</v>
      </c>
      <c r="Y665" s="30" t="n">
        <v>76211850</v>
      </c>
      <c r="Z665" s="30" t="n">
        <v>7689775665000</v>
      </c>
      <c r="AA665" s="30" t="n">
        <v>276208099600</v>
      </c>
      <c r="AB665" s="30" t="n">
        <v>137881043340</v>
      </c>
      <c r="AC665" s="35" t="n">
        <v>0.03591887613277987</v>
      </c>
      <c r="AD665" s="24" t="inlineStr">
        <is>
          <t>yfinance_download</t>
        </is>
      </c>
      <c r="AE665" s="24" t="inlineStr">
        <is>
          <t>058470.KQ</t>
        </is>
      </c>
    </row>
    <row r="666" ht="24" customHeight="1">
      <c r="A666" s="29" t="inlineStr">
        <is>
          <t>2026-03-05</t>
        </is>
      </c>
      <c r="B666" s="31" t="n">
        <v>113700</v>
      </c>
      <c r="C666" s="31" t="n">
        <v>127500</v>
      </c>
      <c r="D666" s="31" t="n">
        <v>109800</v>
      </c>
      <c r="E666" s="31" t="n">
        <v>121400</v>
      </c>
      <c r="F666" s="31" t="n">
        <v>121400</v>
      </c>
      <c r="G666" s="31" t="n">
        <v>2584339</v>
      </c>
      <c r="H666" s="36" t="n">
        <v>0.2031714568880079</v>
      </c>
      <c r="I666" s="36" t="n">
        <v>0</v>
      </c>
      <c r="J666" s="31" t="n">
        <v>100035</v>
      </c>
      <c r="K666" s="31" t="n">
        <v>77788.33333333333</v>
      </c>
      <c r="L666" s="31" t="n">
        <v>66585.83333333333</v>
      </c>
      <c r="M666" s="36" t="n">
        <v>1.020571634306886</v>
      </c>
      <c r="N666" s="36" t="n">
        <v>0.7652491167904081</v>
      </c>
      <c r="O666" s="36" t="n">
        <v>0.1463644948064211</v>
      </c>
      <c r="P666" s="36" t="n">
        <v>0.850609756097561</v>
      </c>
      <c r="Q666" s="36" t="n">
        <v>1.682872928176796</v>
      </c>
      <c r="R666" s="36" t="n">
        <v>0.2135752486629681</v>
      </c>
      <c r="S666" s="36" t="n">
        <v>0.5606453409894372</v>
      </c>
      <c r="T666" s="36" t="n">
        <v>0.8232106429045218</v>
      </c>
      <c r="U666" s="31" t="n">
        <v>121400</v>
      </c>
      <c r="V666" s="31" t="n">
        <v>34460</v>
      </c>
      <c r="W666" s="36" t="n">
        <v>0</v>
      </c>
      <c r="X666" s="36" t="n">
        <v>2.522925130586187</v>
      </c>
      <c r="Y666" s="31" t="n">
        <v>76211850</v>
      </c>
      <c r="Z666" s="31" t="n">
        <v>9252118590000</v>
      </c>
      <c r="AA666" s="31" t="n">
        <v>313738754600</v>
      </c>
      <c r="AB666" s="31" t="n">
        <v>137111084005</v>
      </c>
      <c r="AC666" s="36" t="n">
        <v>0.03390993657810432</v>
      </c>
      <c r="AD666" s="29" t="inlineStr">
        <is>
          <t>yfinance_download</t>
        </is>
      </c>
      <c r="AE666" s="29" t="inlineStr">
        <is>
          <t>058470.KQ</t>
        </is>
      </c>
    </row>
    <row r="667" ht="24" customHeight="1">
      <c r="A667" s="24" t="inlineStr">
        <is>
          <t>2026-03-06</t>
        </is>
      </c>
      <c r="B667" s="30" t="n">
        <v>123000</v>
      </c>
      <c r="C667" s="30" t="n">
        <v>127200</v>
      </c>
      <c r="D667" s="30" t="n">
        <v>116800</v>
      </c>
      <c r="E667" s="30" t="n">
        <v>127000</v>
      </c>
      <c r="F667" s="30" t="n">
        <v>127000</v>
      </c>
      <c r="G667" s="30" t="n">
        <v>1513171</v>
      </c>
      <c r="H667" s="35" t="n">
        <v>0.04612850082372333</v>
      </c>
      <c r="I667" s="35" t="n">
        <v>0</v>
      </c>
      <c r="J667" s="30" t="n">
        <v>101650</v>
      </c>
      <c r="K667" s="30" t="n">
        <v>78805</v>
      </c>
      <c r="L667" s="30" t="n">
        <v>67265.41666666667</v>
      </c>
      <c r="M667" s="35" t="n">
        <v>0.9332565512888578</v>
      </c>
      <c r="N667" s="35" t="n">
        <v>0.7684550444916948</v>
      </c>
      <c r="O667" s="35" t="n">
        <v>0.341077085533263</v>
      </c>
      <c r="P667" s="35" t="n">
        <v>0.9242424242424243</v>
      </c>
      <c r="Q667" s="35" t="n">
        <v>1.794279427942794</v>
      </c>
      <c r="R667" s="35" t="n">
        <v>0.2493851451057549</v>
      </c>
      <c r="S667" s="35" t="n">
        <v>0.6115728697417677</v>
      </c>
      <c r="T667" s="35" t="n">
        <v>0.8880430136833561</v>
      </c>
      <c r="U667" s="30" t="n">
        <v>127000</v>
      </c>
      <c r="V667" s="30" t="n">
        <v>34460</v>
      </c>
      <c r="W667" s="35" t="n">
        <v>0</v>
      </c>
      <c r="X667" s="35" t="n">
        <v>2.685432385374347</v>
      </c>
      <c r="Y667" s="30" t="n">
        <v>76211850</v>
      </c>
      <c r="Z667" s="30" t="n">
        <v>9678904950000</v>
      </c>
      <c r="AA667" s="30" t="n">
        <v>192172717000</v>
      </c>
      <c r="AB667" s="30" t="n">
        <v>135932206105</v>
      </c>
      <c r="AC667" s="35" t="n">
        <v>0.01985479948328246</v>
      </c>
      <c r="AD667" s="24" t="inlineStr">
        <is>
          <t>yfinance_download</t>
        </is>
      </c>
      <c r="AE667" s="24" t="inlineStr">
        <is>
          <t>058470.KQ</t>
        </is>
      </c>
    </row>
    <row r="668" ht="24" customHeight="1">
      <c r="A668" s="29" t="inlineStr">
        <is>
          <t>2026-03-09</t>
        </is>
      </c>
      <c r="B668" s="31" t="n">
        <v>119200</v>
      </c>
      <c r="C668" s="31" t="n">
        <v>122300</v>
      </c>
      <c r="D668" s="31" t="n">
        <v>114500</v>
      </c>
      <c r="E668" s="31" t="n">
        <v>118200</v>
      </c>
      <c r="F668" s="31" t="n">
        <v>118200</v>
      </c>
      <c r="G668" s="31" t="n">
        <v>1265274</v>
      </c>
      <c r="H668" s="36" t="n">
        <v>-0.06929133858267722</v>
      </c>
      <c r="I668" s="36" t="n">
        <v>-0.06929133858267722</v>
      </c>
      <c r="J668" s="31" t="n">
        <v>102730</v>
      </c>
      <c r="K668" s="31" t="n">
        <v>79690</v>
      </c>
      <c r="L668" s="31" t="n">
        <v>67869.16666666667</v>
      </c>
      <c r="M668" s="36" t="n">
        <v>0.9811754655273587</v>
      </c>
      <c r="N668" s="36" t="n">
        <v>0.7846993105094816</v>
      </c>
      <c r="O668" s="36" t="n">
        <v>0.2236024844720497</v>
      </c>
      <c r="P668" s="36" t="n">
        <v>0.8156682027649769</v>
      </c>
      <c r="Q668" s="36" t="n">
        <v>1.583606557377049</v>
      </c>
      <c r="R668" s="36" t="n">
        <v>0.1505889224179888</v>
      </c>
      <c r="S668" s="36" t="n">
        <v>0.4832475843895094</v>
      </c>
      <c r="T668" s="36" t="n">
        <v>0.7415861399997543</v>
      </c>
      <c r="U668" s="31" t="n">
        <v>127000</v>
      </c>
      <c r="V668" s="31" t="n">
        <v>34460</v>
      </c>
      <c r="W668" s="36" t="n">
        <v>-0.06929133858267722</v>
      </c>
      <c r="X668" s="36" t="n">
        <v>2.43006384213581</v>
      </c>
      <c r="Y668" s="31" t="n">
        <v>76211850</v>
      </c>
      <c r="Z668" s="31" t="n">
        <v>9008240670000</v>
      </c>
      <c r="AA668" s="31" t="n">
        <v>149555386800</v>
      </c>
      <c r="AB668" s="31" t="n">
        <v>132319397065</v>
      </c>
      <c r="AC668" s="36" t="n">
        <v>0.01660206385227494</v>
      </c>
      <c r="AD668" s="29" t="inlineStr">
        <is>
          <t>yfinance_download</t>
        </is>
      </c>
      <c r="AE668" s="29" t="inlineStr">
        <is>
          <t>058470.KQ</t>
        </is>
      </c>
    </row>
    <row r="669" ht="24" customHeight="1">
      <c r="A669" s="24" t="inlineStr">
        <is>
          <t>2026-03-10</t>
        </is>
      </c>
      <c r="B669" s="30" t="n">
        <v>126200</v>
      </c>
      <c r="C669" s="30" t="n">
        <v>128200</v>
      </c>
      <c r="D669" s="30" t="n">
        <v>115100</v>
      </c>
      <c r="E669" s="30" t="n">
        <v>119500</v>
      </c>
      <c r="F669" s="30" t="n">
        <v>119500</v>
      </c>
      <c r="G669" s="30" t="n">
        <v>1355064</v>
      </c>
      <c r="H669" s="35" t="n">
        <v>0.01099830795262258</v>
      </c>
      <c r="I669" s="35" t="n">
        <v>-0.05905511811023623</v>
      </c>
      <c r="J669" s="30" t="n">
        <v>103795</v>
      </c>
      <c r="K669" s="30" t="n">
        <v>80591.66666666667</v>
      </c>
      <c r="L669" s="30" t="n">
        <v>68480</v>
      </c>
      <c r="M669" s="35" t="n">
        <v>0.9810201924721885</v>
      </c>
      <c r="N669" s="35" t="n">
        <v>0.7845813843034554</v>
      </c>
      <c r="O669" s="35" t="n">
        <v>0.2169042769857434</v>
      </c>
      <c r="P669" s="35" t="n">
        <v>0.8272171253822631</v>
      </c>
      <c r="Q669" s="35" t="n">
        <v>1.586580086580087</v>
      </c>
      <c r="R669" s="35" t="n">
        <v>0.1513078664675562</v>
      </c>
      <c r="S669" s="35" t="n">
        <v>0.4827835797745836</v>
      </c>
      <c r="T669" s="35" t="n">
        <v>0.7450350467289719</v>
      </c>
      <c r="U669" s="30" t="n">
        <v>127000</v>
      </c>
      <c r="V669" s="30" t="n">
        <v>34460</v>
      </c>
      <c r="W669" s="35" t="n">
        <v>-0.05905511811023623</v>
      </c>
      <c r="X669" s="35" t="n">
        <v>2.467788740568775</v>
      </c>
      <c r="Y669" s="30" t="n">
        <v>76211850</v>
      </c>
      <c r="Z669" s="30" t="n">
        <v>9107316075000</v>
      </c>
      <c r="AA669" s="30" t="n">
        <v>161930148000</v>
      </c>
      <c r="AB669" s="30" t="n">
        <v>134613536515</v>
      </c>
      <c r="AC669" s="35" t="n">
        <v>0.01778022709066897</v>
      </c>
      <c r="AD669" s="24" t="inlineStr">
        <is>
          <t>yfinance_download</t>
        </is>
      </c>
      <c r="AE669" s="24" t="inlineStr">
        <is>
          <t>058470.KQ</t>
        </is>
      </c>
    </row>
    <row r="670" ht="24" customHeight="1">
      <c r="A670" s="29" t="inlineStr">
        <is>
          <t>2026-03-11</t>
        </is>
      </c>
      <c r="B670" s="31" t="n">
        <v>120000</v>
      </c>
      <c r="C670" s="31" t="n">
        <v>120400</v>
      </c>
      <c r="D670" s="31" t="n">
        <v>112600</v>
      </c>
      <c r="E670" s="31" t="n">
        <v>113700</v>
      </c>
      <c r="F670" s="31" t="n">
        <v>113700</v>
      </c>
      <c r="G670" s="31" t="n">
        <v>946470</v>
      </c>
      <c r="H670" s="36" t="n">
        <v>-0.04853556485355648</v>
      </c>
      <c r="I670" s="36" t="n">
        <v>-0.1047244094488189</v>
      </c>
      <c r="J670" s="31" t="n">
        <v>104695</v>
      </c>
      <c r="K670" s="31" t="n">
        <v>81400</v>
      </c>
      <c r="L670" s="31" t="n">
        <v>69019.58333333333</v>
      </c>
      <c r="M670" s="36" t="n">
        <v>0.9958828424633132</v>
      </c>
      <c r="N670" s="36" t="n">
        <v>0.793606722812969</v>
      </c>
      <c r="O670" s="36" t="n">
        <v>0.1880877742946709</v>
      </c>
      <c r="P670" s="36" t="n">
        <v>0.7438650306748467</v>
      </c>
      <c r="Q670" s="36" t="n">
        <v>1.322778345250256</v>
      </c>
      <c r="R670" s="36" t="n">
        <v>0.08601174841205417</v>
      </c>
      <c r="S670" s="36" t="n">
        <v>0.3968058968058967</v>
      </c>
      <c r="T670" s="36" t="n">
        <v>0.6473585395449359</v>
      </c>
      <c r="U670" s="31" t="n">
        <v>127000</v>
      </c>
      <c r="V670" s="31" t="n">
        <v>34460</v>
      </c>
      <c r="W670" s="36" t="n">
        <v>-0.1047244094488189</v>
      </c>
      <c r="X670" s="36" t="n">
        <v>2.299477655252467</v>
      </c>
      <c r="Y670" s="31" t="n">
        <v>76211850</v>
      </c>
      <c r="Z670" s="31" t="n">
        <v>8665287345000</v>
      </c>
      <c r="AA670" s="31" t="n">
        <v>107613639000</v>
      </c>
      <c r="AB670" s="31" t="n">
        <v>135024799780</v>
      </c>
      <c r="AC670" s="36" t="n">
        <v>0.01241893485068267</v>
      </c>
      <c r="AD670" s="29" t="inlineStr">
        <is>
          <t>yfinance_download</t>
        </is>
      </c>
      <c r="AE670" s="29" t="inlineStr">
        <is>
          <t>058470.KQ</t>
        </is>
      </c>
    </row>
    <row r="671" ht="24" customHeight="1">
      <c r="A671" s="24" t="inlineStr">
        <is>
          <t>2026-03-12</t>
        </is>
      </c>
      <c r="B671" s="30" t="n">
        <v>111500</v>
      </c>
      <c r="C671" s="30" t="n">
        <v>117800</v>
      </c>
      <c r="D671" s="30" t="n">
        <v>111400</v>
      </c>
      <c r="E671" s="30" t="n">
        <v>117800</v>
      </c>
      <c r="F671" s="30" t="n">
        <v>117800</v>
      </c>
      <c r="G671" s="30" t="n">
        <v>882082</v>
      </c>
      <c r="H671" s="35" t="n">
        <v>0.03605980650835527</v>
      </c>
      <c r="I671" s="35" t="n">
        <v>-0.07244094488188979</v>
      </c>
      <c r="J671" s="30" t="n">
        <v>105800</v>
      </c>
      <c r="K671" s="30" t="n">
        <v>82275</v>
      </c>
      <c r="L671" s="30" t="n">
        <v>69590</v>
      </c>
      <c r="M671" s="35" t="n">
        <v>0.9990975293971789</v>
      </c>
      <c r="N671" s="35" t="n">
        <v>0.7950956361367375</v>
      </c>
      <c r="O671" s="35" t="n">
        <v>0.2309299895506791</v>
      </c>
      <c r="P671" s="35" t="n">
        <v>0.8039816232771821</v>
      </c>
      <c r="Q671" s="35" t="n">
        <v>1.387031408308004</v>
      </c>
      <c r="R671" s="35" t="n">
        <v>0.1134215500945179</v>
      </c>
      <c r="S671" s="35" t="n">
        <v>0.4317836523852931</v>
      </c>
      <c r="T671" s="35" t="n">
        <v>0.6927719499928151</v>
      </c>
      <c r="U671" s="30" t="n">
        <v>127000</v>
      </c>
      <c r="V671" s="30" t="n">
        <v>34460</v>
      </c>
      <c r="W671" s="35" t="n">
        <v>-0.07244094488188979</v>
      </c>
      <c r="X671" s="35" t="n">
        <v>2.418456181079513</v>
      </c>
      <c r="Y671" s="30" t="n">
        <v>76211850</v>
      </c>
      <c r="Z671" s="30" t="n">
        <v>8977755930000</v>
      </c>
      <c r="AA671" s="30" t="n">
        <v>103909259600</v>
      </c>
      <c r="AB671" s="30" t="n">
        <v>135261969200</v>
      </c>
      <c r="AC671" s="35" t="n">
        <v>0.01157407935904981</v>
      </c>
      <c r="AD671" s="24" t="inlineStr">
        <is>
          <t>yfinance_download</t>
        </is>
      </c>
      <c r="AE671" s="24" t="inlineStr">
        <is>
          <t>058470.KQ</t>
        </is>
      </c>
    </row>
    <row r="672" ht="24" customHeight="1">
      <c r="A672" s="29" t="inlineStr">
        <is>
          <t>2026-03-13</t>
        </is>
      </c>
      <c r="B672" s="31" t="n">
        <v>113400</v>
      </c>
      <c r="C672" s="31" t="n">
        <v>114800</v>
      </c>
      <c r="D672" s="31" t="n">
        <v>111800</v>
      </c>
      <c r="E672" s="31" t="n">
        <v>113500</v>
      </c>
      <c r="F672" s="31" t="n">
        <v>113500</v>
      </c>
      <c r="G672" s="31" t="n">
        <v>676107</v>
      </c>
      <c r="H672" s="36" t="n">
        <v>-0.03650254668930386</v>
      </c>
      <c r="I672" s="36" t="n">
        <v>-0.1062992125984252</v>
      </c>
      <c r="J672" s="31" t="n">
        <v>106525</v>
      </c>
      <c r="K672" s="31" t="n">
        <v>83103.33333333333</v>
      </c>
      <c r="L672" s="31" t="n">
        <v>70123.33333333333</v>
      </c>
      <c r="M672" s="36" t="n">
        <v>1.009840862390789</v>
      </c>
      <c r="N672" s="36" t="n">
        <v>0.7980478172218668</v>
      </c>
      <c r="O672" s="36" t="n">
        <v>0.1464646464646464</v>
      </c>
      <c r="P672" s="36" t="n">
        <v>0.7789968652037618</v>
      </c>
      <c r="Q672" s="36" t="n">
        <v>1.292929292929293</v>
      </c>
      <c r="R672" s="36" t="n">
        <v>0.06547758742079335</v>
      </c>
      <c r="S672" s="36" t="n">
        <v>0.3657695238859253</v>
      </c>
      <c r="T672" s="36" t="n">
        <v>0.6185767932690023</v>
      </c>
      <c r="U672" s="31" t="n">
        <v>127000</v>
      </c>
      <c r="V672" s="31" t="n">
        <v>34460</v>
      </c>
      <c r="W672" s="36" t="n">
        <v>-0.1062992125984252</v>
      </c>
      <c r="X672" s="36" t="n">
        <v>2.293673824724318</v>
      </c>
      <c r="Y672" s="31" t="n">
        <v>76211850</v>
      </c>
      <c r="Z672" s="31" t="n">
        <v>8650044975000</v>
      </c>
      <c r="AA672" s="31" t="n">
        <v>76738144500</v>
      </c>
      <c r="AB672" s="31" t="n">
        <v>134960824925</v>
      </c>
      <c r="AC672" s="36" t="n">
        <v>0.008871415665674039</v>
      </c>
      <c r="AD672" s="29" t="inlineStr">
        <is>
          <t>yfinance_download</t>
        </is>
      </c>
      <c r="AE672" s="29" t="inlineStr">
        <is>
          <t>058470.KQ</t>
        </is>
      </c>
    </row>
    <row r="673" ht="24" customHeight="1">
      <c r="A673" s="24" t="inlineStr">
        <is>
          <t>2026-03-16</t>
        </is>
      </c>
      <c r="B673" s="30" t="n">
        <v>112000</v>
      </c>
      <c r="C673" s="30" t="n">
        <v>114600</v>
      </c>
      <c r="D673" s="30" t="n">
        <v>109000</v>
      </c>
      <c r="E673" s="30" t="n">
        <v>112000</v>
      </c>
      <c r="F673" s="30" t="n">
        <v>112000</v>
      </c>
      <c r="G673" s="30" t="n">
        <v>725373</v>
      </c>
      <c r="H673" s="35" t="n">
        <v>-0.013215859030837</v>
      </c>
      <c r="I673" s="35" t="n">
        <v>-0.1181102362204725</v>
      </c>
      <c r="J673" s="30" t="n">
        <v>107295</v>
      </c>
      <c r="K673" s="30" t="n">
        <v>83895</v>
      </c>
      <c r="L673" s="30" t="n">
        <v>70642.5</v>
      </c>
      <c r="M673" s="35" t="n">
        <v>1.005823873103744</v>
      </c>
      <c r="N673" s="35" t="n">
        <v>0.7995686376566767</v>
      </c>
      <c r="O673" s="35" t="n">
        <v>0.1594202898550725</v>
      </c>
      <c r="P673" s="35" t="n">
        <v>0.7364341085271318</v>
      </c>
      <c r="Q673" s="35" t="n">
        <v>1.253521126760563</v>
      </c>
      <c r="R673" s="35" t="n">
        <v>0.04385106482128709</v>
      </c>
      <c r="S673" s="35" t="n">
        <v>0.3350020859407592</v>
      </c>
      <c r="T673" s="35" t="n">
        <v>0.5854478536291892</v>
      </c>
      <c r="U673" s="30" t="n">
        <v>127000</v>
      </c>
      <c r="V673" s="30" t="n">
        <v>34460</v>
      </c>
      <c r="W673" s="35" t="n">
        <v>-0.1181102362204725</v>
      </c>
      <c r="X673" s="35" t="n">
        <v>2.250145095763204</v>
      </c>
      <c r="Y673" s="30" t="n">
        <v>76211850</v>
      </c>
      <c r="Z673" s="30" t="n">
        <v>8535727200000</v>
      </c>
      <c r="AA673" s="30" t="n">
        <v>81241776000</v>
      </c>
      <c r="AB673" s="30" t="n">
        <v>136270248425</v>
      </c>
      <c r="AC673" s="35" t="n">
        <v>0.009517850570482149</v>
      </c>
      <c r="AD673" s="24" t="inlineStr">
        <is>
          <t>yfinance_download</t>
        </is>
      </c>
      <c r="AE673" s="24" t="inlineStr">
        <is>
          <t>058470.KQ</t>
        </is>
      </c>
    </row>
    <row r="674" ht="24" customHeight="1">
      <c r="A674" s="29" t="inlineStr">
        <is>
          <t>2026-03-17</t>
        </is>
      </c>
      <c r="B674" s="31" t="n">
        <v>115000</v>
      </c>
      <c r="C674" s="31" t="n">
        <v>115400</v>
      </c>
      <c r="D674" s="31" t="n">
        <v>110000</v>
      </c>
      <c r="E674" s="31" t="n">
        <v>110000</v>
      </c>
      <c r="F674" s="31" t="n">
        <v>110000</v>
      </c>
      <c r="G674" s="31" t="n">
        <v>491862</v>
      </c>
      <c r="H674" s="36" t="n">
        <v>-0.0178571428571429</v>
      </c>
      <c r="I674" s="36" t="n">
        <v>-0.1338582677165354</v>
      </c>
      <c r="J674" s="31" t="n">
        <v>108045</v>
      </c>
      <c r="K674" s="31" t="n">
        <v>84668.33333333333</v>
      </c>
      <c r="L674" s="31" t="n">
        <v>71150.41666666667</v>
      </c>
      <c r="M674" s="36" t="n">
        <v>1.006274350511933</v>
      </c>
      <c r="N674" s="36" t="n">
        <v>0.800117053106475</v>
      </c>
      <c r="O674" s="36" t="n">
        <v>0.1578947368421053</v>
      </c>
      <c r="P674" s="36" t="n">
        <v>0.729559748427673</v>
      </c>
      <c r="Q674" s="36" t="n">
        <v>1.242609582059123</v>
      </c>
      <c r="R674" s="36" t="n">
        <v>0.01809431255495397</v>
      </c>
      <c r="S674" s="36" t="n">
        <v>0.2991870238774827</v>
      </c>
      <c r="T674" s="36" t="n">
        <v>0.5460204613465602</v>
      </c>
      <c r="U674" s="31" t="n">
        <v>127000</v>
      </c>
      <c r="V674" s="31" t="n">
        <v>34460</v>
      </c>
      <c r="W674" s="36" t="n">
        <v>-0.1338582677165354</v>
      </c>
      <c r="X674" s="36" t="n">
        <v>2.192106790481718</v>
      </c>
      <c r="Y674" s="31" t="n">
        <v>76211850</v>
      </c>
      <c r="Z674" s="31" t="n">
        <v>8383303500000</v>
      </c>
      <c r="AA674" s="31" t="n">
        <v>54104820000</v>
      </c>
      <c r="AB674" s="31" t="n">
        <v>136587255925</v>
      </c>
      <c r="AC674" s="36" t="n">
        <v>0.006453878235471255</v>
      </c>
      <c r="AD674" s="29" t="inlineStr">
        <is>
          <t>yfinance_download</t>
        </is>
      </c>
      <c r="AE674" s="29" t="inlineStr">
        <is>
          <t>058470.KQ</t>
        </is>
      </c>
    </row>
    <row r="675" ht="24" customHeight="1">
      <c r="A675" s="24" t="inlineStr">
        <is>
          <t>2026-03-18</t>
        </is>
      </c>
      <c r="B675" s="30" t="n">
        <v>113600</v>
      </c>
      <c r="C675" s="30" t="n">
        <v>116600</v>
      </c>
      <c r="D675" s="30" t="n">
        <v>112000</v>
      </c>
      <c r="E675" s="30" t="n">
        <v>116600</v>
      </c>
      <c r="F675" s="30" t="n">
        <v>116600</v>
      </c>
      <c r="G675" s="30" t="n">
        <v>737727</v>
      </c>
      <c r="H675" s="35" t="n">
        <v>0.06000000000000005</v>
      </c>
      <c r="I675" s="35" t="n">
        <v>-0.08188976377952761</v>
      </c>
      <c r="J675" s="30" t="n">
        <v>108970</v>
      </c>
      <c r="K675" s="30" t="n">
        <v>85585</v>
      </c>
      <c r="L675" s="30" t="n">
        <v>71704.58333333333</v>
      </c>
      <c r="M675" s="35" t="n">
        <v>1.019344325268491</v>
      </c>
      <c r="N675" s="35" t="n">
        <v>0.8016504180510077</v>
      </c>
      <c r="O675" s="35" t="n">
        <v>0.1885830784913354</v>
      </c>
      <c r="P675" s="35" t="n">
        <v>0.8928571428571428</v>
      </c>
      <c r="Q675" s="35" t="n">
        <v>1.327345309381238</v>
      </c>
      <c r="R675" s="35" t="n">
        <v>0.0700192713590897</v>
      </c>
      <c r="S675" s="35" t="n">
        <v>0.3623882689723668</v>
      </c>
      <c r="T675" s="35" t="n">
        <v>0.6261164151524485</v>
      </c>
      <c r="U675" s="30" t="n">
        <v>127000</v>
      </c>
      <c r="V675" s="30" t="n">
        <v>34460</v>
      </c>
      <c r="W675" s="35" t="n">
        <v>-0.08188976377952761</v>
      </c>
      <c r="X675" s="35" t="n">
        <v>2.383633197910621</v>
      </c>
      <c r="Y675" s="30" t="n">
        <v>76211850</v>
      </c>
      <c r="Z675" s="30" t="n">
        <v>8886301710000</v>
      </c>
      <c r="AA675" s="30" t="n">
        <v>86018968200</v>
      </c>
      <c r="AB675" s="30" t="n">
        <v>137567278990</v>
      </c>
      <c r="AC675" s="35" t="n">
        <v>0.009679951346148926</v>
      </c>
      <c r="AD675" s="24" t="inlineStr">
        <is>
          <t>yfinance_download</t>
        </is>
      </c>
      <c r="AE675" s="24" t="inlineStr">
        <is>
          <t>058470.KQ</t>
        </is>
      </c>
    </row>
    <row r="676" ht="24" customHeight="1">
      <c r="A676" s="29" t="inlineStr">
        <is>
          <t>2026-03-19</t>
        </is>
      </c>
      <c r="B676" s="31" t="n">
        <v>114600</v>
      </c>
      <c r="C676" s="31" t="n">
        <v>119300</v>
      </c>
      <c r="D676" s="31" t="n">
        <v>112700</v>
      </c>
      <c r="E676" s="31" t="n">
        <v>117100</v>
      </c>
      <c r="F676" s="31" t="n">
        <v>117100</v>
      </c>
      <c r="G676" s="31" t="n">
        <v>782184</v>
      </c>
      <c r="H676" s="36" t="n">
        <v>0.004288164665523064</v>
      </c>
      <c r="I676" s="36" t="n">
        <v>-0.07795275590551176</v>
      </c>
      <c r="J676" s="31" t="n">
        <v>109950</v>
      </c>
      <c r="K676" s="31" t="n">
        <v>86548.33333333333</v>
      </c>
      <c r="L676" s="31" t="n">
        <v>72254.58333333333</v>
      </c>
      <c r="M676" s="36" t="n">
        <v>1.017758291001817</v>
      </c>
      <c r="N676" s="36" t="n">
        <v>0.7952449798058187</v>
      </c>
      <c r="O676" s="36" t="n">
        <v>0.201025641025641</v>
      </c>
      <c r="P676" s="36" t="n">
        <v>0.9747048903878583</v>
      </c>
      <c r="Q676" s="36" t="n">
        <v>1.291585127201566</v>
      </c>
      <c r="R676" s="36" t="n">
        <v>0.06502955889040463</v>
      </c>
      <c r="S676" s="36" t="n">
        <v>0.3530012131949394</v>
      </c>
      <c r="T676" s="36" t="n">
        <v>0.6206584357393707</v>
      </c>
      <c r="U676" s="31" t="n">
        <v>127000</v>
      </c>
      <c r="V676" s="31" t="n">
        <v>34460</v>
      </c>
      <c r="W676" s="36" t="n">
        <v>-0.07795275590551176</v>
      </c>
      <c r="X676" s="36" t="n">
        <v>2.398142774230993</v>
      </c>
      <c r="Y676" s="31" t="n">
        <v>76211850</v>
      </c>
      <c r="Z676" s="31" t="n">
        <v>8924407635000</v>
      </c>
      <c r="AA676" s="31" t="n">
        <v>91593746400</v>
      </c>
      <c r="AB676" s="31" t="n">
        <v>138689260435</v>
      </c>
      <c r="AC676" s="36" t="n">
        <v>0.01026328582759768</v>
      </c>
      <c r="AD676" s="29" t="inlineStr">
        <is>
          <t>yfinance_download</t>
        </is>
      </c>
      <c r="AE676" s="29" t="inlineStr">
        <is>
          <t>058470.KQ</t>
        </is>
      </c>
    </row>
    <row r="677" ht="24" customHeight="1">
      <c r="A677" s="24" t="inlineStr">
        <is>
          <t>2026-03-20</t>
        </is>
      </c>
      <c r="B677" s="30" t="n">
        <v>117500</v>
      </c>
      <c r="C677" s="30" t="n">
        <v>117500</v>
      </c>
      <c r="D677" s="30" t="n">
        <v>110600</v>
      </c>
      <c r="E677" s="30" t="n">
        <v>111700</v>
      </c>
      <c r="F677" s="30" t="n">
        <v>111700</v>
      </c>
      <c r="G677" s="30" t="n">
        <v>1058976</v>
      </c>
      <c r="H677" s="35" t="n">
        <v>-0.04611443210930832</v>
      </c>
      <c r="I677" s="35" t="n">
        <v>-0.1204724409448819</v>
      </c>
      <c r="J677" s="30" t="n">
        <v>110545</v>
      </c>
      <c r="K677" s="30" t="n">
        <v>87405</v>
      </c>
      <c r="L677" s="30" t="n">
        <v>72780.41666666667</v>
      </c>
      <c r="M677" s="35" t="n">
        <v>1.03627715733049</v>
      </c>
      <c r="N677" s="35" t="n">
        <v>0.8042218587356428</v>
      </c>
      <c r="O677" s="35" t="n">
        <v>0.1192384769539079</v>
      </c>
      <c r="P677" s="35" t="n">
        <v>0.8524046434494195</v>
      </c>
      <c r="Q677" s="35" t="n">
        <v>1.298353909465021</v>
      </c>
      <c r="R677" s="35" t="n">
        <v>0.01044823375096104</v>
      </c>
      <c r="S677" s="35" t="n">
        <v>0.2779589268348492</v>
      </c>
      <c r="T677" s="35" t="n">
        <v>0.5347535108459807</v>
      </c>
      <c r="U677" s="30" t="n">
        <v>127000</v>
      </c>
      <c r="V677" s="30" t="n">
        <v>34460</v>
      </c>
      <c r="W677" s="35" t="n">
        <v>-0.1204724409448819</v>
      </c>
      <c r="X677" s="35" t="n">
        <v>2.241439349970981</v>
      </c>
      <c r="Y677" s="30" t="n">
        <v>76211850</v>
      </c>
      <c r="Z677" s="30" t="n">
        <v>8512863645000</v>
      </c>
      <c r="AA677" s="30" t="n">
        <v>118287619200</v>
      </c>
      <c r="AB677" s="30" t="n">
        <v>139158513475</v>
      </c>
      <c r="AC677" s="35" t="n">
        <v>0.01389516197284281</v>
      </c>
      <c r="AD677" s="24" t="inlineStr">
        <is>
          <t>yfinance_download</t>
        </is>
      </c>
      <c r="AE677" s="24" t="inlineStr">
        <is>
          <t>058470.KQ</t>
        </is>
      </c>
    </row>
    <row r="678" ht="24" customHeight="1">
      <c r="A678" s="29" t="inlineStr">
        <is>
          <t>2026-03-23</t>
        </is>
      </c>
      <c r="B678" s="31" t="n">
        <v>109200</v>
      </c>
      <c r="C678" s="31" t="n">
        <v>110700</v>
      </c>
      <c r="D678" s="31" t="n">
        <v>105400</v>
      </c>
      <c r="E678" s="31" t="n">
        <v>106100</v>
      </c>
      <c r="F678" s="31" t="n">
        <v>106100</v>
      </c>
      <c r="G678" s="31" t="n">
        <v>746287</v>
      </c>
      <c r="H678" s="36" t="n">
        <v>-0.0501342882721576</v>
      </c>
      <c r="I678" s="36" t="n">
        <v>-0.1645669291338583</v>
      </c>
      <c r="J678" s="31" t="n">
        <v>111025</v>
      </c>
      <c r="K678" s="31" t="n">
        <v>88173.33333333333</v>
      </c>
      <c r="L678" s="31" t="n">
        <v>73254.16666666667</v>
      </c>
      <c r="M678" s="36" t="n">
        <v>1.046870626547257</v>
      </c>
      <c r="N678" s="36" t="n">
        <v>0.8134547218852524</v>
      </c>
      <c r="O678" s="36" t="n">
        <v>0.09948186528497405</v>
      </c>
      <c r="P678" s="36" t="n">
        <v>0.7683333333333333</v>
      </c>
      <c r="Q678" s="36" t="n">
        <v>1.154314720812183</v>
      </c>
      <c r="R678" s="36" t="n">
        <v>-0.0443593785183517</v>
      </c>
      <c r="S678" s="36" t="n">
        <v>0.2033116588537729</v>
      </c>
      <c r="T678" s="36" t="n">
        <v>0.4483817757806723</v>
      </c>
      <c r="U678" s="31" t="n">
        <v>127000</v>
      </c>
      <c r="V678" s="31" t="n">
        <v>34460</v>
      </c>
      <c r="W678" s="36" t="n">
        <v>-0.1645669291338583</v>
      </c>
      <c r="X678" s="36" t="n">
        <v>2.078932095182821</v>
      </c>
      <c r="Y678" s="31" t="n">
        <v>76211850</v>
      </c>
      <c r="Z678" s="31" t="n">
        <v>8086077285000</v>
      </c>
      <c r="AA678" s="31" t="n">
        <v>79181050700</v>
      </c>
      <c r="AB678" s="31" t="n">
        <v>138966304885</v>
      </c>
      <c r="AC678" s="36" t="n">
        <v>0.009792269837302204</v>
      </c>
      <c r="AD678" s="29" t="inlineStr">
        <is>
          <t>yfinance_download</t>
        </is>
      </c>
      <c r="AE678" s="29" t="inlineStr">
        <is>
          <t>058470.KQ</t>
        </is>
      </c>
    </row>
    <row r="679" ht="24" customHeight="1">
      <c r="A679" s="24" t="inlineStr">
        <is>
          <t>2026-03-24</t>
        </is>
      </c>
      <c r="B679" s="30" t="n">
        <v>111100</v>
      </c>
      <c r="C679" s="30" t="n">
        <v>111600</v>
      </c>
      <c r="D679" s="30" t="n">
        <v>104900</v>
      </c>
      <c r="E679" s="30" t="n">
        <v>107300</v>
      </c>
      <c r="F679" s="30" t="n">
        <v>107300</v>
      </c>
      <c r="G679" s="30" t="n">
        <v>592472</v>
      </c>
      <c r="H679" s="35" t="n">
        <v>0.01131008482563622</v>
      </c>
      <c r="I679" s="35" t="n">
        <v>-0.1551181102362205</v>
      </c>
      <c r="J679" s="30" t="n">
        <v>111585</v>
      </c>
      <c r="K679" s="30" t="n">
        <v>88970</v>
      </c>
      <c r="L679" s="30" t="n">
        <v>73727.5</v>
      </c>
      <c r="M679" s="35" t="n">
        <v>1.046181552503738</v>
      </c>
      <c r="N679" s="35" t="n">
        <v>0.8124782690906405</v>
      </c>
      <c r="O679" s="35" t="n">
        <v>0.1165452653485952</v>
      </c>
      <c r="P679" s="35" t="n">
        <v>0.8033613445378152</v>
      </c>
      <c r="Q679" s="35" t="n">
        <v>1.124752475247525</v>
      </c>
      <c r="R679" s="35" t="n">
        <v>-0.03840121880181024</v>
      </c>
      <c r="S679" s="35" t="n">
        <v>0.2060245026413399</v>
      </c>
      <c r="T679" s="35" t="n">
        <v>0.455359262147774</v>
      </c>
      <c r="U679" s="30" t="n">
        <v>127000</v>
      </c>
      <c r="V679" s="30" t="n">
        <v>34460</v>
      </c>
      <c r="W679" s="35" t="n">
        <v>-0.1551181102362205</v>
      </c>
      <c r="X679" s="35" t="n">
        <v>2.113755078351712</v>
      </c>
      <c r="Y679" s="30" t="n">
        <v>76211850</v>
      </c>
      <c r="Z679" s="30" t="n">
        <v>8177531505000</v>
      </c>
      <c r="AA679" s="30" t="n">
        <v>63572245600</v>
      </c>
      <c r="AB679" s="30" t="n">
        <v>138938483005</v>
      </c>
      <c r="AC679" s="35" t="n">
        <v>0.007774014146094079</v>
      </c>
      <c r="AD679" s="24" t="inlineStr">
        <is>
          <t>yfinance_download</t>
        </is>
      </c>
      <c r="AE679" s="24" t="inlineStr">
        <is>
          <t>058470.KQ</t>
        </is>
      </c>
    </row>
    <row r="680" ht="24" customHeight="1">
      <c r="A680" s="29" t="inlineStr">
        <is>
          <t>2026-03-25</t>
        </is>
      </c>
      <c r="B680" s="31" t="n">
        <v>109000</v>
      </c>
      <c r="C680" s="31" t="n">
        <v>109900</v>
      </c>
      <c r="D680" s="31" t="n">
        <v>105800</v>
      </c>
      <c r="E680" s="31" t="n">
        <v>107500</v>
      </c>
      <c r="F680" s="31" t="n">
        <v>107500</v>
      </c>
      <c r="G680" s="31" t="n">
        <v>601922</v>
      </c>
      <c r="H680" s="36" t="n">
        <v>0.001863932898415577</v>
      </c>
      <c r="I680" s="36" t="n">
        <v>-0.1535433070866141</v>
      </c>
      <c r="J680" s="31" t="n">
        <v>112100</v>
      </c>
      <c r="K680" s="31" t="n">
        <v>89738.33333333333</v>
      </c>
      <c r="L680" s="31" t="n">
        <v>74181.66666666667</v>
      </c>
      <c r="M680" s="36" t="n">
        <v>1.046253486060823</v>
      </c>
      <c r="N680" s="36" t="n">
        <v>0.81152368504567</v>
      </c>
      <c r="O680" s="36" t="n">
        <v>0.1059670781893005</v>
      </c>
      <c r="P680" s="36" t="n">
        <v>0.7508143322475569</v>
      </c>
      <c r="Q680" s="36" t="n">
        <v>1.028301886792453</v>
      </c>
      <c r="R680" s="36" t="n">
        <v>-0.04103479036574487</v>
      </c>
      <c r="S680" s="36" t="n">
        <v>0.1979273071708487</v>
      </c>
      <c r="T680" s="36" t="n">
        <v>0.449145116717967</v>
      </c>
      <c r="U680" s="31" t="n">
        <v>127000</v>
      </c>
      <c r="V680" s="31" t="n">
        <v>34460</v>
      </c>
      <c r="W680" s="36" t="n">
        <v>-0.1535433070866141</v>
      </c>
      <c r="X680" s="36" t="n">
        <v>2.119558908879861</v>
      </c>
      <c r="Y680" s="31" t="n">
        <v>76211850</v>
      </c>
      <c r="Z680" s="31" t="n">
        <v>8192773875000</v>
      </c>
      <c r="AA680" s="31" t="n">
        <v>64706615000</v>
      </c>
      <c r="AB680" s="31" t="n">
        <v>138811777535</v>
      </c>
      <c r="AC680" s="36" t="n">
        <v>0.007898010611210723</v>
      </c>
      <c r="AD680" s="29" t="inlineStr">
        <is>
          <t>yfinance_download</t>
        </is>
      </c>
      <c r="AE680" s="29" t="inlineStr">
        <is>
          <t>058470.KQ</t>
        </is>
      </c>
    </row>
    <row r="681" ht="24" customHeight="1">
      <c r="A681" s="24" t="inlineStr">
        <is>
          <t>2026-03-26</t>
        </is>
      </c>
      <c r="B681" s="30" t="n">
        <v>105700</v>
      </c>
      <c r="C681" s="30" t="n">
        <v>107800</v>
      </c>
      <c r="D681" s="30" t="n">
        <v>102200</v>
      </c>
      <c r="E681" s="30" t="n">
        <v>103200</v>
      </c>
      <c r="F681" s="30" t="n">
        <v>103200</v>
      </c>
      <c r="G681" s="30" t="n">
        <v>712219</v>
      </c>
      <c r="H681" s="35" t="n">
        <v>-0.04000000000000004</v>
      </c>
      <c r="I681" s="35" t="n">
        <v>-0.1874015748031496</v>
      </c>
      <c r="J681" s="30" t="n">
        <v>112400</v>
      </c>
      <c r="K681" s="30" t="n">
        <v>90435</v>
      </c>
      <c r="L681" s="30" t="n">
        <v>74605.83333333333</v>
      </c>
      <c r="M681" s="35" t="n">
        <v>1.059359218829977</v>
      </c>
      <c r="N681" s="35" t="n">
        <v>0.8178733948604334</v>
      </c>
      <c r="O681" s="35" t="n">
        <v>0.06172839506172845</v>
      </c>
      <c r="P681" s="35" t="n">
        <v>0.6807817589576548</v>
      </c>
      <c r="Q681" s="35" t="n">
        <v>0.9732313575525813</v>
      </c>
      <c r="R681" s="35" t="n">
        <v>-0.08185053380782914</v>
      </c>
      <c r="S681" s="35" t="n">
        <v>0.1411511030021562</v>
      </c>
      <c r="T681" s="35" t="n">
        <v>0.3832698515531627</v>
      </c>
      <c r="U681" s="30" t="n">
        <v>127000</v>
      </c>
      <c r="V681" s="30" t="n">
        <v>34460</v>
      </c>
      <c r="W681" s="35" t="n">
        <v>-0.1874015748031496</v>
      </c>
      <c r="X681" s="35" t="n">
        <v>1.994776552524666</v>
      </c>
      <c r="Y681" s="30" t="n">
        <v>76211850</v>
      </c>
      <c r="Z681" s="30" t="n">
        <v>7865062920000</v>
      </c>
      <c r="AA681" s="30" t="n">
        <v>73501000800</v>
      </c>
      <c r="AB681" s="30" t="n">
        <v>139580046995</v>
      </c>
      <c r="AC681" s="35" t="n">
        <v>0.009345252739567404</v>
      </c>
      <c r="AD681" s="24" t="inlineStr">
        <is>
          <t>yfinance_download</t>
        </is>
      </c>
      <c r="AE681" s="24" t="inlineStr">
        <is>
          <t>058470.KQ</t>
        </is>
      </c>
    </row>
    <row r="682" ht="24" customHeight="1">
      <c r="A682" s="29" t="inlineStr">
        <is>
          <t>2026-03-27</t>
        </is>
      </c>
      <c r="B682" s="31" t="n">
        <v>100900</v>
      </c>
      <c r="C682" s="31" t="n">
        <v>106200</v>
      </c>
      <c r="D682" s="31" t="n">
        <v>100000</v>
      </c>
      <c r="E682" s="31" t="n">
        <v>104900</v>
      </c>
      <c r="F682" s="31" t="n">
        <v>104900</v>
      </c>
      <c r="G682" s="31" t="n">
        <v>522989</v>
      </c>
      <c r="H682" s="36" t="n">
        <v>0.01647286821705429</v>
      </c>
      <c r="I682" s="36" t="n">
        <v>-0.1740157480314961</v>
      </c>
      <c r="J682" s="31" t="n">
        <v>112305</v>
      </c>
      <c r="K682" s="31" t="n">
        <v>91168.33333333333</v>
      </c>
      <c r="L682" s="31" t="n">
        <v>75035</v>
      </c>
      <c r="M682" s="36" t="n">
        <v>1.001451255342206</v>
      </c>
      <c r="N682" s="36" t="n">
        <v>0.8171035017521339</v>
      </c>
      <c r="O682" s="36" t="n">
        <v>-0.01779026217228463</v>
      </c>
      <c r="P682" s="36" t="n">
        <v>0.722495894909688</v>
      </c>
      <c r="Q682" s="36" t="n">
        <v>0.9644194756554307</v>
      </c>
      <c r="R682" s="36" t="n">
        <v>-0.06593651217666174</v>
      </c>
      <c r="S682" s="36" t="n">
        <v>0.1506188186687629</v>
      </c>
      <c r="T682" s="36" t="n">
        <v>0.3980142600119945</v>
      </c>
      <c r="U682" s="31" t="n">
        <v>127000</v>
      </c>
      <c r="V682" s="31" t="n">
        <v>34460</v>
      </c>
      <c r="W682" s="36" t="n">
        <v>-0.1740157480314961</v>
      </c>
      <c r="X682" s="36" t="n">
        <v>2.044109112013929</v>
      </c>
      <c r="Y682" s="31" t="n">
        <v>76211850</v>
      </c>
      <c r="Z682" s="31" t="n">
        <v>7994623065000</v>
      </c>
      <c r="AA682" s="31" t="n">
        <v>54861546100</v>
      </c>
      <c r="AB682" s="31" t="n">
        <v>131891252740</v>
      </c>
      <c r="AC682" s="36" t="n">
        <v>0.006862305533850707</v>
      </c>
      <c r="AD682" s="29" t="inlineStr">
        <is>
          <t>yfinance_download</t>
        </is>
      </c>
      <c r="AE682" s="29" t="inlineStr">
        <is>
          <t>058470.KQ</t>
        </is>
      </c>
    </row>
    <row r="683" ht="24" customHeight="1">
      <c r="A683" s="24" t="inlineStr">
        <is>
          <t>2026-03-30</t>
        </is>
      </c>
      <c r="B683" s="30" t="n">
        <v>99000</v>
      </c>
      <c r="C683" s="30" t="n">
        <v>100800</v>
      </c>
      <c r="D683" s="30" t="n">
        <v>98000</v>
      </c>
      <c r="E683" s="30" t="n">
        <v>98400</v>
      </c>
      <c r="F683" s="30" t="n">
        <v>98400</v>
      </c>
      <c r="G683" s="30" t="n">
        <v>468883</v>
      </c>
      <c r="H683" s="35" t="n">
        <v>-0.06196377502383221</v>
      </c>
      <c r="I683" s="35" t="n">
        <v>-0.2251968503937007</v>
      </c>
      <c r="J683" s="30" t="n">
        <v>111915</v>
      </c>
      <c r="K683" s="30" t="n">
        <v>91790</v>
      </c>
      <c r="L683" s="30" t="n">
        <v>75425.83333333333</v>
      </c>
      <c r="M683" s="35" t="n">
        <v>1.025982218384028</v>
      </c>
      <c r="N683" s="35" t="n">
        <v>0.8303495650613762</v>
      </c>
      <c r="O683" s="35" t="n">
        <v>-0.07344632768361581</v>
      </c>
      <c r="P683" s="35" t="n">
        <v>0.6104746317512275</v>
      </c>
      <c r="Q683" s="35" t="n">
        <v>0.9106796116504854</v>
      </c>
      <c r="R683" s="35" t="n">
        <v>-0.1207612920520037</v>
      </c>
      <c r="S683" s="35" t="n">
        <v>0.07201220176489809</v>
      </c>
      <c r="T683" s="35" t="n">
        <v>0.3045928119234127</v>
      </c>
      <c r="U683" s="30" t="n">
        <v>127000</v>
      </c>
      <c r="V683" s="30" t="n">
        <v>34460</v>
      </c>
      <c r="W683" s="35" t="n">
        <v>-0.2251968503937007</v>
      </c>
      <c r="X683" s="35" t="n">
        <v>1.855484619849101</v>
      </c>
      <c r="Y683" s="30" t="n">
        <v>76211850</v>
      </c>
      <c r="Z683" s="30" t="n">
        <v>7499246040000</v>
      </c>
      <c r="AA683" s="30" t="n">
        <v>46138087200</v>
      </c>
      <c r="AB683" s="30" t="n">
        <v>127112965690</v>
      </c>
      <c r="AC683" s="35" t="n">
        <v>0.006152363444792378</v>
      </c>
      <c r="AD683" s="24" t="inlineStr">
        <is>
          <t>yfinance_download</t>
        </is>
      </c>
      <c r="AE683" s="24" t="inlineStr">
        <is>
          <t>058470.KQ</t>
        </is>
      </c>
    </row>
    <row r="684" ht="24" customHeight="1">
      <c r="A684" s="29" t="inlineStr">
        <is>
          <t>2026-03-31</t>
        </is>
      </c>
      <c r="B684" s="31" t="n">
        <v>96900</v>
      </c>
      <c r="C684" s="31" t="n">
        <v>99000</v>
      </c>
      <c r="D684" s="31" t="n">
        <v>94200</v>
      </c>
      <c r="E684" s="31" t="n">
        <v>94400</v>
      </c>
      <c r="F684" s="31" t="n">
        <v>94400</v>
      </c>
      <c r="G684" s="31" t="n">
        <v>657011</v>
      </c>
      <c r="H684" s="36" t="n">
        <v>-0.04065040650406504</v>
      </c>
      <c r="I684" s="36" t="n">
        <v>-0.2566929133858268</v>
      </c>
      <c r="J684" s="31" t="n">
        <v>111060</v>
      </c>
      <c r="K684" s="31" t="n">
        <v>92348.33333333333</v>
      </c>
      <c r="L684" s="31" t="n">
        <v>75786.66666666667</v>
      </c>
      <c r="M684" s="36" t="n">
        <v>1.015609624371152</v>
      </c>
      <c r="N684" s="36" t="n">
        <v>0.8362729633450388</v>
      </c>
      <c r="O684" s="36" t="n">
        <v>-0.1533632286995515</v>
      </c>
      <c r="P684" s="36" t="n">
        <v>0.5500821018062398</v>
      </c>
      <c r="Q684" s="36" t="n">
        <v>0.847358121330724</v>
      </c>
      <c r="R684" s="36" t="n">
        <v>-0.1500090041419053</v>
      </c>
      <c r="S684" s="36" t="n">
        <v>0.02221660741034848</v>
      </c>
      <c r="T684" s="36" t="n">
        <v>0.2456016889514425</v>
      </c>
      <c r="U684" s="31" t="n">
        <v>127000</v>
      </c>
      <c r="V684" s="31" t="n">
        <v>34460</v>
      </c>
      <c r="W684" s="36" t="n">
        <v>-0.2566929133858268</v>
      </c>
      <c r="X684" s="36" t="n">
        <v>1.739408009286129</v>
      </c>
      <c r="Y684" s="31" t="n">
        <v>76211850</v>
      </c>
      <c r="Z684" s="31" t="n">
        <v>7194398640000</v>
      </c>
      <c r="AA684" s="31" t="n">
        <v>62021838400</v>
      </c>
      <c r="AB684" s="31" t="n">
        <v>112854773135</v>
      </c>
      <c r="AC684" s="36" t="n">
        <v>0.008620850956904996</v>
      </c>
      <c r="AD684" s="29" t="inlineStr">
        <is>
          <t>yfinance_download</t>
        </is>
      </c>
      <c r="AE684" s="29" t="inlineStr">
        <is>
          <t>058470.KQ</t>
        </is>
      </c>
    </row>
    <row r="685" ht="24" customHeight="1">
      <c r="A685" s="24" t="inlineStr">
        <is>
          <t>2026-04-01</t>
        </is>
      </c>
      <c r="B685" s="30" t="n">
        <v>99700</v>
      </c>
      <c r="C685" s="30" t="n">
        <v>104600</v>
      </c>
      <c r="D685" s="30" t="n">
        <v>98700</v>
      </c>
      <c r="E685" s="30" t="n">
        <v>104600</v>
      </c>
      <c r="F685" s="30" t="n">
        <v>104600</v>
      </c>
      <c r="G685" s="30" t="n">
        <v>725098</v>
      </c>
      <c r="H685" s="35" t="n">
        <v>0.1080508474576272</v>
      </c>
      <c r="I685" s="35" t="n">
        <v>-0.1763779527559055</v>
      </c>
      <c r="J685" s="30" t="n">
        <v>111245</v>
      </c>
      <c r="K685" s="30" t="n">
        <v>93086.66666666667</v>
      </c>
      <c r="L685" s="30" t="n">
        <v>76226.66666666667</v>
      </c>
      <c r="M685" s="35" t="n">
        <v>1.036264308295993</v>
      </c>
      <c r="N685" s="35" t="n">
        <v>0.8597131903383655</v>
      </c>
      <c r="O685" s="35" t="n">
        <v>0.03666997026759167</v>
      </c>
      <c r="P685" s="35" t="n">
        <v>0.734660033167496</v>
      </c>
      <c r="Q685" s="35" t="n">
        <v>1.019305019305019</v>
      </c>
      <c r="R685" s="35" t="n">
        <v>-0.05973302170884087</v>
      </c>
      <c r="S685" s="35" t="n">
        <v>0.1236840220582969</v>
      </c>
      <c r="T685" s="35" t="n">
        <v>0.372223193982858</v>
      </c>
      <c r="U685" s="30" t="n">
        <v>127000</v>
      </c>
      <c r="V685" s="30" t="n">
        <v>34460</v>
      </c>
      <c r="W685" s="35" t="n">
        <v>-0.1763779527559055</v>
      </c>
      <c r="X685" s="35" t="n">
        <v>2.035403366221706</v>
      </c>
      <c r="Y685" s="30" t="n">
        <v>76211850</v>
      </c>
      <c r="Z685" s="30" t="n">
        <v>7971759510000</v>
      </c>
      <c r="AA685" s="30" t="n">
        <v>75845250800</v>
      </c>
      <c r="AB685" s="30" t="n">
        <v>102836630695</v>
      </c>
      <c r="AC685" s="35" t="n">
        <v>0.009514242207740659</v>
      </c>
      <c r="AD685" s="24" t="inlineStr">
        <is>
          <t>yfinance_download</t>
        </is>
      </c>
      <c r="AE685" s="24" t="inlineStr">
        <is>
          <t>058470.KQ</t>
        </is>
      </c>
    </row>
    <row r="686" ht="24" customHeight="1">
      <c r="A686" s="29" t="inlineStr">
        <is>
          <t>2026-04-02</t>
        </is>
      </c>
      <c r="B686" s="31" t="n">
        <v>105000</v>
      </c>
      <c r="C686" s="31" t="n">
        <v>105900</v>
      </c>
      <c r="D686" s="31" t="n">
        <v>98000</v>
      </c>
      <c r="E686" s="31" t="n">
        <v>99100</v>
      </c>
      <c r="F686" s="31" t="n">
        <v>99100</v>
      </c>
      <c r="G686" s="31" t="n">
        <v>671725</v>
      </c>
      <c r="H686" s="36" t="n">
        <v>-0.05258126195028678</v>
      </c>
      <c r="I686" s="36" t="n">
        <v>-0.2196850393700788</v>
      </c>
      <c r="J686" s="31" t="n">
        <v>110130</v>
      </c>
      <c r="K686" s="31" t="n">
        <v>93656.66666666667</v>
      </c>
      <c r="L686" s="31" t="n">
        <v>76623.33333333333</v>
      </c>
      <c r="M686" s="36" t="n">
        <v>0.7380919642401128</v>
      </c>
      <c r="N686" s="36" t="n">
        <v>0.8582296205548047</v>
      </c>
      <c r="O686" s="36" t="n">
        <v>-0.1836902800658978</v>
      </c>
      <c r="P686" s="36" t="n">
        <v>0.5269645608628659</v>
      </c>
      <c r="Q686" s="36" t="n">
        <v>0.9242718446601941</v>
      </c>
      <c r="R686" s="36" t="n">
        <v>-0.1001543630255153</v>
      </c>
      <c r="S686" s="36" t="n">
        <v>0.05812008399473245</v>
      </c>
      <c r="T686" s="36" t="n">
        <v>0.2933397137512508</v>
      </c>
      <c r="U686" s="31" t="n">
        <v>127000</v>
      </c>
      <c r="V686" s="31" t="n">
        <v>34460</v>
      </c>
      <c r="W686" s="36" t="n">
        <v>-0.2196850393700788</v>
      </c>
      <c r="X686" s="36" t="n">
        <v>1.875798026697621</v>
      </c>
      <c r="Y686" s="31" t="n">
        <v>76211850</v>
      </c>
      <c r="Z686" s="31" t="n">
        <v>7552594335000</v>
      </c>
      <c r="AA686" s="31" t="n">
        <v>66567947500</v>
      </c>
      <c r="AB686" s="31" t="n">
        <v>90478090340</v>
      </c>
      <c r="AC686" s="36" t="n">
        <v>0.008813918045553284</v>
      </c>
      <c r="AD686" s="29" t="inlineStr">
        <is>
          <t>yfinance_download</t>
        </is>
      </c>
      <c r="AE686" s="29" t="inlineStr">
        <is>
          <t>058470.KQ</t>
        </is>
      </c>
    </row>
    <row r="687" ht="24" customHeight="1">
      <c r="A687" s="24" t="inlineStr">
        <is>
          <t>2026-04-03</t>
        </is>
      </c>
      <c r="B687" s="30" t="n">
        <v>101300</v>
      </c>
      <c r="C687" s="30" t="n">
        <v>110900</v>
      </c>
      <c r="D687" s="30" t="n">
        <v>100400</v>
      </c>
      <c r="E687" s="30" t="n">
        <v>110400</v>
      </c>
      <c r="F687" s="30" t="n">
        <v>110400</v>
      </c>
      <c r="G687" s="30" t="n">
        <v>934117</v>
      </c>
      <c r="H687" s="35" t="n">
        <v>0.1140262361251261</v>
      </c>
      <c r="I687" s="35" t="n">
        <v>-0.1307086614173228</v>
      </c>
      <c r="J687" s="30" t="n">
        <v>109300</v>
      </c>
      <c r="K687" s="30" t="n">
        <v>94413.33333333333</v>
      </c>
      <c r="L687" s="30" t="n">
        <v>77104.16666666667</v>
      </c>
      <c r="M687" s="35" t="n">
        <v>0.8380384598013164</v>
      </c>
      <c r="N687" s="35" t="n">
        <v>0.884900686690882</v>
      </c>
      <c r="O687" s="35" t="n">
        <v>-0.1307086614173228</v>
      </c>
      <c r="P687" s="35" t="n">
        <v>0.6984615384615385</v>
      </c>
      <c r="Q687" s="35" t="n">
        <v>1.094876660341556</v>
      </c>
      <c r="R687" s="35" t="n">
        <v>0.01006404391582794</v>
      </c>
      <c r="S687" s="35" t="n">
        <v>0.1693263663324389</v>
      </c>
      <c r="T687" s="35" t="n">
        <v>0.4318292353417994</v>
      </c>
      <c r="U687" s="30" t="n">
        <v>127000</v>
      </c>
      <c r="V687" s="30" t="n">
        <v>34460</v>
      </c>
      <c r="W687" s="35" t="n">
        <v>-0.1307086614173228</v>
      </c>
      <c r="X687" s="35" t="n">
        <v>2.203714451538015</v>
      </c>
      <c r="Y687" s="30" t="n">
        <v>76211850</v>
      </c>
      <c r="Z687" s="30" t="n">
        <v>8413788240000</v>
      </c>
      <c r="AA687" s="30" t="n">
        <v>103126516800</v>
      </c>
      <c r="AB687" s="30" t="n">
        <v>86025780330</v>
      </c>
      <c r="AC687" s="35" t="n">
        <v>0.01225684719633495</v>
      </c>
      <c r="AD687" s="24" t="inlineStr">
        <is>
          <t>yfinance_download</t>
        </is>
      </c>
      <c r="AE687" s="24" t="inlineStr">
        <is>
          <t>058470.KQ</t>
        </is>
      </c>
    </row>
    <row r="688" ht="24" customHeight="1">
      <c r="A688" s="29" t="inlineStr">
        <is>
          <t>2026-04-06</t>
        </is>
      </c>
      <c r="B688" s="31" t="n">
        <v>109200</v>
      </c>
      <c r="C688" s="31" t="n">
        <v>111200</v>
      </c>
      <c r="D688" s="31" t="n">
        <v>105000</v>
      </c>
      <c r="E688" s="31" t="n">
        <v>105500</v>
      </c>
      <c r="F688" s="31" t="n">
        <v>105500</v>
      </c>
      <c r="G688" s="31" t="n">
        <v>558782</v>
      </c>
      <c r="H688" s="36" t="n">
        <v>-0.04438405797101452</v>
      </c>
      <c r="I688" s="36" t="n">
        <v>-0.1692913385826772</v>
      </c>
      <c r="J688" s="31" t="n">
        <v>108665</v>
      </c>
      <c r="K688" s="31" t="n">
        <v>95066.66666666667</v>
      </c>
      <c r="L688" s="31" t="n">
        <v>77536.66666666667</v>
      </c>
      <c r="M688" s="36" t="n">
        <v>0.8173757229333175</v>
      </c>
      <c r="N688" s="36" t="n">
        <v>0.8917091844229251</v>
      </c>
      <c r="O688" s="36" t="n">
        <v>-0.1074450084602369</v>
      </c>
      <c r="P688" s="36" t="n">
        <v>0.5912518853695323</v>
      </c>
      <c r="Q688" s="36" t="n">
        <v>0.9682835820895523</v>
      </c>
      <c r="R688" s="36" t="n">
        <v>-0.029126213592233</v>
      </c>
      <c r="S688" s="36" t="n">
        <v>0.1097475455820476</v>
      </c>
      <c r="T688" s="36" t="n">
        <v>0.3606465758135935</v>
      </c>
      <c r="U688" s="31" t="n">
        <v>127000</v>
      </c>
      <c r="V688" s="31" t="n">
        <v>34460</v>
      </c>
      <c r="W688" s="36" t="n">
        <v>-0.1692913385826772</v>
      </c>
      <c r="X688" s="36" t="n">
        <v>2.061520603598375</v>
      </c>
      <c r="Y688" s="31" t="n">
        <v>76211850</v>
      </c>
      <c r="Z688" s="31" t="n">
        <v>8040350175000</v>
      </c>
      <c r="AA688" s="31" t="n">
        <v>58951501000</v>
      </c>
      <c r="AB688" s="31" t="n">
        <v>81495586040</v>
      </c>
      <c r="AC688" s="36" t="n">
        <v>0.007331956906963943</v>
      </c>
      <c r="AD688" s="29" t="inlineStr">
        <is>
          <t>yfinance_download</t>
        </is>
      </c>
      <c r="AE688" s="29" t="inlineStr">
        <is>
          <t>058470.KQ</t>
        </is>
      </c>
    </row>
    <row r="689" ht="24" customHeight="1">
      <c r="A689" s="24" t="inlineStr">
        <is>
          <t>2026-04-07</t>
        </is>
      </c>
      <c r="B689" s="30" t="n">
        <v>106800</v>
      </c>
      <c r="C689" s="30" t="n">
        <v>112800</v>
      </c>
      <c r="D689" s="30" t="n">
        <v>106800</v>
      </c>
      <c r="E689" s="30" t="n">
        <v>109700</v>
      </c>
      <c r="F689" s="30" t="n">
        <v>109700</v>
      </c>
      <c r="G689" s="30" t="n">
        <v>818802</v>
      </c>
      <c r="H689" s="35" t="n">
        <v>0.03981042654028433</v>
      </c>
      <c r="I689" s="35" t="n">
        <v>-0.1362204724409449</v>
      </c>
      <c r="J689" s="30" t="n">
        <v>108175</v>
      </c>
      <c r="K689" s="30" t="n">
        <v>95825</v>
      </c>
      <c r="L689" s="30" t="n">
        <v>78003.33333333333</v>
      </c>
      <c r="M689" s="35" t="n">
        <v>0.8308818409461571</v>
      </c>
      <c r="N689" s="35" t="n">
        <v>0.8897237274189733</v>
      </c>
      <c r="O689" s="35" t="n">
        <v>-0.08200836820083679</v>
      </c>
      <c r="P689" s="35" t="n">
        <v>0.7087227414330217</v>
      </c>
      <c r="Q689" s="35" t="n">
        <v>1.042830540037244</v>
      </c>
      <c r="R689" s="35" t="n">
        <v>0.01409752715507273</v>
      </c>
      <c r="S689" s="35" t="n">
        <v>0.1447951995825725</v>
      </c>
      <c r="T689" s="35" t="n">
        <v>0.4063501559762404</v>
      </c>
      <c r="U689" s="30" t="n">
        <v>127000</v>
      </c>
      <c r="V689" s="30" t="n">
        <v>34460</v>
      </c>
      <c r="W689" s="35" t="n">
        <v>-0.1362204724409449</v>
      </c>
      <c r="X689" s="35" t="n">
        <v>2.183401044689495</v>
      </c>
      <c r="Y689" s="30" t="n">
        <v>76211850</v>
      </c>
      <c r="Z689" s="30" t="n">
        <v>8360439945000</v>
      </c>
      <c r="AA689" s="30" t="n">
        <v>89822579400</v>
      </c>
      <c r="AB689" s="30" t="n">
        <v>77890207610</v>
      </c>
      <c r="AC689" s="35" t="n">
        <v>0.01074376228893538</v>
      </c>
      <c r="AD689" s="24" t="inlineStr">
        <is>
          <t>yfinance_download</t>
        </is>
      </c>
      <c r="AE689" s="24" t="inlineStr">
        <is>
          <t>058470.KQ</t>
        </is>
      </c>
    </row>
    <row r="690" ht="24" customHeight="1">
      <c r="A690" s="29" t="inlineStr">
        <is>
          <t>2026-04-08</t>
        </is>
      </c>
      <c r="B690" s="31" t="n">
        <v>116100</v>
      </c>
      <c r="C690" s="31" t="n">
        <v>117300</v>
      </c>
      <c r="D690" s="31" t="n">
        <v>112700</v>
      </c>
      <c r="E690" s="31" t="n">
        <v>116800</v>
      </c>
      <c r="F690" s="31" t="n">
        <v>116800</v>
      </c>
      <c r="G690" s="31" t="n">
        <v>1127649</v>
      </c>
      <c r="H690" s="36" t="n">
        <v>0.06472196900638094</v>
      </c>
      <c r="I690" s="36" t="n">
        <v>-0.08031496062992127</v>
      </c>
      <c r="J690" s="31" t="n">
        <v>108330</v>
      </c>
      <c r="K690" s="31" t="n">
        <v>96700</v>
      </c>
      <c r="L690" s="31" t="n">
        <v>78507.5</v>
      </c>
      <c r="M690" s="36" t="n">
        <v>0.8456914626865839</v>
      </c>
      <c r="N690" s="36" t="n">
        <v>0.8964172558760791</v>
      </c>
      <c r="O690" s="36" t="n">
        <v>0.02726473175021993</v>
      </c>
      <c r="P690" s="36" t="n">
        <v>0.8164852255054433</v>
      </c>
      <c r="Q690" s="36" t="n">
        <v>1.074600355239787</v>
      </c>
      <c r="R690" s="36" t="n">
        <v>0.07818702113911202</v>
      </c>
      <c r="S690" s="36" t="n">
        <v>0.2078593588417788</v>
      </c>
      <c r="T690" s="36" t="n">
        <v>0.4877559468840558</v>
      </c>
      <c r="U690" s="31" t="n">
        <v>127000</v>
      </c>
      <c r="V690" s="31" t="n">
        <v>34460</v>
      </c>
      <c r="W690" s="36" t="n">
        <v>-0.08031496062992127</v>
      </c>
      <c r="X690" s="36" t="n">
        <v>2.38943702843877</v>
      </c>
      <c r="Y690" s="31" t="n">
        <v>76211850</v>
      </c>
      <c r="Z690" s="31" t="n">
        <v>8901544080000</v>
      </c>
      <c r="AA690" s="31" t="n">
        <v>131709403200</v>
      </c>
      <c r="AB690" s="31" t="n">
        <v>79094995820</v>
      </c>
      <c r="AC690" s="36" t="n">
        <v>0.01479624231664761</v>
      </c>
      <c r="AD690" s="29" t="inlineStr">
        <is>
          <t>yfinance_download</t>
        </is>
      </c>
      <c r="AE690" s="29" t="inlineStr">
        <is>
          <t>058470.KQ</t>
        </is>
      </c>
    </row>
    <row r="691" ht="24" customHeight="1">
      <c r="A691" s="24" t="inlineStr">
        <is>
          <t>2026-04-09</t>
        </is>
      </c>
      <c r="B691" s="30" t="n">
        <v>113200</v>
      </c>
      <c r="C691" s="30" t="n">
        <v>113900</v>
      </c>
      <c r="D691" s="30" t="n">
        <v>109200</v>
      </c>
      <c r="E691" s="30" t="n">
        <v>113100</v>
      </c>
      <c r="F691" s="30" t="n">
        <v>113100</v>
      </c>
      <c r="G691" s="30" t="n">
        <v>868388</v>
      </c>
      <c r="H691" s="35" t="n">
        <v>-0.03167808219178081</v>
      </c>
      <c r="I691" s="35" t="n">
        <v>-0.1094488188976378</v>
      </c>
      <c r="J691" s="30" t="n">
        <v>108095</v>
      </c>
      <c r="K691" s="30" t="n">
        <v>97540</v>
      </c>
      <c r="L691" s="30" t="n">
        <v>78975</v>
      </c>
      <c r="M691" s="35" t="n">
        <v>0.8443898489252941</v>
      </c>
      <c r="N691" s="35" t="n">
        <v>0.8977026841128952</v>
      </c>
      <c r="O691" s="35" t="n">
        <v>-0.03989813242784379</v>
      </c>
      <c r="P691" s="35" t="n">
        <v>0.8038277511961722</v>
      </c>
      <c r="Q691" s="35" t="n">
        <v>0.9842105263157894</v>
      </c>
      <c r="R691" s="35" t="n">
        <v>0.04630186410102222</v>
      </c>
      <c r="S691" s="35" t="n">
        <v>0.1595242977240106</v>
      </c>
      <c r="T691" s="35" t="n">
        <v>0.4320987654320987</v>
      </c>
      <c r="U691" s="30" t="n">
        <v>127000</v>
      </c>
      <c r="V691" s="30" t="n">
        <v>34460</v>
      </c>
      <c r="W691" s="35" t="n">
        <v>-0.1094488188976378</v>
      </c>
      <c r="X691" s="35" t="n">
        <v>2.282066163668021</v>
      </c>
      <c r="Y691" s="30" t="n">
        <v>76211850</v>
      </c>
      <c r="Z691" s="30" t="n">
        <v>8619560235000</v>
      </c>
      <c r="AA691" s="30" t="n">
        <v>98214682800</v>
      </c>
      <c r="AB691" s="30" t="n">
        <v>78810266980</v>
      </c>
      <c r="AC691" s="35" t="n">
        <v>0.01139439601584268</v>
      </c>
      <c r="AD691" s="24" t="inlineStr">
        <is>
          <t>yfinance_download</t>
        </is>
      </c>
      <c r="AE691" s="24" t="inlineStr">
        <is>
          <t>058470.KQ</t>
        </is>
      </c>
    </row>
    <row r="692" ht="24" customHeight="1">
      <c r="A692" s="29" t="inlineStr">
        <is>
          <t>2026-04-10</t>
        </is>
      </c>
      <c r="B692" s="31" t="n">
        <v>114300</v>
      </c>
      <c r="C692" s="31" t="n">
        <v>114300</v>
      </c>
      <c r="D692" s="31" t="n">
        <v>110200</v>
      </c>
      <c r="E692" s="31" t="n">
        <v>111800</v>
      </c>
      <c r="F692" s="31" t="n">
        <v>111800</v>
      </c>
      <c r="G692" s="31" t="n">
        <v>1120629</v>
      </c>
      <c r="H692" s="36" t="n">
        <v>-0.0114942528735632</v>
      </c>
      <c r="I692" s="36" t="n">
        <v>-0.1196850393700788</v>
      </c>
      <c r="J692" s="31" t="n">
        <v>108010</v>
      </c>
      <c r="K692" s="31" t="n">
        <v>98355</v>
      </c>
      <c r="L692" s="31" t="n">
        <v>79424.16666666667</v>
      </c>
      <c r="M692" s="36" t="n">
        <v>0.8349500866151949</v>
      </c>
      <c r="N692" s="36" t="n">
        <v>0.8987797321876302</v>
      </c>
      <c r="O692" s="36" t="n">
        <v>-0.0149779735682819</v>
      </c>
      <c r="P692" s="36" t="n">
        <v>0.7774244833068362</v>
      </c>
      <c r="Q692" s="36" t="n">
        <v>0.930915371329879</v>
      </c>
      <c r="R692" s="36" t="n">
        <v>0.03508934357929827</v>
      </c>
      <c r="S692" s="36" t="n">
        <v>0.13669869350821</v>
      </c>
      <c r="T692" s="36" t="n">
        <v>0.4076320179626267</v>
      </c>
      <c r="U692" s="31" t="n">
        <v>127000</v>
      </c>
      <c r="V692" s="31" t="n">
        <v>34460</v>
      </c>
      <c r="W692" s="36" t="n">
        <v>-0.1196850393700788</v>
      </c>
      <c r="X692" s="36" t="n">
        <v>2.244341265235055</v>
      </c>
      <c r="Y692" s="31" t="n">
        <v>76211850</v>
      </c>
      <c r="Z692" s="31" t="n">
        <v>8520484830000</v>
      </c>
      <c r="AA692" s="31" t="n">
        <v>125286322200</v>
      </c>
      <c r="AB692" s="31" t="n">
        <v>81237675865</v>
      </c>
      <c r="AC692" s="36" t="n">
        <v>0.01470413065684667</v>
      </c>
      <c r="AD692" s="29" t="inlineStr">
        <is>
          <t>yfinance_download</t>
        </is>
      </c>
      <c r="AE692" s="29" t="inlineStr">
        <is>
          <t>058470.KQ</t>
        </is>
      </c>
    </row>
    <row r="693" ht="24" customHeight="1">
      <c r="A693" s="24" t="inlineStr">
        <is>
          <t>2026-04-13</t>
        </is>
      </c>
      <c r="B693" s="30" t="n">
        <v>108500</v>
      </c>
      <c r="C693" s="30" t="n">
        <v>113700</v>
      </c>
      <c r="D693" s="30" t="n">
        <v>108500</v>
      </c>
      <c r="E693" s="30" t="n">
        <v>113400</v>
      </c>
      <c r="F693" s="30" t="n">
        <v>113400</v>
      </c>
      <c r="G693" s="30" t="n">
        <v>578766</v>
      </c>
      <c r="H693" s="35" t="n">
        <v>0.01431127012522371</v>
      </c>
      <c r="I693" s="35" t="n">
        <v>-0.1070866141732284</v>
      </c>
      <c r="J693" s="30" t="n">
        <v>108080</v>
      </c>
      <c r="K693" s="30" t="n">
        <v>99185</v>
      </c>
      <c r="L693" s="30" t="n">
        <v>79888.33333333333</v>
      </c>
      <c r="M693" s="35" t="n">
        <v>0.8346596811109472</v>
      </c>
      <c r="N693" s="35" t="n">
        <v>0.8988030648755546</v>
      </c>
      <c r="O693" s="35" t="n">
        <v>0.01249999999999996</v>
      </c>
      <c r="P693" s="35" t="n">
        <v>0.7830188679245282</v>
      </c>
      <c r="Q693" s="35" t="n">
        <v>0.9653379549393415</v>
      </c>
      <c r="R693" s="35" t="n">
        <v>0.04922279792746109</v>
      </c>
      <c r="S693" s="35" t="n">
        <v>0.1433180420426476</v>
      </c>
      <c r="T693" s="35" t="n">
        <v>0.4194813593974924</v>
      </c>
      <c r="U693" s="30" t="n">
        <v>127000</v>
      </c>
      <c r="V693" s="30" t="n">
        <v>34460</v>
      </c>
      <c r="W693" s="35" t="n">
        <v>-0.1070866141732284</v>
      </c>
      <c r="X693" s="35" t="n">
        <v>2.290771909460244</v>
      </c>
      <c r="Y693" s="30" t="n">
        <v>76211850</v>
      </c>
      <c r="Z693" s="30" t="n">
        <v>8642423790000</v>
      </c>
      <c r="AA693" s="30" t="n">
        <v>65632064400</v>
      </c>
      <c r="AB693" s="30" t="n">
        <v>80457190285</v>
      </c>
      <c r="AC693" s="35" t="n">
        <v>0.007594173347058233</v>
      </c>
      <c r="AD693" s="24" t="inlineStr">
        <is>
          <t>yfinance_download</t>
        </is>
      </c>
      <c r="AE693" s="24" t="inlineStr">
        <is>
          <t>058470.KQ</t>
        </is>
      </c>
    </row>
    <row r="694" ht="24" customHeight="1">
      <c r="A694" s="29" t="inlineStr">
        <is>
          <t>2026-04-14</t>
        </is>
      </c>
      <c r="B694" s="31" t="n">
        <v>113500</v>
      </c>
      <c r="C694" s="31" t="n">
        <v>115300</v>
      </c>
      <c r="D694" s="31" t="n">
        <v>110800</v>
      </c>
      <c r="E694" s="31" t="n">
        <v>111600</v>
      </c>
      <c r="F694" s="31" t="n">
        <v>111600</v>
      </c>
      <c r="G694" s="31" t="n">
        <v>591983</v>
      </c>
      <c r="H694" s="36" t="n">
        <v>-0.01587301587301593</v>
      </c>
      <c r="I694" s="36" t="n">
        <v>-0.121259842519685</v>
      </c>
      <c r="J694" s="31" t="n">
        <v>108160</v>
      </c>
      <c r="K694" s="31" t="n">
        <v>99968.33333333333</v>
      </c>
      <c r="L694" s="31" t="n">
        <v>80342.5</v>
      </c>
      <c r="M694" s="36" t="n">
        <v>0.8340662694429543</v>
      </c>
      <c r="N694" s="36" t="n">
        <v>0.9004554762418369</v>
      </c>
      <c r="O694" s="36" t="n">
        <v>0.01454545454545464</v>
      </c>
      <c r="P694" s="36" t="n">
        <v>0.7275541795665634</v>
      </c>
      <c r="Q694" s="36" t="n">
        <v>0.9544658493870404</v>
      </c>
      <c r="R694" s="36" t="n">
        <v>0.03180473372781067</v>
      </c>
      <c r="S694" s="36" t="n">
        <v>0.1163535119454495</v>
      </c>
      <c r="T694" s="36" t="n">
        <v>0.3890531163456452</v>
      </c>
      <c r="U694" s="31" t="n">
        <v>127000</v>
      </c>
      <c r="V694" s="31" t="n">
        <v>34460</v>
      </c>
      <c r="W694" s="36" t="n">
        <v>-0.121259842519685</v>
      </c>
      <c r="X694" s="36" t="n">
        <v>2.238537434706906</v>
      </c>
      <c r="Y694" s="31" t="n">
        <v>76211850</v>
      </c>
      <c r="Z694" s="31" t="n">
        <v>8505242460000</v>
      </c>
      <c r="AA694" s="31" t="n">
        <v>66065302800</v>
      </c>
      <c r="AB694" s="31" t="n">
        <v>81055214425</v>
      </c>
      <c r="AC694" s="36" t="n">
        <v>0.007767597821073757</v>
      </c>
      <c r="AD694" s="29" t="inlineStr">
        <is>
          <t>yfinance_download</t>
        </is>
      </c>
      <c r="AE694" s="29" t="inlineStr">
        <is>
          <t>058470.KQ</t>
        </is>
      </c>
    </row>
    <row r="695" ht="24" customHeight="1">
      <c r="A695" s="24" t="inlineStr">
        <is>
          <t>2026-04-15</t>
        </is>
      </c>
      <c r="B695" s="30" t="n">
        <v>111100</v>
      </c>
      <c r="C695" s="30" t="n">
        <v>113200</v>
      </c>
      <c r="D695" s="30" t="n">
        <v>110500</v>
      </c>
      <c r="E695" s="30" t="n">
        <v>112800</v>
      </c>
      <c r="F695" s="30" t="n">
        <v>112800</v>
      </c>
      <c r="G695" s="30" t="n">
        <v>853692</v>
      </c>
      <c r="H695" s="35" t="n">
        <v>0.010752688172043</v>
      </c>
      <c r="I695" s="35" t="n">
        <v>-0.1118110236220472</v>
      </c>
      <c r="J695" s="30" t="n">
        <v>107970</v>
      </c>
      <c r="K695" s="30" t="n">
        <v>100768.3333333333</v>
      </c>
      <c r="L695" s="30" t="n">
        <v>80800</v>
      </c>
      <c r="M695" s="35" t="n">
        <v>0.8065084295978171</v>
      </c>
      <c r="N695" s="35" t="n">
        <v>0.9003168513924241</v>
      </c>
      <c r="O695" s="35" t="n">
        <v>-0.032590051457976</v>
      </c>
      <c r="P695" s="35" t="n">
        <v>0.7407407407407407</v>
      </c>
      <c r="Q695" s="35" t="n">
        <v>0.9481865284974094</v>
      </c>
      <c r="R695" s="35" t="n">
        <v>0.04473464851347586</v>
      </c>
      <c r="S695" s="35" t="n">
        <v>0.1193992821819025</v>
      </c>
      <c r="T695" s="35" t="n">
        <v>0.3960396039603959</v>
      </c>
      <c r="U695" s="30" t="n">
        <v>127000</v>
      </c>
      <c r="V695" s="30" t="n">
        <v>34460</v>
      </c>
      <c r="W695" s="35" t="n">
        <v>-0.1118110236220472</v>
      </c>
      <c r="X695" s="35" t="n">
        <v>2.273360417875798</v>
      </c>
      <c r="Y695" s="30" t="n">
        <v>76211850</v>
      </c>
      <c r="Z695" s="30" t="n">
        <v>8596696680000</v>
      </c>
      <c r="AA695" s="30" t="n">
        <v>96296457600</v>
      </c>
      <c r="AB695" s="30" t="n">
        <v>81569088895</v>
      </c>
      <c r="AC695" s="35" t="n">
        <v>0.01120156511093747</v>
      </c>
      <c r="AD695" s="24" t="inlineStr">
        <is>
          <t>yfinance_download</t>
        </is>
      </c>
      <c r="AE695" s="24" t="inlineStr">
        <is>
          <t>058470.KQ</t>
        </is>
      </c>
    </row>
    <row r="696" ht="24" customHeight="1">
      <c r="A696" s="29" t="inlineStr">
        <is>
          <t>2026-04-16</t>
        </is>
      </c>
      <c r="B696" s="31" t="n">
        <v>112500</v>
      </c>
      <c r="C696" s="31" t="n">
        <v>115400</v>
      </c>
      <c r="D696" s="31" t="n">
        <v>111400</v>
      </c>
      <c r="E696" s="31" t="n">
        <v>115000</v>
      </c>
      <c r="F696" s="31" t="n">
        <v>115000</v>
      </c>
      <c r="G696" s="31" t="n">
        <v>606432</v>
      </c>
      <c r="H696" s="36" t="n">
        <v>0.01950354609929073</v>
      </c>
      <c r="I696" s="36" t="n">
        <v>-0.09448818897637801</v>
      </c>
      <c r="J696" s="31" t="n">
        <v>107865</v>
      </c>
      <c r="K696" s="31" t="n">
        <v>101606.6666666667</v>
      </c>
      <c r="L696" s="31" t="n">
        <v>81285</v>
      </c>
      <c r="M696" s="36" t="n">
        <v>0.8095001892765304</v>
      </c>
      <c r="N696" s="36" t="n">
        <v>0.9001171357326014</v>
      </c>
      <c r="O696" s="36" t="n">
        <v>-0.01793339026473095</v>
      </c>
      <c r="P696" s="36" t="n">
        <v>0.777434312210201</v>
      </c>
      <c r="Q696" s="36" t="n">
        <v>1.024647887323944</v>
      </c>
      <c r="R696" s="36" t="n">
        <v>0.06614749918880092</v>
      </c>
      <c r="S696" s="36" t="n">
        <v>0.1318154976707564</v>
      </c>
      <c r="T696" s="36" t="n">
        <v>0.4147751737712986</v>
      </c>
      <c r="U696" s="31" t="n">
        <v>127000</v>
      </c>
      <c r="V696" s="31" t="n">
        <v>34460</v>
      </c>
      <c r="W696" s="36" t="n">
        <v>-0.09448818897637801</v>
      </c>
      <c r="X696" s="36" t="n">
        <v>2.337202553685432</v>
      </c>
      <c r="Y696" s="31" t="n">
        <v>76211850</v>
      </c>
      <c r="Z696" s="31" t="n">
        <v>8764362750000</v>
      </c>
      <c r="AA696" s="31" t="n">
        <v>69739680000</v>
      </c>
      <c r="AB696" s="31" t="n">
        <v>80476385575</v>
      </c>
      <c r="AC696" s="36" t="n">
        <v>0.007957187760171154</v>
      </c>
      <c r="AD696" s="29" t="inlineStr">
        <is>
          <t>yfinance_download</t>
        </is>
      </c>
      <c r="AE696" s="29" t="inlineStr">
        <is>
          <t>058470.KQ</t>
        </is>
      </c>
    </row>
    <row r="697" ht="24" customHeight="1">
      <c r="A697" s="24" t="inlineStr">
        <is>
          <t>2026-04-17</t>
        </is>
      </c>
      <c r="B697" s="30" t="n">
        <v>114200</v>
      </c>
      <c r="C697" s="30" t="n">
        <v>115700</v>
      </c>
      <c r="D697" s="30" t="n">
        <v>113000</v>
      </c>
      <c r="E697" s="30" t="n">
        <v>115300</v>
      </c>
      <c r="F697" s="30" t="n">
        <v>115300</v>
      </c>
      <c r="G697" s="30" t="n">
        <v>436657</v>
      </c>
      <c r="H697" s="35" t="n">
        <v>0.002608695652173809</v>
      </c>
      <c r="I697" s="35" t="n">
        <v>-0.0921259842519685</v>
      </c>
      <c r="J697" s="30" t="n">
        <v>108045</v>
      </c>
      <c r="K697" s="30" t="n">
        <v>102430</v>
      </c>
      <c r="L697" s="30" t="n">
        <v>81766.66666666667</v>
      </c>
      <c r="M697" s="35" t="n">
        <v>0.7907068662433123</v>
      </c>
      <c r="N697" s="35" t="n">
        <v>0.9001507753659266</v>
      </c>
      <c r="O697" s="35" t="n">
        <v>0.0322291853178156</v>
      </c>
      <c r="P697" s="35" t="n">
        <v>0.7496206373292869</v>
      </c>
      <c r="Q697" s="35" t="n">
        <v>1.005217391304348</v>
      </c>
      <c r="R697" s="35" t="n">
        <v>0.06714794761441989</v>
      </c>
      <c r="S697" s="35" t="n">
        <v>0.1256467831689934</v>
      </c>
      <c r="T697" s="35" t="n">
        <v>0.4101100693028943</v>
      </c>
      <c r="U697" s="30" t="n">
        <v>127000</v>
      </c>
      <c r="V697" s="30" t="n">
        <v>34460</v>
      </c>
      <c r="W697" s="35" t="n">
        <v>-0.0921259842519685</v>
      </c>
      <c r="X697" s="35" t="n">
        <v>2.345908299477655</v>
      </c>
      <c r="Y697" s="30" t="n">
        <v>76211850</v>
      </c>
      <c r="Z697" s="30" t="n">
        <v>8787226305000</v>
      </c>
      <c r="AA697" s="30" t="n">
        <v>50346552100</v>
      </c>
      <c r="AB697" s="30" t="n">
        <v>77079332220</v>
      </c>
      <c r="AC697" s="35" t="n">
        <v>0.005729515816766028</v>
      </c>
      <c r="AD697" s="24" t="inlineStr">
        <is>
          <t>yfinance_download</t>
        </is>
      </c>
      <c r="AE697" s="24" t="inlineStr">
        <is>
          <t>058470.KQ</t>
        </is>
      </c>
    </row>
    <row r="698" ht="24" customHeight="1">
      <c r="A698" s="29" t="inlineStr">
        <is>
          <t>2026-04-20</t>
        </is>
      </c>
      <c r="B698" s="31" t="n">
        <v>114900</v>
      </c>
      <c r="C698" s="31" t="n">
        <v>117100</v>
      </c>
      <c r="D698" s="31" t="n">
        <v>113400</v>
      </c>
      <c r="E698" s="31" t="n">
        <v>116600</v>
      </c>
      <c r="F698" s="31" t="n">
        <v>116600</v>
      </c>
      <c r="G698" s="31" t="n">
        <v>552004</v>
      </c>
      <c r="H698" s="36" t="n">
        <v>0.01127493495229825</v>
      </c>
      <c r="I698" s="36" t="n">
        <v>-0.08188976377952761</v>
      </c>
      <c r="J698" s="31" t="n">
        <v>108570</v>
      </c>
      <c r="K698" s="31" t="n">
        <v>103298.3333333333</v>
      </c>
      <c r="L698" s="31" t="n">
        <v>82259.16666666667</v>
      </c>
      <c r="M698" s="36" t="n">
        <v>0.7659068489979695</v>
      </c>
      <c r="N698" s="36" t="n">
        <v>0.8976560108896208</v>
      </c>
      <c r="O698" s="36" t="n">
        <v>0.09896324222431674</v>
      </c>
      <c r="P698" s="36" t="n">
        <v>0.8077519379844962</v>
      </c>
      <c r="Q698" s="36" t="n">
        <v>1.027826086956522</v>
      </c>
      <c r="R698" s="36" t="n">
        <v>0.07396149949341435</v>
      </c>
      <c r="S698" s="36" t="n">
        <v>0.1287694219009665</v>
      </c>
      <c r="T698" s="36" t="n">
        <v>0.4174712038172037</v>
      </c>
      <c r="U698" s="31" t="n">
        <v>127000</v>
      </c>
      <c r="V698" s="31" t="n">
        <v>34460</v>
      </c>
      <c r="W698" s="36" t="n">
        <v>-0.08188976377952761</v>
      </c>
      <c r="X698" s="36" t="n">
        <v>2.383633197910621</v>
      </c>
      <c r="Y698" s="31" t="n">
        <v>76211850</v>
      </c>
      <c r="Z698" s="31" t="n">
        <v>8886301710000</v>
      </c>
      <c r="AA698" s="31" t="n">
        <v>64363666400</v>
      </c>
      <c r="AB698" s="31" t="n">
        <v>76338463005</v>
      </c>
      <c r="AC698" s="36" t="n">
        <v>0.007243020606375518</v>
      </c>
      <c r="AD698" s="29" t="inlineStr">
        <is>
          <t>yfinance_download</t>
        </is>
      </c>
      <c r="AE698" s="29" t="inlineStr">
        <is>
          <t>058470.KQ</t>
        </is>
      </c>
    </row>
    <row r="699" ht="24" customHeight="1">
      <c r="A699" s="24" t="inlineStr">
        <is>
          <t>2026-04-21</t>
        </is>
      </c>
      <c r="B699" s="30" t="n">
        <v>117400</v>
      </c>
      <c r="C699" s="30" t="n">
        <v>118500</v>
      </c>
      <c r="D699" s="30" t="n">
        <v>115700</v>
      </c>
      <c r="E699" s="30" t="n">
        <v>118500</v>
      </c>
      <c r="F699" s="30" t="n">
        <v>118500</v>
      </c>
      <c r="G699" s="30" t="n">
        <v>618083</v>
      </c>
      <c r="H699" s="35" t="n">
        <v>0.016295025728988</v>
      </c>
      <c r="I699" s="35" t="n">
        <v>-0.06692913385826771</v>
      </c>
      <c r="J699" s="30" t="n">
        <v>109130</v>
      </c>
      <c r="K699" s="30" t="n">
        <v>104195</v>
      </c>
      <c r="L699" s="30" t="n">
        <v>82763.33333333333</v>
      </c>
      <c r="M699" s="35" t="n">
        <v>0.7665862446577039</v>
      </c>
      <c r="N699" s="35" t="n">
        <v>0.8975402405930762</v>
      </c>
      <c r="O699" s="35" t="n">
        <v>0.1043802423112767</v>
      </c>
      <c r="P699" s="35" t="n">
        <v>0.8315301391035548</v>
      </c>
      <c r="Q699" s="35" t="n">
        <v>1.043103448275862</v>
      </c>
      <c r="R699" s="35" t="n">
        <v>0.08586089984422252</v>
      </c>
      <c r="S699" s="35" t="n">
        <v>0.1372906569413119</v>
      </c>
      <c r="T699" s="35" t="n">
        <v>0.4317934673164445</v>
      </c>
      <c r="U699" s="30" t="n">
        <v>127000</v>
      </c>
      <c r="V699" s="30" t="n">
        <v>34460</v>
      </c>
      <c r="W699" s="35" t="n">
        <v>-0.06692913385826771</v>
      </c>
      <c r="X699" s="35" t="n">
        <v>2.438769587928033</v>
      </c>
      <c r="Y699" s="30" t="n">
        <v>76211850</v>
      </c>
      <c r="Z699" s="30" t="n">
        <v>9031104225000</v>
      </c>
      <c r="AA699" s="30" t="n">
        <v>73242835500</v>
      </c>
      <c r="AB699" s="30" t="n">
        <v>76821992500</v>
      </c>
      <c r="AC699" s="35" t="n">
        <v>0.008110064248538777</v>
      </c>
      <c r="AD699" s="24" t="inlineStr">
        <is>
          <t>yfinance_download</t>
        </is>
      </c>
      <c r="AE699" s="24" t="inlineStr">
        <is>
          <t>058470.KQ</t>
        </is>
      </c>
    </row>
    <row r="700" ht="24" customHeight="1">
      <c r="A700" s="29" t="inlineStr">
        <is>
          <t>2026-04-22</t>
        </is>
      </c>
      <c r="B700" s="31" t="n">
        <v>117000</v>
      </c>
      <c r="C700" s="31" t="n">
        <v>121000</v>
      </c>
      <c r="D700" s="31" t="n">
        <v>116000</v>
      </c>
      <c r="E700" s="31" t="n">
        <v>120200</v>
      </c>
      <c r="F700" s="31" t="n">
        <v>120200</v>
      </c>
      <c r="G700" s="31" t="n">
        <v>572512</v>
      </c>
      <c r="H700" s="36" t="n">
        <v>0.01434599156118144</v>
      </c>
      <c r="I700" s="36" t="n">
        <v>-0.05354330708661414</v>
      </c>
      <c r="J700" s="31" t="n">
        <v>109765</v>
      </c>
      <c r="K700" s="31" t="n">
        <v>105103.3333333333</v>
      </c>
      <c r="L700" s="31" t="n">
        <v>83287.5</v>
      </c>
      <c r="M700" s="36" t="n">
        <v>0.7669618208186504</v>
      </c>
      <c r="N700" s="36" t="n">
        <v>0.8975230292648902</v>
      </c>
      <c r="O700" s="36" t="n">
        <v>0.1181395348837209</v>
      </c>
      <c r="P700" s="36" t="n">
        <v>0.8295281582952816</v>
      </c>
      <c r="Q700" s="36" t="n">
        <v>1.097731239092496</v>
      </c>
      <c r="R700" s="36" t="n">
        <v>0.09506673347606243</v>
      </c>
      <c r="S700" s="36" t="n">
        <v>0.1436364212996735</v>
      </c>
      <c r="T700" s="36" t="n">
        <v>0.4431937565661113</v>
      </c>
      <c r="U700" s="31" t="n">
        <v>127000</v>
      </c>
      <c r="V700" s="31" t="n">
        <v>34460</v>
      </c>
      <c r="W700" s="36" t="n">
        <v>-0.05354330708661414</v>
      </c>
      <c r="X700" s="36" t="n">
        <v>2.488102147417295</v>
      </c>
      <c r="Y700" s="31" t="n">
        <v>76211850</v>
      </c>
      <c r="Z700" s="31" t="n">
        <v>9160664370000</v>
      </c>
      <c r="AA700" s="31" t="n">
        <v>68815942400</v>
      </c>
      <c r="AB700" s="31" t="n">
        <v>77027458870</v>
      </c>
      <c r="AC700" s="36" t="n">
        <v>0.007512112617657228</v>
      </c>
      <c r="AD700" s="29" t="inlineStr">
        <is>
          <t>yfinance_download</t>
        </is>
      </c>
      <c r="AE700" s="29" t="inlineStr">
        <is>
          <t>058470.KQ</t>
        </is>
      </c>
    </row>
    <row r="701" ht="24" customHeight="1">
      <c r="A701" s="24" t="inlineStr">
        <is>
          <t>2026-04-23</t>
        </is>
      </c>
      <c r="B701" s="30" t="n">
        <v>124200</v>
      </c>
      <c r="C701" s="30" t="n">
        <v>129000</v>
      </c>
      <c r="D701" s="30" t="n">
        <v>118200</v>
      </c>
      <c r="E701" s="30" t="n">
        <v>123300</v>
      </c>
      <c r="F701" s="30" t="n">
        <v>123300</v>
      </c>
      <c r="G701" s="30" t="n">
        <v>1239947</v>
      </c>
      <c r="H701" s="35" t="n">
        <v>0.02579034941763725</v>
      </c>
      <c r="I701" s="35" t="n">
        <v>-0.02913385826771653</v>
      </c>
      <c r="J701" s="30" t="n">
        <v>110770</v>
      </c>
      <c r="K701" s="30" t="n">
        <v>106013.3333333333</v>
      </c>
      <c r="L701" s="30" t="n">
        <v>83837.5</v>
      </c>
      <c r="M701" s="35" t="n">
        <v>0.7492045748591567</v>
      </c>
      <c r="N701" s="35" t="n">
        <v>0.8952260360938437</v>
      </c>
      <c r="O701" s="35" t="n">
        <v>0.194767441860465</v>
      </c>
      <c r="P701" s="35" t="n">
        <v>0.794759825327511</v>
      </c>
      <c r="Q701" s="35" t="n">
        <v>1.151832460732984</v>
      </c>
      <c r="R701" s="35" t="n">
        <v>0.1131172700189582</v>
      </c>
      <c r="S701" s="35" t="n">
        <v>0.1630612501572131</v>
      </c>
      <c r="T701" s="35" t="n">
        <v>0.4707022513791561</v>
      </c>
      <c r="U701" s="30" t="n">
        <v>127000</v>
      </c>
      <c r="V701" s="30" t="n">
        <v>34460</v>
      </c>
      <c r="W701" s="35" t="n">
        <v>-0.02913385826771653</v>
      </c>
      <c r="X701" s="35" t="n">
        <v>2.578061520603598</v>
      </c>
      <c r="Y701" s="30" t="n">
        <v>76211850</v>
      </c>
      <c r="Z701" s="30" t="n">
        <v>9396921105000</v>
      </c>
      <c r="AA701" s="30" t="n">
        <v>152885465100</v>
      </c>
      <c r="AB701" s="30" t="n">
        <v>80996682085</v>
      </c>
      <c r="AC701" s="35" t="n">
        <v>0.01626974020444327</v>
      </c>
      <c r="AD701" s="24" t="inlineStr">
        <is>
          <t>yfinance_download</t>
        </is>
      </c>
      <c r="AE701" s="24" t="inlineStr">
        <is>
          <t>058470.KQ</t>
        </is>
      </c>
    </row>
    <row r="702" ht="24" customHeight="1">
      <c r="A702" s="29" t="inlineStr">
        <is>
          <t>2026-04-24</t>
        </is>
      </c>
      <c r="B702" s="31" t="n">
        <v>122100</v>
      </c>
      <c r="C702" s="31" t="n">
        <v>126250</v>
      </c>
      <c r="D702" s="31" t="n">
        <v>119900</v>
      </c>
      <c r="E702" s="31" t="n">
        <v>124400</v>
      </c>
      <c r="F702" s="31" t="n">
        <v>124400</v>
      </c>
      <c r="G702" s="31" t="n">
        <v>827192</v>
      </c>
      <c r="H702" s="36" t="n">
        <v>0.008921330089213253</v>
      </c>
      <c r="I702" s="36" t="n">
        <v>-0.02047244094488188</v>
      </c>
      <c r="J702" s="31" t="n">
        <v>111745</v>
      </c>
      <c r="K702" s="31" t="n">
        <v>106831.6666666667</v>
      </c>
      <c r="L702" s="31" t="n">
        <v>84387.5</v>
      </c>
      <c r="M702" s="36" t="n">
        <v>0.7488142623432463</v>
      </c>
      <c r="N702" s="36" t="n">
        <v>0.8776230850543181</v>
      </c>
      <c r="O702" s="36" t="n">
        <v>0.1858913250714966</v>
      </c>
      <c r="P702" s="36" t="n">
        <v>0.652058432934927</v>
      </c>
      <c r="Q702" s="36" t="n">
        <v>1.13013698630137</v>
      </c>
      <c r="R702" s="36" t="n">
        <v>0.1132489149402658</v>
      </c>
      <c r="S702" s="36" t="n">
        <v>0.1644487433501303</v>
      </c>
      <c r="T702" s="36" t="n">
        <v>0.4741519774848171</v>
      </c>
      <c r="U702" s="31" t="n">
        <v>127000</v>
      </c>
      <c r="V702" s="31" t="n">
        <v>34460</v>
      </c>
      <c r="W702" s="36" t="n">
        <v>-0.02047244094488188</v>
      </c>
      <c r="X702" s="36" t="n">
        <v>2.609982588508415</v>
      </c>
      <c r="Y702" s="31" t="n">
        <v>76211850</v>
      </c>
      <c r="Z702" s="31" t="n">
        <v>9480754140000</v>
      </c>
      <c r="AA702" s="31" t="n">
        <v>102902684800</v>
      </c>
      <c r="AB702" s="31" t="n">
        <v>83398739020</v>
      </c>
      <c r="AC702" s="36" t="n">
        <v>0.01085385015584847</v>
      </c>
      <c r="AD702" s="29" t="inlineStr">
        <is>
          <t>yfinance_download</t>
        </is>
      </c>
      <c r="AE702" s="29" t="inlineStr">
        <is>
          <t>058470.KQ</t>
        </is>
      </c>
    </row>
    <row r="703" ht="24" customHeight="1">
      <c r="A703" s="24" t="inlineStr">
        <is>
          <t>2026-04-27</t>
        </is>
      </c>
      <c r="B703" s="30" t="n">
        <v>113800</v>
      </c>
      <c r="C703" s="30" t="n">
        <v>114000</v>
      </c>
      <c r="D703" s="30" t="n">
        <v>105900</v>
      </c>
      <c r="E703" s="30" t="n">
        <v>109800</v>
      </c>
      <c r="F703" s="30" t="n">
        <v>109800</v>
      </c>
      <c r="G703" s="30" t="n">
        <v>3215459</v>
      </c>
      <c r="H703" s="35" t="n">
        <v>-0.117363344051447</v>
      </c>
      <c r="I703" s="35" t="n">
        <v>-0.1354330708661418</v>
      </c>
      <c r="J703" s="30" t="n">
        <v>112315</v>
      </c>
      <c r="K703" s="30" t="n">
        <v>107273.3333333333</v>
      </c>
      <c r="L703" s="30" t="n">
        <v>84817.5</v>
      </c>
      <c r="M703" s="35" t="n">
        <v>0.839371409304236</v>
      </c>
      <c r="N703" s="35" t="n">
        <v>0.8922436698579652</v>
      </c>
      <c r="O703" s="35" t="n">
        <v>0.1158536585365855</v>
      </c>
      <c r="P703" s="35" t="n">
        <v>0.3181272509003601</v>
      </c>
      <c r="Q703" s="35" t="n">
        <v>0.8865979381443299</v>
      </c>
      <c r="R703" s="35" t="n">
        <v>-0.02239237857810616</v>
      </c>
      <c r="S703" s="35" t="n">
        <v>0.02355353924554104</v>
      </c>
      <c r="T703" s="35" t="n">
        <v>0.294544168361482</v>
      </c>
      <c r="U703" s="30" t="n">
        <v>127000</v>
      </c>
      <c r="V703" s="30" t="n">
        <v>34460</v>
      </c>
      <c r="W703" s="35" t="n">
        <v>-0.1354330708661418</v>
      </c>
      <c r="X703" s="35" t="n">
        <v>2.186302959953569</v>
      </c>
      <c r="Y703" s="30" t="n">
        <v>76211850</v>
      </c>
      <c r="Z703" s="30" t="n">
        <v>8368061130000</v>
      </c>
      <c r="AA703" s="30" t="n">
        <v>353057398200</v>
      </c>
      <c r="AB703" s="30" t="n">
        <v>98744704570</v>
      </c>
      <c r="AC703" s="35" t="n">
        <v>0.04219106346322783</v>
      </c>
      <c r="AD703" s="24" t="inlineStr">
        <is>
          <t>yfinance_download</t>
        </is>
      </c>
      <c r="AE703" s="24" t="inlineStr">
        <is>
          <t>058470.KQ</t>
        </is>
      </c>
    </row>
    <row r="704" ht="24" customHeight="1">
      <c r="A704" s="29" t="inlineStr">
        <is>
          <t>2026-04-28</t>
        </is>
      </c>
      <c r="B704" s="31" t="n">
        <v>111200</v>
      </c>
      <c r="C704" s="31" t="n">
        <v>112200</v>
      </c>
      <c r="D704" s="31" t="n">
        <v>109300</v>
      </c>
      <c r="E704" s="31" t="n">
        <v>111400</v>
      </c>
      <c r="F704" s="31" t="n">
        <v>111400</v>
      </c>
      <c r="G704" s="31" t="n">
        <v>1282534</v>
      </c>
      <c r="H704" s="36" t="n">
        <v>0.0145719489981786</v>
      </c>
      <c r="I704" s="36" t="n">
        <v>-0.1228346456692914</v>
      </c>
      <c r="J704" s="31" t="n">
        <v>113165</v>
      </c>
      <c r="K704" s="31" t="n">
        <v>107681.6666666667</v>
      </c>
      <c r="L704" s="31" t="n">
        <v>85265</v>
      </c>
      <c r="M704" s="36" t="n">
        <v>0.8206291282793119</v>
      </c>
      <c r="N704" s="36" t="n">
        <v>0.8890827440051271</v>
      </c>
      <c r="O704" s="36" t="n">
        <v>0.1800847457627119</v>
      </c>
      <c r="P704" s="36" t="n">
        <v>0.2819332566168009</v>
      </c>
      <c r="Q704" s="36" t="n">
        <v>0.9306759098786828</v>
      </c>
      <c r="R704" s="36" t="n">
        <v>-0.01559669509123851</v>
      </c>
      <c r="S704" s="36" t="n">
        <v>0.03453079292358652</v>
      </c>
      <c r="T704" s="36" t="n">
        <v>0.306514982700991</v>
      </c>
      <c r="U704" s="31" t="n">
        <v>127000</v>
      </c>
      <c r="V704" s="31" t="n">
        <v>34460</v>
      </c>
      <c r="W704" s="36" t="n">
        <v>-0.1228346456692914</v>
      </c>
      <c r="X704" s="36" t="n">
        <v>2.232733604178758</v>
      </c>
      <c r="Y704" s="31" t="n">
        <v>76211850</v>
      </c>
      <c r="Z704" s="31" t="n">
        <v>8490000090000</v>
      </c>
      <c r="AA704" s="31" t="n">
        <v>142874287600</v>
      </c>
      <c r="AB704" s="31" t="n">
        <v>102787327030</v>
      </c>
      <c r="AC704" s="36" t="n">
        <v>0.01682853781924989</v>
      </c>
      <c r="AD704" s="29" t="inlineStr">
        <is>
          <t>yfinance_download</t>
        </is>
      </c>
      <c r="AE704" s="29" t="inlineStr">
        <is>
          <t>058470.KQ</t>
        </is>
      </c>
    </row>
    <row r="705" ht="24" customHeight="1">
      <c r="A705" s="24" t="inlineStr">
        <is>
          <t>2026-04-29</t>
        </is>
      </c>
      <c r="B705" s="30" t="n">
        <v>109000</v>
      </c>
      <c r="C705" s="30" t="n">
        <v>112200</v>
      </c>
      <c r="D705" s="30" t="n">
        <v>108900</v>
      </c>
      <c r="E705" s="30" t="n">
        <v>112100</v>
      </c>
      <c r="F705" s="30" t="n">
        <v>112100</v>
      </c>
      <c r="G705" s="30" t="n">
        <v>869209</v>
      </c>
      <c r="H705" s="35" t="n">
        <v>0.006283662477558405</v>
      </c>
      <c r="I705" s="35" t="n">
        <v>-0.1173228346456693</v>
      </c>
      <c r="J705" s="30" t="n">
        <v>113540</v>
      </c>
      <c r="K705" s="30" t="n">
        <v>108015</v>
      </c>
      <c r="L705" s="30" t="n">
        <v>85715.83333333333</v>
      </c>
      <c r="M705" s="35" t="n">
        <v>0.7335553495783617</v>
      </c>
      <c r="N705" s="35" t="n">
        <v>0.8818852051900798</v>
      </c>
      <c r="O705" s="35" t="n">
        <v>0.07170172084130022</v>
      </c>
      <c r="P705" s="35" t="n">
        <v>0.217155266015201</v>
      </c>
      <c r="Q705" s="35" t="n">
        <v>0.9327586206896552</v>
      </c>
      <c r="R705" s="35" t="n">
        <v>-0.01268275497621985</v>
      </c>
      <c r="S705" s="35" t="n">
        <v>0.03781882145998239</v>
      </c>
      <c r="T705" s="35" t="n">
        <v>0.307809720102276</v>
      </c>
      <c r="U705" s="30" t="n">
        <v>127000</v>
      </c>
      <c r="V705" s="30" t="n">
        <v>34460</v>
      </c>
      <c r="W705" s="35" t="n">
        <v>-0.1173228346456693</v>
      </c>
      <c r="X705" s="35" t="n">
        <v>2.253047011027278</v>
      </c>
      <c r="Y705" s="30" t="n">
        <v>76211850</v>
      </c>
      <c r="Z705" s="30" t="n">
        <v>8543348385000</v>
      </c>
      <c r="AA705" s="30" t="n">
        <v>97438328900</v>
      </c>
      <c r="AB705" s="30" t="n">
        <v>103866980935</v>
      </c>
      <c r="AC705" s="35" t="n">
        <v>0.01140516861879091</v>
      </c>
      <c r="AD705" s="24" t="inlineStr">
        <is>
          <t>yfinance_download</t>
        </is>
      </c>
      <c r="AE705" s="24" t="inlineStr">
        <is>
          <t>058470.KQ</t>
        </is>
      </c>
    </row>
    <row r="706" ht="24" customHeight="1">
      <c r="A706" s="29" t="inlineStr">
        <is>
          <t>2026-04-30</t>
        </is>
      </c>
      <c r="B706" s="31" t="n">
        <v>113800</v>
      </c>
      <c r="C706" s="31" t="n">
        <v>124000</v>
      </c>
      <c r="D706" s="31" t="n">
        <v>113800</v>
      </c>
      <c r="E706" s="31" t="n">
        <v>119300</v>
      </c>
      <c r="F706" s="31" t="n">
        <v>119300</v>
      </c>
      <c r="G706" s="31" t="n">
        <v>2627349</v>
      </c>
      <c r="H706" s="36" t="n">
        <v>0.06422836752899208</v>
      </c>
      <c r="I706" s="36" t="n">
        <v>-0.06062992125984257</v>
      </c>
      <c r="J706" s="31" t="n">
        <v>114550</v>
      </c>
      <c r="K706" s="31" t="n">
        <v>108238.3333333333</v>
      </c>
      <c r="L706" s="31" t="n">
        <v>86219.16666666667</v>
      </c>
      <c r="M706" s="36" t="n">
        <v>0.7301919104056379</v>
      </c>
      <c r="N706" s="36" t="n">
        <v>0.8380944511751971</v>
      </c>
      <c r="O706" s="36" t="n">
        <v>0.2038345105953583</v>
      </c>
      <c r="P706" s="36" t="n">
        <v>0.1265344664778092</v>
      </c>
      <c r="Q706" s="36" t="n">
        <v>1.025466893039049</v>
      </c>
      <c r="R706" s="36" t="n">
        <v>0.04146660846791783</v>
      </c>
      <c r="S706" s="36" t="n">
        <v>0.1021973114885362</v>
      </c>
      <c r="T706" s="36" t="n">
        <v>0.3836830557783941</v>
      </c>
      <c r="U706" s="31" t="n">
        <v>127000</v>
      </c>
      <c r="V706" s="31" t="n">
        <v>34460</v>
      </c>
      <c r="W706" s="36" t="n">
        <v>-0.06062992125984257</v>
      </c>
      <c r="X706" s="36" t="n">
        <v>2.461984910040627</v>
      </c>
      <c r="Y706" s="31" t="n">
        <v>76211850</v>
      </c>
      <c r="Z706" s="31" t="n">
        <v>9092073705000</v>
      </c>
      <c r="AA706" s="31" t="n">
        <v>313442735700</v>
      </c>
      <c r="AB706" s="31" t="n">
        <v>116210720345</v>
      </c>
      <c r="AC706" s="36" t="n">
        <v>0.03447428451087331</v>
      </c>
      <c r="AD706" s="29" t="inlineStr">
        <is>
          <t>yfinance_download</t>
        </is>
      </c>
      <c r="AE706" s="29" t="inlineStr">
        <is>
          <t>058470.KQ</t>
        </is>
      </c>
    </row>
    <row r="707" ht="24" customHeight="1">
      <c r="A707" s="24" t="inlineStr">
        <is>
          <t>2026-05-04</t>
        </is>
      </c>
      <c r="B707" s="30" t="n">
        <v>122500</v>
      </c>
      <c r="C707" s="30" t="n">
        <v>122600</v>
      </c>
      <c r="D707" s="30" t="n">
        <v>116000</v>
      </c>
      <c r="E707" s="30" t="n">
        <v>120800</v>
      </c>
      <c r="F707" s="30" t="n">
        <v>120800</v>
      </c>
      <c r="G707" s="30" t="n">
        <v>1476444</v>
      </c>
      <c r="H707" s="35" t="n">
        <v>0.01257334450963965</v>
      </c>
      <c r="I707" s="35" t="n">
        <v>-0.04881889763779523</v>
      </c>
      <c r="J707" s="30" t="n">
        <v>115070</v>
      </c>
      <c r="K707" s="30" t="n">
        <v>108673.3333333333</v>
      </c>
      <c r="L707" s="30" t="n">
        <v>86764.16666666667</v>
      </c>
      <c r="M707" s="35" t="n">
        <v>0.6195248060967256</v>
      </c>
      <c r="N707" s="35" t="n">
        <v>0.8068113052097805</v>
      </c>
      <c r="O707" s="35" t="n">
        <v>0.09420289855072461</v>
      </c>
      <c r="P707" s="35" t="n">
        <v>0.2756071805702218</v>
      </c>
      <c r="Q707" s="35" t="n">
        <v>1.180505415162455</v>
      </c>
      <c r="R707" s="35" t="n">
        <v>0.04979577648387945</v>
      </c>
      <c r="S707" s="35" t="n">
        <v>0.1115882461198701</v>
      </c>
      <c r="T707" s="35" t="n">
        <v>0.3922798390272482</v>
      </c>
      <c r="U707" s="30" t="n">
        <v>127000</v>
      </c>
      <c r="V707" s="30" t="n">
        <v>34460</v>
      </c>
      <c r="W707" s="35" t="n">
        <v>-0.04881889763779523</v>
      </c>
      <c r="X707" s="35" t="n">
        <v>2.505513639001741</v>
      </c>
      <c r="Y707" s="30" t="n">
        <v>76211850</v>
      </c>
      <c r="Z707" s="30" t="n">
        <v>9206391480000</v>
      </c>
      <c r="AA707" s="30" t="n">
        <v>178354435200</v>
      </c>
      <c r="AB707" s="30" t="n">
        <v>119972116265</v>
      </c>
      <c r="AC707" s="35" t="n">
        <v>0.01937289279816722</v>
      </c>
      <c r="AD707" s="24" t="inlineStr">
        <is>
          <t>yfinance_download</t>
        </is>
      </c>
      <c r="AE707" s="24" t="inlineStr">
        <is>
          <t>058470.KQ</t>
        </is>
      </c>
    </row>
    <row r="708" ht="24" customHeight="1">
      <c r="A708" s="29" t="inlineStr">
        <is>
          <t>2026-05-06</t>
        </is>
      </c>
      <c r="B708" s="31" t="n">
        <v>119600</v>
      </c>
      <c r="C708" s="31" t="n">
        <v>120400</v>
      </c>
      <c r="D708" s="31" t="n">
        <v>111200</v>
      </c>
      <c r="E708" s="31" t="n">
        <v>116700</v>
      </c>
      <c r="F708" s="31" t="n">
        <v>116700</v>
      </c>
      <c r="G708" s="31" t="n">
        <v>1905728</v>
      </c>
      <c r="H708" s="36" t="n">
        <v>-0.03394039735099341</v>
      </c>
      <c r="I708" s="36" t="n">
        <v>-0.08110236220472444</v>
      </c>
      <c r="J708" s="31" t="n">
        <v>115630</v>
      </c>
      <c r="K708" s="31" t="n">
        <v>109008.3333333333</v>
      </c>
      <c r="L708" s="31" t="n">
        <v>87256.66666666667</v>
      </c>
      <c r="M708" s="36" t="n">
        <v>0.6094524363770401</v>
      </c>
      <c r="N708" s="36" t="n">
        <v>0.8101740257116156</v>
      </c>
      <c r="O708" s="36" t="n">
        <v>0.1061611374407583</v>
      </c>
      <c r="P708" s="36" t="n">
        <v>0.2080745341614907</v>
      </c>
      <c r="Q708" s="36" t="n">
        <v>1.026041666666667</v>
      </c>
      <c r="R708" s="36" t="n">
        <v>0.009253653896047709</v>
      </c>
      <c r="S708" s="36" t="n">
        <v>0.07056035471294253</v>
      </c>
      <c r="T708" s="36" t="n">
        <v>0.3374336249379226</v>
      </c>
      <c r="U708" s="31" t="n">
        <v>127000</v>
      </c>
      <c r="V708" s="31" t="n">
        <v>34460</v>
      </c>
      <c r="W708" s="36" t="n">
        <v>-0.08110236220472444</v>
      </c>
      <c r="X708" s="36" t="n">
        <v>2.386535113174695</v>
      </c>
      <c r="Y708" s="31" t="n">
        <v>76211850</v>
      </c>
      <c r="Z708" s="31" t="n">
        <v>8893922895000</v>
      </c>
      <c r="AA708" s="31" t="n">
        <v>222398457600</v>
      </c>
      <c r="AB708" s="31" t="n">
        <v>128144464095</v>
      </c>
      <c r="AC708" s="36" t="n">
        <v>0.02500566512950414</v>
      </c>
      <c r="AD708" s="29" t="inlineStr">
        <is>
          <t>yfinance_download</t>
        </is>
      </c>
      <c r="AE708" s="29" t="inlineStr">
        <is>
          <t>058470.KQ</t>
        </is>
      </c>
    </row>
    <row r="709" ht="24" customHeight="1">
      <c r="A709" s="24" t="inlineStr">
        <is>
          <t>2026-05-07</t>
        </is>
      </c>
      <c r="B709" s="30" t="n">
        <v>115800</v>
      </c>
      <c r="C709" s="30" t="n">
        <v>117700</v>
      </c>
      <c r="D709" s="30" t="n">
        <v>111800</v>
      </c>
      <c r="E709" s="30" t="n">
        <v>113500</v>
      </c>
      <c r="F709" s="30" t="n">
        <v>113500</v>
      </c>
      <c r="G709" s="30" t="n">
        <v>828169</v>
      </c>
      <c r="H709" s="35" t="n">
        <v>-0.02742073693230507</v>
      </c>
      <c r="I709" s="35" t="n">
        <v>-0.1062992125984252</v>
      </c>
      <c r="J709" s="30" t="n">
        <v>115820</v>
      </c>
      <c r="K709" s="30" t="n">
        <v>109263.3333333333</v>
      </c>
      <c r="L709" s="30" t="n">
        <v>87745</v>
      </c>
      <c r="M709" s="35" t="n">
        <v>0.6063818196804389</v>
      </c>
      <c r="N709" s="35" t="n">
        <v>0.8123647600134124</v>
      </c>
      <c r="O709" s="35" t="n">
        <v>0.03463992707383778</v>
      </c>
      <c r="P709" s="35" t="n">
        <v>0.1558044806517311</v>
      </c>
      <c r="Q709" s="35" t="n">
        <v>1.067395264116576</v>
      </c>
      <c r="R709" s="35" t="n">
        <v>-0.02003108271455711</v>
      </c>
      <c r="S709" s="35" t="n">
        <v>0.03877482534549559</v>
      </c>
      <c r="T709" s="35" t="n">
        <v>0.2935209983474842</v>
      </c>
      <c r="U709" s="30" t="n">
        <v>127000</v>
      </c>
      <c r="V709" s="30" t="n">
        <v>34460</v>
      </c>
      <c r="W709" s="35" t="n">
        <v>-0.1062992125984252</v>
      </c>
      <c r="X709" s="35" t="n">
        <v>2.293673824724318</v>
      </c>
      <c r="Y709" s="30" t="n">
        <v>76211850</v>
      </c>
      <c r="Z709" s="30" t="n">
        <v>8650044975000</v>
      </c>
      <c r="AA709" s="30" t="n">
        <v>93997181500</v>
      </c>
      <c r="AB709" s="30" t="n">
        <v>128353194200</v>
      </c>
      <c r="AC709" s="35" t="n">
        <v>0.01086666968457005</v>
      </c>
      <c r="AD709" s="24" t="inlineStr">
        <is>
          <t>yfinance_download</t>
        </is>
      </c>
      <c r="AE709" s="24" t="inlineStr">
        <is>
          <t>058470.KQ</t>
        </is>
      </c>
    </row>
    <row r="710" ht="24" customHeight="1">
      <c r="A710" s="29" t="inlineStr">
        <is>
          <t>2026-05-08</t>
        </is>
      </c>
      <c r="B710" s="31" t="n">
        <v>111500</v>
      </c>
      <c r="C710" s="31" t="n">
        <v>113200</v>
      </c>
      <c r="D710" s="31" t="n">
        <v>109400</v>
      </c>
      <c r="E710" s="31" t="n">
        <v>112600</v>
      </c>
      <c r="F710" s="31" t="n">
        <v>112600</v>
      </c>
      <c r="G710" s="31" t="n">
        <v>843315</v>
      </c>
      <c r="H710" s="36" t="n">
        <v>-0.007929515418502175</v>
      </c>
      <c r="I710" s="36" t="n">
        <v>-0.1133858267716535</v>
      </c>
      <c r="J710" s="31" t="n">
        <v>115610</v>
      </c>
      <c r="K710" s="31" t="n">
        <v>109545</v>
      </c>
      <c r="L710" s="31" t="n">
        <v>88209.16666666667</v>
      </c>
      <c r="M710" s="36" t="n">
        <v>0.5604811508753358</v>
      </c>
      <c r="N710" s="36" t="n">
        <v>0.810472783096632</v>
      </c>
      <c r="O710" s="36" t="n">
        <v>-0.03595890410958902</v>
      </c>
      <c r="P710" s="36" t="n">
        <v>0.1765935214211076</v>
      </c>
      <c r="Q710" s="36" t="n">
        <v>0.9789103690685412</v>
      </c>
      <c r="R710" s="36" t="n">
        <v>-0.02603581005103361</v>
      </c>
      <c r="S710" s="36" t="n">
        <v>0.02788808252316399</v>
      </c>
      <c r="T710" s="36" t="n">
        <v>0.2765113225193905</v>
      </c>
      <c r="U710" s="31" t="n">
        <v>127000</v>
      </c>
      <c r="V710" s="31" t="n">
        <v>34460</v>
      </c>
      <c r="W710" s="36" t="n">
        <v>-0.1133858267716535</v>
      </c>
      <c r="X710" s="36" t="n">
        <v>2.26755658734765</v>
      </c>
      <c r="Y710" s="31" t="n">
        <v>76211850</v>
      </c>
      <c r="Z710" s="31" t="n">
        <v>8581454310000</v>
      </c>
      <c r="AA710" s="31" t="n">
        <v>94957269000</v>
      </c>
      <c r="AB710" s="31" t="n">
        <v>126515587490</v>
      </c>
      <c r="AC710" s="36" t="n">
        <v>0.01106540518305224</v>
      </c>
      <c r="AD710" s="29" t="inlineStr">
        <is>
          <t>yfinance_download</t>
        </is>
      </c>
      <c r="AE710" s="29" t="inlineStr">
        <is>
          <t>058470.KQ</t>
        </is>
      </c>
    </row>
    <row r="711" ht="24" customHeight="1">
      <c r="A711" s="24" t="inlineStr">
        <is>
          <t>2026-05-11</t>
        </is>
      </c>
      <c r="B711" s="30" t="n">
        <v>111700</v>
      </c>
      <c r="C711" s="30" t="n">
        <v>115800</v>
      </c>
      <c r="D711" s="30" t="n">
        <v>110700</v>
      </c>
      <c r="E711" s="30" t="n">
        <v>115800</v>
      </c>
      <c r="F711" s="30" t="n">
        <v>115800</v>
      </c>
      <c r="G711" s="30" t="n">
        <v>937634</v>
      </c>
      <c r="H711" s="35" t="n">
        <v>0.02841918294849033</v>
      </c>
      <c r="I711" s="35" t="n">
        <v>-0.08818897637795275</v>
      </c>
      <c r="J711" s="30" t="n">
        <v>115745</v>
      </c>
      <c r="K711" s="30" t="n">
        <v>109880</v>
      </c>
      <c r="L711" s="30" t="n">
        <v>88698.33333333333</v>
      </c>
      <c r="M711" s="35" t="n">
        <v>0.5577440094954621</v>
      </c>
      <c r="N711" s="35" t="n">
        <v>0.8119714047058972</v>
      </c>
      <c r="O711" s="35" t="n">
        <v>0.02387267904509294</v>
      </c>
      <c r="P711" s="35" t="n">
        <v>0.2100313479623825</v>
      </c>
      <c r="Q711" s="35" t="n">
        <v>1.028021015761821</v>
      </c>
      <c r="R711" s="35" t="n">
        <v>0.0004751825132836007</v>
      </c>
      <c r="S711" s="35" t="n">
        <v>0.05387695668001458</v>
      </c>
      <c r="T711" s="35" t="n">
        <v>0.3055487701760651</v>
      </c>
      <c r="U711" s="30" t="n">
        <v>127000</v>
      </c>
      <c r="V711" s="30" t="n">
        <v>36000</v>
      </c>
      <c r="W711" s="35" t="n">
        <v>-0.08818897637795275</v>
      </c>
      <c r="X711" s="35" t="n">
        <v>2.216666666666667</v>
      </c>
      <c r="Y711" s="30" t="n">
        <v>76211850</v>
      </c>
      <c r="Z711" s="30" t="n">
        <v>8825332230000</v>
      </c>
      <c r="AA711" s="30" t="n">
        <v>108578017200</v>
      </c>
      <c r="AB711" s="30" t="n">
        <v>127033754210</v>
      </c>
      <c r="AC711" s="35" t="n">
        <v>0.01230299487546884</v>
      </c>
      <c r="AD711" s="24" t="inlineStr">
        <is>
          <t>yfinance_download</t>
        </is>
      </c>
      <c r="AE711" s="24" t="inlineStr">
        <is>
          <t>058470.KQ</t>
        </is>
      </c>
    </row>
    <row r="712" ht="24" customHeight="1">
      <c r="A712" s="29" t="inlineStr">
        <is>
          <t>2026-05-12</t>
        </is>
      </c>
      <c r="B712" s="31" t="n">
        <v>114900</v>
      </c>
      <c r="C712" s="31" t="n">
        <v>116900</v>
      </c>
      <c r="D712" s="31" t="n">
        <v>106200</v>
      </c>
      <c r="E712" s="31" t="n">
        <v>108400</v>
      </c>
      <c r="F712" s="31" t="n">
        <v>108400</v>
      </c>
      <c r="G712" s="31" t="n">
        <v>1307463</v>
      </c>
      <c r="H712" s="36" t="n">
        <v>-0.0639032815198618</v>
      </c>
      <c r="I712" s="36" t="n">
        <v>-0.1464566929133858</v>
      </c>
      <c r="J712" s="31" t="n">
        <v>115575</v>
      </c>
      <c r="K712" s="31" t="n">
        <v>110036.6666666667</v>
      </c>
      <c r="L712" s="31" t="n">
        <v>89127.5</v>
      </c>
      <c r="M712" s="36" t="n">
        <v>0.6034558799725783</v>
      </c>
      <c r="N712" s="36" t="n">
        <v>0.821398635701475</v>
      </c>
      <c r="O712" s="36" t="n">
        <v>-0.03041144901610016</v>
      </c>
      <c r="P712" s="36" t="n">
        <v>0.09494949494949489</v>
      </c>
      <c r="Q712" s="36" t="n">
        <v>0.9050966608084359</v>
      </c>
      <c r="R712" s="36" t="n">
        <v>-0.06208089984858323</v>
      </c>
      <c r="S712" s="36" t="n">
        <v>-0.01487382993547615</v>
      </c>
      <c r="T712" s="36" t="n">
        <v>0.2162351687189701</v>
      </c>
      <c r="U712" s="31" t="n">
        <v>127000</v>
      </c>
      <c r="V712" s="31" t="n">
        <v>36000</v>
      </c>
      <c r="W712" s="36" t="n">
        <v>-0.1464566929133858</v>
      </c>
      <c r="X712" s="36" t="n">
        <v>2.011111111111111</v>
      </c>
      <c r="Y712" s="31" t="n">
        <v>76211850</v>
      </c>
      <c r="Z712" s="31" t="n">
        <v>8261364540000</v>
      </c>
      <c r="AA712" s="31" t="n">
        <v>141728989200</v>
      </c>
      <c r="AB712" s="31" t="n">
        <v>127855887560</v>
      </c>
      <c r="AC712" s="36" t="n">
        <v>0.0171556391820957</v>
      </c>
      <c r="AD712" s="29" t="inlineStr">
        <is>
          <t>yfinance_download</t>
        </is>
      </c>
      <c r="AE712" s="29" t="inlineStr">
        <is>
          <t>058470.KQ</t>
        </is>
      </c>
    </row>
    <row r="713" ht="24" customHeight="1">
      <c r="A713" s="24" t="inlineStr">
        <is>
          <t>2026-05-13</t>
        </is>
      </c>
      <c r="B713" s="30" t="n">
        <v>107400</v>
      </c>
      <c r="C713" s="30" t="n">
        <v>112400</v>
      </c>
      <c r="D713" s="30" t="n">
        <v>106300</v>
      </c>
      <c r="E713" s="30" t="n">
        <v>112300</v>
      </c>
      <c r="F713" s="30" t="n">
        <v>112300</v>
      </c>
      <c r="G713" s="30" t="n">
        <v>716278</v>
      </c>
      <c r="H713" s="35" t="n">
        <v>0.0359778597785978</v>
      </c>
      <c r="I713" s="35" t="n">
        <v>-0.1157480314960629</v>
      </c>
      <c r="J713" s="30" t="n">
        <v>115520</v>
      </c>
      <c r="K713" s="30" t="n">
        <v>110298.3333333333</v>
      </c>
      <c r="L713" s="30" t="n">
        <v>89595</v>
      </c>
      <c r="M713" s="35" t="n">
        <v>0.6154467756669335</v>
      </c>
      <c r="N713" s="35" t="n">
        <v>0.822204482420019</v>
      </c>
      <c r="O713" s="35" t="n">
        <v>-0.009700176366843061</v>
      </c>
      <c r="P713" s="35" t="n">
        <v>0.1625258799171843</v>
      </c>
      <c r="Q713" s="35" t="n">
        <v>0.998220640569395</v>
      </c>
      <c r="R713" s="35" t="n">
        <v>-0.02787396121883656</v>
      </c>
      <c r="S713" s="35" t="n">
        <v>0.01814775079708064</v>
      </c>
      <c r="T713" s="35" t="n">
        <v>0.2534181594955076</v>
      </c>
      <c r="U713" s="30" t="n">
        <v>127000</v>
      </c>
      <c r="V713" s="30" t="n">
        <v>36000</v>
      </c>
      <c r="W713" s="35" t="n">
        <v>-0.1157480314960629</v>
      </c>
      <c r="X713" s="35" t="n">
        <v>2.119444444444444</v>
      </c>
      <c r="Y713" s="30" t="n">
        <v>76211850</v>
      </c>
      <c r="Z713" s="30" t="n">
        <v>8558590755000</v>
      </c>
      <c r="AA713" s="30" t="n">
        <v>80438019400</v>
      </c>
      <c r="AB713" s="30" t="n">
        <v>128596185310</v>
      </c>
      <c r="AC713" s="35" t="n">
        <v>0.009398512173631791</v>
      </c>
      <c r="AD713" s="24" t="inlineStr">
        <is>
          <t>yfinance_download</t>
        </is>
      </c>
      <c r="AE713" s="24" t="inlineStr">
        <is>
          <t>058470.KQ</t>
        </is>
      </c>
    </row>
    <row r="714" ht="24" customHeight="1">
      <c r="A714" s="29" t="inlineStr">
        <is>
          <t>2026-05-14</t>
        </is>
      </c>
      <c r="B714" s="31" t="n">
        <v>111200</v>
      </c>
      <c r="C714" s="31" t="n">
        <v>114200</v>
      </c>
      <c r="D714" s="31" t="n">
        <v>106900</v>
      </c>
      <c r="E714" s="31" t="n">
        <v>114200</v>
      </c>
      <c r="F714" s="31" t="n">
        <v>114200</v>
      </c>
      <c r="G714" s="31" t="n">
        <v>788593</v>
      </c>
      <c r="H714" s="36" t="n">
        <v>0.01691896705253781</v>
      </c>
      <c r="I714" s="36" t="n">
        <v>-0.1007874015748031</v>
      </c>
      <c r="J714" s="31" t="n">
        <v>115650</v>
      </c>
      <c r="K714" s="31" t="n">
        <v>110618.3333333333</v>
      </c>
      <c r="L714" s="31" t="n">
        <v>90075.83333333333</v>
      </c>
      <c r="M714" s="36" t="n">
        <v>0.6150560996681407</v>
      </c>
      <c r="N714" s="36" t="n">
        <v>0.8215265689056214</v>
      </c>
      <c r="O714" s="36" t="n">
        <v>0.02329749103942658</v>
      </c>
      <c r="P714" s="36" t="n">
        <v>0.2021052631578948</v>
      </c>
      <c r="Q714" s="36" t="n">
        <v>1.021238938053097</v>
      </c>
      <c r="R714" s="36" t="n">
        <v>-0.01253782965845218</v>
      </c>
      <c r="S714" s="36" t="n">
        <v>0.03237859908695073</v>
      </c>
      <c r="T714" s="36" t="n">
        <v>0.2678206326151114</v>
      </c>
      <c r="U714" s="31" t="n">
        <v>127000</v>
      </c>
      <c r="V714" s="31" t="n">
        <v>36100</v>
      </c>
      <c r="W714" s="36" t="n">
        <v>-0.1007874015748031</v>
      </c>
      <c r="X714" s="36" t="n">
        <v>2.163434903047091</v>
      </c>
      <c r="Y714" s="31" t="n">
        <v>76211850</v>
      </c>
      <c r="Z714" s="31" t="n">
        <v>8703393270000</v>
      </c>
      <c r="AA714" s="31" t="n">
        <v>90057320600</v>
      </c>
      <c r="AB714" s="31" t="n">
        <v>129795786200</v>
      </c>
      <c r="AC714" s="36" t="n">
        <v>0.01034738036145298</v>
      </c>
      <c r="AD714" s="29" t="inlineStr">
        <is>
          <t>yfinance_download</t>
        </is>
      </c>
      <c r="AE714" s="29" t="inlineStr">
        <is>
          <t>058470.KQ</t>
        </is>
      </c>
    </row>
    <row r="715" ht="24" customHeight="1">
      <c r="A715" s="24" t="inlineStr">
        <is>
          <t>2026-05-15</t>
        </is>
      </c>
      <c r="B715" s="30" t="n">
        <v>112400</v>
      </c>
      <c r="C715" s="30" t="n">
        <v>112500</v>
      </c>
      <c r="D715" s="30" t="n">
        <v>100100</v>
      </c>
      <c r="E715" s="30" t="n">
        <v>101000</v>
      </c>
      <c r="F715" s="30" t="n">
        <v>101000</v>
      </c>
      <c r="G715" s="30" t="n">
        <v>1245260</v>
      </c>
      <c r="H715" s="35" t="n">
        <v>-0.1155866900175131</v>
      </c>
      <c r="I715" s="35" t="n">
        <v>-0.2047244094488189</v>
      </c>
      <c r="J715" s="30" t="n">
        <v>115060</v>
      </c>
      <c r="K715" s="30" t="n">
        <v>110666.6666666667</v>
      </c>
      <c r="L715" s="30" t="n">
        <v>90425</v>
      </c>
      <c r="M715" s="35" t="n">
        <v>0.7414358792324135</v>
      </c>
      <c r="N715" s="35" t="n">
        <v>0.8552014878382365</v>
      </c>
      <c r="O715" s="35" t="n">
        <v>-0.1046099290780141</v>
      </c>
      <c r="P715" s="35" t="n">
        <v>0.02956167176350655</v>
      </c>
      <c r="Q715" s="35" t="n">
        <v>0.7089678510998307</v>
      </c>
      <c r="R715" s="35" t="n">
        <v>-0.122197114548931</v>
      </c>
      <c r="S715" s="35" t="n">
        <v>-0.08734939759036153</v>
      </c>
      <c r="T715" s="35" t="n">
        <v>0.1169477467514515</v>
      </c>
      <c r="U715" s="30" t="n">
        <v>127000</v>
      </c>
      <c r="V715" s="30" t="n">
        <v>36450</v>
      </c>
      <c r="W715" s="35" t="n">
        <v>-0.2047244094488189</v>
      </c>
      <c r="X715" s="35" t="n">
        <v>1.770919067215364</v>
      </c>
      <c r="Y715" s="30" t="n">
        <v>76211850</v>
      </c>
      <c r="Z715" s="30" t="n">
        <v>7697396850000</v>
      </c>
      <c r="AA715" s="30" t="n">
        <v>125771260000</v>
      </c>
      <c r="AB715" s="30" t="n">
        <v>131269526320</v>
      </c>
      <c r="AC715" s="35" t="n">
        <v>0.01633945377260885</v>
      </c>
      <c r="AD715" s="24" t="inlineStr">
        <is>
          <t>yfinance_download</t>
        </is>
      </c>
      <c r="AE715" s="24" t="inlineStr">
        <is>
          <t>058470.KQ</t>
        </is>
      </c>
    </row>
    <row r="716" ht="24" customHeight="1">
      <c r="A716" s="29" t="inlineStr">
        <is>
          <t>2026-05-18</t>
        </is>
      </c>
      <c r="B716" s="31" t="n">
        <v>101100</v>
      </c>
      <c r="C716" s="31" t="n">
        <v>102900</v>
      </c>
      <c r="D716" s="31" t="n">
        <v>96500</v>
      </c>
      <c r="E716" s="31" t="n">
        <v>101000</v>
      </c>
      <c r="F716" s="31" t="n">
        <v>101000</v>
      </c>
      <c r="G716" s="31" t="n">
        <v>788704</v>
      </c>
      <c r="H716" s="36" t="n">
        <v>0</v>
      </c>
      <c r="I716" s="36" t="n">
        <v>-0.2047244094488189</v>
      </c>
      <c r="J716" s="31" t="n">
        <v>114360</v>
      </c>
      <c r="K716" s="31" t="n">
        <v>110725</v>
      </c>
      <c r="L716" s="31" t="n">
        <v>90792.5</v>
      </c>
      <c r="M716" s="36" t="n">
        <v>0.7363030902405334</v>
      </c>
      <c r="N716" s="36" t="n">
        <v>0.8550489965608286</v>
      </c>
      <c r="O716" s="36" t="n">
        <v>-0.1217391304347826</v>
      </c>
      <c r="P716" s="36" t="n">
        <v>0.03589743589743599</v>
      </c>
      <c r="Q716" s="36" t="n">
        <v>0.7750439367311073</v>
      </c>
      <c r="R716" s="36" t="n">
        <v>-0.1168240643581672</v>
      </c>
      <c r="S716" s="36" t="n">
        <v>-0.08783020997967939</v>
      </c>
      <c r="T716" s="36" t="n">
        <v>0.1124266872263677</v>
      </c>
      <c r="U716" s="31" t="n">
        <v>127000</v>
      </c>
      <c r="V716" s="31" t="n">
        <v>36450</v>
      </c>
      <c r="W716" s="36" t="n">
        <v>-0.2047244094488189</v>
      </c>
      <c r="X716" s="36" t="n">
        <v>1.770919067215364</v>
      </c>
      <c r="Y716" s="31" t="n">
        <v>76211850</v>
      </c>
      <c r="Z716" s="31" t="n">
        <v>7697396850000</v>
      </c>
      <c r="AA716" s="31" t="n">
        <v>79659104000</v>
      </c>
      <c r="AB716" s="31" t="n">
        <v>131765497520</v>
      </c>
      <c r="AC716" s="36" t="n">
        <v>0.01034883682786863</v>
      </c>
      <c r="AD716" s="29" t="inlineStr">
        <is>
          <t>yfinance_download</t>
        </is>
      </c>
      <c r="AE716" s="29" t="inlineStr">
        <is>
          <t>058470.KQ</t>
        </is>
      </c>
    </row>
    <row r="717" ht="24" customHeight="1">
      <c r="A717" s="24" t="inlineStr">
        <is>
          <t>2026-05-19</t>
        </is>
      </c>
      <c r="B717" s="30" t="n">
        <v>101000</v>
      </c>
      <c r="C717" s="30" t="n">
        <v>102400</v>
      </c>
      <c r="D717" s="30" t="n">
        <v>96000</v>
      </c>
      <c r="E717" s="30" t="n">
        <v>96100</v>
      </c>
      <c r="F717" s="30" t="n">
        <v>96100</v>
      </c>
      <c r="G717" s="30" t="n">
        <v>699825</v>
      </c>
      <c r="H717" s="35" t="n">
        <v>-0.04851485148514856</v>
      </c>
      <c r="I717" s="35" t="n">
        <v>-0.2433070866141732</v>
      </c>
      <c r="J717" s="30" t="n">
        <v>113400</v>
      </c>
      <c r="K717" s="30" t="n">
        <v>110663.3333333333</v>
      </c>
      <c r="L717" s="30" t="n">
        <v>91125.83333333333</v>
      </c>
      <c r="M717" s="35" t="n">
        <v>0.7511441427295205</v>
      </c>
      <c r="N717" s="35" t="n">
        <v>0.8600216693797389</v>
      </c>
      <c r="O717" s="35" t="n">
        <v>-0.1665221162185603</v>
      </c>
      <c r="P717" s="35" t="n">
        <v>-0.03707414829659317</v>
      </c>
      <c r="Q717" s="35" t="n">
        <v>0.71301247771836</v>
      </c>
      <c r="R717" s="35" t="n">
        <v>-0.1525573192239859</v>
      </c>
      <c r="S717" s="35" t="n">
        <v>-0.1316003494081147</v>
      </c>
      <c r="T717" s="35" t="n">
        <v>0.05458569194611851</v>
      </c>
      <c r="U717" s="30" t="n">
        <v>127000</v>
      </c>
      <c r="V717" s="30" t="n">
        <v>36450</v>
      </c>
      <c r="W717" s="35" t="n">
        <v>-0.2433070866141732</v>
      </c>
      <c r="X717" s="35" t="n">
        <v>1.636488340192044</v>
      </c>
      <c r="Y717" s="30" t="n">
        <v>76211850</v>
      </c>
      <c r="Z717" s="30" t="n">
        <v>7323958785000</v>
      </c>
      <c r="AA717" s="30" t="n">
        <v>67253182500</v>
      </c>
      <c r="AB717" s="30" t="n">
        <v>132610829040</v>
      </c>
      <c r="AC717" s="35" t="n">
        <v>0.009182627111138229</v>
      </c>
      <c r="AD717" s="24" t="inlineStr">
        <is>
          <t>yfinance_download</t>
        </is>
      </c>
      <c r="AE717" s="24" t="inlineStr">
        <is>
          <t>058470.KQ</t>
        </is>
      </c>
    </row>
    <row r="718" ht="24" customHeight="1">
      <c r="A718" s="29" t="inlineStr">
        <is>
          <t>2026-05-20</t>
        </is>
      </c>
      <c r="B718" s="31" t="n">
        <v>97000</v>
      </c>
      <c r="C718" s="31" t="n">
        <v>99500</v>
      </c>
      <c r="D718" s="31" t="n">
        <v>94500</v>
      </c>
      <c r="E718" s="31" t="n">
        <v>96800</v>
      </c>
      <c r="F718" s="31" t="n">
        <v>96800</v>
      </c>
      <c r="G718" s="31" t="n">
        <v>477501</v>
      </c>
      <c r="H718" s="36" t="n">
        <v>0.007284079084287187</v>
      </c>
      <c r="I718" s="36" t="n">
        <v>-0.2377952755905511</v>
      </c>
      <c r="J718" s="31" t="n">
        <v>112410</v>
      </c>
      <c r="K718" s="31" t="n">
        <v>110668.3333333333</v>
      </c>
      <c r="L718" s="31" t="n">
        <v>91448.33333333333</v>
      </c>
      <c r="M718" s="36" t="n">
        <v>0.7499217910458004</v>
      </c>
      <c r="N718" s="36" t="n">
        <v>0.8572095407902255</v>
      </c>
      <c r="O718" s="36" t="n">
        <v>-0.1698113207547169</v>
      </c>
      <c r="P718" s="36" t="n">
        <v>0.003108808290155363</v>
      </c>
      <c r="Q718" s="36" t="n">
        <v>0.6660929432013769</v>
      </c>
      <c r="R718" s="36" t="n">
        <v>-0.1388666488746553</v>
      </c>
      <c r="S718" s="36" t="n">
        <v>-0.1253143777955151</v>
      </c>
      <c r="T718" s="36" t="n">
        <v>0.05852120505203318</v>
      </c>
      <c r="U718" s="31" t="n">
        <v>127000</v>
      </c>
      <c r="V718" s="31" t="n">
        <v>36450</v>
      </c>
      <c r="W718" s="36" t="n">
        <v>-0.2377952755905511</v>
      </c>
      <c r="X718" s="36" t="n">
        <v>1.655692729766804</v>
      </c>
      <c r="Y718" s="31" t="n">
        <v>76211850</v>
      </c>
      <c r="Z718" s="31" t="n">
        <v>7377307080000</v>
      </c>
      <c r="AA718" s="31" t="n">
        <v>46222096800</v>
      </c>
      <c r="AB718" s="31" t="n">
        <v>131703750560</v>
      </c>
      <c r="AC718" s="36" t="n">
        <v>0.006265442972451135</v>
      </c>
      <c r="AD718" s="29" t="inlineStr">
        <is>
          <t>yfinance_download</t>
        </is>
      </c>
      <c r="AE718" s="29" t="inlineStr">
        <is>
          <t>058470.KQ</t>
        </is>
      </c>
    </row>
  </sheetData>
  <autoFilter ref="A18:AE718"/>
  <mergeCells count="4">
    <mergeCell ref="A2:L2"/>
    <mergeCell ref="A17:F17"/>
    <mergeCell ref="A1:L1"/>
    <mergeCell ref="A4:F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 ht="24" customHeight="1">
      <c r="A1" s="22" t="inlineStr">
        <is>
          <t>정규화 재무제표</t>
        </is>
      </c>
    </row>
    <row r="2" ht="24" customHeight="1">
      <c r="A2" s="25" t="inlineStr">
        <is>
          <t>연도</t>
        </is>
      </c>
      <c r="B2" s="25" t="inlineStr">
        <is>
          <t>매출액</t>
        </is>
      </c>
      <c r="C2" s="25" t="inlineStr">
        <is>
          <t>영업이익</t>
        </is>
      </c>
      <c r="D2" s="25" t="inlineStr">
        <is>
          <t>순이익</t>
        </is>
      </c>
      <c r="E2" s="25" t="inlineStr">
        <is>
          <t>자산총계</t>
        </is>
      </c>
      <c r="F2" s="25" t="inlineStr">
        <is>
          <t>부채총계</t>
        </is>
      </c>
      <c r="G2" s="25" t="inlineStr">
        <is>
          <t>자본총계</t>
        </is>
      </c>
      <c r="H2" s="25" t="inlineStr">
        <is>
          <t>현금성자산</t>
        </is>
      </c>
      <c r="I2" s="25" t="inlineStr">
        <is>
          <t>영업현금흐름</t>
        </is>
      </c>
      <c r="J2" s="25" t="inlineStr">
        <is>
          <t>CAPEX</t>
        </is>
      </c>
      <c r="K2" s="25" t="inlineStr">
        <is>
          <t>FCF</t>
        </is>
      </c>
      <c r="L2" s="25" t="inlineStr">
        <is>
          <t>투자현금흐름</t>
        </is>
      </c>
      <c r="M2" s="25" t="inlineStr">
        <is>
          <t>원천계정수</t>
        </is>
      </c>
      <c r="N2" s="25" t="inlineStr">
        <is>
          <t>매출 원천계정</t>
        </is>
      </c>
      <c r="O2" s="25" t="inlineStr">
        <is>
          <t>영업이익 원천계정</t>
        </is>
      </c>
      <c r="P2" s="25" t="inlineStr">
        <is>
          <t>순이익 원천계정</t>
        </is>
      </c>
      <c r="Q2" s="25" t="inlineStr">
        <is>
          <t>자산 원천계정</t>
        </is>
      </c>
      <c r="R2" s="25" t="inlineStr">
        <is>
          <t>부채 원천계정</t>
        </is>
      </c>
      <c r="S2" s="25" t="inlineStr">
        <is>
          <t>자본 원천계정</t>
        </is>
      </c>
      <c r="T2" s="25" t="inlineStr">
        <is>
          <t>영업현금흐름 원천계정</t>
        </is>
      </c>
      <c r="U2" s="25" t="inlineStr">
        <is>
          <t>CAPEX 원천계정</t>
        </is>
      </c>
      <c r="V2" s="25" t="inlineStr">
        <is>
          <t>현금 원천계정</t>
        </is>
      </c>
      <c r="W2" s="25" t="inlineStr">
        <is>
          <t>영업이익률</t>
        </is>
      </c>
      <c r="X2" s="25" t="inlineStr">
        <is>
          <t>순이익률</t>
        </is>
      </c>
      <c r="Y2" s="25" t="inlineStr">
        <is>
          <t>ROE</t>
        </is>
      </c>
      <c r="Z2" s="25" t="inlineStr">
        <is>
          <t>ROA</t>
        </is>
      </c>
      <c r="AA2" s="25" t="inlineStr">
        <is>
          <t>부채/자본</t>
        </is>
      </c>
      <c r="AB2" s="25" t="inlineStr">
        <is>
          <t>부채/자산</t>
        </is>
      </c>
      <c r="AC2" s="25" t="inlineStr">
        <is>
          <t>자본비율</t>
        </is>
      </c>
      <c r="AD2" s="25" t="inlineStr">
        <is>
          <t>현금/자산</t>
        </is>
      </c>
      <c r="AE2" s="25" t="inlineStr">
        <is>
          <t>CFO margin</t>
        </is>
      </c>
      <c r="AF2" s="25" t="inlineStr">
        <is>
          <t>CAPEX/매출</t>
        </is>
      </c>
      <c r="AG2" s="25" t="inlineStr">
        <is>
          <t>FCF margin</t>
        </is>
      </c>
      <c r="AH2" s="25" t="inlineStr">
        <is>
          <t>FCF 전환율</t>
        </is>
      </c>
      <c r="AI2" s="25" t="inlineStr">
        <is>
          <t>매출성장률</t>
        </is>
      </c>
      <c r="AJ2" s="25" t="inlineStr">
        <is>
          <t>영업이익성장률</t>
        </is>
      </c>
      <c r="AK2" s="25" t="inlineStr">
        <is>
          <t>자산성장률</t>
        </is>
      </c>
    </row>
    <row r="3" ht="24" customHeight="1">
      <c r="A3" s="30" t="n">
        <v>2021</v>
      </c>
      <c r="B3" s="30" t="n">
        <v>280166833067</v>
      </c>
      <c r="C3" s="30" t="n">
        <v>117104353242</v>
      </c>
      <c r="D3" s="30" t="n">
        <v>103805815149</v>
      </c>
      <c r="E3" s="30" t="n">
        <v>466371034236</v>
      </c>
      <c r="F3" s="30" t="n">
        <v>48667847133</v>
      </c>
      <c r="G3" s="30" t="n">
        <v>417703187103</v>
      </c>
      <c r="H3" s="30" t="n">
        <v>77211544736</v>
      </c>
      <c r="I3" s="30" t="n">
        <v>130580737722</v>
      </c>
      <c r="J3" s="30" t="n">
        <v>45110244006</v>
      </c>
      <c r="K3" s="30" t="n">
        <v>85470493716</v>
      </c>
      <c r="L3" s="30" t="n">
        <v>-131720027625</v>
      </c>
      <c r="M3" s="30" t="n">
        <v>96</v>
      </c>
      <c r="N3" s="24" t="inlineStr">
        <is>
          <t>매출액</t>
        </is>
      </c>
      <c r="O3" s="24" t="inlineStr">
        <is>
          <t>영업이익</t>
        </is>
      </c>
      <c r="P3" s="24" t="inlineStr">
        <is>
          <t>당기순이익</t>
        </is>
      </c>
      <c r="Q3" s="24" t="inlineStr">
        <is>
          <t>자산총계</t>
        </is>
      </c>
      <c r="R3" s="24" t="inlineStr">
        <is>
          <t>부채총계</t>
        </is>
      </c>
      <c r="S3" s="24" t="inlineStr">
        <is>
          <t>자본총계</t>
        </is>
      </c>
      <c r="T3" s="24" t="inlineStr">
        <is>
          <t>영업활동으로 인한 현금흐름</t>
        </is>
      </c>
      <c r="U3" s="24" t="inlineStr">
        <is>
          <t>유형자산의 취득</t>
        </is>
      </c>
      <c r="V3" s="24" t="inlineStr">
        <is>
          <t>현금및현금성자산</t>
        </is>
      </c>
      <c r="W3" s="35" t="n">
        <v>0.4179807865194211</v>
      </c>
      <c r="X3" s="35" t="n">
        <v>0.3705142896917265</v>
      </c>
      <c r="Y3" s="35" t="n">
        <v>0.2485157364226739</v>
      </c>
      <c r="Z3" s="35" t="n">
        <v>0.2225820377525218</v>
      </c>
      <c r="AA3" s="35" t="n">
        <v>0.1165129896914077</v>
      </c>
      <c r="AB3" s="35" t="n">
        <v>0.104354352136656</v>
      </c>
      <c r="AC3" s="35" t="n">
        <v>0.895645647863344</v>
      </c>
      <c r="AD3" s="35" t="n">
        <v>0.1655581909422965</v>
      </c>
      <c r="AE3" s="35" t="n">
        <v>0.4660820707880597</v>
      </c>
      <c r="AF3" s="35" t="n">
        <v>0.1610120780970965</v>
      </c>
      <c r="AG3" s="35" t="n">
        <v>0.3050699926909632</v>
      </c>
      <c r="AH3" s="35" t="n">
        <v>0.7298660668862789</v>
      </c>
      <c r="AI3" s="24" t="inlineStr">
        <is>
          <t>해당 없음</t>
        </is>
      </c>
      <c r="AJ3" s="24" t="inlineStr">
        <is>
          <t>해당 없음</t>
        </is>
      </c>
      <c r="AK3" s="24" t="inlineStr">
        <is>
          <t>해당 없음</t>
        </is>
      </c>
    </row>
    <row r="4" ht="24" customHeight="1">
      <c r="A4" s="31" t="n">
        <v>2022</v>
      </c>
      <c r="B4" s="31" t="n">
        <v>322422803089</v>
      </c>
      <c r="C4" s="31" t="n">
        <v>136634729982</v>
      </c>
      <c r="D4" s="31" t="n">
        <v>114363791327</v>
      </c>
      <c r="E4" s="31" t="n">
        <v>531488129432</v>
      </c>
      <c r="F4" s="31" t="n">
        <v>38304546606</v>
      </c>
      <c r="G4" s="31" t="n">
        <v>493183582826</v>
      </c>
      <c r="H4" s="31" t="n">
        <v>30366977656</v>
      </c>
      <c r="I4" s="31" t="n">
        <v>108593008315</v>
      </c>
      <c r="J4" s="31" t="n">
        <v>18249507304</v>
      </c>
      <c r="K4" s="31" t="n">
        <v>90343501011</v>
      </c>
      <c r="L4" s="31" t="n">
        <v>-117259026467</v>
      </c>
      <c r="M4" s="31" t="n">
        <v>93</v>
      </c>
      <c r="N4" s="29" t="inlineStr">
        <is>
          <t>매출액</t>
        </is>
      </c>
      <c r="O4" s="29" t="inlineStr">
        <is>
          <t>영업이익</t>
        </is>
      </c>
      <c r="P4" s="29" t="inlineStr">
        <is>
          <t>당기순이익</t>
        </is>
      </c>
      <c r="Q4" s="29" t="inlineStr">
        <is>
          <t>자산총계</t>
        </is>
      </c>
      <c r="R4" s="29" t="inlineStr">
        <is>
          <t>부채총계</t>
        </is>
      </c>
      <c r="S4" s="29" t="inlineStr">
        <is>
          <t>자본총계</t>
        </is>
      </c>
      <c r="T4" s="29" t="inlineStr">
        <is>
          <t>영업활동으로 인한 현금흐름</t>
        </is>
      </c>
      <c r="U4" s="29" t="inlineStr">
        <is>
          <t>유형자산의 취득</t>
        </is>
      </c>
      <c r="V4" s="29" t="inlineStr">
        <is>
          <t>현금및현금성자산</t>
        </is>
      </c>
      <c r="W4" s="36" t="n">
        <v>0.4237750204791937</v>
      </c>
      <c r="X4" s="36" t="n">
        <v>0.3547013121631834</v>
      </c>
      <c r="Y4" s="36" t="n">
        <v>0.2318888854160189</v>
      </c>
      <c r="Z4" s="36" t="n">
        <v>0.2151765674413468</v>
      </c>
      <c r="AA4" s="36" t="n">
        <v>0.07766792719763792</v>
      </c>
      <c r="AB4" s="36" t="n">
        <v>0.07207037087909371</v>
      </c>
      <c r="AC4" s="36" t="n">
        <v>0.9279296291209063</v>
      </c>
      <c r="AD4" s="36" t="n">
        <v>0.05713575896502733</v>
      </c>
      <c r="AE4" s="36" t="n">
        <v>0.3368031270574387</v>
      </c>
      <c r="AF4" s="36" t="n">
        <v>0.05660116818400867</v>
      </c>
      <c r="AG4" s="36" t="n">
        <v>0.28020195887343</v>
      </c>
      <c r="AH4" s="36" t="n">
        <v>0.6612045196920409</v>
      </c>
      <c r="AI4" s="36" t="n">
        <v>0.1508243126405144</v>
      </c>
      <c r="AJ4" s="36" t="n">
        <v>0.1667775466864143</v>
      </c>
      <c r="AK4" s="36" t="n">
        <v>0.139625084783993</v>
      </c>
    </row>
    <row r="5" ht="24" customHeight="1">
      <c r="A5" s="30" t="n">
        <v>2023</v>
      </c>
      <c r="B5" s="30" t="n">
        <v>255573034656</v>
      </c>
      <c r="C5" s="30" t="n">
        <v>114378400291</v>
      </c>
      <c r="D5" s="30" t="n">
        <v>110923015440</v>
      </c>
      <c r="E5" s="30" t="n">
        <v>582869465294</v>
      </c>
      <c r="F5" s="30" t="n">
        <v>25795267228</v>
      </c>
      <c r="G5" s="30" t="n">
        <v>557074198066</v>
      </c>
      <c r="H5" s="30" t="n">
        <v>34165877177</v>
      </c>
      <c r="I5" s="30" t="n">
        <v>110391022028</v>
      </c>
      <c r="J5" s="30" t="n">
        <v>525450824</v>
      </c>
      <c r="K5" s="30" t="n">
        <v>109865571204</v>
      </c>
      <c r="L5" s="30" t="n">
        <v>-61048311242</v>
      </c>
      <c r="M5" s="30" t="n">
        <v>94</v>
      </c>
      <c r="N5" s="24" t="inlineStr">
        <is>
          <t>매출액</t>
        </is>
      </c>
      <c r="O5" s="24" t="inlineStr">
        <is>
          <t>영업이익</t>
        </is>
      </c>
      <c r="P5" s="24" t="inlineStr">
        <is>
          <t>당기순이익</t>
        </is>
      </c>
      <c r="Q5" s="24" t="inlineStr">
        <is>
          <t>자산총계</t>
        </is>
      </c>
      <c r="R5" s="24" t="inlineStr">
        <is>
          <t>부채총계</t>
        </is>
      </c>
      <c r="S5" s="24" t="inlineStr">
        <is>
          <t>자본총계</t>
        </is>
      </c>
      <c r="T5" s="24" t="inlineStr">
        <is>
          <t>영업활동현금흐름</t>
        </is>
      </c>
      <c r="U5" s="24" t="inlineStr">
        <is>
          <t>무형자산의 취득</t>
        </is>
      </c>
      <c r="V5" s="24" t="inlineStr">
        <is>
          <t>현금및현금성자산</t>
        </is>
      </c>
      <c r="W5" s="35" t="n">
        <v>0.4475370433541737</v>
      </c>
      <c r="X5" s="35" t="n">
        <v>0.4340168969285113</v>
      </c>
      <c r="Y5" s="35" t="n">
        <v>0.1991171298636565</v>
      </c>
      <c r="Z5" s="35" t="n">
        <v>0.1903050717951923</v>
      </c>
      <c r="AA5" s="35" t="n">
        <v>0.04630490393838681</v>
      </c>
      <c r="AB5" s="35" t="n">
        <v>0.04425565030240319</v>
      </c>
      <c r="AC5" s="35" t="n">
        <v>0.9557443496975968</v>
      </c>
      <c r="AD5" s="35" t="n">
        <v>0.05861668728823647</v>
      </c>
      <c r="AE5" s="35" t="n">
        <v>0.4319353259493348</v>
      </c>
      <c r="AF5" s="35" t="n">
        <v>0.002055971298800181</v>
      </c>
      <c r="AG5" s="35" t="n">
        <v>0.4298793546505346</v>
      </c>
      <c r="AH5" s="35" t="n">
        <v>0.9605447438019895</v>
      </c>
      <c r="AI5" s="35" t="n">
        <v>-0.2073357336780771</v>
      </c>
      <c r="AJ5" s="35" t="n">
        <v>-0.162889257320829</v>
      </c>
      <c r="AK5" s="35" t="n">
        <v>0.0966744749631776</v>
      </c>
    </row>
    <row r="6" ht="24" customHeight="1">
      <c r="A6" s="31" t="n">
        <v>2024</v>
      </c>
      <c r="B6" s="31" t="n">
        <v>278186189427</v>
      </c>
      <c r="C6" s="31" t="n">
        <v>124201343872</v>
      </c>
      <c r="D6" s="31" t="n">
        <v>113279046428</v>
      </c>
      <c r="E6" s="31" t="n">
        <v>657443780756</v>
      </c>
      <c r="F6" s="31" t="n">
        <v>34814668593</v>
      </c>
      <c r="G6" s="31" t="n">
        <v>622629112163</v>
      </c>
      <c r="H6" s="31" t="n">
        <v>54759251381</v>
      </c>
      <c r="I6" s="31" t="n">
        <v>110106597065</v>
      </c>
      <c r="J6" s="31" t="n">
        <v>374960718</v>
      </c>
      <c r="K6" s="31" t="n">
        <v>109731636347</v>
      </c>
      <c r="L6" s="31" t="n">
        <v>-46761936241</v>
      </c>
      <c r="M6" s="31" t="n">
        <v>102</v>
      </c>
      <c r="N6" s="29" t="inlineStr">
        <is>
          <t>매출액</t>
        </is>
      </c>
      <c r="O6" s="29" t="inlineStr">
        <is>
          <t>영업이익</t>
        </is>
      </c>
      <c r="P6" s="29" t="inlineStr">
        <is>
          <t>당기순이익</t>
        </is>
      </c>
      <c r="Q6" s="29" t="inlineStr">
        <is>
          <t>자산총계</t>
        </is>
      </c>
      <c r="R6" s="29" t="inlineStr">
        <is>
          <t>부채총계</t>
        </is>
      </c>
      <c r="S6" s="29" t="inlineStr">
        <is>
          <t>자본총계</t>
        </is>
      </c>
      <c r="T6" s="29" t="inlineStr">
        <is>
          <t>영업활동현금흐름</t>
        </is>
      </c>
      <c r="U6" s="29" t="inlineStr">
        <is>
          <t>무형자산의 취득</t>
        </is>
      </c>
      <c r="V6" s="29" t="inlineStr">
        <is>
          <t>현금및현금성자산</t>
        </is>
      </c>
      <c r="W6" s="36" t="n">
        <v>0.4464684035099887</v>
      </c>
      <c r="X6" s="36" t="n">
        <v>0.4072058597205309</v>
      </c>
      <c r="Y6" s="36" t="n">
        <v>0.1819366364583742</v>
      </c>
      <c r="Z6" s="36" t="n">
        <v>0.1723022557118717</v>
      </c>
      <c r="AA6" s="36" t="n">
        <v>0.05591558106246365</v>
      </c>
      <c r="AB6" s="36" t="n">
        <v>0.05295459416007606</v>
      </c>
      <c r="AC6" s="36" t="n">
        <v>0.9470454058399239</v>
      </c>
      <c r="AD6" s="36" t="n">
        <v>0.08329115429159872</v>
      </c>
      <c r="AE6" s="36" t="n">
        <v>0.3958018091832468</v>
      </c>
      <c r="AF6" s="36" t="n">
        <v>0.001347876825849383</v>
      </c>
      <c r="AG6" s="36" t="n">
        <v>0.3944539323573974</v>
      </c>
      <c r="AH6" s="36" t="n">
        <v>0.8834979793784498</v>
      </c>
      <c r="AI6" s="36" t="n">
        <v>0.0884802060649208</v>
      </c>
      <c r="AJ6" s="36" t="n">
        <v>0.08588110653767322</v>
      </c>
      <c r="AK6" s="36" t="n">
        <v>0.1279434245614233</v>
      </c>
    </row>
    <row r="7" ht="24" customHeight="1">
      <c r="A7" s="30" t="n">
        <v>2025</v>
      </c>
      <c r="B7" s="30" t="n">
        <v>372534084608</v>
      </c>
      <c r="C7" s="30" t="n">
        <v>176997188289</v>
      </c>
      <c r="D7" s="30" t="n">
        <v>151960670406</v>
      </c>
      <c r="E7" s="30" t="n">
        <v>791928165325</v>
      </c>
      <c r="F7" s="30" t="n">
        <v>60709212955</v>
      </c>
      <c r="G7" s="30" t="n">
        <v>731218952370</v>
      </c>
      <c r="H7" s="30" t="n">
        <v>85202812409</v>
      </c>
      <c r="I7" s="30" t="n">
        <v>179468846374</v>
      </c>
      <c r="J7" s="30" t="n">
        <v>282097350</v>
      </c>
      <c r="K7" s="30" t="n">
        <v>179186749024</v>
      </c>
      <c r="L7" s="30" t="n">
        <v>-103850828522</v>
      </c>
      <c r="M7" s="30" t="n">
        <v>93</v>
      </c>
      <c r="N7" s="24" t="inlineStr">
        <is>
          <t>매출액</t>
        </is>
      </c>
      <c r="O7" s="24" t="inlineStr">
        <is>
          <t>영업이익</t>
        </is>
      </c>
      <c r="P7" s="24" t="inlineStr">
        <is>
          <t>당기순이익</t>
        </is>
      </c>
      <c r="Q7" s="24" t="inlineStr">
        <is>
          <t>자산총계</t>
        </is>
      </c>
      <c r="R7" s="24" t="inlineStr">
        <is>
          <t>부채총계</t>
        </is>
      </c>
      <c r="S7" s="24" t="inlineStr">
        <is>
          <t>자본총계</t>
        </is>
      </c>
      <c r="T7" s="24" t="inlineStr">
        <is>
          <t>영업활동현금흐름</t>
        </is>
      </c>
      <c r="U7" s="24" t="inlineStr">
        <is>
          <t>무형자산의 취득</t>
        </is>
      </c>
      <c r="V7" s="24" t="inlineStr">
        <is>
          <t>현금및현금성자산</t>
        </is>
      </c>
      <c r="W7" s="35" t="n">
        <v>0.4751167627392961</v>
      </c>
      <c r="X7" s="35" t="n">
        <v>0.4079107836962114</v>
      </c>
      <c r="Y7" s="35" t="n">
        <v>0.2078182874137366</v>
      </c>
      <c r="Z7" s="35" t="n">
        <v>0.1918869375527725</v>
      </c>
      <c r="AA7" s="35" t="n">
        <v>0.08302467100754368</v>
      </c>
      <c r="AB7" s="35" t="n">
        <v>0.07665999974894883</v>
      </c>
      <c r="AC7" s="35" t="n">
        <v>0.9233400002510512</v>
      </c>
      <c r="AD7" s="35" t="n">
        <v>0.1075890669629531</v>
      </c>
      <c r="AE7" s="35" t="n">
        <v>0.4817514793655635</v>
      </c>
      <c r="AF7" s="35" t="n">
        <v>0.0007572390330319377</v>
      </c>
      <c r="AG7" s="35" t="n">
        <v>0.4809942403325316</v>
      </c>
      <c r="AH7" s="35" t="n">
        <v>1.012370596144301</v>
      </c>
      <c r="AI7" s="35" t="n">
        <v>0.3391537709881829</v>
      </c>
      <c r="AJ7" s="35" t="n">
        <v>0.4250827146557334</v>
      </c>
      <c r="AK7" s="35" t="n">
        <v>0.2045564784480207</v>
      </c>
    </row>
  </sheetData>
  <autoFilter ref="A2:AK7"/>
  <mergeCells count="1"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수익성·안정성·현금흐름 핵심비율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영업이익성장률</t>
        </is>
      </c>
      <c r="D2" s="25" t="inlineStr">
        <is>
          <t>영업이익률</t>
        </is>
      </c>
      <c r="E2" s="25" t="inlineStr">
        <is>
          <t>순이익률</t>
        </is>
      </c>
      <c r="F2" s="25" t="inlineStr">
        <is>
          <t>ROE</t>
        </is>
      </c>
      <c r="G2" s="25" t="inlineStr">
        <is>
          <t>ROA</t>
        </is>
      </c>
      <c r="H2" s="25" t="inlineStr">
        <is>
          <t>부채/자본</t>
        </is>
      </c>
      <c r="I2" s="25" t="inlineStr">
        <is>
          <t>자본비율</t>
        </is>
      </c>
      <c r="J2" s="25" t="inlineStr">
        <is>
          <t>CFO margin</t>
        </is>
      </c>
      <c r="K2" s="25" t="inlineStr">
        <is>
          <t>FCF margin</t>
        </is>
      </c>
      <c r="L2" s="25" t="inlineStr">
        <is>
          <t>FCF 전환율</t>
        </is>
      </c>
    </row>
    <row r="3" ht="24" customHeight="1">
      <c r="A3" s="30" t="n">
        <v>2021</v>
      </c>
      <c r="B3" s="24" t="inlineStr">
        <is>
          <t>해당 없음</t>
        </is>
      </c>
      <c r="C3" s="24" t="inlineStr">
        <is>
          <t>해당 없음</t>
        </is>
      </c>
      <c r="D3" s="35" t="n">
        <v>0.4179807865194211</v>
      </c>
      <c r="E3" s="35" t="n">
        <v>0.3705142896917265</v>
      </c>
      <c r="F3" s="35" t="n">
        <v>0.2485157364226739</v>
      </c>
      <c r="G3" s="35" t="n">
        <v>0.2225820377525218</v>
      </c>
      <c r="H3" s="35" t="n">
        <v>0.1165129896914077</v>
      </c>
      <c r="I3" s="35" t="n">
        <v>0.895645647863344</v>
      </c>
      <c r="J3" s="35" t="n">
        <v>0.4660820707880597</v>
      </c>
      <c r="K3" s="35" t="n">
        <v>0.3050699926909632</v>
      </c>
      <c r="L3" s="35" t="n">
        <v>0.7298660668862789</v>
      </c>
    </row>
    <row r="4" ht="24" customHeight="1">
      <c r="A4" s="31" t="n">
        <v>2022</v>
      </c>
      <c r="B4" s="36" t="n">
        <v>0.1508243126405144</v>
      </c>
      <c r="C4" s="36" t="n">
        <v>0.1667775466864143</v>
      </c>
      <c r="D4" s="36" t="n">
        <v>0.4237750204791937</v>
      </c>
      <c r="E4" s="36" t="n">
        <v>0.3547013121631834</v>
      </c>
      <c r="F4" s="36" t="n">
        <v>0.2318888854160189</v>
      </c>
      <c r="G4" s="36" t="n">
        <v>0.2151765674413468</v>
      </c>
      <c r="H4" s="36" t="n">
        <v>0.07766792719763792</v>
      </c>
      <c r="I4" s="36" t="n">
        <v>0.9279296291209063</v>
      </c>
      <c r="J4" s="36" t="n">
        <v>0.3368031270574387</v>
      </c>
      <c r="K4" s="36" t="n">
        <v>0.28020195887343</v>
      </c>
      <c r="L4" s="36" t="n">
        <v>0.6612045196920409</v>
      </c>
    </row>
    <row r="5" ht="24" customHeight="1">
      <c r="A5" s="30" t="n">
        <v>2023</v>
      </c>
      <c r="B5" s="35" t="n">
        <v>-0.2073357336780771</v>
      </c>
      <c r="C5" s="35" t="n">
        <v>-0.162889257320829</v>
      </c>
      <c r="D5" s="35" t="n">
        <v>0.4475370433541737</v>
      </c>
      <c r="E5" s="35" t="n">
        <v>0.4340168969285113</v>
      </c>
      <c r="F5" s="35" t="n">
        <v>0.1991171298636565</v>
      </c>
      <c r="G5" s="35" t="n">
        <v>0.1903050717951923</v>
      </c>
      <c r="H5" s="35" t="n">
        <v>0.04630490393838681</v>
      </c>
      <c r="I5" s="35" t="n">
        <v>0.9557443496975968</v>
      </c>
      <c r="J5" s="35" t="n">
        <v>0.4319353259493348</v>
      </c>
      <c r="K5" s="35" t="n">
        <v>0.4298793546505346</v>
      </c>
      <c r="L5" s="35" t="n">
        <v>0.9605447438019895</v>
      </c>
    </row>
    <row r="6" ht="24" customHeight="1">
      <c r="A6" s="31" t="n">
        <v>2024</v>
      </c>
      <c r="B6" s="36" t="n">
        <v>0.0884802060649208</v>
      </c>
      <c r="C6" s="36" t="n">
        <v>0.08588110653767322</v>
      </c>
      <c r="D6" s="36" t="n">
        <v>0.4464684035099887</v>
      </c>
      <c r="E6" s="36" t="n">
        <v>0.4072058597205309</v>
      </c>
      <c r="F6" s="36" t="n">
        <v>0.1819366364583742</v>
      </c>
      <c r="G6" s="36" t="n">
        <v>0.1723022557118717</v>
      </c>
      <c r="H6" s="36" t="n">
        <v>0.05591558106246365</v>
      </c>
      <c r="I6" s="36" t="n">
        <v>0.9470454058399239</v>
      </c>
      <c r="J6" s="36" t="n">
        <v>0.3958018091832468</v>
      </c>
      <c r="K6" s="36" t="n">
        <v>0.3944539323573974</v>
      </c>
      <c r="L6" s="36" t="n">
        <v>0.8834979793784498</v>
      </c>
    </row>
    <row r="7" ht="24" customHeight="1">
      <c r="A7" s="30" t="n">
        <v>2025</v>
      </c>
      <c r="B7" s="35" t="n">
        <v>0.3391537709881829</v>
      </c>
      <c r="C7" s="35" t="n">
        <v>0.4250827146557334</v>
      </c>
      <c r="D7" s="35" t="n">
        <v>0.4751167627392961</v>
      </c>
      <c r="E7" s="35" t="n">
        <v>0.4079107836962114</v>
      </c>
      <c r="F7" s="35" t="n">
        <v>0.2078182874137366</v>
      </c>
      <c r="G7" s="35" t="n">
        <v>0.1918869375527725</v>
      </c>
      <c r="H7" s="35" t="n">
        <v>0.08302467100754368</v>
      </c>
      <c r="I7" s="35" t="n">
        <v>0.9233400002510512</v>
      </c>
      <c r="J7" s="35" t="n">
        <v>0.4817514793655635</v>
      </c>
      <c r="K7" s="35" t="n">
        <v>0.4809942403325316</v>
      </c>
      <c r="L7" s="35" t="n">
        <v>1.012370596144301</v>
      </c>
    </row>
  </sheetData>
  <autoFilter ref="A2:L7"/>
  <mergeCells count="1"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8" customWidth="1" min="2" max="2"/>
    <col width="4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WACC 산정</t>
        </is>
      </c>
    </row>
    <row r="2" ht="28" customHeight="1">
      <c r="A2" s="17" t="inlineStr">
        <is>
          <t>노란 셀은 사용자가 시나리오별로 조정 가능한 입력값입니다.</t>
        </is>
      </c>
    </row>
    <row r="3" ht="24" customHeight="1"/>
    <row r="4" ht="24" customHeight="1">
      <c r="A4" s="37" t="inlineStr">
        <is>
          <t>무위험수익률</t>
        </is>
      </c>
      <c r="B4" s="38" t="n">
        <v>0.035</v>
      </c>
      <c r="C4" s="26" t="inlineStr">
        <is>
          <t>valuation_assumptions.json 또는 기본값</t>
        </is>
      </c>
    </row>
    <row r="5" ht="24" customHeight="1">
      <c r="A5" s="37" t="inlineStr">
        <is>
          <t>Beta</t>
        </is>
      </c>
      <c r="B5" s="38" t="n">
        <v>1.8</v>
      </c>
      <c r="C5" s="26" t="inlineStr">
        <is>
          <t>주가 변동성 proxy 또는 사용자 가정</t>
        </is>
      </c>
    </row>
    <row r="6" ht="24" customHeight="1">
      <c r="A6" s="37" t="inlineStr">
        <is>
          <t>시장위험프리미엄</t>
        </is>
      </c>
      <c r="B6" s="39" t="n">
        <v>0.06</v>
      </c>
      <c r="C6" s="26" t="inlineStr">
        <is>
          <t>사용자 조정 가능</t>
        </is>
      </c>
    </row>
    <row r="7" ht="24" customHeight="1">
      <c r="A7" s="37" t="inlineStr">
        <is>
          <t>자기자본비용</t>
        </is>
      </c>
      <c r="B7" s="40">
        <f>B4+B5*B6</f>
        <v/>
      </c>
      <c r="C7" s="26" t="inlineStr">
        <is>
          <t>공식: Rf + Beta × MRP</t>
        </is>
      </c>
    </row>
    <row r="8" ht="24" customHeight="1">
      <c r="A8" s="37" t="inlineStr">
        <is>
          <t>세전 차입비용</t>
        </is>
      </c>
      <c r="B8" s="39" t="n">
        <v>0.055</v>
      </c>
      <c r="C8" s="26" t="inlineStr">
        <is>
          <t>사용자 조정 가능</t>
        </is>
      </c>
    </row>
    <row r="9" ht="24" customHeight="1">
      <c r="A9" s="37" t="inlineStr">
        <is>
          <t>법인세율</t>
        </is>
      </c>
      <c r="B9" s="38" t="n">
        <v>0.24</v>
      </c>
      <c r="C9" s="26" t="inlineStr">
        <is>
          <t>사용자 조정 가능</t>
        </is>
      </c>
    </row>
    <row r="10" ht="24" customHeight="1">
      <c r="A10" s="37" t="inlineStr">
        <is>
          <t>세후 차입비용</t>
        </is>
      </c>
      <c r="B10" s="40">
        <f>B8*(1-B9)</f>
        <v/>
      </c>
      <c r="C10" s="26" t="inlineStr">
        <is>
          <t>공식</t>
        </is>
      </c>
    </row>
    <row r="11" ht="24" customHeight="1">
      <c r="A11" s="37" t="inlineStr">
        <is>
          <t>자기자본 비중</t>
        </is>
      </c>
      <c r="B11" s="38" t="n">
        <v>0.991837983332666</v>
      </c>
      <c r="C11" s="26" t="inlineStr">
        <is>
          <t>시장가치/장부가치 기반</t>
        </is>
      </c>
    </row>
    <row r="12" ht="24" customHeight="1">
      <c r="A12" s="37" t="inlineStr">
        <is>
          <t>부채 비중</t>
        </is>
      </c>
      <c r="B12" s="38" t="n">
        <v>0.008162016667333924</v>
      </c>
      <c r="C12" s="26" t="inlineStr">
        <is>
          <t>부채 proxy 기반</t>
        </is>
      </c>
    </row>
    <row r="13" ht="24" customHeight="1">
      <c r="A13" s="37" t="inlineStr">
        <is>
          <t>WACC</t>
        </is>
      </c>
      <c r="B13" s="41">
        <f>B11*B7+B12*B10</f>
        <v/>
      </c>
      <c r="C13" s="26" t="inlineStr">
        <is>
          <t>공식: E/V×Ke + D/V×Kd(1-T)</t>
        </is>
      </c>
    </row>
    <row r="14" ht="24" customHeight="1">
      <c r="A14" s="37" t="inlineStr">
        <is>
          <t>사용한 시가총액</t>
        </is>
      </c>
      <c r="B14" s="27" t="n">
        <v>7377307080000</v>
      </c>
      <c r="C14" s="26" t="inlineStr">
        <is>
          <t>발행주식 수 intake 가능 시 반영</t>
        </is>
      </c>
    </row>
    <row r="15" ht="24" customHeight="1">
      <c r="A15" s="37" t="inlineStr">
        <is>
          <t>부채 proxy</t>
        </is>
      </c>
      <c r="B15" s="27" t="n">
        <v>60709212955</v>
      </c>
      <c r="C15" s="26" t="inlineStr">
        <is>
          <t>상세 차입금 데이터 전까지 부채총계 보수 proxy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FCF 추정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매출액</t>
        </is>
      </c>
      <c r="D2" s="25" t="inlineStr">
        <is>
          <t>영업이익률</t>
        </is>
      </c>
      <c r="E2" s="25" t="inlineStr">
        <is>
          <t>ebit</t>
        </is>
      </c>
      <c r="F2" s="25" t="inlineStr">
        <is>
          <t>nopat</t>
        </is>
      </c>
      <c r="G2" s="25" t="inlineStr">
        <is>
          <t>FCF margin</t>
        </is>
      </c>
      <c r="H2" s="25" t="inlineStr">
        <is>
          <t>FCF</t>
        </is>
      </c>
      <c r="I2" s="25" t="inlineStr">
        <is>
          <t>할인계수</t>
        </is>
      </c>
      <c r="J2" s="25" t="inlineStr">
        <is>
          <t>FCF 현재가치</t>
        </is>
      </c>
    </row>
    <row r="3" ht="24" customHeight="1">
      <c r="A3" s="30" t="n">
        <v>2026</v>
      </c>
      <c r="B3" s="35" t="n">
        <v>0.06174619823334043</v>
      </c>
      <c r="C3" s="30" t="n">
        <v>395536648044.8816</v>
      </c>
      <c r="D3" s="35" t="n">
        <v>0.4563740698678195</v>
      </c>
      <c r="E3" s="30" t="n">
        <v>180512669850.118</v>
      </c>
      <c r="F3" s="30" t="n">
        <v>137189629086.0896</v>
      </c>
      <c r="G3" s="35" t="n">
        <v>0.25</v>
      </c>
      <c r="H3" s="30" t="n">
        <v>98884162011.2204</v>
      </c>
      <c r="I3" s="35" t="n">
        <v>0.875523341079244</v>
      </c>
      <c r="J3" s="30" t="n">
        <v>86575391903.88493</v>
      </c>
    </row>
    <row r="4" ht="24" customHeight="1">
      <c r="A4" s="31" t="n">
        <v>2027</v>
      </c>
      <c r="B4" s="36" t="n">
        <v>0.05005964867500531</v>
      </c>
      <c r="C4" s="31" t="n">
        <v>415337073684.0976</v>
      </c>
      <c r="D4" s="36" t="n">
        <v>0.4563740698678195</v>
      </c>
      <c r="E4" s="31" t="n">
        <v>189549070684.2021</v>
      </c>
      <c r="F4" s="31" t="n">
        <v>144057293719.9936</v>
      </c>
      <c r="G4" s="36" t="n">
        <v>0.25</v>
      </c>
      <c r="H4" s="31" t="n">
        <v>103834268421.0244</v>
      </c>
      <c r="I4" s="36" t="n">
        <v>0.7665411207745624</v>
      </c>
      <c r="J4" s="31" t="n">
        <v>79593236490.25879</v>
      </c>
    </row>
    <row r="5" ht="24" customHeight="1">
      <c r="A5" s="30" t="n">
        <v>2028</v>
      </c>
      <c r="B5" s="35" t="n">
        <v>0.03837309911667021</v>
      </c>
      <c r="C5" s="30" t="n">
        <v>431274844379.4052</v>
      </c>
      <c r="D5" s="35" t="n">
        <v>0.4563740698678195</v>
      </c>
      <c r="E5" s="30" t="n">
        <v>196822655961.0397</v>
      </c>
      <c r="F5" s="30" t="n">
        <v>149585218530.3902</v>
      </c>
      <c r="G5" s="35" t="n">
        <v>0.25</v>
      </c>
      <c r="H5" s="30" t="n">
        <v>107818711094.8513</v>
      </c>
      <c r="I5" s="35" t="n">
        <v>0.6711246431351732</v>
      </c>
      <c r="J5" s="30" t="n">
        <v>72359794006.82642</v>
      </c>
    </row>
    <row r="6" ht="24" customHeight="1">
      <c r="A6" s="31" t="n">
        <v>2029</v>
      </c>
      <c r="B6" s="36" t="n">
        <v>0.0266865495583351</v>
      </c>
      <c r="C6" s="31" t="n">
        <v>442784081887.1995</v>
      </c>
      <c r="D6" s="36" t="n">
        <v>0.4563740698678195</v>
      </c>
      <c r="E6" s="31" t="n">
        <v>202075173523.5471</v>
      </c>
      <c r="F6" s="31" t="n">
        <v>153577131877.8958</v>
      </c>
      <c r="G6" s="36" t="n">
        <v>0.25</v>
      </c>
      <c r="H6" s="31" t="n">
        <v>110696020471.7999</v>
      </c>
      <c r="I6" s="36" t="n">
        <v>0.5875852898383221</v>
      </c>
      <c r="J6" s="31" t="n">
        <v>65043353272.87137</v>
      </c>
    </row>
    <row r="7" ht="24" customHeight="1">
      <c r="A7" s="30" t="n">
        <v>2030</v>
      </c>
      <c r="B7" s="35" t="n">
        <v>0.015</v>
      </c>
      <c r="C7" s="30" t="n">
        <v>449425843115.5074</v>
      </c>
      <c r="D7" s="35" t="n">
        <v>0.4563740698678195</v>
      </c>
      <c r="E7" s="30" t="n">
        <v>205106301126.4003</v>
      </c>
      <c r="F7" s="30" t="n">
        <v>155880788856.0642</v>
      </c>
      <c r="G7" s="35" t="n">
        <v>0.25</v>
      </c>
      <c r="H7" s="30" t="n">
        <v>112356460778.8768</v>
      </c>
      <c r="I7" s="35" t="n">
        <v>0.5144446361282639</v>
      </c>
      <c r="J7" s="30" t="n">
        <v>57801178582.04885</v>
      </c>
    </row>
  </sheetData>
  <autoFilter ref="A2:J7"/>
  <mergeCells count="1"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DCF 가치평가</t>
        </is>
      </c>
    </row>
    <row r="2" ht="28" customHeight="1">
      <c r="A2" s="17" t="inlineStr">
        <is>
          <t>명시적 FCF + Terminal Value + 현금 - 부채 proxy</t>
        </is>
      </c>
    </row>
    <row r="3" ht="24" customHeight="1"/>
    <row r="4" ht="24" customHeight="1">
      <c r="A4" s="22" t="inlineStr">
        <is>
          <t>DCF 결과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기준연도</t>
        </is>
      </c>
      <c r="B6" s="30" t="n">
        <v>2025</v>
      </c>
      <c r="C6" s="24" t="inlineStr">
        <is>
          <t>최근 정규화 재무제표 연도</t>
        </is>
      </c>
    </row>
    <row r="7" ht="24" customHeight="1">
      <c r="A7" s="29" t="inlineStr">
        <is>
          <t>기준 매출액</t>
        </is>
      </c>
      <c r="B7" s="31" t="n">
        <v>372534084608</v>
      </c>
      <c r="C7" s="29" t="inlineStr">
        <is>
          <t>DART 기반</t>
        </is>
      </c>
    </row>
    <row r="8" ht="24" customHeight="1">
      <c r="A8" s="24" t="inlineStr">
        <is>
          <t>매출 CAGR</t>
        </is>
      </c>
      <c r="B8" s="30" t="n">
        <v>0.0738344270624911</v>
      </c>
      <c r="C8" s="24" t="inlineStr">
        <is>
          <t>과거 재무제표 기반</t>
        </is>
      </c>
    </row>
    <row r="9" ht="24" customHeight="1">
      <c r="A9" s="29" t="inlineStr">
        <is>
          <t>추정 매출성장률</t>
        </is>
      </c>
      <c r="B9" s="31" t="n">
        <v>0.07343274779167552</v>
      </c>
      <c r="C9" s="29" t="inlineStr">
        <is>
          <t>최근 추세를 보수적으로 bounded</t>
        </is>
      </c>
    </row>
    <row r="10" ht="24" customHeight="1">
      <c r="A10" s="24" t="inlineStr">
        <is>
          <t>추정 FCF margin</t>
        </is>
      </c>
      <c r="B10" s="30" t="n">
        <v>0.25</v>
      </c>
      <c r="C10" s="24" t="inlineStr">
        <is>
          <t>최근 3년 평균 기반</t>
        </is>
      </c>
    </row>
    <row r="11" ht="24" customHeight="1">
      <c r="A11" s="29" t="inlineStr">
        <is>
          <t>WACC</t>
        </is>
      </c>
      <c r="B11" s="31" t="n">
        <v>0.1421740039132658</v>
      </c>
      <c r="C11" s="29" t="inlineStr">
        <is>
          <t>07_WACC 참조</t>
        </is>
      </c>
    </row>
    <row r="12" ht="24" customHeight="1">
      <c r="A12" s="24" t="inlineStr">
        <is>
          <t>영구성장률</t>
        </is>
      </c>
      <c r="B12" s="30" t="n">
        <v>0.015</v>
      </c>
      <c r="C12" s="24" t="inlineStr">
        <is>
          <t>valuation_assumptions.json</t>
        </is>
      </c>
    </row>
    <row r="13" ht="24" customHeight="1">
      <c r="A13" s="29" t="inlineStr">
        <is>
          <t>FCF 현재가치</t>
        </is>
      </c>
      <c r="B13" s="31" t="n">
        <v>361372954255.8904</v>
      </c>
      <c r="C13" s="29" t="inlineStr">
        <is>
          <t>명시적 기간 FCF 할인</t>
        </is>
      </c>
    </row>
    <row r="14" ht="24" customHeight="1">
      <c r="A14" s="24" t="inlineStr">
        <is>
          <t>Terminal Value</t>
        </is>
      </c>
      <c r="B14" s="30" t="n">
        <v>896738359895.7679</v>
      </c>
      <c r="C14" s="24" t="inlineStr">
        <is>
          <t>Gordon Growth</t>
        </is>
      </c>
    </row>
    <row r="15" ht="24" customHeight="1">
      <c r="A15" s="29" t="inlineStr">
        <is>
          <t>Terminal 현재가치</t>
        </is>
      </c>
      <c r="B15" s="31" t="n">
        <v>461322239258.8344</v>
      </c>
      <c r="C15" s="29" t="inlineStr">
        <is>
          <t>Terminal Value 할인</t>
        </is>
      </c>
    </row>
    <row r="16" ht="24" customHeight="1">
      <c r="A16" s="24" t="inlineStr">
        <is>
          <t>기업가치(EV)</t>
        </is>
      </c>
      <c r="B16" s="30" t="n">
        <v>822695193514.7249</v>
      </c>
      <c r="C16" s="24" t="inlineStr">
        <is>
          <t>PV FCF + PV Terminal</t>
        </is>
      </c>
    </row>
    <row r="17" ht="24" customHeight="1">
      <c r="A17" s="29" t="inlineStr">
        <is>
          <t>지분가치</t>
        </is>
      </c>
      <c r="B17" s="31" t="n">
        <v>847188792968.7249</v>
      </c>
      <c r="C17" s="29" t="inlineStr">
        <is>
          <t>EV + 현금 - 부채 proxy</t>
        </is>
      </c>
    </row>
    <row r="18" ht="24" customHeight="1">
      <c r="A18" s="24" t="inlineStr">
        <is>
          <t>발행주식 수</t>
        </is>
      </c>
      <c r="B18" s="30" t="n">
        <v>76211850</v>
      </c>
      <c r="C18" s="24" t="inlineStr">
        <is>
          <t>DART stockTotqySttus 또는 해당 없음</t>
        </is>
      </c>
    </row>
    <row r="19" ht="24" customHeight="1">
      <c r="A19" s="29" t="inlineStr">
        <is>
          <t>현재가</t>
        </is>
      </c>
      <c r="B19" s="31" t="n">
        <v>96800</v>
      </c>
      <c r="C19" s="29" t="inlineStr">
        <is>
          <t>주가 intake</t>
        </is>
      </c>
    </row>
    <row r="20" ht="24" customHeight="1">
      <c r="A20" s="24" t="inlineStr">
        <is>
          <t>DCF 내재주가</t>
        </is>
      </c>
      <c r="B20" s="30" t="n">
        <v>11116.23445656712</v>
      </c>
      <c r="C20" s="24" t="inlineStr">
        <is>
          <t>지분가치 / 발행주식 수</t>
        </is>
      </c>
    </row>
    <row r="21" ht="24" customHeight="1">
      <c r="A21" s="29" t="inlineStr">
        <is>
          <t>현재가 대비 괴리율</t>
        </is>
      </c>
      <c r="B21" s="31" t="n">
        <v>-0.885162867184224</v>
      </c>
      <c r="C21" s="29" t="inlineStr">
        <is>
          <t>내재주가 / 현재가 - 1</t>
        </is>
      </c>
    </row>
  </sheetData>
  <autoFilter ref="A5:C21"/>
  <mergeCells count="3">
    <mergeCell ref="A2:E2"/>
    <mergeCell ref="A1:E1"/>
    <mergeCell ref="A4:F4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22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4" customHeight="1">
      <c r="A1" s="22" t="inlineStr">
        <is>
          <t>피어 비교 / 상대가치</t>
        </is>
      </c>
    </row>
    <row r="2" ht="24" customHeight="1">
      <c r="A2" s="25" t="inlineStr">
        <is>
          <t>기업코드</t>
        </is>
      </c>
      <c r="B2" s="25" t="inlineStr">
        <is>
          <t>기업명</t>
        </is>
      </c>
      <c r="C2" s="25" t="inlineStr">
        <is>
          <t>종목코드</t>
        </is>
      </c>
      <c r="D2" s="25" t="inlineStr">
        <is>
          <t>시장</t>
        </is>
      </c>
      <c r="E2" s="25" t="inlineStr">
        <is>
          <t>분석대상</t>
        </is>
      </c>
      <c r="F2" s="25" t="inlineStr">
        <is>
          <t>최근연도</t>
        </is>
      </c>
      <c r="G2" s="25" t="inlineStr">
        <is>
          <t>latest_close</t>
        </is>
      </c>
      <c r="H2" s="25" t="inlineStr">
        <is>
          <t>발행주식 수</t>
        </is>
      </c>
      <c r="I2" s="25" t="inlineStr">
        <is>
          <t>시가총액</t>
        </is>
      </c>
      <c r="J2" s="25" t="inlineStr">
        <is>
          <t>매출액</t>
        </is>
      </c>
      <c r="K2" s="25" t="inlineStr">
        <is>
          <t>영업이익</t>
        </is>
      </c>
      <c r="L2" s="25" t="inlineStr">
        <is>
          <t>순이익</t>
        </is>
      </c>
      <c r="M2" s="25" t="inlineStr">
        <is>
          <t>자산총계</t>
        </is>
      </c>
      <c r="N2" s="25" t="inlineStr">
        <is>
          <t>부채총계</t>
        </is>
      </c>
      <c r="O2" s="25" t="inlineStr">
        <is>
          <t>자본총계</t>
        </is>
      </c>
      <c r="P2" s="25" t="inlineStr">
        <is>
          <t>FCF</t>
        </is>
      </c>
      <c r="Q2" s="25" t="inlineStr">
        <is>
          <t>FCF margin</t>
        </is>
      </c>
      <c r="R2" s="25" t="inlineStr">
        <is>
          <t>1년 수익률</t>
        </is>
      </c>
      <c r="S2" s="25" t="inlineStr">
        <is>
          <t>연환산 변동성</t>
        </is>
      </c>
      <c r="T2" s="25" t="inlineStr">
        <is>
          <t>MDD</t>
        </is>
      </c>
      <c r="U2" s="25" t="inlineStr">
        <is>
          <t>52주 고가</t>
        </is>
      </c>
      <c r="V2" s="25" t="inlineStr">
        <is>
          <t>52주 저가</t>
        </is>
      </c>
      <c r="W2" s="25" t="inlineStr">
        <is>
          <t>data_status</t>
        </is>
      </c>
      <c r="X2" s="25" t="inlineStr">
        <is>
          <t>diagnostics</t>
        </is>
      </c>
      <c r="Y2" s="25" t="inlineStr">
        <is>
          <t>EV proxy</t>
        </is>
      </c>
      <c r="Z2" s="25" t="inlineStr">
        <is>
          <t>P/S</t>
        </is>
      </c>
      <c r="AA2" s="25" t="inlineStr">
        <is>
          <t>PER</t>
        </is>
      </c>
      <c r="AB2" s="25" t="inlineStr">
        <is>
          <t>PBR</t>
        </is>
      </c>
      <c r="AC2" s="25" t="inlineStr">
        <is>
          <t>EV/Sales</t>
        </is>
      </c>
      <c r="AD2" s="25" t="inlineStr">
        <is>
          <t>EV/EBIT</t>
        </is>
      </c>
      <c r="AE2" s="25" t="inlineStr">
        <is>
          <t>P/FCF</t>
        </is>
      </c>
      <c r="AF2" s="25" t="inlineStr">
        <is>
          <t>영업이익률</t>
        </is>
      </c>
      <c r="AG2" s="25" t="inlineStr">
        <is>
          <t>ROE</t>
        </is>
      </c>
      <c r="AH2" s="25" t="inlineStr">
        <is>
          <t>부채/자본</t>
        </is>
      </c>
      <c r="AI2" s="25" t="inlineStr">
        <is>
          <t>psr_data_quality</t>
        </is>
      </c>
    </row>
    <row r="3" ht="24" customHeight="1">
      <c r="A3" s="24" t="inlineStr">
        <is>
          <t>nepes</t>
        </is>
      </c>
      <c r="B3" s="24" t="inlineStr">
        <is>
          <t>네패스</t>
        </is>
      </c>
      <c r="C3" s="24" t="inlineStr">
        <is>
          <t>033640</t>
        </is>
      </c>
      <c r="D3" s="24" t="inlineStr">
        <is>
          <t>KOSDAQ</t>
        </is>
      </c>
      <c r="E3" s="24" t="b">
        <v>0</v>
      </c>
      <c r="F3" s="24" t="inlineStr">
        <is>
          <t>2025</t>
        </is>
      </c>
      <c r="G3" s="24" t="inlineStr">
        <is>
          <t>28450.0</t>
        </is>
      </c>
      <c r="H3" s="24" t="inlineStr">
        <is>
          <t>23059202.0</t>
        </is>
      </c>
      <c r="I3" s="30" t="n">
        <v>656034296900</v>
      </c>
      <c r="J3" s="24" t="inlineStr">
        <is>
          <t>521439287008.0</t>
        </is>
      </c>
      <c r="K3" s="24" t="inlineStr">
        <is>
          <t>23761125843.0</t>
        </is>
      </c>
      <c r="L3" s="24" t="inlineStr">
        <is>
          <t>20158821632.0</t>
        </is>
      </c>
      <c r="M3" s="24" t="inlineStr">
        <is>
          <t>696198458357.0</t>
        </is>
      </c>
      <c r="N3" s="24" t="inlineStr">
        <is>
          <t>450773427582.0</t>
        </is>
      </c>
      <c r="O3" s="24" t="inlineStr">
        <is>
          <t>245425030775.0</t>
        </is>
      </c>
      <c r="P3" s="24" t="inlineStr">
        <is>
          <t>103117228706.0</t>
        </is>
      </c>
      <c r="Q3" s="24" t="inlineStr">
        <is>
          <t>0.19775500480158098</t>
        </is>
      </c>
      <c r="R3" s="24" t="inlineStr">
        <is>
          <t>2.6568123393316196</t>
        </is>
      </c>
      <c r="S3" s="24" t="inlineStr">
        <is>
          <t>0.6269747507482603</t>
        </is>
      </c>
      <c r="T3" s="24" t="inlineStr">
        <is>
          <t>-0.7436559139784946</t>
        </is>
      </c>
      <c r="U3" s="24" t="inlineStr">
        <is>
          <t>34800.0</t>
        </is>
      </c>
      <c r="V3" s="24" t="inlineStr">
        <is>
          <t>6890.0</t>
        </is>
      </c>
      <c r="W3" s="24" t="inlineStr">
        <is>
          <t>OK</t>
        </is>
      </c>
      <c r="X3" s="24" t="inlineStr">
        <is>
          <t>yfinance price rows for 033640.KQ: 728 | price provider selected: yfinance, rows=728 | DART corp_code resolved from cache for 네패스/033640.</t>
        </is>
      </c>
      <c r="Y3" s="30" t="n">
        <v>1106807724482</v>
      </c>
      <c r="Z3" s="42" t="n">
        <v>1.258122111711799</v>
      </c>
      <c r="AA3" s="42" t="n">
        <v>32.5432859556937</v>
      </c>
      <c r="AB3" s="42" t="n">
        <v>2.673053742026163</v>
      </c>
      <c r="AC3" s="42" t="n">
        <v>2.122601330699156</v>
      </c>
      <c r="AD3" s="42" t="n">
        <v>46.58060951299849</v>
      </c>
      <c r="AE3" s="42" t="n">
        <v>6.36202412664168</v>
      </c>
      <c r="AF3" s="35" t="n">
        <v>0.0455683459896942</v>
      </c>
      <c r="AG3" s="35" t="n">
        <v>0.0821384093070814</v>
      </c>
      <c r="AH3" s="35" t="n">
        <v>1.836705189191801</v>
      </c>
      <c r="AI3" s="24" t="inlineStr">
        <is>
          <t>OK</t>
        </is>
      </c>
    </row>
    <row r="4" ht="24" customHeight="1">
      <c r="A4" s="29" t="inlineStr">
        <is>
          <t>hanmi</t>
        </is>
      </c>
      <c r="B4" s="29" t="inlineStr">
        <is>
          <t>한미반도체</t>
        </is>
      </c>
      <c r="C4" s="29" t="inlineStr">
        <is>
          <t>042700</t>
        </is>
      </c>
      <c r="D4" s="29" t="inlineStr">
        <is>
          <t>KOSPI</t>
        </is>
      </c>
      <c r="E4" s="29" t="b">
        <v>0</v>
      </c>
      <c r="F4" s="29" t="inlineStr">
        <is>
          <t>2025</t>
        </is>
      </c>
      <c r="G4" s="29" t="inlineStr">
        <is>
          <t>288000.0</t>
        </is>
      </c>
      <c r="H4" s="29" t="inlineStr">
        <is>
          <t>95312200.0</t>
        </is>
      </c>
      <c r="I4" s="31" t="n">
        <v>27449913600000</v>
      </c>
      <c r="J4" s="29" t="inlineStr">
        <is>
          <t>576684619527.0</t>
        </is>
      </c>
      <c r="K4" s="29" t="inlineStr">
        <is>
          <t>251390142142.0</t>
        </is>
      </c>
      <c r="L4" s="29" t="inlineStr">
        <is>
          <t>214007548411.0</t>
        </is>
      </c>
      <c r="M4" s="29" t="inlineStr">
        <is>
          <t>813331626120.0</t>
        </is>
      </c>
      <c r="N4" s="29" t="inlineStr">
        <is>
          <t>123004106583.0</t>
        </is>
      </c>
      <c r="O4" s="29" t="inlineStr">
        <is>
          <t>690327519537.0</t>
        </is>
      </c>
      <c r="P4" s="29" t="inlineStr">
        <is>
          <t>209512898063.0</t>
        </is>
      </c>
      <c r="Q4" s="29" t="inlineStr">
        <is>
          <t>0.36330585378684743</t>
        </is>
      </c>
      <c r="R4" s="29" t="inlineStr">
        <is>
          <t>2.5164835164835164</t>
        </is>
      </c>
      <c r="S4" s="29" t="inlineStr">
        <is>
          <t>0.7592026521930156</t>
        </is>
      </c>
      <c r="T4" s="29" t="inlineStr">
        <is>
          <t>-0.6814814814814815</t>
        </is>
      </c>
      <c r="U4" s="29" t="inlineStr">
        <is>
          <t>409500.0</t>
        </is>
      </c>
      <c r="V4" s="29" t="inlineStr">
        <is>
          <t>77400.0</t>
        </is>
      </c>
      <c r="W4" s="29" t="inlineStr">
        <is>
          <t>OK</t>
        </is>
      </c>
      <c r="X4" s="29" t="inlineStr">
        <is>
          <t>yfinance price rows for 042700.KS: 728 | price provider selected: yfinance, rows=728 | DART corp_code resolved from cache for 한미반도체/042700.</t>
        </is>
      </c>
      <c r="Y4" s="31" t="n">
        <v>27572917706583</v>
      </c>
      <c r="Z4" s="43" t="n">
        <v>47.5995243683013</v>
      </c>
      <c r="AA4" s="43" t="n">
        <v>128.2660999755141</v>
      </c>
      <c r="AB4" s="43" t="n">
        <v>39.76360904518271</v>
      </c>
      <c r="AC4" s="43" t="n">
        <v>47.8128196468955</v>
      </c>
      <c r="AD4" s="43" t="n">
        <v>109.6817777803244</v>
      </c>
      <c r="AE4" s="43" t="n">
        <v>131.0177743412526</v>
      </c>
      <c r="AF4" s="36" t="n">
        <v>0.4359230914606178</v>
      </c>
      <c r="AG4" s="36" t="n">
        <v>0.3100087166661616</v>
      </c>
      <c r="AH4" s="36" t="n">
        <v>0.1781822440824876</v>
      </c>
      <c r="AI4" s="29" t="inlineStr">
        <is>
          <t>OK</t>
        </is>
      </c>
    </row>
    <row r="5" ht="24" customHeight="1">
      <c r="A5" s="24" t="inlineStr">
        <is>
          <t>hansol</t>
        </is>
      </c>
      <c r="B5" s="24" t="inlineStr">
        <is>
          <t>한솔케미칼</t>
        </is>
      </c>
      <c r="C5" s="24" t="inlineStr">
        <is>
          <t>014680</t>
        </is>
      </c>
      <c r="D5" s="24" t="inlineStr">
        <is>
          <t>KOSPI</t>
        </is>
      </c>
      <c r="E5" s="24" t="b">
        <v>0</v>
      </c>
      <c r="F5" s="24" t="inlineStr">
        <is>
          <t>2025</t>
        </is>
      </c>
      <c r="G5" s="24" t="inlineStr">
        <is>
          <t>268000.0</t>
        </is>
      </c>
      <c r="H5" s="24" t="inlineStr">
        <is>
          <t>11335195.0</t>
        </is>
      </c>
      <c r="I5" s="30" t="n">
        <v>3037832260000</v>
      </c>
      <c r="J5" s="24" t="inlineStr">
        <is>
          <t>883968714104.0</t>
        </is>
      </c>
      <c r="K5" s="24" t="inlineStr">
        <is>
          <t>156233146521.0</t>
        </is>
      </c>
      <c r="L5" s="24" t="inlineStr">
        <is>
          <t>148134823618.0</t>
        </is>
      </c>
      <c r="M5" s="24" t="inlineStr">
        <is>
          <t>1600348080121.0</t>
        </is>
      </c>
      <c r="N5" s="24" t="inlineStr">
        <is>
          <t>423081692446.0</t>
        </is>
      </c>
      <c r="O5" s="24" t="inlineStr">
        <is>
          <t>1177266387675.0</t>
        </is>
      </c>
      <c r="P5" s="24" t="inlineStr">
        <is>
          <t>200066983741.0</t>
        </is>
      </c>
      <c r="Q5" s="24" t="inlineStr">
        <is>
          <t>0.226328127397348</t>
        </is>
      </c>
      <c r="R5" s="24" t="inlineStr">
        <is>
          <t>1.1185770750988144</t>
        </is>
      </c>
      <c r="S5" s="24" t="inlineStr">
        <is>
          <t>0.485747372701078</t>
        </is>
      </c>
      <c r="T5" s="24" t="inlineStr">
        <is>
          <t>-0.6348547717842323</t>
        </is>
      </c>
      <c r="U5" s="24" t="inlineStr">
        <is>
          <t>338000.0</t>
        </is>
      </c>
      <c r="V5" s="24" t="inlineStr">
        <is>
          <t>112100.0</t>
        </is>
      </c>
      <c r="W5" s="24" t="inlineStr">
        <is>
          <t>OK</t>
        </is>
      </c>
      <c r="X5" s="24" t="inlineStr">
        <is>
          <t>yfinance price rows for 014680.KS: 728 | price provider selected: yfinance, rows=728 | DART corp_code resolved from cache for 한솔케미칼/014680.</t>
        </is>
      </c>
      <c r="Y5" s="30" t="n">
        <v>3460913952446</v>
      </c>
      <c r="Z5" s="42" t="n">
        <v>3.436583457683996</v>
      </c>
      <c r="AA5" s="42" t="n">
        <v>20.50721218552739</v>
      </c>
      <c r="AB5" s="42" t="n">
        <v>2.580411954170761</v>
      </c>
      <c r="AC5" s="42" t="n">
        <v>3.915199596123737</v>
      </c>
      <c r="AD5" s="42" t="n">
        <v>22.15223868630722</v>
      </c>
      <c r="AE5" s="42" t="n">
        <v>15.18407586897334</v>
      </c>
      <c r="AF5" s="35" t="n">
        <v>0.1767405837200467</v>
      </c>
      <c r="AG5" s="35" t="n">
        <v>0.1258294852964872</v>
      </c>
      <c r="AH5" s="35" t="n">
        <v>0.3593763458086576</v>
      </c>
      <c r="AI5" s="24" t="inlineStr">
        <is>
          <t>OK</t>
        </is>
      </c>
    </row>
    <row r="6" ht="24" customHeight="1">
      <c r="A6" s="29" t="inlineStr">
        <is>
          <t>duksan</t>
        </is>
      </c>
      <c r="B6" s="29" t="inlineStr">
        <is>
          <t>덕산테코피아</t>
        </is>
      </c>
      <c r="C6" s="29" t="inlineStr">
        <is>
          <t>317330</t>
        </is>
      </c>
      <c r="D6" s="29" t="inlineStr">
        <is>
          <t>KOSDAQ</t>
        </is>
      </c>
      <c r="E6" s="29" t="b">
        <v>0</v>
      </c>
      <c r="F6" s="29" t="inlineStr">
        <is>
          <t>2025</t>
        </is>
      </c>
      <c r="G6" s="29" t="inlineStr">
        <is>
          <t>19910.0</t>
        </is>
      </c>
      <c r="H6" s="29" t="inlineStr">
        <is>
          <t>20476584.0</t>
        </is>
      </c>
      <c r="I6" s="31" t="n">
        <v>407688787440</v>
      </c>
      <c r="J6" s="29" t="inlineStr">
        <is>
          <t>112078954483.0</t>
        </is>
      </c>
      <c r="K6" s="29" t="inlineStr">
        <is>
          <t>-43026410473.0</t>
        </is>
      </c>
      <c r="L6" s="29" t="inlineStr">
        <is>
          <t>-105550462258.0</t>
        </is>
      </c>
      <c r="M6" s="29" t="inlineStr">
        <is>
          <t>646705781509.0</t>
        </is>
      </c>
      <c r="N6" s="29" t="inlineStr">
        <is>
          <t>540230144773.0</t>
        </is>
      </c>
      <c r="O6" s="29" t="inlineStr">
        <is>
          <t>106475636736.0</t>
        </is>
      </c>
      <c r="P6" s="29" t="inlineStr">
        <is>
          <t>-21599848348.0</t>
        </is>
      </c>
      <c r="Q6" s="29" t="inlineStr">
        <is>
          <t>-0.19271993076341767</t>
        </is>
      </c>
      <c r="R6" s="29" t="inlineStr">
        <is>
          <t>-0.004002001000500299</t>
        </is>
      </c>
      <c r="S6" s="29" t="inlineStr">
        <is>
          <t>0.7384147932368512</t>
        </is>
      </c>
      <c r="T6" s="29" t="inlineStr">
        <is>
          <t>-0.7666123778501629</t>
        </is>
      </c>
      <c r="U6" s="29" t="inlineStr">
        <is>
          <t>31250.0</t>
        </is>
      </c>
      <c r="V6" s="29" t="inlineStr">
        <is>
          <t>14330.0</t>
        </is>
      </c>
      <c r="W6" s="29" t="inlineStr">
        <is>
          <t>OK</t>
        </is>
      </c>
      <c r="X6" s="29" t="inlineStr">
        <is>
          <t>yfinance price rows for 317330.KQ: 728 | price provider selected: yfinance, rows=728 | DART corp_code resolved from cache for 덕산테코피아/317330.</t>
        </is>
      </c>
      <c r="Y6" s="31" t="n">
        <v>947918932213</v>
      </c>
      <c r="Z6" s="43" t="n">
        <v>3.637514190961138</v>
      </c>
      <c r="AA6" s="43" t="n">
        <v>-3.86250120291728</v>
      </c>
      <c r="AB6" s="43" t="n">
        <v>3.828939651714317</v>
      </c>
      <c r="AC6" s="43" t="n">
        <v>8.457599703580204</v>
      </c>
      <c r="AD6" s="43" t="n">
        <v>-22.03109489711766</v>
      </c>
      <c r="AE6" s="43" t="n">
        <v>-18.87461341726268</v>
      </c>
      <c r="AF6" s="36" t="n">
        <v>-0.3838937530375178</v>
      </c>
      <c r="AG6" s="36" t="n">
        <v>-0.9913109279609765</v>
      </c>
      <c r="AH6" s="36" t="n">
        <v>5.073744204155064</v>
      </c>
      <c r="AI6" s="29" t="inlineStr">
        <is>
          <t>OK</t>
        </is>
      </c>
    </row>
    <row r="7" ht="24" customHeight="1">
      <c r="A7" s="24" t="inlineStr">
        <is>
          <t>ltc</t>
        </is>
      </c>
      <c r="B7" s="24" t="inlineStr">
        <is>
          <t>엘티씨</t>
        </is>
      </c>
      <c r="C7" s="24" t="inlineStr">
        <is>
          <t>170920</t>
        </is>
      </c>
      <c r="D7" s="24" t="inlineStr">
        <is>
          <t>KOSDAQ</t>
        </is>
      </c>
      <c r="E7" s="24" t="b">
        <v>0</v>
      </c>
      <c r="F7" s="24" t="inlineStr">
        <is>
          <t>2025</t>
        </is>
      </c>
      <c r="G7" s="24" t="inlineStr">
        <is>
          <t>41000.0</t>
        </is>
      </c>
      <c r="H7" s="24" t="inlineStr">
        <is>
          <t>10564126.0</t>
        </is>
      </c>
      <c r="I7" s="30" t="n">
        <v>433129166000</v>
      </c>
      <c r="J7" s="24" t="inlineStr">
        <is>
          <t>310384726014.0</t>
        </is>
      </c>
      <c r="K7" s="24" t="inlineStr">
        <is>
          <t>29629435023.0</t>
        </is>
      </c>
      <c r="L7" s="24" t="inlineStr">
        <is>
          <t>18189648458.0</t>
        </is>
      </c>
      <c r="M7" s="24" t="inlineStr">
        <is>
          <t>383387868522.0</t>
        </is>
      </c>
      <c r="N7" s="24" t="inlineStr">
        <is>
          <t>159648759353.0</t>
        </is>
      </c>
      <c r="O7" s="24" t="inlineStr">
        <is>
          <t>223739109169.0</t>
        </is>
      </c>
      <c r="P7" s="24" t="inlineStr">
        <is>
          <t>24709885929.0</t>
        </is>
      </c>
      <c r="Q7" s="24" t="inlineStr">
        <is>
          <t>0.07961050869457234</t>
        </is>
      </c>
      <c r="R7" s="24" t="inlineStr">
        <is>
          <t>2.6059806508355323</t>
        </is>
      </c>
      <c r="S7" s="24" t="inlineStr">
        <is>
          <t>0.6759192143331165</t>
        </is>
      </c>
      <c r="T7" s="24" t="inlineStr">
        <is>
          <t>-0.5848765432098766</t>
        </is>
      </c>
      <c r="U7" s="24" t="inlineStr">
        <is>
          <t>49650.0</t>
        </is>
      </c>
      <c r="V7" s="24" t="inlineStr">
        <is>
          <t>9260.0</t>
        </is>
      </c>
      <c r="W7" s="24" t="inlineStr">
        <is>
          <t>OK</t>
        </is>
      </c>
      <c r="X7" s="24" t="inlineStr">
        <is>
          <t>yfinance price rows for 170920.KQ: 727 | price provider selected: yfinance, rows=727 | DART corp_code resolved from cache for 엘티씨/170920.</t>
        </is>
      </c>
      <c r="Y7" s="30" t="n">
        <v>592777925353</v>
      </c>
      <c r="Z7" s="42" t="n">
        <v>1.395459021332331</v>
      </c>
      <c r="AA7" s="42" t="n">
        <v>23.81184919544199</v>
      </c>
      <c r="AB7" s="42" t="n">
        <v>1.935867035533955</v>
      </c>
      <c r="AC7" s="42" t="n">
        <v>1.909816674826527</v>
      </c>
      <c r="AD7" s="42" t="n">
        <v>20.00638638208434</v>
      </c>
      <c r="AE7" s="42" t="n">
        <v>17.52857812636323</v>
      </c>
      <c r="AF7" s="35" t="n">
        <v>0.09546035142742029</v>
      </c>
      <c r="AG7" s="35" t="n">
        <v>0.08129847537857388</v>
      </c>
      <c r="AH7" s="35" t="n">
        <v>0.7135487396278595</v>
      </c>
      <c r="AI7" s="24" t="inlineStr">
        <is>
          <t>OK</t>
        </is>
      </c>
    </row>
  </sheetData>
  <autoFilter ref="A2:AI7"/>
  <mergeCells count="1">
    <mergeCell ref="A1:F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ML 보조판단 요인</t>
        </is>
      </c>
    </row>
    <row r="2" ht="24" customHeight="1">
      <c r="A2" s="25" t="inlineStr">
        <is>
          <t>요인</t>
        </is>
      </c>
      <c r="B2" s="25" t="inlineStr">
        <is>
          <t>요인 코드</t>
        </is>
      </c>
      <c r="C2" s="25" t="inlineStr">
        <is>
          <t>점수</t>
        </is>
      </c>
      <c r="D2" s="25" t="inlineStr">
        <is>
          <t>해석</t>
        </is>
      </c>
    </row>
    <row r="3" ht="24" customHeight="1">
      <c r="A3" s="24" t="inlineStr">
        <is>
          <t>영업이익률 peer percentile</t>
        </is>
      </c>
      <c r="B3" s="24" t="inlineStr">
        <is>
          <t>operating_margin_percentile</t>
        </is>
      </c>
      <c r="C3" s="30" t="n">
        <v>100</v>
      </c>
      <c r="D3" s="24" t="inlineStr">
        <is>
          <t>높을수록 우수</t>
        </is>
      </c>
    </row>
    <row r="4" ht="24" customHeight="1">
      <c r="A4" s="29" t="inlineStr">
        <is>
          <t>ROE peer percentile</t>
        </is>
      </c>
      <c r="B4" s="29" t="inlineStr">
        <is>
          <t>roe_percentile</t>
        </is>
      </c>
      <c r="C4" s="31" t="n">
        <v>80</v>
      </c>
      <c r="D4" s="29" t="inlineStr">
        <is>
          <t>높을수록 우수</t>
        </is>
      </c>
    </row>
    <row r="5" ht="24" customHeight="1">
      <c r="A5" s="24" t="inlineStr">
        <is>
          <t>FCF margin peer percentile</t>
        </is>
      </c>
      <c r="B5" s="24" t="inlineStr">
        <is>
          <t>fcf_margin_percentile</t>
        </is>
      </c>
      <c r="C5" s="30" t="n">
        <v>100</v>
      </c>
      <c r="D5" s="24" t="inlineStr">
        <is>
          <t>높을수록 우수</t>
        </is>
      </c>
    </row>
    <row r="6" ht="24" customHeight="1">
      <c r="A6" s="29" t="inlineStr">
        <is>
          <t>부채비율 안정성</t>
        </is>
      </c>
      <c r="B6" s="29" t="inlineStr">
        <is>
          <t>debt_ratio_inverse_percentile</t>
        </is>
      </c>
      <c r="C6" s="31" t="n">
        <v>100</v>
      </c>
      <c r="D6" s="29" t="inlineStr">
        <is>
          <t>낮을수록 우수</t>
        </is>
      </c>
    </row>
    <row r="7" ht="24" customHeight="1">
      <c r="A7" s="24" t="inlineStr">
        <is>
          <t>PSR 상대 매력도</t>
        </is>
      </c>
      <c r="B7" s="24" t="inlineStr">
        <is>
          <t>psr_inverse_percentile</t>
        </is>
      </c>
      <c r="C7" s="30" t="n">
        <v>100</v>
      </c>
      <c r="D7" s="24" t="inlineStr">
        <is>
          <t>낮은 PSR일수록 상대가치 부담이 낮음</t>
        </is>
      </c>
    </row>
    <row r="8" ht="24" customHeight="1">
      <c r="A8" s="29" t="inlineStr">
        <is>
          <t>변동성 안정성</t>
        </is>
      </c>
      <c r="B8" s="29" t="inlineStr">
        <is>
          <t>volatility_inverse_score</t>
        </is>
      </c>
      <c r="C8" s="31" t="n">
        <v>24.40346417701089</v>
      </c>
      <c r="D8" s="29" t="inlineStr">
        <is>
          <t>낮을수록 우수</t>
        </is>
      </c>
    </row>
    <row r="9" ht="24" customHeight="1">
      <c r="A9" s="24" t="inlineStr">
        <is>
          <t>MDD 방어력</t>
        </is>
      </c>
      <c r="B9" s="24" t="inlineStr">
        <is>
          <t>mdd_resilience_score</t>
        </is>
      </c>
      <c r="C9" s="30" t="n">
        <v>30.56375838926175</v>
      </c>
      <c r="D9" s="24" t="inlineStr">
        <is>
          <t>낙폭이 작을수록 우수</t>
        </is>
      </c>
    </row>
    <row r="10" ht="24" customHeight="1">
      <c r="A10" s="29" t="inlineStr">
        <is>
          <t>208개 반도체 valuation proxy percentile</t>
        </is>
      </c>
      <c r="B10" s="29" t="inlineStr">
        <is>
          <t>reference_208_valuation_proxy_percentile</t>
        </is>
      </c>
      <c r="C10" s="31" t="n">
        <v>76.44</v>
      </c>
      <c r="D10" s="29" t="inlineStr">
        <is>
          <t>높을수록 universe 내 가치평가 proxy 우호</t>
        </is>
      </c>
    </row>
    <row r="11" ht="24" customHeight="1">
      <c r="A11" s="24" t="inlineStr">
        <is>
          <t>208개 반도체 credit risk inverse percentile</t>
        </is>
      </c>
      <c r="B11" s="24" t="inlineStr">
        <is>
          <t>reference_208_credit_risk_inverse_percentile</t>
        </is>
      </c>
      <c r="C11" s="30" t="n">
        <v>100</v>
      </c>
      <c r="D11" s="24" t="inlineStr">
        <is>
          <t>낮은 신용위험 proxy일수록 우수</t>
        </is>
      </c>
    </row>
    <row r="12" ht="24" customHeight="1">
      <c r="A12" s="29" t="inlineStr">
        <is>
          <t>208개 universe confidence</t>
        </is>
      </c>
      <c r="B12" s="29" t="inlineStr">
        <is>
          <t>reference_208_confidence_score</t>
        </is>
      </c>
      <c r="C12" s="31" t="n">
        <v>81.18468640073793</v>
      </c>
      <c r="D12" s="29" t="inlineStr">
        <is>
          <t>높을수록 보조판단 신뢰도 우수</t>
        </is>
      </c>
    </row>
    <row r="13" ht="24" customHeight="1"/>
    <row r="14" ht="24" customHeight="1"/>
    <row r="15" ht="24" customHeight="1">
      <c r="A15" s="22" t="inlineStr">
        <is>
          <t>ML 보조판단 요약</t>
        </is>
      </c>
    </row>
    <row r="16" ht="24" customHeight="1">
      <c r="A16" s="25" t="inlineStr">
        <is>
          <t>항목</t>
        </is>
      </c>
      <c r="B16" s="25" t="inlineStr">
        <is>
          <t>값</t>
        </is>
      </c>
    </row>
    <row r="17" ht="24" customHeight="1">
      <c r="A17" s="24" t="inlineStr">
        <is>
          <t>방법</t>
        </is>
      </c>
      <c r="B17" s="24" t="inlineStr">
        <is>
          <t>실시간 DART·주가 기반 PSR/Peer + 208개 반도체 reference universe 보조판단</t>
        </is>
      </c>
    </row>
    <row r="18" ht="24" customHeight="1">
      <c r="A18" s="29" t="inlineStr">
        <is>
          <t>종합점수</t>
        </is>
      </c>
      <c r="B18" s="31" t="n">
        <v>83.34999999999999</v>
      </c>
    </row>
    <row r="19" ht="24" customHeight="1">
      <c r="A19" s="24" t="inlineStr">
        <is>
          <t>라벨</t>
        </is>
      </c>
      <c r="B19" s="24" t="inlineStr">
        <is>
          <t>가치평가 보조근거 우호</t>
        </is>
      </c>
    </row>
    <row r="20" ht="24" customHeight="1">
      <c r="A20" s="29" t="inlineStr">
        <is>
          <t>클러스터</t>
        </is>
      </c>
      <c r="B20" s="29" t="inlineStr">
        <is>
          <t>후공정/패키징/테스트</t>
        </is>
      </c>
    </row>
    <row r="21" ht="24" customHeight="1">
      <c r="A21" s="24" t="inlineStr">
        <is>
          <t>주의</t>
        </is>
      </c>
      <c r="B21" s="24" t="inlineStr">
        <is>
          <t>미래수익률 예측모델이 아니라 대시보드/Chair용 설명가능 보조 가치평가 점수입니다.</t>
        </is>
      </c>
    </row>
  </sheetData>
  <autoFilter ref="A16:B21"/>
  <mergeCells count="2">
    <mergeCell ref="A1:F1"/>
    <mergeCell ref="A15:F15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WACC × 영구성장률 민감도</t>
        </is>
      </c>
    </row>
    <row r="2" ht="24" customHeight="1">
      <c r="A2" s="25" t="inlineStr">
        <is>
          <t>WACC</t>
        </is>
      </c>
      <c r="B2" s="25" t="inlineStr">
        <is>
          <t>영구성장률</t>
        </is>
      </c>
      <c r="C2" s="25" t="inlineStr">
        <is>
          <t>기업가치(EV)</t>
        </is>
      </c>
    </row>
    <row r="3" ht="24" customHeight="1">
      <c r="A3" s="35" t="n">
        <v>0.1271740039132658</v>
      </c>
      <c r="B3" s="35" t="n">
        <v>0.004999999999999999</v>
      </c>
      <c r="C3" s="30" t="n">
        <v>869334089435.4263</v>
      </c>
    </row>
    <row r="4" ht="24" customHeight="1">
      <c r="A4" s="36" t="n">
        <v>0.1271740039132658</v>
      </c>
      <c r="B4" s="36" t="n">
        <v>0.009999999999999998</v>
      </c>
      <c r="C4" s="31" t="n">
        <v>893644602322.8306</v>
      </c>
    </row>
    <row r="5" ht="24" customHeight="1">
      <c r="A5" s="35" t="n">
        <v>0.1271740039132658</v>
      </c>
      <c r="B5" s="35" t="n">
        <v>0.015</v>
      </c>
      <c r="C5" s="30" t="n">
        <v>920122329719.775</v>
      </c>
    </row>
    <row r="6" ht="24" customHeight="1">
      <c r="A6" s="36" t="n">
        <v>0.1271740039132658</v>
      </c>
      <c r="B6" s="36" t="n">
        <v>0.02</v>
      </c>
      <c r="C6" s="31" t="n">
        <v>949070593480.9646</v>
      </c>
    </row>
    <row r="7" ht="24" customHeight="1">
      <c r="A7" s="35" t="n">
        <v>0.1271740039132658</v>
      </c>
      <c r="B7" s="35" t="n">
        <v>0.025</v>
      </c>
      <c r="C7" s="30" t="n">
        <v>980852089047.943</v>
      </c>
    </row>
    <row r="8" ht="24" customHeight="1">
      <c r="A8" s="36" t="n">
        <v>0.1371740039132658</v>
      </c>
      <c r="B8" s="36" t="n">
        <v>0.004999999999999999</v>
      </c>
      <c r="C8" s="31" t="n">
        <v>810618159726.262</v>
      </c>
    </row>
    <row r="9" ht="24" customHeight="1">
      <c r="A9" s="35" t="n">
        <v>0.1371740039132658</v>
      </c>
      <c r="B9" s="35" t="n">
        <v>0.009999999999999998</v>
      </c>
      <c r="C9" s="30" t="n">
        <v>830603703617.4976</v>
      </c>
    </row>
    <row r="10" ht="24" customHeight="1">
      <c r="A10" s="36" t="n">
        <v>0.1371740039132658</v>
      </c>
      <c r="B10" s="36" t="n">
        <v>0.015</v>
      </c>
      <c r="C10" s="31" t="n">
        <v>852225073727.9854</v>
      </c>
    </row>
    <row r="11" ht="24" customHeight="1">
      <c r="A11" s="35" t="n">
        <v>0.1371740039132658</v>
      </c>
      <c r="B11" s="35" t="n">
        <v>0.02</v>
      </c>
      <c r="C11" s="30" t="n">
        <v>875691679930.8145</v>
      </c>
    </row>
    <row r="12" ht="24" customHeight="1">
      <c r="A12" s="36" t="n">
        <v>0.1371740039132658</v>
      </c>
      <c r="B12" s="36" t="n">
        <v>0.025</v>
      </c>
      <c r="C12" s="31" t="n">
        <v>901250268712.8667</v>
      </c>
    </row>
    <row r="13" ht="24" customHeight="1">
      <c r="A13" s="35" t="n">
        <v>0.1421740039132658</v>
      </c>
      <c r="B13" s="35" t="n">
        <v>0.004999999999999999</v>
      </c>
      <c r="C13" s="30" t="n">
        <v>784851039153.7338</v>
      </c>
    </row>
    <row r="14" ht="24" customHeight="1">
      <c r="A14" s="36" t="n">
        <v>0.1421740039132658</v>
      </c>
      <c r="B14" s="36" t="n">
        <v>0.009999999999999998</v>
      </c>
      <c r="C14" s="31" t="n">
        <v>803057314564.5822</v>
      </c>
    </row>
    <row r="15" ht="24" customHeight="1">
      <c r="A15" s="35" t="n">
        <v>0.1421740039132658</v>
      </c>
      <c r="B15" s="35" t="n">
        <v>0.015</v>
      </c>
      <c r="C15" s="30" t="n">
        <v>822695193514.7249</v>
      </c>
    </row>
    <row r="16" ht="24" customHeight="1">
      <c r="A16" s="36" t="n">
        <v>0.1421740039132658</v>
      </c>
      <c r="B16" s="36" t="n">
        <v>0.02</v>
      </c>
      <c r="C16" s="31" t="n">
        <v>843940442144.2706</v>
      </c>
    </row>
    <row r="17" ht="24" customHeight="1">
      <c r="A17" s="35" t="n">
        <v>0.1421740039132658</v>
      </c>
      <c r="B17" s="35" t="n">
        <v>0.025</v>
      </c>
      <c r="C17" s="30" t="n">
        <v>866998827469.6716</v>
      </c>
    </row>
    <row r="18" ht="24" customHeight="1">
      <c r="A18" s="36" t="n">
        <v>0.1471740039132658</v>
      </c>
      <c r="B18" s="36" t="n">
        <v>0.004999999999999999</v>
      </c>
      <c r="C18" s="31" t="n">
        <v>761131202689.7805</v>
      </c>
    </row>
    <row r="19" ht="24" customHeight="1">
      <c r="A19" s="35" t="n">
        <v>0.1471740039132658</v>
      </c>
      <c r="B19" s="35" t="n">
        <v>0.009999999999999998</v>
      </c>
      <c r="C19" s="30" t="n">
        <v>777763753459.2921</v>
      </c>
    </row>
    <row r="20" ht="24" customHeight="1">
      <c r="A20" s="36" t="n">
        <v>0.1471740039132658</v>
      </c>
      <c r="B20" s="36" t="n">
        <v>0.015</v>
      </c>
      <c r="C20" s="31" t="n">
        <v>795654687138.988</v>
      </c>
    </row>
    <row r="21" ht="24" customHeight="1">
      <c r="A21" s="35" t="n">
        <v>0.1471740039132658</v>
      </c>
      <c r="B21" s="35" t="n">
        <v>0.02</v>
      </c>
      <c r="C21" s="30" t="n">
        <v>814952428273.7595</v>
      </c>
    </row>
    <row r="22" ht="24" customHeight="1">
      <c r="A22" s="36" t="n">
        <v>0.1471740039132658</v>
      </c>
      <c r="B22" s="36" t="n">
        <v>0.025</v>
      </c>
      <c r="C22" s="31" t="n">
        <v>835829698646.8845</v>
      </c>
    </row>
    <row r="23" ht="24" customHeight="1">
      <c r="A23" s="35" t="n">
        <v>0.1571740039132658</v>
      </c>
      <c r="B23" s="35" t="n">
        <v>0.004999999999999999</v>
      </c>
      <c r="C23" s="30" t="n">
        <v>718999955929.3201</v>
      </c>
    </row>
    <row r="24" ht="24" customHeight="1">
      <c r="A24" s="36" t="n">
        <v>0.1571740039132658</v>
      </c>
      <c r="B24" s="36" t="n">
        <v>0.009999999999999998</v>
      </c>
      <c r="C24" s="31" t="n">
        <v>732989443528.4331</v>
      </c>
    </row>
    <row r="25" ht="24" customHeight="1">
      <c r="A25" s="35" t="n">
        <v>0.1571740039132658</v>
      </c>
      <c r="B25" s="35" t="n">
        <v>0.015</v>
      </c>
      <c r="C25" s="30" t="n">
        <v>747962900574.4249</v>
      </c>
    </row>
    <row r="26" ht="24" customHeight="1">
      <c r="A26" s="36" t="n">
        <v>0.1571740039132658</v>
      </c>
      <c r="B26" s="36" t="n">
        <v>0.02</v>
      </c>
      <c r="C26" s="31" t="n">
        <v>764027924288.9425</v>
      </c>
    </row>
    <row r="27" ht="24" customHeight="1">
      <c r="A27" s="35" t="n">
        <v>0.1571740039132658</v>
      </c>
      <c r="B27" s="35" t="n">
        <v>0.025</v>
      </c>
      <c r="C27" s="30" t="n">
        <v>781308393040.9773</v>
      </c>
    </row>
  </sheetData>
  <autoFilter ref="A2:C27"/>
  <mergeCells count="1">
    <mergeCell ref="A1:F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검증 체크</t>
        </is>
      </c>
    </row>
    <row r="2" ht="24" customHeight="1">
      <c r="A2" s="25" t="inlineStr">
        <is>
          <t>중요도</t>
        </is>
      </c>
      <c r="B2" s="25" t="inlineStr">
        <is>
          <t>코드</t>
        </is>
      </c>
      <c r="C2" s="25" t="inlineStr">
        <is>
          <t>메시지</t>
        </is>
      </c>
    </row>
    <row r="3" ht="24" customHeight="1">
      <c r="A3" s="24" t="inlineStr">
        <is>
          <t>INFO</t>
        </is>
      </c>
      <c r="B3" s="24" t="inlineStr">
        <is>
          <t>NO_MAJOR_WARNINGS</t>
        </is>
      </c>
      <c r="C3" s="24" t="inlineStr">
        <is>
          <t>주요 validation warning 없음</t>
        </is>
      </c>
    </row>
  </sheetData>
  <autoFilter ref="A2:C3"/>
  <mergeCells count="1">
    <mergeCell ref="A1:F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대시보드 JSON 내보내기</t>
        </is>
      </c>
    </row>
    <row r="2" ht="24" customHeight="1">
      <c r="A2" s="25" t="inlineStr">
        <is>
          <t>구분</t>
        </is>
      </c>
      <c r="B2" s="25" t="inlineStr">
        <is>
          <t>항목</t>
        </is>
      </c>
      <c r="C2" s="25" t="inlineStr">
        <is>
          <t>값</t>
        </is>
      </c>
      <c r="D2" s="25" t="inlineStr">
        <is>
          <t>설명</t>
        </is>
      </c>
    </row>
    <row r="3" ht="24" customHeight="1">
      <c r="A3" s="24" t="inlineStr">
        <is>
          <t>agent</t>
        </is>
      </c>
      <c r="B3" s="24" t="inlineStr">
        <is>
          <t>값</t>
        </is>
      </c>
      <c r="C3" s="24" t="inlineStr">
        <is>
          <t>valuation</t>
        </is>
      </c>
      <c r="D3" s="24" t="inlineStr">
        <is>
          <t>대시보드 기본값</t>
        </is>
      </c>
    </row>
    <row r="4" ht="24" customHeight="1">
      <c r="A4" s="29" t="inlineStr">
        <is>
          <t>기업코드</t>
        </is>
      </c>
      <c r="B4" s="29" t="inlineStr">
        <is>
          <t>값</t>
        </is>
      </c>
      <c r="C4" s="29" t="inlineStr">
        <is>
          <t>leeno</t>
        </is>
      </c>
      <c r="D4" s="29" t="inlineStr">
        <is>
          <t>대시보드 기본값</t>
        </is>
      </c>
    </row>
    <row r="5" ht="24" customHeight="1">
      <c r="A5" s="24" t="inlineStr">
        <is>
          <t>기업명</t>
        </is>
      </c>
      <c r="B5" s="24" t="inlineStr">
        <is>
          <t>값</t>
        </is>
      </c>
      <c r="C5" s="24" t="inlineStr">
        <is>
          <t>리노공업</t>
        </is>
      </c>
      <c r="D5" s="24" t="inlineStr">
        <is>
          <t>대시보드 기본값</t>
        </is>
      </c>
    </row>
    <row r="6" ht="24" customHeight="1">
      <c r="A6" s="29" t="inlineStr">
        <is>
          <t>상태</t>
        </is>
      </c>
      <c r="B6" s="29" t="inlineStr">
        <is>
          <t>값</t>
        </is>
      </c>
      <c r="C6" s="29" t="inlineStr">
        <is>
          <t>PASS</t>
        </is>
      </c>
      <c r="D6" s="29" t="inlineStr">
        <is>
          <t>대시보드 기본값</t>
        </is>
      </c>
    </row>
    <row r="7" ht="24" customHeight="1">
      <c r="A7" s="24" t="inlineStr">
        <is>
          <t>korean_label</t>
        </is>
      </c>
      <c r="B7" s="24" t="inlineStr">
        <is>
          <t>값</t>
        </is>
      </c>
      <c r="C7" s="24" t="inlineStr">
        <is>
          <t>독립 가치평가 에이전트</t>
        </is>
      </c>
      <c r="D7" s="24" t="inlineStr">
        <is>
          <t>대시보드 기본값</t>
        </is>
      </c>
    </row>
    <row r="8" ht="24" customHeight="1">
      <c r="A8" s="29" t="inlineStr">
        <is>
          <t>요약 카드</t>
        </is>
      </c>
      <c r="B8" s="29" t="inlineStr">
        <is>
          <t>상위 블록</t>
        </is>
      </c>
      <c r="C8" s="29" t="inlineStr">
        <is>
          <t>31개 항목</t>
        </is>
      </c>
      <c r="D8" s="29" t="inlineStr">
        <is>
          <t>대시보드에서 객체로 사용</t>
        </is>
      </c>
    </row>
    <row r="9" ht="24" customHeight="1">
      <c r="A9" s="24" t="inlineStr">
        <is>
          <t>요약 카드</t>
        </is>
      </c>
      <c r="B9" s="24" t="inlineStr">
        <is>
          <t>WACC</t>
        </is>
      </c>
      <c r="C9" s="24" t="inlineStr">
        <is>
          <t>WACC</t>
        </is>
      </c>
      <c r="D9" s="24" t="inlineStr">
        <is>
          <t>JSON 상세는 dashboard_payload 파일 참조</t>
        </is>
      </c>
    </row>
    <row r="10" ht="24" customHeight="1">
      <c r="A10" s="29" t="inlineStr">
        <is>
          <t>요약 카드</t>
        </is>
      </c>
      <c r="B10" s="29" t="inlineStr">
        <is>
          <t>기업가치(EV)</t>
        </is>
      </c>
      <c r="C10" s="29" t="inlineStr">
        <is>
          <t>DCF 기업가치</t>
        </is>
      </c>
      <c r="D10" s="29" t="inlineStr">
        <is>
          <t>JSON 상세는 dashboard_payload 파일 참조</t>
        </is>
      </c>
    </row>
    <row r="11" ht="24" customHeight="1">
      <c r="A11" s="24" t="inlineStr">
        <is>
          <t>요약 카드</t>
        </is>
      </c>
      <c r="B11" s="24" t="inlineStr">
        <is>
          <t>equity_value</t>
        </is>
      </c>
      <c r="C11" s="24" t="inlineStr">
        <is>
          <t>DCF 지분가치</t>
        </is>
      </c>
      <c r="D11" s="24" t="inlineStr">
        <is>
          <t>JSON 상세는 dashboard_payload 파일 참조</t>
        </is>
      </c>
    </row>
    <row r="12" ht="24" customHeight="1">
      <c r="A12" s="29" t="inlineStr">
        <is>
          <t>요약 카드</t>
        </is>
      </c>
      <c r="B12" s="29" t="inlineStr">
        <is>
          <t>latest_close</t>
        </is>
      </c>
      <c r="C12" s="29" t="inlineStr">
        <is>
          <t>현재가</t>
        </is>
      </c>
      <c r="D12" s="29" t="inlineStr">
        <is>
          <t>JSON 상세는 dashboard_payload 파일 참조</t>
        </is>
      </c>
    </row>
    <row r="13" ht="24" customHeight="1">
      <c r="A13" s="24" t="inlineStr">
        <is>
          <t>요약 카드</t>
        </is>
      </c>
      <c r="B13" s="24" t="inlineStr">
        <is>
          <t>implied_price</t>
        </is>
      </c>
      <c r="C13" s="24" t="inlineStr">
        <is>
          <t>DCF 내재주가</t>
        </is>
      </c>
      <c r="D13" s="24" t="inlineStr">
        <is>
          <t>JSON 상세는 dashboard_payload 파일 참조</t>
        </is>
      </c>
    </row>
    <row r="14" ht="24" customHeight="1">
      <c r="A14" s="29" t="inlineStr">
        <is>
          <t>요약 카드</t>
        </is>
      </c>
      <c r="B14" s="29" t="inlineStr">
        <is>
          <t>현재가 대비</t>
        </is>
      </c>
      <c r="C14" s="29" t="inlineStr">
        <is>
          <t>현재가 대비 괴리율</t>
        </is>
      </c>
      <c r="D14" s="29" t="inlineStr">
        <is>
          <t>JSON 상세는 dashboard_payload 파일 참조</t>
        </is>
      </c>
    </row>
    <row r="15" ht="24" customHeight="1">
      <c r="A15" s="24" t="inlineStr">
        <is>
          <t>요약 카드</t>
        </is>
      </c>
      <c r="B15" s="24" t="inlineStr">
        <is>
          <t>분석대상 P/S</t>
        </is>
      </c>
      <c r="C15" s="24" t="inlineStr">
        <is>
          <t>P/S</t>
        </is>
      </c>
      <c r="D15" s="24" t="inlineStr">
        <is>
          <t>JSON 상세는 dashboard_payload 파일 참조</t>
        </is>
      </c>
    </row>
    <row r="16" ht="24" customHeight="1">
      <c r="A16" s="29" t="inlineStr">
        <is>
          <t>요약 카드</t>
        </is>
      </c>
      <c r="B16" s="29" t="inlineStr">
        <is>
          <t>Peer P/S 중앙값</t>
        </is>
      </c>
      <c r="C16" s="29" t="inlineStr">
        <is>
          <t>비교기업 P/S 중앙값</t>
        </is>
      </c>
      <c r="D16" s="29" t="inlineStr">
        <is>
          <t>JSON 상세는 dashboard_payload 파일 참조</t>
        </is>
      </c>
    </row>
    <row r="17" ht="24" customHeight="1">
      <c r="A17" s="24" t="inlineStr">
        <is>
          <t>요약 카드</t>
        </is>
      </c>
      <c r="B17" s="24" t="inlineStr">
        <is>
          <t>psr_gap</t>
        </is>
      </c>
      <c r="C17" s="24" t="inlineStr">
        <is>
          <t>P/S 중앙값 대비</t>
        </is>
      </c>
      <c r="D17" s="24" t="inlineStr">
        <is>
          <t>JSON 상세는 dashboard_payload 파일 참조</t>
        </is>
      </c>
    </row>
    <row r="18" ht="24" customHeight="1">
      <c r="A18" s="29" t="inlineStr">
        <is>
          <t>요약 카드</t>
        </is>
      </c>
      <c r="B18" s="29" t="inlineStr">
        <is>
          <t>reference_rows</t>
        </is>
      </c>
      <c r="C18" s="29" t="inlineStr">
        <is>
          <t>208개 반도체 비교군</t>
        </is>
      </c>
      <c r="D18" s="29" t="inlineStr">
        <is>
          <t>JSON 상세는 dashboard_payload 파일 참조</t>
        </is>
      </c>
    </row>
    <row r="19" ht="24" customHeight="1">
      <c r="A19" s="24" t="inlineStr">
        <is>
          <t>요약 카드</t>
        </is>
      </c>
      <c r="B19" s="24" t="inlineStr">
        <is>
          <t>reference_peer_group</t>
        </is>
      </c>
      <c r="C19" s="24" t="inlineStr">
        <is>
          <t>기준 비교군 그룹</t>
        </is>
      </c>
      <c r="D19" s="24" t="inlineStr">
        <is>
          <t>JSON 상세는 dashboard_payload 파일 참조</t>
        </is>
      </c>
    </row>
    <row r="20" ht="24" customHeight="1">
      <c r="A20" s="29" t="inlineStr">
        <is>
          <t>요약 카드</t>
        </is>
      </c>
      <c r="B20" s="29" t="inlineStr">
        <is>
          <t>1년 수익률</t>
        </is>
      </c>
      <c r="C20" s="29" t="inlineStr">
        <is>
          <t>1년 수익률</t>
        </is>
      </c>
      <c r="D20" s="29" t="inlineStr">
        <is>
          <t>JSON 상세는 dashboard_payload 파일 참조</t>
        </is>
      </c>
    </row>
    <row r="21" ht="24" customHeight="1">
      <c r="A21" s="24" t="inlineStr">
        <is>
          <t>요약 카드</t>
        </is>
      </c>
      <c r="B21" s="24" t="inlineStr">
        <is>
          <t>MDD</t>
        </is>
      </c>
      <c r="C21" s="24" t="inlineStr">
        <is>
          <t>MDD</t>
        </is>
      </c>
      <c r="D21" s="24" t="inlineStr">
        <is>
          <t>JSON 상세는 dashboard_payload 파일 참조</t>
        </is>
      </c>
    </row>
    <row r="22" ht="24" customHeight="1">
      <c r="A22" s="29" t="inlineStr">
        <is>
          <t>요약 카드</t>
        </is>
      </c>
      <c r="B22" s="29" t="inlineStr">
        <is>
          <t>volatility</t>
        </is>
      </c>
      <c r="C22" s="29" t="inlineStr">
        <is>
          <t>연환산 변동성</t>
        </is>
      </c>
      <c r="D22" s="29" t="inlineStr">
        <is>
          <t>JSON 상세는 dashboard_payload 파일 참조</t>
        </is>
      </c>
    </row>
    <row r="23" ht="24" customHeight="1">
      <c r="A23" s="24" t="inlineStr">
        <is>
          <t>요약 카드</t>
        </is>
      </c>
      <c r="B23" s="24" t="inlineStr">
        <is>
          <t>시가총액</t>
        </is>
      </c>
      <c r="C23" s="24" t="inlineStr">
        <is>
          <t>시가총액</t>
        </is>
      </c>
      <c r="D23" s="24" t="inlineStr">
        <is>
          <t>JSON 상세는 dashboard_payload 파일 참조</t>
        </is>
      </c>
    </row>
    <row r="24" ht="24" customHeight="1">
      <c r="A24" s="29" t="inlineStr">
        <is>
          <t>요약 카드</t>
        </is>
      </c>
      <c r="B24" s="29" t="inlineStr">
        <is>
          <t>발행주식 수</t>
        </is>
      </c>
      <c r="C24" s="29" t="inlineStr">
        <is>
          <t>발행주식 수</t>
        </is>
      </c>
      <c r="D24" s="29" t="inlineStr">
        <is>
          <t>JSON 상세는 dashboard_payload 파일 참조</t>
        </is>
      </c>
    </row>
    <row r="25" ht="24" customHeight="1">
      <c r="A25" s="24" t="inlineStr">
        <is>
          <t>요약 카드</t>
        </is>
      </c>
      <c r="B25" s="24" t="inlineStr">
        <is>
          <t>20일 평균 거래대금</t>
        </is>
      </c>
      <c r="C25" s="24" t="inlineStr">
        <is>
          <t>20일 평균 거래대금</t>
        </is>
      </c>
      <c r="D25" s="24" t="inlineStr">
        <is>
          <t>JSON 상세는 dashboard_payload 파일 참조</t>
        </is>
      </c>
    </row>
    <row r="26" ht="24" customHeight="1">
      <c r="A26" s="29" t="inlineStr">
        <is>
          <t>요약 카드</t>
        </is>
      </c>
      <c r="B26" s="29" t="inlineStr">
        <is>
          <t>최근 거래회전율</t>
        </is>
      </c>
      <c r="C26" s="29" t="inlineStr">
        <is>
          <t>최근 거래회전율</t>
        </is>
      </c>
      <c r="D26" s="29" t="inlineStr">
        <is>
          <t>JSON 상세는 dashboard_payload 파일 참조</t>
        </is>
      </c>
    </row>
    <row r="27" ht="24" customHeight="1">
      <c r="A27" s="24" t="inlineStr">
        <is>
          <t>latest_financials</t>
        </is>
      </c>
      <c r="B27" s="24" t="inlineStr">
        <is>
          <t>상위 블록</t>
        </is>
      </c>
      <c r="C27" s="24" t="inlineStr">
        <is>
          <t>37개 항목</t>
        </is>
      </c>
      <c r="D27" s="24" t="inlineStr">
        <is>
          <t>대시보드에서 객체로 사용</t>
        </is>
      </c>
    </row>
    <row r="28" ht="24" customHeight="1">
      <c r="A28" s="29" t="inlineStr">
        <is>
          <t>latest_financials</t>
        </is>
      </c>
      <c r="B28" s="29" t="inlineStr">
        <is>
          <t>연도</t>
        </is>
      </c>
      <c r="C28" s="31" t="n">
        <v>2025</v>
      </c>
      <c r="D28" s="29" t="inlineStr">
        <is>
          <t>JSON 상세는 dashboard_payload 파일 참조</t>
        </is>
      </c>
    </row>
    <row r="29" ht="24" customHeight="1">
      <c r="A29" s="24" t="inlineStr">
        <is>
          <t>latest_financials</t>
        </is>
      </c>
      <c r="B29" s="24" t="inlineStr">
        <is>
          <t>매출액</t>
        </is>
      </c>
      <c r="C29" s="30" t="n">
        <v>372534084608</v>
      </c>
      <c r="D29" s="24" t="inlineStr">
        <is>
          <t>JSON 상세는 dashboard_payload 파일 참조</t>
        </is>
      </c>
    </row>
    <row r="30" ht="24" customHeight="1">
      <c r="A30" s="29" t="inlineStr">
        <is>
          <t>latest_financials</t>
        </is>
      </c>
      <c r="B30" s="29" t="inlineStr">
        <is>
          <t>영업이익</t>
        </is>
      </c>
      <c r="C30" s="31" t="n">
        <v>176997188289</v>
      </c>
      <c r="D30" s="29" t="inlineStr">
        <is>
          <t>JSON 상세는 dashboard_payload 파일 참조</t>
        </is>
      </c>
    </row>
    <row r="31" ht="24" customHeight="1">
      <c r="A31" s="24" t="inlineStr">
        <is>
          <t>latest_financials</t>
        </is>
      </c>
      <c r="B31" s="24" t="inlineStr">
        <is>
          <t>순이익</t>
        </is>
      </c>
      <c r="C31" s="30" t="n">
        <v>151960670406</v>
      </c>
      <c r="D31" s="24" t="inlineStr">
        <is>
          <t>JSON 상세는 dashboard_payload 파일 참조</t>
        </is>
      </c>
    </row>
    <row r="32" ht="24" customHeight="1">
      <c r="A32" s="29" t="inlineStr">
        <is>
          <t>latest_financials</t>
        </is>
      </c>
      <c r="B32" s="29" t="inlineStr">
        <is>
          <t>자산총계</t>
        </is>
      </c>
      <c r="C32" s="31" t="n">
        <v>791928165325</v>
      </c>
      <c r="D32" s="29" t="inlineStr">
        <is>
          <t>JSON 상세는 dashboard_payload 파일 참조</t>
        </is>
      </c>
    </row>
    <row r="33" ht="24" customHeight="1">
      <c r="A33" s="24" t="inlineStr">
        <is>
          <t>latest_financials</t>
        </is>
      </c>
      <c r="B33" s="24" t="inlineStr">
        <is>
          <t>부채총계</t>
        </is>
      </c>
      <c r="C33" s="30" t="n">
        <v>60709212955</v>
      </c>
      <c r="D33" s="24" t="inlineStr">
        <is>
          <t>JSON 상세는 dashboard_payload 파일 참조</t>
        </is>
      </c>
    </row>
    <row r="34" ht="24" customHeight="1">
      <c r="A34" s="29" t="inlineStr">
        <is>
          <t>latest_financials</t>
        </is>
      </c>
      <c r="B34" s="29" t="inlineStr">
        <is>
          <t>자본총계</t>
        </is>
      </c>
      <c r="C34" s="31" t="n">
        <v>731218952370</v>
      </c>
      <c r="D34" s="29" t="inlineStr">
        <is>
          <t>JSON 상세는 dashboard_payload 파일 참조</t>
        </is>
      </c>
    </row>
    <row r="35" ht="24" customHeight="1">
      <c r="A35" s="24" t="inlineStr">
        <is>
          <t>latest_financials</t>
        </is>
      </c>
      <c r="B35" s="24" t="inlineStr">
        <is>
          <t>현금성자산</t>
        </is>
      </c>
      <c r="C35" s="30" t="n">
        <v>85202812409</v>
      </c>
      <c r="D35" s="24" t="inlineStr">
        <is>
          <t>JSON 상세는 dashboard_payload 파일 참조</t>
        </is>
      </c>
    </row>
    <row r="36" ht="24" customHeight="1">
      <c r="A36" s="29" t="inlineStr">
        <is>
          <t>latest_financials</t>
        </is>
      </c>
      <c r="B36" s="29" t="inlineStr">
        <is>
          <t>영업현금흐름</t>
        </is>
      </c>
      <c r="C36" s="31" t="n">
        <v>179468846374</v>
      </c>
      <c r="D36" s="29" t="inlineStr">
        <is>
          <t>JSON 상세는 dashboard_payload 파일 참조</t>
        </is>
      </c>
    </row>
    <row r="37" ht="24" customHeight="1">
      <c r="A37" s="24" t="inlineStr">
        <is>
          <t>latest_financials</t>
        </is>
      </c>
      <c r="B37" s="24" t="inlineStr">
        <is>
          <t>CAPEX</t>
        </is>
      </c>
      <c r="C37" s="30" t="n">
        <v>282097350</v>
      </c>
      <c r="D37" s="24" t="inlineStr">
        <is>
          <t>JSON 상세는 dashboard_payload 파일 참조</t>
        </is>
      </c>
    </row>
    <row r="38" ht="24" customHeight="1">
      <c r="A38" s="29" t="inlineStr">
        <is>
          <t>latest_financials</t>
        </is>
      </c>
      <c r="B38" s="29" t="inlineStr">
        <is>
          <t>FCF</t>
        </is>
      </c>
      <c r="C38" s="31" t="n">
        <v>179186749024</v>
      </c>
      <c r="D38" s="29" t="inlineStr">
        <is>
          <t>JSON 상세는 dashboard_payload 파일 참조</t>
        </is>
      </c>
    </row>
    <row r="39" ht="24" customHeight="1">
      <c r="A39" s="24" t="inlineStr">
        <is>
          <t>latest_financials</t>
        </is>
      </c>
      <c r="B39" s="24" t="inlineStr">
        <is>
          <t>투자현금흐름</t>
        </is>
      </c>
      <c r="C39" s="30" t="n">
        <v>-103850828522</v>
      </c>
      <c r="D39" s="24" t="inlineStr">
        <is>
          <t>JSON 상세는 dashboard_payload 파일 참조</t>
        </is>
      </c>
    </row>
    <row r="40" ht="24" customHeight="1">
      <c r="A40" s="29" t="inlineStr">
        <is>
          <t>latest_financials</t>
        </is>
      </c>
      <c r="B40" s="29" t="inlineStr">
        <is>
          <t>원천계정수</t>
        </is>
      </c>
      <c r="C40" s="31" t="n">
        <v>93</v>
      </c>
      <c r="D40" s="29" t="inlineStr">
        <is>
          <t>JSON 상세는 dashboard_payload 파일 참조</t>
        </is>
      </c>
    </row>
    <row r="41" ht="24" customHeight="1">
      <c r="A41" s="24" t="inlineStr">
        <is>
          <t>latest_financials</t>
        </is>
      </c>
      <c r="B41" s="24" t="inlineStr">
        <is>
          <t>매출 원천계정</t>
        </is>
      </c>
      <c r="C41" s="24" t="inlineStr">
        <is>
          <t>매출액</t>
        </is>
      </c>
      <c r="D41" s="24" t="inlineStr">
        <is>
          <t>JSON 상세는 dashboard_payload 파일 참조</t>
        </is>
      </c>
    </row>
    <row r="42" ht="24" customHeight="1">
      <c r="A42" s="29" t="inlineStr">
        <is>
          <t>latest_financials</t>
        </is>
      </c>
      <c r="B42" s="29" t="inlineStr">
        <is>
          <t>영업이익 원천계정</t>
        </is>
      </c>
      <c r="C42" s="29" t="inlineStr">
        <is>
          <t>영업이익</t>
        </is>
      </c>
      <c r="D42" s="29" t="inlineStr">
        <is>
          <t>JSON 상세는 dashboard_payload 파일 참조</t>
        </is>
      </c>
    </row>
    <row r="43" ht="24" customHeight="1">
      <c r="A43" s="24" t="inlineStr">
        <is>
          <t>latest_financials</t>
        </is>
      </c>
      <c r="B43" s="24" t="inlineStr">
        <is>
          <t>순이익 원천계정</t>
        </is>
      </c>
      <c r="C43" s="24" t="inlineStr">
        <is>
          <t>당기순이익</t>
        </is>
      </c>
      <c r="D43" s="24" t="inlineStr">
        <is>
          <t>JSON 상세는 dashboard_payload 파일 참조</t>
        </is>
      </c>
    </row>
    <row r="44" ht="24" customHeight="1">
      <c r="A44" s="29" t="inlineStr">
        <is>
          <t>latest_financials</t>
        </is>
      </c>
      <c r="B44" s="29" t="inlineStr">
        <is>
          <t>자산 원천계정</t>
        </is>
      </c>
      <c r="C44" s="29" t="inlineStr">
        <is>
          <t>자산총계</t>
        </is>
      </c>
      <c r="D44" s="29" t="inlineStr">
        <is>
          <t>JSON 상세는 dashboard_payload 파일 참조</t>
        </is>
      </c>
    </row>
    <row r="45" ht="24" customHeight="1">
      <c r="A45" s="24" t="inlineStr">
        <is>
          <t>latest_financials</t>
        </is>
      </c>
      <c r="B45" s="24" t="inlineStr">
        <is>
          <t>부채 원천계정</t>
        </is>
      </c>
      <c r="C45" s="24" t="inlineStr">
        <is>
          <t>부채총계</t>
        </is>
      </c>
      <c r="D45" s="24" t="inlineStr">
        <is>
          <t>JSON 상세는 dashboard_payload 파일 참조</t>
        </is>
      </c>
    </row>
    <row r="46" ht="24" customHeight="1">
      <c r="A46" s="29" t="inlineStr">
        <is>
          <t>주가 요약</t>
        </is>
      </c>
      <c r="B46" s="29" t="inlineStr">
        <is>
          <t>상위 블록</t>
        </is>
      </c>
      <c r="C46" s="29" t="inlineStr">
        <is>
          <t>19개 항목</t>
        </is>
      </c>
      <c r="D46" s="29" t="inlineStr">
        <is>
          <t>대시보드에서 객체로 사용</t>
        </is>
      </c>
    </row>
    <row r="47" ht="24" customHeight="1">
      <c r="A47" s="24" t="inlineStr">
        <is>
          <t>주가 요약</t>
        </is>
      </c>
      <c r="B47" s="24" t="inlineStr">
        <is>
          <t>latest_close</t>
        </is>
      </c>
      <c r="C47" s="30" t="n">
        <v>96800</v>
      </c>
      <c r="D47" s="24" t="inlineStr">
        <is>
          <t>JSON 상세는 dashboard_payload 파일 참조</t>
        </is>
      </c>
    </row>
    <row r="48" ht="24" customHeight="1">
      <c r="A48" s="29" t="inlineStr">
        <is>
          <t>주가 요약</t>
        </is>
      </c>
      <c r="B48" s="29" t="inlineStr">
        <is>
          <t>first_close</t>
        </is>
      </c>
      <c r="C48" s="31" t="n">
        <v>33360</v>
      </c>
      <c r="D48" s="29" t="inlineStr">
        <is>
          <t>JSON 상세는 dashboard_payload 파일 참조</t>
        </is>
      </c>
    </row>
    <row r="49" ht="24" customHeight="1">
      <c r="A49" s="24" t="inlineStr">
        <is>
          <t>주가 요약</t>
        </is>
      </c>
      <c r="B49" s="24" t="inlineStr">
        <is>
          <t>return_total</t>
        </is>
      </c>
      <c r="C49" s="30" t="n">
        <v>1.901678657074341</v>
      </c>
      <c r="D49" s="24" t="inlineStr">
        <is>
          <t>JSON 상세는 dashboard_payload 파일 참조</t>
        </is>
      </c>
    </row>
    <row r="50" ht="24" customHeight="1">
      <c r="A50" s="29" t="inlineStr">
        <is>
          <t>주가 요약</t>
        </is>
      </c>
      <c r="B50" s="29" t="inlineStr">
        <is>
          <t>1년 수익률</t>
        </is>
      </c>
      <c r="C50" s="31" t="n">
        <v>1.482051282051282</v>
      </c>
      <c r="D50" s="29" t="inlineStr">
        <is>
          <t>JSON 상세는 dashboard_payload 파일 참조</t>
        </is>
      </c>
    </row>
    <row r="51" ht="24" customHeight="1">
      <c r="A51" s="24" t="inlineStr">
        <is>
          <t>주가 요약</t>
        </is>
      </c>
      <c r="B51" s="24" t="inlineStr">
        <is>
          <t>연환산 변동성</t>
        </is>
      </c>
      <c r="C51" s="30" t="n">
        <v>0.472478348893682</v>
      </c>
      <c r="D51" s="24" t="inlineStr">
        <is>
          <t>JSON 상세는 dashboard_payload 파일 참조</t>
        </is>
      </c>
    </row>
    <row r="52" ht="24" customHeight="1">
      <c r="A52" s="29" t="inlineStr">
        <is>
          <t>주가 요약</t>
        </is>
      </c>
      <c r="B52" s="29" t="inlineStr">
        <is>
          <t>MDD</t>
        </is>
      </c>
      <c r="C52" s="31" t="n">
        <v>-0.4959731543624161</v>
      </c>
      <c r="D52" s="29" t="inlineStr">
        <is>
          <t>JSON 상세는 dashboard_payload 파일 참조</t>
        </is>
      </c>
    </row>
    <row r="53" ht="24" customHeight="1">
      <c r="A53" s="24" t="inlineStr">
        <is>
          <t>주가 요약</t>
        </is>
      </c>
      <c r="B53" s="24" t="inlineStr">
        <is>
          <t>52주 고가</t>
        </is>
      </c>
      <c r="C53" s="30" t="n">
        <v>127000</v>
      </c>
      <c r="D53" s="24" t="inlineStr">
        <is>
          <t>JSON 상세는 dashboard_payload 파일 참조</t>
        </is>
      </c>
    </row>
    <row r="54" ht="24" customHeight="1">
      <c r="A54" s="29" t="inlineStr">
        <is>
          <t>주가 요약</t>
        </is>
      </c>
      <c r="B54" s="29" t="inlineStr">
        <is>
          <t>52주 저가</t>
        </is>
      </c>
      <c r="C54" s="31" t="n">
        <v>36450</v>
      </c>
      <c r="D54" s="29" t="inlineStr">
        <is>
          <t>JSON 상세는 dashboard_payload 파일 참조</t>
        </is>
      </c>
    </row>
    <row r="55" ht="24" customHeight="1">
      <c r="A55" s="24" t="inlineStr">
        <is>
          <t>주가 요약</t>
        </is>
      </c>
      <c r="B55" s="24" t="inlineStr">
        <is>
          <t>발행주식 수</t>
        </is>
      </c>
      <c r="C55" s="30" t="n">
        <v>76211850</v>
      </c>
      <c r="D55" s="24" t="inlineStr">
        <is>
          <t>JSON 상세는 dashboard_payload 파일 참조</t>
        </is>
      </c>
    </row>
    <row r="56" ht="24" customHeight="1">
      <c r="A56" s="29" t="inlineStr">
        <is>
          <t>주가 요약</t>
        </is>
      </c>
      <c r="B56" s="29" t="inlineStr">
        <is>
          <t>시가총액</t>
        </is>
      </c>
      <c r="C56" s="31" t="n">
        <v>7377307080000</v>
      </c>
      <c r="D56" s="29" t="inlineStr">
        <is>
          <t>JSON 상세는 dashboard_payload 파일 참조</t>
        </is>
      </c>
    </row>
    <row r="57" ht="24" customHeight="1">
      <c r="A57" s="24" t="inlineStr">
        <is>
          <t>주가 요약</t>
        </is>
      </c>
      <c r="B57" s="24" t="inlineStr">
        <is>
          <t>최근 거래량</t>
        </is>
      </c>
      <c r="C57" s="30" t="n">
        <v>477501</v>
      </c>
      <c r="D57" s="24" t="inlineStr">
        <is>
          <t>JSON 상세는 dashboard_payload 파일 참조</t>
        </is>
      </c>
    </row>
    <row r="58" ht="24" customHeight="1">
      <c r="A58" s="29" t="inlineStr">
        <is>
          <t>주가 요약</t>
        </is>
      </c>
      <c r="B58" s="29" t="inlineStr">
        <is>
          <t>최근 거래대금</t>
        </is>
      </c>
      <c r="C58" s="31" t="n">
        <v>46222096800</v>
      </c>
      <c r="D58" s="29" t="inlineStr">
        <is>
          <t>JSON 상세는 dashboard_payload 파일 참조</t>
        </is>
      </c>
    </row>
    <row r="59" ht="24" customHeight="1">
      <c r="A59" s="24" t="inlineStr">
        <is>
          <t>주가 요약</t>
        </is>
      </c>
      <c r="B59" s="24" t="inlineStr">
        <is>
          <t>20일 평균 거래대금</t>
        </is>
      </c>
      <c r="C59" s="30" t="n">
        <v>131703750560</v>
      </c>
      <c r="D59" s="24" t="inlineStr">
        <is>
          <t>JSON 상세는 dashboard_payload 파일 참조</t>
        </is>
      </c>
    </row>
    <row r="60" ht="24" customHeight="1">
      <c r="A60" s="29" t="inlineStr">
        <is>
          <t>주가 요약</t>
        </is>
      </c>
      <c r="B60" s="29" t="inlineStr">
        <is>
          <t>20일 평균 거래량</t>
        </is>
      </c>
      <c r="C60" s="31" t="n">
        <v>1163359.95</v>
      </c>
      <c r="D60" s="29" t="inlineStr">
        <is>
          <t>JSON 상세는 dashboard_payload 파일 참조</t>
        </is>
      </c>
    </row>
    <row r="61" ht="24" customHeight="1">
      <c r="A61" s="24" t="inlineStr">
        <is>
          <t>주가 요약</t>
        </is>
      </c>
      <c r="B61" s="24" t="inlineStr">
        <is>
          <t>최근 거래회전율</t>
        </is>
      </c>
      <c r="C61" s="30" t="n">
        <v>0.006265442972451135</v>
      </c>
      <c r="D61" s="24" t="inlineStr">
        <is>
          <t>JSON 상세는 dashboard_payload 파일 참조</t>
        </is>
      </c>
    </row>
    <row r="62" ht="24" customHeight="1">
      <c r="A62" s="29" t="inlineStr">
        <is>
          <t>주가 요약</t>
        </is>
      </c>
      <c r="B62" s="29" t="inlineStr">
        <is>
          <t>20일 평균 거래회전율</t>
        </is>
      </c>
      <c r="C62" s="31" t="n">
        <v>0.01526481708553197</v>
      </c>
      <c r="D62" s="29" t="inlineStr">
        <is>
          <t>JSON 상세는 dashboard_payload 파일 참조</t>
        </is>
      </c>
    </row>
    <row r="63" ht="24" customHeight="1">
      <c r="A63" s="24" t="inlineStr">
        <is>
          <t>주가 요약</t>
        </is>
      </c>
      <c r="B63" s="24" t="inlineStr">
        <is>
          <t>price_rows</t>
        </is>
      </c>
      <c r="C63" s="30" t="n">
        <v>1212</v>
      </c>
      <c r="D63" s="24" t="inlineStr">
        <is>
          <t>JSON 상세는 dashboard_payload 파일 참조</t>
        </is>
      </c>
    </row>
    <row r="64" ht="24" customHeight="1">
      <c r="A64" s="29" t="inlineStr">
        <is>
          <t>주가 요약</t>
        </is>
      </c>
      <c r="B64" s="29" t="inlineStr">
        <is>
          <t>price_start</t>
        </is>
      </c>
      <c r="C64" s="29" t="inlineStr">
        <is>
          <t>2021-05-20</t>
        </is>
      </c>
      <c r="D64" s="29" t="inlineStr">
        <is>
          <t>JSON 상세는 dashboard_payload 파일 참조</t>
        </is>
      </c>
    </row>
    <row r="65" ht="24" customHeight="1">
      <c r="A65" s="24" t="inlineStr">
        <is>
          <t>WACC</t>
        </is>
      </c>
      <c r="B65" s="24" t="inlineStr">
        <is>
          <t>상위 블록</t>
        </is>
      </c>
      <c r="C65" s="24" t="inlineStr">
        <is>
          <t>14개 항목</t>
        </is>
      </c>
      <c r="D65" s="24" t="inlineStr">
        <is>
          <t>대시보드에서 객체로 사용</t>
        </is>
      </c>
    </row>
    <row r="66" ht="24" customHeight="1">
      <c r="A66" s="29" t="inlineStr">
        <is>
          <t>WACC</t>
        </is>
      </c>
      <c r="B66" s="29" t="inlineStr">
        <is>
          <t>risk_free_rate</t>
        </is>
      </c>
      <c r="C66" s="31" t="n">
        <v>0.035</v>
      </c>
      <c r="D66" s="29" t="inlineStr">
        <is>
          <t>JSON 상세는 dashboard_payload 파일 참조</t>
        </is>
      </c>
    </row>
    <row r="67" ht="24" customHeight="1">
      <c r="A67" s="24" t="inlineStr">
        <is>
          <t>WACC</t>
        </is>
      </c>
      <c r="B67" s="24" t="inlineStr">
        <is>
          <t>market_risk_premium</t>
        </is>
      </c>
      <c r="C67" s="30" t="n">
        <v>0.06</v>
      </c>
      <c r="D67" s="24" t="inlineStr">
        <is>
          <t>JSON 상세는 dashboard_payload 파일 참조</t>
        </is>
      </c>
    </row>
    <row r="68" ht="24" customHeight="1">
      <c r="A68" s="29" t="inlineStr">
        <is>
          <t>WACC</t>
        </is>
      </c>
      <c r="B68" s="29" t="inlineStr">
        <is>
          <t>beta</t>
        </is>
      </c>
      <c r="C68" s="31" t="n">
        <v>1.8</v>
      </c>
      <c r="D68" s="29" t="inlineStr">
        <is>
          <t>JSON 상세는 dashboard_payload 파일 참조</t>
        </is>
      </c>
    </row>
    <row r="69" ht="24" customHeight="1">
      <c r="A69" s="24" t="inlineStr">
        <is>
          <t>WACC</t>
        </is>
      </c>
      <c r="B69" s="24" t="inlineStr">
        <is>
          <t>cost_of_equity</t>
        </is>
      </c>
      <c r="C69" s="30" t="n">
        <v>0.143</v>
      </c>
      <c r="D69" s="24" t="inlineStr">
        <is>
          <t>JSON 상세는 dashboard_payload 파일 참조</t>
        </is>
      </c>
    </row>
    <row r="70" ht="24" customHeight="1">
      <c r="A70" s="29" t="inlineStr">
        <is>
          <t>WACC</t>
        </is>
      </c>
      <c r="B70" s="29" t="inlineStr">
        <is>
          <t>pre_tax_cost_of_debt</t>
        </is>
      </c>
      <c r="C70" s="31" t="n">
        <v>0.055</v>
      </c>
      <c r="D70" s="29" t="inlineStr">
        <is>
          <t>JSON 상세는 dashboard_payload 파일 참조</t>
        </is>
      </c>
    </row>
    <row r="71" ht="24" customHeight="1">
      <c r="A71" s="24" t="inlineStr">
        <is>
          <t>WACC</t>
        </is>
      </c>
      <c r="B71" s="24" t="inlineStr">
        <is>
          <t>tax_rate</t>
        </is>
      </c>
      <c r="C71" s="30" t="n">
        <v>0.24</v>
      </c>
      <c r="D71" s="24" t="inlineStr">
        <is>
          <t>JSON 상세는 dashboard_payload 파일 참조</t>
        </is>
      </c>
    </row>
    <row r="72" ht="24" customHeight="1">
      <c r="A72" s="29" t="inlineStr">
        <is>
          <t>WACC</t>
        </is>
      </c>
      <c r="B72" s="29" t="inlineStr">
        <is>
          <t>after_tax_cost_of_debt</t>
        </is>
      </c>
      <c r="C72" s="31" t="n">
        <v>0.0418</v>
      </c>
      <c r="D72" s="29" t="inlineStr">
        <is>
          <t>JSON 상세는 dashboard_payload 파일 참조</t>
        </is>
      </c>
    </row>
    <row r="73" ht="24" customHeight="1">
      <c r="A73" s="24" t="inlineStr">
        <is>
          <t>WACC</t>
        </is>
      </c>
      <c r="B73" s="24" t="inlineStr">
        <is>
          <t>debt_weight</t>
        </is>
      </c>
      <c r="C73" s="30" t="n">
        <v>0.008162016667333924</v>
      </c>
      <c r="D73" s="24" t="inlineStr">
        <is>
          <t>JSON 상세는 dashboard_payload 파일 참조</t>
        </is>
      </c>
    </row>
    <row r="74" ht="24" customHeight="1">
      <c r="A74" s="29" t="inlineStr">
        <is>
          <t>WACC</t>
        </is>
      </c>
      <c r="B74" s="29" t="inlineStr">
        <is>
          <t>equity_weight</t>
        </is>
      </c>
      <c r="C74" s="31" t="n">
        <v>0.991837983332666</v>
      </c>
      <c r="D74" s="29" t="inlineStr">
        <is>
          <t>JSON 상세는 dashboard_payload 파일 참조</t>
        </is>
      </c>
    </row>
    <row r="75" ht="24" customHeight="1">
      <c r="A75" s="24" t="inlineStr">
        <is>
          <t>WACC</t>
        </is>
      </c>
      <c r="B75" s="24" t="inlineStr">
        <is>
          <t>book_equity</t>
        </is>
      </c>
      <c r="C75" s="30" t="n">
        <v>731218952370</v>
      </c>
      <c r="D75" s="24" t="inlineStr">
        <is>
          <t>JSON 상세는 dashboard_payload 파일 참조</t>
        </is>
      </c>
    </row>
    <row r="76" ht="24" customHeight="1">
      <c r="A76" s="29" t="inlineStr">
        <is>
          <t>WACC</t>
        </is>
      </c>
      <c r="B76" s="29" t="inlineStr">
        <is>
          <t>market_cap_used_for_equity_weight</t>
        </is>
      </c>
      <c r="C76" s="31" t="n">
        <v>7377307080000</v>
      </c>
      <c r="D76" s="29" t="inlineStr">
        <is>
          <t>JSON 상세는 dashboard_payload 파일 참조</t>
        </is>
      </c>
    </row>
    <row r="77" ht="24" customHeight="1">
      <c r="A77" s="24" t="inlineStr">
        <is>
          <t>WACC</t>
        </is>
      </c>
      <c r="B77" s="24" t="inlineStr">
        <is>
          <t>debt_proxy_liabilities</t>
        </is>
      </c>
      <c r="C77" s="30" t="n">
        <v>60709212955</v>
      </c>
      <c r="D77" s="24" t="inlineStr">
        <is>
          <t>JSON 상세는 dashboard_payload 파일 참조</t>
        </is>
      </c>
    </row>
    <row r="78" ht="24" customHeight="1">
      <c r="A78" s="29" t="inlineStr">
        <is>
          <t>WACC</t>
        </is>
      </c>
      <c r="B78" s="29" t="inlineStr">
        <is>
          <t>WACC</t>
        </is>
      </c>
      <c r="C78" s="31" t="n">
        <v>0.1421740039132658</v>
      </c>
      <c r="D78" s="29" t="inlineStr">
        <is>
          <t>JSON 상세는 dashboard_payload 파일 참조</t>
        </is>
      </c>
    </row>
    <row r="79" ht="24" customHeight="1">
      <c r="A79" s="24" t="inlineStr">
        <is>
          <t>WACC</t>
        </is>
      </c>
      <c r="B79" s="24" t="inlineStr">
        <is>
          <t>weighting_note</t>
        </is>
      </c>
      <c r="C79" s="24" t="inlineStr">
        <is>
          <t>Uses market cap when share-count intake is available; otherwise uses book equity.</t>
        </is>
      </c>
      <c r="D79" s="24" t="inlineStr">
        <is>
          <t>JSON 상세는 dashboard_payload 파일 참조</t>
        </is>
      </c>
    </row>
    <row r="80" ht="24" customHeight="1">
      <c r="A80" s="29" t="inlineStr">
        <is>
          <t>dcf</t>
        </is>
      </c>
      <c r="B80" s="29" t="inlineStr">
        <is>
          <t>상위 블록</t>
        </is>
      </c>
      <c r="C80" s="29" t="inlineStr">
        <is>
          <t>23개 항목</t>
        </is>
      </c>
      <c r="D80" s="29" t="inlineStr">
        <is>
          <t>대시보드에서 객체로 사용</t>
        </is>
      </c>
    </row>
    <row r="81" ht="24" customHeight="1">
      <c r="A81" s="24" t="inlineStr">
        <is>
          <t>dcf</t>
        </is>
      </c>
      <c r="B81" s="24" t="inlineStr">
        <is>
          <t>상태</t>
        </is>
      </c>
      <c r="C81" s="24" t="inlineStr">
        <is>
          <t>OK</t>
        </is>
      </c>
      <c r="D81" s="24" t="inlineStr">
        <is>
          <t>JSON 상세는 dashboard_payload 파일 참조</t>
        </is>
      </c>
    </row>
    <row r="82" ht="24" customHeight="1">
      <c r="A82" s="29" t="inlineStr">
        <is>
          <t>dcf</t>
        </is>
      </c>
      <c r="B82" s="29" t="inlineStr">
        <is>
          <t>base_year</t>
        </is>
      </c>
      <c r="C82" s="31" t="n">
        <v>2025</v>
      </c>
      <c r="D82" s="29" t="inlineStr">
        <is>
          <t>JSON 상세는 dashboard_payload 파일 참조</t>
        </is>
      </c>
    </row>
    <row r="83" ht="24" customHeight="1">
      <c r="A83" s="24" t="inlineStr">
        <is>
          <t>dcf</t>
        </is>
      </c>
      <c r="B83" s="24" t="inlineStr">
        <is>
          <t>base_revenue</t>
        </is>
      </c>
      <c r="C83" s="30" t="n">
        <v>372534084608</v>
      </c>
      <c r="D83" s="24" t="inlineStr">
        <is>
          <t>JSON 상세는 dashboard_payload 파일 참조</t>
        </is>
      </c>
    </row>
    <row r="84" ht="24" customHeight="1">
      <c r="A84" s="29" t="inlineStr">
        <is>
          <t>dcf</t>
        </is>
      </c>
      <c r="B84" s="29" t="inlineStr">
        <is>
          <t>historical_revenue_cagr</t>
        </is>
      </c>
      <c r="C84" s="31" t="n">
        <v>0.0738344270624911</v>
      </c>
      <c r="D84" s="29" t="inlineStr">
        <is>
          <t>JSON 상세는 dashboard_payload 파일 참조</t>
        </is>
      </c>
    </row>
    <row r="85" ht="24" customHeight="1">
      <c r="A85" s="24" t="inlineStr">
        <is>
          <t>dcf</t>
        </is>
      </c>
      <c r="B85" s="24" t="inlineStr">
        <is>
          <t>assumed_revenue_growth</t>
        </is>
      </c>
      <c r="C85" s="30" t="n">
        <v>0.07343274779167552</v>
      </c>
      <c r="D85" s="24" t="inlineStr">
        <is>
          <t>JSON 상세는 dashboard_payload 파일 참조</t>
        </is>
      </c>
    </row>
    <row r="86" ht="24" customHeight="1">
      <c r="A86" s="29" t="inlineStr">
        <is>
          <t>dcf</t>
        </is>
      </c>
      <c r="B86" s="29" t="inlineStr">
        <is>
          <t>assumed_op_margin</t>
        </is>
      </c>
      <c r="C86" s="31" t="n">
        <v>0.4563740698678195</v>
      </c>
      <c r="D86" s="29" t="inlineStr">
        <is>
          <t>JSON 상세는 dashboard_payload 파일 참조</t>
        </is>
      </c>
    </row>
    <row r="87" ht="24" customHeight="1">
      <c r="A87" s="24" t="inlineStr">
        <is>
          <t>dcf</t>
        </is>
      </c>
      <c r="B87" s="24" t="inlineStr">
        <is>
          <t>assumed_fcf_margin</t>
        </is>
      </c>
      <c r="C87" s="30" t="n">
        <v>0.25</v>
      </c>
      <c r="D87" s="24" t="inlineStr">
        <is>
          <t>JSON 상세는 dashboard_payload 파일 참조</t>
        </is>
      </c>
    </row>
    <row r="88" ht="24" customHeight="1">
      <c r="A88" s="29" t="inlineStr">
        <is>
          <t>dcf</t>
        </is>
      </c>
      <c r="B88" s="29" t="inlineStr">
        <is>
          <t>WACC</t>
        </is>
      </c>
      <c r="C88" s="31" t="n">
        <v>0.1421740039132658</v>
      </c>
      <c r="D88" s="29" t="inlineStr">
        <is>
          <t>JSON 상세는 dashboard_payload 파일 참조</t>
        </is>
      </c>
    </row>
    <row r="89" ht="24" customHeight="1">
      <c r="A89" s="24" t="inlineStr">
        <is>
          <t>dcf</t>
        </is>
      </c>
      <c r="B89" s="24" t="inlineStr">
        <is>
          <t>terminal_growth_rate</t>
        </is>
      </c>
      <c r="C89" s="30" t="n">
        <v>0.015</v>
      </c>
      <c r="D89" s="24" t="inlineStr">
        <is>
          <t>JSON 상세는 dashboard_payload 파일 참조</t>
        </is>
      </c>
    </row>
    <row r="90" ht="24" customHeight="1">
      <c r="A90" s="29" t="inlineStr">
        <is>
          <t>dcf</t>
        </is>
      </c>
      <c r="B90" s="29" t="inlineStr">
        <is>
          <t>projection_years</t>
        </is>
      </c>
      <c r="C90" s="31" t="n">
        <v>5</v>
      </c>
      <c r="D90" s="29" t="inlineStr">
        <is>
          <t>JSON 상세는 dashboard_payload 파일 참조</t>
        </is>
      </c>
    </row>
    <row r="91" ht="24" customHeight="1">
      <c r="A91" s="24" t="inlineStr">
        <is>
          <t>dcf</t>
        </is>
      </c>
      <c r="B91" s="24" t="inlineStr">
        <is>
          <t>FCF 현재가치</t>
        </is>
      </c>
      <c r="C91" s="30" t="n">
        <v>361372954255.8904</v>
      </c>
      <c r="D91" s="24" t="inlineStr">
        <is>
          <t>JSON 상세는 dashboard_payload 파일 참조</t>
        </is>
      </c>
    </row>
    <row r="92" ht="24" customHeight="1">
      <c r="A92" s="29" t="inlineStr">
        <is>
          <t>dcf</t>
        </is>
      </c>
      <c r="B92" s="29" t="inlineStr">
        <is>
          <t>terminal_value</t>
        </is>
      </c>
      <c r="C92" s="31" t="n">
        <v>896738359895.7679</v>
      </c>
      <c r="D92" s="29" t="inlineStr">
        <is>
          <t>JSON 상세는 dashboard_payload 파일 참조</t>
        </is>
      </c>
    </row>
    <row r="93" ht="24" customHeight="1">
      <c r="A93" s="24" t="inlineStr">
        <is>
          <t>dcf</t>
        </is>
      </c>
      <c r="B93" s="24" t="inlineStr">
        <is>
          <t>Terminal 현재가치</t>
        </is>
      </c>
      <c r="C93" s="30" t="n">
        <v>461322239258.8344</v>
      </c>
      <c r="D93" s="24" t="inlineStr">
        <is>
          <t>JSON 상세는 dashboard_payload 파일 참조</t>
        </is>
      </c>
    </row>
    <row r="94" ht="24" customHeight="1">
      <c r="A94" s="29" t="inlineStr">
        <is>
          <t>dcf</t>
        </is>
      </c>
      <c r="B94" s="29" t="inlineStr">
        <is>
          <t>기업가치(EV)</t>
        </is>
      </c>
      <c r="C94" s="31" t="n">
        <v>822695193514.7249</v>
      </c>
      <c r="D94" s="29" t="inlineStr">
        <is>
          <t>JSON 상세는 dashboard_payload 파일 참조</t>
        </is>
      </c>
    </row>
    <row r="95" ht="24" customHeight="1">
      <c r="A95" s="24" t="inlineStr">
        <is>
          <t>dcf</t>
        </is>
      </c>
      <c r="B95" s="24" t="inlineStr">
        <is>
          <t>현금성자산</t>
        </is>
      </c>
      <c r="C95" s="30" t="n">
        <v>85202812409</v>
      </c>
      <c r="D95" s="24" t="inlineStr">
        <is>
          <t>JSON 상세는 dashboard_payload 파일 참조</t>
        </is>
      </c>
    </row>
    <row r="96" ht="24" customHeight="1">
      <c r="A96" s="29" t="inlineStr">
        <is>
          <t>dcf</t>
        </is>
      </c>
      <c r="B96" s="29" t="inlineStr">
        <is>
          <t>debt_proxy_liabilities</t>
        </is>
      </c>
      <c r="C96" s="31" t="n">
        <v>60709212955</v>
      </c>
      <c r="D96" s="29" t="inlineStr">
        <is>
          <t>JSON 상세는 dashboard_payload 파일 참조</t>
        </is>
      </c>
    </row>
    <row r="97" ht="24" customHeight="1">
      <c r="A97" s="24" t="inlineStr">
        <is>
          <t>dcf</t>
        </is>
      </c>
      <c r="B97" s="24" t="inlineStr">
        <is>
          <t>equity_value</t>
        </is>
      </c>
      <c r="C97" s="30" t="n">
        <v>847188792968.7249</v>
      </c>
      <c r="D97" s="24" t="inlineStr">
        <is>
          <t>JSON 상세는 dashboard_payload 파일 참조</t>
        </is>
      </c>
    </row>
    <row r="98" ht="24" customHeight="1">
      <c r="A98" s="29" t="inlineStr">
        <is>
          <t>dcf</t>
        </is>
      </c>
      <c r="B98" s="29" t="inlineStr">
        <is>
          <t>발행주식 수</t>
        </is>
      </c>
      <c r="C98" s="31" t="n">
        <v>76211850</v>
      </c>
      <c r="D98" s="29" t="inlineStr">
        <is>
          <t>JSON 상세는 dashboard_payload 파일 참조</t>
        </is>
      </c>
    </row>
    <row r="99" ht="24" customHeight="1">
      <c r="A99" s="24" t="inlineStr">
        <is>
          <t>chart_series</t>
        </is>
      </c>
      <c r="B99" s="24" t="inlineStr">
        <is>
          <t>상위 블록</t>
        </is>
      </c>
      <c r="C99" s="24" t="inlineStr">
        <is>
          <t>5개 항목</t>
        </is>
      </c>
      <c r="D99" s="24" t="inlineStr">
        <is>
          <t>대시보드에서 객체로 사용</t>
        </is>
      </c>
    </row>
    <row r="100" ht="24" customHeight="1">
      <c r="A100" s="29" t="inlineStr">
        <is>
          <t>chart_series</t>
        </is>
      </c>
      <c r="B100" s="29" t="inlineStr">
        <is>
          <t>historical_financials</t>
        </is>
      </c>
      <c r="C100" s="29" t="inlineStr">
        <is>
          <t>5개 행</t>
        </is>
      </c>
      <c r="D100" s="29" t="inlineStr">
        <is>
          <t>JSON 상세는 dashboard_payload 파일 참조</t>
        </is>
      </c>
    </row>
    <row r="101" ht="24" customHeight="1">
      <c r="A101" s="24" t="inlineStr">
        <is>
          <t>chart_series</t>
        </is>
      </c>
      <c r="B101" s="24" t="inlineStr">
        <is>
          <t>price_history</t>
        </is>
      </c>
      <c r="C101" s="24" t="inlineStr">
        <is>
          <t>260개 행</t>
        </is>
      </c>
      <c r="D101" s="24" t="inlineStr">
        <is>
          <t>JSON 상세는 dashboard_payload 파일 참조</t>
        </is>
      </c>
    </row>
    <row r="102" ht="24" customHeight="1">
      <c r="A102" s="29" t="inlineStr">
        <is>
          <t>chart_series</t>
        </is>
      </c>
      <c r="B102" s="29" t="inlineStr">
        <is>
          <t>fcf_projection</t>
        </is>
      </c>
      <c r="C102" s="29" t="inlineStr">
        <is>
          <t>5개 행</t>
        </is>
      </c>
      <c r="D102" s="29" t="inlineStr">
        <is>
          <t>JSON 상세는 dashboard_payload 파일 참조</t>
        </is>
      </c>
    </row>
    <row r="103" ht="24" customHeight="1">
      <c r="A103" s="24" t="inlineStr">
        <is>
          <t>chart_series</t>
        </is>
      </c>
      <c r="B103" s="24" t="inlineStr">
        <is>
          <t>peer_multiples</t>
        </is>
      </c>
      <c r="C103" s="24" t="inlineStr">
        <is>
          <t>5개 행</t>
        </is>
      </c>
      <c r="D103" s="24" t="inlineStr">
        <is>
          <t>JSON 상세는 dashboard_payload 파일 참조</t>
        </is>
      </c>
    </row>
    <row r="104" ht="24" customHeight="1">
      <c r="A104" s="29" t="inlineStr">
        <is>
          <t>chart_series</t>
        </is>
      </c>
      <c r="B104" s="29" t="inlineStr">
        <is>
          <t>reference_universe_focus</t>
        </is>
      </c>
      <c r="C104" s="29" t="inlineStr">
        <is>
          <t>40개 행</t>
        </is>
      </c>
      <c r="D104" s="29" t="inlineStr">
        <is>
          <t>JSON 상세는 dashboard_payload 파일 참조</t>
        </is>
      </c>
    </row>
    <row r="105" ht="24" customHeight="1">
      <c r="A105" s="24" t="inlineStr">
        <is>
          <t>peer_comps</t>
        </is>
      </c>
      <c r="B105" s="24" t="inlineStr">
        <is>
          <t>상위 블록</t>
        </is>
      </c>
      <c r="C105" s="24" t="inlineStr">
        <is>
          <t>23개 항목</t>
        </is>
      </c>
      <c r="D105" s="24" t="inlineStr">
        <is>
          <t>대시보드에서 객체로 사용</t>
        </is>
      </c>
    </row>
    <row r="106" ht="24" customHeight="1">
      <c r="A106" s="29" t="inlineStr">
        <is>
          <t>peer_comps</t>
        </is>
      </c>
      <c r="B106" s="29" t="inlineStr">
        <is>
          <t>peer_rows</t>
        </is>
      </c>
      <c r="C106" s="29" t="inlineStr">
        <is>
          <t>5개 행</t>
        </is>
      </c>
      <c r="D106" s="29" t="inlineStr">
        <is>
          <t>JSON 상세는 dashboard_payload 파일 참조</t>
        </is>
      </c>
    </row>
    <row r="107" ht="24" customHeight="1">
      <c r="A107" s="24" t="inlineStr">
        <is>
          <t>peer_comps</t>
        </is>
      </c>
      <c r="B107" s="24" t="inlineStr">
        <is>
          <t>target_row</t>
        </is>
      </c>
      <c r="C107" s="24" t="inlineStr">
        <is>
          <t>35개 항목</t>
        </is>
      </c>
      <c r="D107" s="24" t="inlineStr">
        <is>
          <t>JSON 상세는 dashboard_payload 파일 참조</t>
        </is>
      </c>
    </row>
    <row r="108" ht="24" customHeight="1">
      <c r="A108" s="29" t="inlineStr">
        <is>
          <t>peer_comps</t>
        </is>
      </c>
      <c r="B108" s="29" t="inlineStr">
        <is>
          <t>target_company_key</t>
        </is>
      </c>
      <c r="C108" s="29" t="inlineStr">
        <is>
          <t>nepes</t>
        </is>
      </c>
      <c r="D108" s="29" t="inlineStr">
        <is>
          <t>JSON 상세는 dashboard_payload 파일 참조</t>
        </is>
      </c>
    </row>
    <row r="109" ht="24" customHeight="1">
      <c r="A109" s="24" t="inlineStr">
        <is>
          <t>peer_comps</t>
        </is>
      </c>
      <c r="B109" s="24" t="inlineStr">
        <is>
          <t>분석대상 P/S</t>
        </is>
      </c>
      <c r="C109" s="30" t="n">
        <v>1.258122111711799</v>
      </c>
      <c r="D109" s="24" t="inlineStr">
        <is>
          <t>JSON 상세는 dashboard_payload 파일 참조</t>
        </is>
      </c>
    </row>
    <row r="110" ht="24" customHeight="1">
      <c r="A110" s="29" t="inlineStr">
        <is>
          <t>peer_comps</t>
        </is>
      </c>
      <c r="B110" s="29" t="inlineStr">
        <is>
          <t>target_per</t>
        </is>
      </c>
      <c r="C110" s="31" t="n">
        <v>32.5432859556937</v>
      </c>
      <c r="D110" s="29" t="inlineStr">
        <is>
          <t>JSON 상세는 dashboard_payload 파일 참조</t>
        </is>
      </c>
    </row>
    <row r="111" ht="24" customHeight="1">
      <c r="A111" s="24" t="inlineStr">
        <is>
          <t>peer_comps</t>
        </is>
      </c>
      <c r="B111" s="24" t="inlineStr">
        <is>
          <t>target_pbr</t>
        </is>
      </c>
      <c r="C111" s="30" t="n">
        <v>2.673053742026163</v>
      </c>
      <c r="D111" s="24" t="inlineStr">
        <is>
          <t>JSON 상세는 dashboard_payload 파일 참조</t>
        </is>
      </c>
    </row>
    <row r="112" ht="24" customHeight="1">
      <c r="A112" s="29" t="inlineStr">
        <is>
          <t>peer_comps</t>
        </is>
      </c>
      <c r="B112" s="29" t="inlineStr">
        <is>
          <t>target_ev_sales</t>
        </is>
      </c>
      <c r="C112" s="31" t="n">
        <v>2.122601330699156</v>
      </c>
      <c r="D112" s="29" t="inlineStr">
        <is>
          <t>JSON 상세는 dashboard_payload 파일 참조</t>
        </is>
      </c>
    </row>
    <row r="113" ht="24" customHeight="1">
      <c r="A113" s="24" t="inlineStr">
        <is>
          <t>peer_comps</t>
        </is>
      </c>
      <c r="B113" s="24" t="inlineStr">
        <is>
          <t>target_market_cap</t>
        </is>
      </c>
      <c r="C113" s="30" t="n">
        <v>656034296900</v>
      </c>
      <c r="D113" s="24" t="inlineStr">
        <is>
          <t>JSON 상세는 dashboard_payload 파일 참조</t>
        </is>
      </c>
    </row>
    <row r="114" ht="24" customHeight="1">
      <c r="A114" s="29" t="inlineStr">
        <is>
          <t>peer_comps</t>
        </is>
      </c>
      <c r="B114" s="29" t="inlineStr">
        <is>
          <t>target_revenue</t>
        </is>
      </c>
      <c r="C114" s="31" t="n">
        <v>521439287008</v>
      </c>
      <c r="D114" s="29" t="inlineStr">
        <is>
          <t>JSON 상세는 dashboard_payload 파일 참조</t>
        </is>
      </c>
    </row>
    <row r="115" ht="24" customHeight="1">
      <c r="A115" s="24" t="inlineStr">
        <is>
          <t>peer_comps</t>
        </is>
      </c>
      <c r="B115" s="24" t="inlineStr">
        <is>
          <t>Peer P/S 중앙값</t>
        </is>
      </c>
      <c r="C115" s="30" t="n">
        <v>3.436583457683996</v>
      </c>
      <c r="D115" s="24" t="inlineStr">
        <is>
          <t>JSON 상세는 dashboard_payload 파일 참조</t>
        </is>
      </c>
    </row>
    <row r="116" ht="24" customHeight="1">
      <c r="A116" s="29" t="inlineStr">
        <is>
          <t>peer_comps</t>
        </is>
      </c>
      <c r="B116" s="29" t="inlineStr">
        <is>
          <t>median_per</t>
        </is>
      </c>
      <c r="C116" s="31" t="n">
        <v>23.81184919544199</v>
      </c>
      <c r="D116" s="29" t="inlineStr">
        <is>
          <t>JSON 상세는 dashboard_payload 파일 참조</t>
        </is>
      </c>
    </row>
    <row r="117" ht="24" customHeight="1">
      <c r="A117" s="24" t="inlineStr">
        <is>
          <t>peer_comps</t>
        </is>
      </c>
      <c r="B117" s="24" t="inlineStr">
        <is>
          <t>median_pbr</t>
        </is>
      </c>
      <c r="C117" s="30" t="n">
        <v>2.673053742026163</v>
      </c>
      <c r="D117" s="24" t="inlineStr">
        <is>
          <t>JSON 상세는 dashboard_payload 파일 참조</t>
        </is>
      </c>
    </row>
    <row r="118" ht="24" customHeight="1">
      <c r="A118" s="29" t="inlineStr">
        <is>
          <t>peer_comps</t>
        </is>
      </c>
      <c r="B118" s="29" t="inlineStr">
        <is>
          <t>median_ev_sales</t>
        </is>
      </c>
      <c r="C118" s="31" t="n">
        <v>3.915199596123737</v>
      </c>
      <c r="D118" s="29" t="inlineStr">
        <is>
          <t>JSON 상세는 dashboard_payload 파일 참조</t>
        </is>
      </c>
    </row>
    <row r="119" ht="24" customHeight="1">
      <c r="A119" s="24" t="inlineStr">
        <is>
          <t>peer_comps</t>
        </is>
      </c>
      <c r="B119" s="24" t="inlineStr">
        <is>
          <t>median_ev_ebit</t>
        </is>
      </c>
      <c r="C119" s="30" t="n">
        <v>22.15223868630722</v>
      </c>
      <c r="D119" s="24" t="inlineStr">
        <is>
          <t>JSON 상세는 dashboard_payload 파일 참조</t>
        </is>
      </c>
    </row>
    <row r="120" ht="24" customHeight="1">
      <c r="A120" s="29" t="inlineStr">
        <is>
          <t>peer_comps</t>
        </is>
      </c>
      <c r="B120" s="29" t="inlineStr">
        <is>
          <t>median_p_fcf</t>
        </is>
      </c>
      <c r="C120" s="31" t="n">
        <v>15.18407586897334</v>
      </c>
      <c r="D120" s="29" t="inlineStr">
        <is>
          <t>JSON 상세는 dashboard_payload 파일 참조</t>
        </is>
      </c>
    </row>
    <row r="121" ht="24" customHeight="1">
      <c r="A121" s="24" t="inlineStr">
        <is>
          <t>peer_comps</t>
        </is>
      </c>
      <c r="B121" s="24" t="inlineStr">
        <is>
          <t>median_op_margin</t>
        </is>
      </c>
      <c r="C121" s="30" t="n">
        <v>0.09546035142742029</v>
      </c>
      <c r="D121" s="24" t="inlineStr">
        <is>
          <t>JSON 상세는 dashboard_payload 파일 참조</t>
        </is>
      </c>
    </row>
    <row r="122" ht="24" customHeight="1">
      <c r="A122" s="29" t="inlineStr">
        <is>
          <t>peer_comps</t>
        </is>
      </c>
      <c r="B122" s="29" t="inlineStr">
        <is>
          <t>median_roe</t>
        </is>
      </c>
      <c r="C122" s="31" t="n">
        <v>0.0821384093070814</v>
      </c>
      <c r="D122" s="29" t="inlineStr">
        <is>
          <t>JSON 상세는 dashboard_payload 파일 참조</t>
        </is>
      </c>
    </row>
    <row r="123" ht="24" customHeight="1">
      <c r="A123" s="24" t="inlineStr">
        <is>
          <t>peer_comps</t>
        </is>
      </c>
      <c r="B123" s="24" t="inlineStr">
        <is>
          <t>P/S 중앙값 대비</t>
        </is>
      </c>
      <c r="C123" s="30" t="n">
        <v>-0.6339032276667941</v>
      </c>
      <c r="D123" s="24" t="inlineStr">
        <is>
          <t>JSON 상세는 dashboard_payload 파일 참조</t>
        </is>
      </c>
    </row>
    <row r="124" ht="24" customHeight="1">
      <c r="A124" s="29" t="inlineStr">
        <is>
          <t>reference_universe_summary</t>
        </is>
      </c>
      <c r="B124" s="29" t="inlineStr">
        <is>
          <t>상위 블록</t>
        </is>
      </c>
      <c r="C124" s="29" t="inlineStr">
        <is>
          <t>14개 항목</t>
        </is>
      </c>
      <c r="D124" s="29" t="inlineStr">
        <is>
          <t>대시보드에서 객체로 사용</t>
        </is>
      </c>
    </row>
    <row r="125" ht="24" customHeight="1">
      <c r="A125" s="24" t="inlineStr">
        <is>
          <t>reference_universe_summary</t>
        </is>
      </c>
      <c r="B125" s="24" t="inlineStr">
        <is>
          <t>상태</t>
        </is>
      </c>
      <c r="C125" s="24" t="inlineStr">
        <is>
          <t>OK</t>
        </is>
      </c>
      <c r="D125" s="24" t="inlineStr">
        <is>
          <t>JSON 상세는 dashboard_payload 파일 참조</t>
        </is>
      </c>
    </row>
    <row r="126" ht="24" customHeight="1">
      <c r="A126" s="29" t="inlineStr">
        <is>
          <t>reference_universe_summary</t>
        </is>
      </c>
      <c r="B126" s="29" t="inlineStr">
        <is>
          <t>created_at</t>
        </is>
      </c>
      <c r="C126" s="29" t="inlineStr">
        <is>
          <t>2026-05-20T14:25:59</t>
        </is>
      </c>
      <c r="D126" s="29" t="inlineStr">
        <is>
          <t>JSON 상세는 dashboard_payload 파일 참조</t>
        </is>
      </c>
    </row>
    <row r="127" ht="24" customHeight="1">
      <c r="A127" s="24" t="inlineStr">
        <is>
          <t>reference_universe_summary</t>
        </is>
      </c>
      <c r="B127" s="24" t="inlineStr">
        <is>
          <t>reference_universe_rows</t>
        </is>
      </c>
      <c r="C127" s="30" t="n">
        <v>208</v>
      </c>
      <c r="D127" s="24" t="inlineStr">
        <is>
          <t>JSON 상세는 dashboard_payload 파일 참조</t>
        </is>
      </c>
    </row>
    <row r="128" ht="24" customHeight="1">
      <c r="A128" s="29" t="inlineStr">
        <is>
          <t>reference_universe_summary</t>
        </is>
      </c>
      <c r="B128" s="29" t="inlineStr">
        <is>
          <t>focus_rows</t>
        </is>
      </c>
      <c r="C128" s="31" t="n">
        <v>40</v>
      </c>
      <c r="D128" s="29" t="inlineStr">
        <is>
          <t>JSON 상세는 dashboard_payload 파일 참조</t>
        </is>
      </c>
    </row>
    <row r="129" ht="24" customHeight="1">
      <c r="A129" s="24" t="inlineStr">
        <is>
          <t>reference_universe_summary</t>
        </is>
      </c>
      <c r="B129" s="24" t="inlineStr">
        <is>
          <t>focal_5_rows</t>
        </is>
      </c>
      <c r="C129" s="30" t="n">
        <v>5</v>
      </c>
      <c r="D129" s="24" t="inlineStr">
        <is>
          <t>JSON 상세는 dashboard_payload 파일 참조</t>
        </is>
      </c>
    </row>
    <row r="130" ht="24" customHeight="1">
      <c r="A130" s="29" t="inlineStr">
        <is>
          <t>reference_universe_summary</t>
        </is>
      </c>
      <c r="B130" s="29" t="inlineStr">
        <is>
          <t>target_company</t>
        </is>
      </c>
      <c r="C130" s="29" t="inlineStr">
        <is>
          <t>리노공업</t>
        </is>
      </c>
      <c r="D130" s="29" t="inlineStr">
        <is>
          <t>JSON 상세는 dashboard_payload 파일 참조</t>
        </is>
      </c>
    </row>
    <row r="131" ht="24" customHeight="1">
      <c r="A131" s="24" t="inlineStr">
        <is>
          <t>reference_universe_summary</t>
        </is>
      </c>
      <c r="B131" s="24" t="inlineStr">
        <is>
          <t>target_peer_group</t>
        </is>
      </c>
      <c r="C131" s="24" t="inlineStr">
        <is>
          <t>후공정/패키징/테스트</t>
        </is>
      </c>
      <c r="D131" s="24" t="inlineStr">
        <is>
          <t>JSON 상세는 dashboard_payload 파일 참조</t>
        </is>
      </c>
    </row>
    <row r="132" ht="24" customHeight="1">
      <c r="A132" s="29" t="inlineStr">
        <is>
          <t>reference_universe_summary</t>
        </is>
      </c>
      <c r="B132" s="29" t="inlineStr">
        <is>
          <t>target_peer_group_size</t>
        </is>
      </c>
      <c r="C132" s="31" t="n">
        <v>45</v>
      </c>
      <c r="D132" s="29" t="inlineStr">
        <is>
          <t>JSON 상세는 dashboard_payload 파일 참조</t>
        </is>
      </c>
    </row>
    <row r="133" ht="24" customHeight="1">
      <c r="A133" s="24" t="inlineStr">
        <is>
          <t>reference_universe_summary</t>
        </is>
      </c>
      <c r="B133" s="24" t="inlineStr">
        <is>
          <t>attractive_rows</t>
        </is>
      </c>
      <c r="C133" s="30" t="n">
        <v>43</v>
      </c>
      <c r="D133" s="24" t="inlineStr">
        <is>
          <t>JSON 상세는 dashboard_payload 파일 참조</t>
        </is>
      </c>
    </row>
    <row r="134" ht="24" customHeight="1">
      <c r="A134" s="29" t="inlineStr">
        <is>
          <t>reference_universe_summary</t>
        </is>
      </c>
      <c r="B134" s="29" t="inlineStr">
        <is>
          <t>high_risk_rows</t>
        </is>
      </c>
      <c r="C134" s="31" t="n">
        <v>67</v>
      </c>
      <c r="D134" s="29" t="inlineStr">
        <is>
          <t>JSON 상세는 dashboard_payload 파일 참조</t>
        </is>
      </c>
    </row>
    <row r="135" ht="24" customHeight="1">
      <c r="A135" s="24" t="inlineStr">
        <is>
          <t>reference_universe_summary</t>
        </is>
      </c>
      <c r="B135" s="24" t="inlineStr">
        <is>
          <t>target_reference_row</t>
        </is>
      </c>
      <c r="C135" s="24" t="inlineStr">
        <is>
          <t>32개 항목</t>
        </is>
      </c>
      <c r="D135" s="24" t="inlineStr">
        <is>
          <t>JSON 상세는 dashboard_payload 파일 참조</t>
        </is>
      </c>
    </row>
    <row r="136" ht="24" customHeight="1">
      <c r="A136" s="29" t="inlineStr">
        <is>
          <t>reference_universe_summary</t>
        </is>
      </c>
      <c r="B136" s="29" t="inlineStr">
        <is>
          <t>비고</t>
        </is>
      </c>
      <c r="C136" s="29" t="inlineStr">
        <is>
          <t>Valuation Agent는 live DCF/PSR 산출과 별도로 208개 반도체 universe의 proxy score를 활용해 상대 위치를 보조 판단합니다.</t>
        </is>
      </c>
      <c r="D136" s="29" t="inlineStr">
        <is>
          <t>JSON 상세는 dashboard_payload 파일 참조</t>
        </is>
      </c>
    </row>
    <row r="137" ht="24" customHeight="1">
      <c r="A137" s="24" t="inlineStr">
        <is>
          <t>reference_universe_summary</t>
        </is>
      </c>
      <c r="B137" s="24" t="inlineStr">
        <is>
          <t>source_path</t>
        </is>
      </c>
      <c r="C137" s="24" t="inlineStr">
        <is>
          <t>data/반도체/_sector_common/ml_universe/valuation_credit_ml_overlay_candidate.csv</t>
        </is>
      </c>
      <c r="D137" s="24" t="inlineStr">
        <is>
          <t>JSON 상세는 dashboard_payload 파일 참조</t>
        </is>
      </c>
    </row>
    <row r="138" ht="24" customHeight="1">
      <c r="A138" s="29" t="inlineStr">
        <is>
          <t>reference_universe_summary</t>
        </is>
      </c>
      <c r="B138" s="29" t="inlineStr">
        <is>
          <t>exported_at</t>
        </is>
      </c>
      <c r="C138" s="29" t="inlineStr">
        <is>
          <t>2026-05-20T14:25:59</t>
        </is>
      </c>
      <c r="D138" s="29" t="inlineStr">
        <is>
          <t>JSON 상세는 dashboard_payload 파일 참조</t>
        </is>
      </c>
    </row>
    <row r="139" ht="24" customHeight="1">
      <c r="A139" s="24" t="inlineStr">
        <is>
          <t>reference_universe_focus_rows</t>
        </is>
      </c>
      <c r="B139" s="24" t="inlineStr">
        <is>
          <t>목록</t>
        </is>
      </c>
      <c r="C139" s="24" t="inlineStr">
        <is>
          <t>40개 행</t>
        </is>
      </c>
      <c r="D139" s="24" t="inlineStr">
        <is>
          <t>대시보드 표/차트 원천</t>
        </is>
      </c>
    </row>
    <row r="140" ht="24" customHeight="1">
      <c r="A140" s="29" t="inlineStr">
        <is>
          <t>ml_overlay</t>
        </is>
      </c>
      <c r="B140" s="29" t="inlineStr">
        <is>
          <t>상위 블록</t>
        </is>
      </c>
      <c r="C140" s="29" t="inlineStr">
        <is>
          <t>12개 항목</t>
        </is>
      </c>
      <c r="D140" s="29" t="inlineStr">
        <is>
          <t>대시보드에서 객체로 사용</t>
        </is>
      </c>
    </row>
    <row r="141" ht="24" customHeight="1">
      <c r="A141" s="24" t="inlineStr">
        <is>
          <t>ml_overlay</t>
        </is>
      </c>
      <c r="B141" s="24" t="inlineStr">
        <is>
          <t>산출 방식</t>
        </is>
      </c>
      <c r="C141" s="24" t="inlineStr">
        <is>
          <t>deterministic_live_peer_psr_plus_208_reference_universe_overlay</t>
        </is>
      </c>
      <c r="D141" s="24" t="inlineStr">
        <is>
          <t>JSON 상세는 dashboard_payload 파일 참조</t>
        </is>
      </c>
    </row>
    <row r="142" ht="24" customHeight="1">
      <c r="A142" s="29" t="inlineStr">
        <is>
          <t>ml_overlay</t>
        </is>
      </c>
      <c r="B142" s="29" t="inlineStr">
        <is>
          <t>가치평가 방법</t>
        </is>
      </c>
      <c r="C142" s="29" t="inlineStr">
        <is>
          <t>실시간 DART·주가 기반 PSR/Peer + 208개 반도체 reference universe 보조판단</t>
        </is>
      </c>
      <c r="D142" s="29" t="inlineStr">
        <is>
          <t>JSON 상세는 dashboard_payload 파일 참조</t>
        </is>
      </c>
    </row>
    <row r="143" ht="24" customHeight="1">
      <c r="A143" s="24" t="inlineStr">
        <is>
          <t>ml_overlay</t>
        </is>
      </c>
      <c r="B143" s="24" t="inlineStr">
        <is>
          <t>종합 점수</t>
        </is>
      </c>
      <c r="C143" s="30" t="n">
        <v>83.34999999999999</v>
      </c>
      <c r="D143" s="24" t="inlineStr">
        <is>
          <t>JSON 상세는 dashboard_payload 파일 참조</t>
        </is>
      </c>
    </row>
    <row r="144" ht="24" customHeight="1">
      <c r="A144" s="29" t="inlineStr">
        <is>
          <t>ml_overlay</t>
        </is>
      </c>
      <c r="B144" s="29" t="inlineStr">
        <is>
          <t>라벨</t>
        </is>
      </c>
      <c r="C144" s="29" t="inlineStr">
        <is>
          <t>VALUATION_SUPPORTIVE</t>
        </is>
      </c>
      <c r="D144" s="29" t="inlineStr">
        <is>
          <t>JSON 상세는 dashboard_payload 파일 참조</t>
        </is>
      </c>
    </row>
    <row r="145" ht="24" customHeight="1">
      <c r="A145" s="24" t="inlineStr">
        <is>
          <t>ml_overlay</t>
        </is>
      </c>
      <c r="B145" s="24" t="inlineStr">
        <is>
          <t>한글 라벨</t>
        </is>
      </c>
      <c r="C145" s="24" t="inlineStr">
        <is>
          <t>가치평가 보조근거 우호</t>
        </is>
      </c>
      <c r="D145" s="24" t="inlineStr">
        <is>
          <t>JSON 상세는 dashboard_payload 파일 참조</t>
        </is>
      </c>
    </row>
    <row r="146" ht="24" customHeight="1">
      <c r="A146" s="29" t="inlineStr">
        <is>
          <t>ml_overlay</t>
        </is>
      </c>
      <c r="B146" s="29" t="inlineStr">
        <is>
          <t>factors</t>
        </is>
      </c>
      <c r="C146" s="29" t="inlineStr">
        <is>
          <t>10개 행</t>
        </is>
      </c>
      <c r="D146" s="29" t="inlineStr">
        <is>
          <t>JSON 상세는 dashboard_payload 파일 참조</t>
        </is>
      </c>
    </row>
    <row r="147" ht="24" customHeight="1">
      <c r="A147" s="24" t="inlineStr">
        <is>
          <t>ml_overlay</t>
        </is>
      </c>
      <c r="B147" s="24" t="inlineStr">
        <is>
          <t>kmeans_peer_cluster</t>
        </is>
      </c>
      <c r="C147" s="24" t="inlineStr">
        <is>
          <t>후공정/패키징/테스트</t>
        </is>
      </c>
      <c r="D147" s="24" t="inlineStr">
        <is>
          <t>JSON 상세는 dashboard_payload 파일 참조</t>
        </is>
      </c>
    </row>
    <row r="148" ht="24" customHeight="1">
      <c r="A148" s="29" t="inlineStr">
        <is>
          <t>ml_overlay</t>
        </is>
      </c>
      <c r="B148" s="29" t="inlineStr">
        <is>
          <t>reference_cluster</t>
        </is>
      </c>
      <c r="C148" s="29" t="inlineStr">
        <is>
          <t>6개 항목</t>
        </is>
      </c>
      <c r="D148" s="29" t="inlineStr">
        <is>
          <t>JSON 상세는 dashboard_payload 파일 참조</t>
        </is>
      </c>
    </row>
    <row r="149" ht="24" customHeight="1">
      <c r="A149" s="24" t="inlineStr">
        <is>
          <t>ml_overlay</t>
        </is>
      </c>
      <c r="B149" s="24" t="inlineStr">
        <is>
          <t>reference_universe_summary</t>
        </is>
      </c>
      <c r="C149" s="24" t="inlineStr">
        <is>
          <t>4개 항목</t>
        </is>
      </c>
      <c r="D149" s="24" t="inlineStr">
        <is>
          <t>JSON 상세는 dashboard_payload 파일 참조</t>
        </is>
      </c>
    </row>
    <row r="150" ht="24" customHeight="1">
      <c r="A150" s="29" t="inlineStr">
        <is>
          <t>ml_overlay</t>
        </is>
      </c>
      <c r="B150" s="29" t="inlineStr">
        <is>
          <t>psr_overlay</t>
        </is>
      </c>
      <c r="C150" s="29" t="inlineStr">
        <is>
          <t>5개 항목</t>
        </is>
      </c>
      <c r="D150" s="29" t="inlineStr">
        <is>
          <t>JSON 상세는 dashboard_payload 파일 참조</t>
        </is>
      </c>
    </row>
    <row r="151" ht="24" customHeight="1">
      <c r="A151" s="24" t="inlineStr">
        <is>
          <t>ml_overlay</t>
        </is>
      </c>
      <c r="B151" s="24" t="inlineStr">
        <is>
          <t>비고</t>
        </is>
      </c>
      <c r="C151" s="24" t="inlineStr">
        <is>
          <t>This overlay is a deterministic decision-quality helper, not a realized-return predictor.</t>
        </is>
      </c>
      <c r="D151" s="24" t="inlineStr">
        <is>
          <t>JSON 상세는 dashboard_payload 파일 참조</t>
        </is>
      </c>
    </row>
    <row r="152" ht="24" customHeight="1">
      <c r="A152" s="29" t="inlineStr">
        <is>
          <t>ml_overlay</t>
        </is>
      </c>
      <c r="B152" s="29" t="inlineStr">
        <is>
          <t>note_kr</t>
        </is>
      </c>
      <c r="C152" s="29" t="inlineStr">
        <is>
          <t>미래수익률 예측모델이 아니라 대시보드/Chair용 설명가능 보조 가치평가 점수입니다.</t>
        </is>
      </c>
      <c r="D152" s="29" t="inlineStr">
        <is>
          <t>JSON 상세는 dashboard_payload 파일 참조</t>
        </is>
      </c>
    </row>
    <row r="153" ht="24" customHeight="1">
      <c r="A153" s="24" t="inlineStr">
        <is>
          <t>valuation_scorecard</t>
        </is>
      </c>
      <c r="B153" s="24" t="inlineStr">
        <is>
          <t>상위 블록</t>
        </is>
      </c>
      <c r="C153" s="24" t="inlineStr">
        <is>
          <t>8개 항목</t>
        </is>
      </c>
      <c r="D153" s="24" t="inlineStr">
        <is>
          <t>대시보드에서 객체로 사용</t>
        </is>
      </c>
    </row>
    <row r="154" ht="24" customHeight="1">
      <c r="A154" s="29" t="inlineStr">
        <is>
          <t>valuation_scorecard</t>
        </is>
      </c>
      <c r="B154" s="29" t="inlineStr">
        <is>
          <t>산출 방식</t>
        </is>
      </c>
      <c r="C154" s="29" t="inlineStr">
        <is>
          <t>DCF_25_PSR_15_QUALITY_15_REFERENCE_10_ADVANCED_20_LIQUIDITY_10_VALIDATION_5</t>
        </is>
      </c>
      <c r="D154" s="29" t="inlineStr">
        <is>
          <t>JSON 상세는 dashboard_payload 파일 참조</t>
        </is>
      </c>
    </row>
    <row r="155" ht="24" customHeight="1">
      <c r="A155" s="24" t="inlineStr">
        <is>
          <t>valuation_scorecard</t>
        </is>
      </c>
      <c r="B155" s="24" t="inlineStr">
        <is>
          <t>가치평가 방법</t>
        </is>
      </c>
      <c r="C155" s="24" t="inlineStr">
        <is>
          <t>DCF 25% + Peer P/S 15% + 품질 ML 15% + 208개 Universe 10% + 가치범위표/역산 DCF/오너 이익 20% + 유동성/리스크 10% + 검증 5%</t>
        </is>
      </c>
      <c r="D155" s="24" t="inlineStr">
        <is>
          <t>JSON 상세는 dashboard_payload 파일 참조</t>
        </is>
      </c>
    </row>
    <row r="156" ht="24" customHeight="1">
      <c r="A156" s="29" t="inlineStr">
        <is>
          <t>valuation_scorecard</t>
        </is>
      </c>
      <c r="B156" s="29" t="inlineStr">
        <is>
          <t>점수</t>
        </is>
      </c>
      <c r="C156" s="31" t="n">
        <v>53.49</v>
      </c>
      <c r="D156" s="29" t="inlineStr">
        <is>
          <t>JSON 상세는 dashboard_payload 파일 참조</t>
        </is>
      </c>
    </row>
    <row r="157" ht="24" customHeight="1">
      <c r="A157" s="24" t="inlineStr">
        <is>
          <t>valuation_scorecard</t>
        </is>
      </c>
      <c r="B157" s="24" t="inlineStr">
        <is>
          <t>라벨</t>
        </is>
      </c>
      <c r="C157" s="24" t="inlineStr">
        <is>
          <t>VALUATION_NEUTRAL</t>
        </is>
      </c>
      <c r="D157" s="24" t="inlineStr">
        <is>
          <t>JSON 상세는 dashboard_payload 파일 참조</t>
        </is>
      </c>
    </row>
    <row r="158" ht="24" customHeight="1">
      <c r="A158" s="29" t="inlineStr">
        <is>
          <t>valuation_scorecard</t>
        </is>
      </c>
      <c r="B158" s="29" t="inlineStr">
        <is>
          <t>한글 라벨</t>
        </is>
      </c>
      <c r="C158" s="29" t="inlineStr">
        <is>
          <t>중립</t>
        </is>
      </c>
      <c r="D158" s="29" t="inlineStr">
        <is>
          <t>JSON 상세는 dashboard_payload 파일 참조</t>
        </is>
      </c>
    </row>
    <row r="159" ht="24" customHeight="1">
      <c r="A159" s="24" t="inlineStr">
        <is>
          <t>valuation_scorecard</t>
        </is>
      </c>
      <c r="B159" s="24" t="inlineStr">
        <is>
          <t>종합 해석</t>
        </is>
      </c>
      <c r="C159" s="24" t="inlineStr">
        <is>
          <t>현 가격과 내재가치·상대가치가 크게 벌어지지 않은 구간입니다.</t>
        </is>
      </c>
      <c r="D159" s="24" t="inlineStr">
        <is>
          <t>JSON 상세는 dashboard_payload 파일 참조</t>
        </is>
      </c>
    </row>
    <row r="160" ht="24" customHeight="1">
      <c r="A160" s="29" t="inlineStr">
        <is>
          <t>valuation_scorecard</t>
        </is>
      </c>
      <c r="B160" s="29" t="inlineStr">
        <is>
          <t>factors</t>
        </is>
      </c>
      <c r="C160" s="29" t="inlineStr">
        <is>
          <t>7개 행</t>
        </is>
      </c>
      <c r="D160" s="29" t="inlineStr">
        <is>
          <t>JSON 상세는 dashboard_payload 파일 참조</t>
        </is>
      </c>
    </row>
    <row r="161" ht="24" customHeight="1">
      <c r="A161" s="24" t="inlineStr">
        <is>
          <t>valuation_scorecard</t>
        </is>
      </c>
      <c r="B161" s="24" t="inlineStr">
        <is>
          <t>dashboard_note_kr</t>
        </is>
      </c>
      <c r="C161" s="24" t="inlineStr">
        <is>
          <t>Chair 최종 가중합을 대체하지 않는 보조 밸류에이션 스코어입니다. DCF 단일값보다 다중 방법 검증을 우선합니다. 대시보드/엑셀 다운로드/투자자 요약에서 사용합니다.</t>
        </is>
      </c>
      <c r="D161" s="24" t="inlineStr">
        <is>
          <t>JSON 상세는 dashboard_payload 파일 참조</t>
        </is>
      </c>
    </row>
    <row r="162" ht="24" customHeight="1">
      <c r="A162" s="29" t="inlineStr">
        <is>
          <t>종합 가치평가</t>
        </is>
      </c>
      <c r="B162" s="29" t="inlineStr">
        <is>
          <t>상위 블록</t>
        </is>
      </c>
      <c r="C162" s="29" t="inlineStr">
        <is>
          <t>12개 항목</t>
        </is>
      </c>
      <c r="D162" s="29" t="inlineStr">
        <is>
          <t>대시보드에서 객체로 사용</t>
        </is>
      </c>
    </row>
    <row r="163" ht="24" customHeight="1">
      <c r="A163" s="24" t="inlineStr">
        <is>
          <t>종합 가치평가</t>
        </is>
      </c>
      <c r="B163" s="24" t="inlineStr">
        <is>
          <t>가치평가 방법</t>
        </is>
      </c>
      <c r="C163" s="24" t="inlineStr">
        <is>
          <t>DCF + 피어 멀티플 가치범위표 + 역산 DCF + 오너 이익/EPV + 시장내재 배수 + 데이터 커버리지</t>
        </is>
      </c>
      <c r="D163" s="24" t="inlineStr">
        <is>
          <t>JSON 상세는 dashboard_payload 파일 참조</t>
        </is>
      </c>
    </row>
    <row r="164" ht="24" customHeight="1">
      <c r="A164" s="29" t="inlineStr">
        <is>
          <t>종합 가치평가</t>
        </is>
      </c>
      <c r="B164" s="29" t="inlineStr">
        <is>
          <t>종합 가치평가 점수</t>
        </is>
      </c>
      <c r="C164" s="31" t="n">
        <v>38</v>
      </c>
      <c r="D164" s="29" t="inlineStr">
        <is>
          <t>JSON 상세는 dashboard_payload 파일 참조</t>
        </is>
      </c>
    </row>
    <row r="165" ht="24" customHeight="1">
      <c r="A165" s="24" t="inlineStr">
        <is>
          <t>종합 가치평가</t>
        </is>
      </c>
      <c r="B165" s="24" t="inlineStr">
        <is>
          <t>신뢰도 등급</t>
        </is>
      </c>
      <c r="C165" s="24" t="inlineStr">
        <is>
          <t>낮음</t>
        </is>
      </c>
      <c r="D165" s="24" t="inlineStr">
        <is>
          <t>JSON 상세는 dashboard_payload 파일 참조</t>
        </is>
      </c>
    </row>
    <row r="166" ht="24" customHeight="1">
      <c r="A166" s="29" t="inlineStr">
        <is>
          <t>종합 가치평가</t>
        </is>
      </c>
      <c r="B166" s="29" t="inlineStr">
        <is>
          <t>가치범위표</t>
        </is>
      </c>
      <c r="C166" s="29" t="inlineStr">
        <is>
          <t>7개 항목</t>
        </is>
      </c>
      <c r="D166" s="29" t="inlineStr">
        <is>
          <t>JSON 상세는 dashboard_payload 파일 참조</t>
        </is>
      </c>
    </row>
    <row r="167" ht="24" customHeight="1">
      <c r="A167" s="24" t="inlineStr">
        <is>
          <t>종합 가치평가</t>
        </is>
      </c>
      <c r="B167" s="24" t="inlineStr">
        <is>
          <t>가치평가 방법</t>
        </is>
      </c>
      <c r="C167" s="24" t="inlineStr">
        <is>
          <t>7개 행</t>
        </is>
      </c>
      <c r="D167" s="24" t="inlineStr">
        <is>
          <t>JSON 상세는 dashboard_payload 파일 참조</t>
        </is>
      </c>
    </row>
    <row r="168" ht="24" customHeight="1">
      <c r="A168" s="29" t="inlineStr">
        <is>
          <t>종합 가치평가</t>
        </is>
      </c>
      <c r="B168" s="29" t="inlineStr">
        <is>
          <t>역산 DCF</t>
        </is>
      </c>
      <c r="C168" s="29" t="inlineStr">
        <is>
          <t>9개 항목</t>
        </is>
      </c>
      <c r="D168" s="29" t="inlineStr">
        <is>
          <t>JSON 상세는 dashboard_payload 파일 참조</t>
        </is>
      </c>
    </row>
    <row r="169" ht="24" customHeight="1">
      <c r="A169" s="24" t="inlineStr">
        <is>
          <t>종합 가치평가</t>
        </is>
      </c>
      <c r="B169" s="24" t="inlineStr">
        <is>
          <t>오너 이익</t>
        </is>
      </c>
      <c r="C169" s="24" t="inlineStr">
        <is>
          <t>11개 항목</t>
        </is>
      </c>
      <c r="D169" s="24" t="inlineStr">
        <is>
          <t>JSON 상세는 dashboard_payload 파일 참조</t>
        </is>
      </c>
    </row>
    <row r="170" ht="24" customHeight="1">
      <c r="A170" s="29" t="inlineStr">
        <is>
          <t>종합 가치평가</t>
        </is>
      </c>
      <c r="B170" s="29" t="inlineStr">
        <is>
          <t>시장내재 배수</t>
        </is>
      </c>
      <c r="C170" s="29" t="inlineStr">
        <is>
          <t>14개 항목</t>
        </is>
      </c>
      <c r="D170" s="29" t="inlineStr">
        <is>
          <t>JSON 상세는 dashboard_payload 파일 참조</t>
        </is>
      </c>
    </row>
    <row r="171" ht="24" customHeight="1">
      <c r="A171" s="24" t="inlineStr">
        <is>
          <t>종합 가치평가</t>
        </is>
      </c>
      <c r="B171" s="24" t="inlineStr">
        <is>
          <t>품질 진단</t>
        </is>
      </c>
      <c r="C171" s="24" t="inlineStr">
        <is>
          <t>8개 행</t>
        </is>
      </c>
      <c r="D171" s="24" t="inlineStr">
        <is>
          <t>JSON 상세는 dashboard_payload 파일 참조</t>
        </is>
      </c>
    </row>
    <row r="172" ht="24" customHeight="1">
      <c r="A172" s="29" t="inlineStr">
        <is>
          <t>종합 가치평가</t>
        </is>
      </c>
      <c r="B172" s="29" t="inlineStr">
        <is>
          <t>source_completion_plan</t>
        </is>
      </c>
      <c r="C172" s="29" t="inlineStr">
        <is>
          <t>6개 행</t>
        </is>
      </c>
      <c r="D172" s="29" t="inlineStr">
        <is>
          <t>JSON 상세는 dashboard_payload 파일 참조</t>
        </is>
      </c>
    </row>
    <row r="173" ht="24" customHeight="1">
      <c r="A173" s="24" t="inlineStr">
        <is>
          <t>종합 가치평가</t>
        </is>
      </c>
      <c r="B173" s="24" t="inlineStr">
        <is>
          <t>market_snapshot</t>
        </is>
      </c>
      <c r="C173" s="24" t="inlineStr">
        <is>
          <t>32개 항목</t>
        </is>
      </c>
      <c r="D173" s="24" t="inlineStr">
        <is>
          <t>JSON 상세는 dashboard_payload 파일 참조</t>
        </is>
      </c>
    </row>
    <row r="174" ht="24" customHeight="1">
      <c r="A174" s="29" t="inlineStr">
        <is>
          <t>종합 가치평가</t>
        </is>
      </c>
      <c r="B174" s="29" t="inlineStr">
        <is>
          <t>dashboard_note_kr</t>
        </is>
      </c>
      <c r="C174" s="29" t="inlineStr">
        <is>
          <t>투자은행식 valuation pack에서 자주 쓰는 DCF·Comps·역산 DCF·오너 이익·시장내재배수 교차검증을 제공합니다.</t>
        </is>
      </c>
      <c r="D174" s="29" t="inlineStr">
        <is>
          <t>JSON 상세는 dashboard_payload 파일 참조</t>
        </is>
      </c>
    </row>
    <row r="175" ht="24" customHeight="1">
      <c r="A175" s="24" t="inlineStr">
        <is>
          <t>시장내재 배수</t>
        </is>
      </c>
      <c r="B175" s="24" t="inlineStr">
        <is>
          <t>상위 블록</t>
        </is>
      </c>
      <c r="C175" s="24" t="inlineStr">
        <is>
          <t>14개 항목</t>
        </is>
      </c>
      <c r="D175" s="24" t="inlineStr">
        <is>
          <t>대시보드에서 객체로 사용</t>
        </is>
      </c>
    </row>
    <row r="176" ht="24" customHeight="1">
      <c r="A176" s="29" t="inlineStr">
        <is>
          <t>시장내재 배수</t>
        </is>
      </c>
      <c r="B176" s="29" t="inlineStr">
        <is>
          <t>latest_close</t>
        </is>
      </c>
      <c r="C176" s="31" t="n">
        <v>96800</v>
      </c>
      <c r="D176" s="29" t="inlineStr">
        <is>
          <t>JSON 상세는 dashboard_payload 파일 참조</t>
        </is>
      </c>
    </row>
    <row r="177" ht="24" customHeight="1">
      <c r="A177" s="24" t="inlineStr">
        <is>
          <t>시장내재 배수</t>
        </is>
      </c>
      <c r="B177" s="24" t="inlineStr">
        <is>
          <t>시가총액</t>
        </is>
      </c>
      <c r="C177" s="30" t="n">
        <v>7377307080000</v>
      </c>
      <c r="D177" s="24" t="inlineStr">
        <is>
          <t>JSON 상세는 dashboard_payload 파일 참조</t>
        </is>
      </c>
    </row>
    <row r="178" ht="24" customHeight="1">
      <c r="A178" s="29" t="inlineStr">
        <is>
          <t>시장내재 배수</t>
        </is>
      </c>
      <c r="B178" s="29" t="inlineStr">
        <is>
          <t>EV proxy</t>
        </is>
      </c>
      <c r="C178" s="31" t="n">
        <v>7352813480546</v>
      </c>
      <c r="D178" s="29" t="inlineStr">
        <is>
          <t>JSON 상세는 dashboard_payload 파일 참조</t>
        </is>
      </c>
    </row>
    <row r="179" ht="24" customHeight="1">
      <c r="A179" s="24" t="inlineStr">
        <is>
          <t>시장내재 배수</t>
        </is>
      </c>
      <c r="B179" s="24" t="inlineStr">
        <is>
          <t>psr_market</t>
        </is>
      </c>
      <c r="C179" s="30" t="n">
        <v>19.80303919777647</v>
      </c>
      <c r="D179" s="24" t="inlineStr">
        <is>
          <t>JSON 상세는 dashboard_payload 파일 참조</t>
        </is>
      </c>
    </row>
    <row r="180" ht="24" customHeight="1">
      <c r="A180" s="29" t="inlineStr">
        <is>
          <t>시장내재 배수</t>
        </is>
      </c>
      <c r="B180" s="29" t="inlineStr">
        <is>
          <t>pbr_market</t>
        </is>
      </c>
      <c r="C180" s="31" t="n">
        <v>10.08905343069807</v>
      </c>
      <c r="D180" s="29" t="inlineStr">
        <is>
          <t>JSON 상세는 dashboard_payload 파일 참조</t>
        </is>
      </c>
    </row>
    <row r="181" ht="24" customHeight="1">
      <c r="A181" s="24" t="inlineStr">
        <is>
          <t>시장내재 배수</t>
        </is>
      </c>
      <c r="B181" s="24" t="inlineStr">
        <is>
          <t>per_market</t>
        </is>
      </c>
      <c r="C181" s="30" t="n">
        <v>48.54747652987924</v>
      </c>
      <c r="D181" s="24" t="inlineStr">
        <is>
          <t>JSON 상세는 dashboard_payload 파일 참조</t>
        </is>
      </c>
    </row>
    <row r="182" ht="24" customHeight="1">
      <c r="A182" s="29" t="inlineStr">
        <is>
          <t>시장내재 배수</t>
        </is>
      </c>
      <c r="B182" s="29" t="inlineStr">
        <is>
          <t>p_fcf_market</t>
        </is>
      </c>
      <c r="C182" s="31" t="n">
        <v>41.17105265976947</v>
      </c>
      <c r="D182" s="29" t="inlineStr">
        <is>
          <t>JSON 상세는 dashboard_payload 파일 참조</t>
        </is>
      </c>
    </row>
    <row r="183" ht="24" customHeight="1">
      <c r="A183" s="24" t="inlineStr">
        <is>
          <t>시장내재 배수</t>
        </is>
      </c>
      <c r="B183" s="24" t="inlineStr">
        <is>
          <t>ev_sales_market</t>
        </is>
      </c>
      <c r="C183" s="30" t="n">
        <v>19.73729058451931</v>
      </c>
      <c r="D183" s="24" t="inlineStr">
        <is>
          <t>JSON 상세는 dashboard_payload 파일 참조</t>
        </is>
      </c>
    </row>
    <row r="184" ht="24" customHeight="1">
      <c r="A184" s="29" t="inlineStr">
        <is>
          <t>시장내재 배수</t>
        </is>
      </c>
      <c r="B184" s="29" t="inlineStr">
        <is>
          <t>ev_ebit_market</t>
        </is>
      </c>
      <c r="C184" s="31" t="n">
        <v>41.54197900895673</v>
      </c>
      <c r="D184" s="29" t="inlineStr">
        <is>
          <t>JSON 상세는 dashboard_payload 파일 참조</t>
        </is>
      </c>
    </row>
    <row r="185" ht="24" customHeight="1">
      <c r="A185" s="24" t="inlineStr">
        <is>
          <t>시장내재 배수</t>
        </is>
      </c>
      <c r="B185" s="24" t="inlineStr">
        <is>
          <t>eps_derived</t>
        </is>
      </c>
      <c r="C185" s="30" t="n">
        <v>1993.924440962921</v>
      </c>
      <c r="D185" s="24" t="inlineStr">
        <is>
          <t>JSON 상세는 dashboard_payload 파일 참조</t>
        </is>
      </c>
    </row>
    <row r="186" ht="24" customHeight="1">
      <c r="A186" s="29" t="inlineStr">
        <is>
          <t>시장내재 배수</t>
        </is>
      </c>
      <c r="B186" s="29" t="inlineStr">
        <is>
          <t>bps_derived</t>
        </is>
      </c>
      <c r="C186" s="31" t="n">
        <v>9594.557176738263</v>
      </c>
      <c r="D186" s="29" t="inlineStr">
        <is>
          <t>JSON 상세는 dashboard_payload 파일 참조</t>
        </is>
      </c>
    </row>
    <row r="187" ht="24" customHeight="1">
      <c r="A187" s="24" t="inlineStr">
        <is>
          <t>시장내재 배수</t>
        </is>
      </c>
      <c r="B187" s="24" t="inlineStr">
        <is>
          <t>fcf_yield_market</t>
        </is>
      </c>
      <c r="C187" s="30" t="n">
        <v>0.02428891017831943</v>
      </c>
      <c r="D187" s="24" t="inlineStr">
        <is>
          <t>JSON 상세는 dashboard_payload 파일 참조</t>
        </is>
      </c>
    </row>
    <row r="188" ht="24" customHeight="1">
      <c r="A188" s="29" t="inlineStr">
        <is>
          <t>시장내재 배수</t>
        </is>
      </c>
      <c r="B188" s="29" t="inlineStr">
        <is>
          <t>sales_yield_market</t>
        </is>
      </c>
      <c r="C188" s="31" t="n">
        <v>0.05049729943029564</v>
      </c>
      <c r="D188" s="29" t="inlineStr">
        <is>
          <t>JSON 상세는 dashboard_payload 파일 참조</t>
        </is>
      </c>
    </row>
    <row r="189" ht="24" customHeight="1">
      <c r="A189" s="24" t="inlineStr">
        <is>
          <t>시장내재 배수</t>
        </is>
      </c>
      <c r="B189" s="24" t="inlineStr">
        <is>
          <t>source_kr</t>
        </is>
      </c>
      <c r="C189" s="24" t="inlineStr">
        <is>
          <t>DART 정규화 재무제표 + Valuation Agent 주가/발행주식 수 intake로 자동 산출</t>
        </is>
      </c>
      <c r="D189" s="24" t="inlineStr">
        <is>
          <t>JSON 상세는 dashboard_payload 파일 참조</t>
        </is>
      </c>
    </row>
    <row r="190" ht="24" customHeight="1">
      <c r="A190" s="29" t="inlineStr">
        <is>
          <t>품질 진단</t>
        </is>
      </c>
      <c r="B190" s="29" t="inlineStr">
        <is>
          <t>목록</t>
        </is>
      </c>
      <c r="C190" s="29" t="inlineStr">
        <is>
          <t>8개 행</t>
        </is>
      </c>
      <c r="D190" s="29" t="inlineStr">
        <is>
          <t>대시보드 표/차트 원천</t>
        </is>
      </c>
    </row>
    <row r="191" ht="24" customHeight="1">
      <c r="A191" s="24" t="inlineStr">
        <is>
          <t>검증 결과</t>
        </is>
      </c>
      <c r="B191" s="24" t="inlineStr">
        <is>
          <t>상위 블록</t>
        </is>
      </c>
      <c r="C191" s="24" t="inlineStr">
        <is>
          <t>4개 항목</t>
        </is>
      </c>
      <c r="D191" s="24" t="inlineStr">
        <is>
          <t>대시보드에서 객체로 사용</t>
        </is>
      </c>
    </row>
    <row r="192" ht="24" customHeight="1">
      <c r="A192" s="29" t="inlineStr">
        <is>
          <t>검증 결과</t>
        </is>
      </c>
      <c r="B192" s="29" t="inlineStr">
        <is>
          <t>상태</t>
        </is>
      </c>
      <c r="C192" s="29" t="inlineStr">
        <is>
          <t>PASS</t>
        </is>
      </c>
      <c r="D192" s="29" t="inlineStr">
        <is>
          <t>JSON 상세는 dashboard_payload 파일 참조</t>
        </is>
      </c>
    </row>
    <row r="193" ht="24" customHeight="1">
      <c r="A193" s="24" t="inlineStr">
        <is>
          <t>검증 결과</t>
        </is>
      </c>
      <c r="B193" s="24" t="inlineStr">
        <is>
          <t>issues</t>
        </is>
      </c>
      <c r="C193" s="24" t="inlineStr">
        <is>
          <t>1개 행</t>
        </is>
      </c>
      <c r="D193" s="24" t="inlineStr">
        <is>
          <t>JSON 상세는 dashboard_payload 파일 참조</t>
        </is>
      </c>
    </row>
    <row r="194" ht="24" customHeight="1">
      <c r="A194" s="29" t="inlineStr">
        <is>
          <t>검증 결과</t>
        </is>
      </c>
      <c r="B194" s="29" t="inlineStr">
        <is>
          <t>audit_trail</t>
        </is>
      </c>
      <c r="C194" s="29" t="inlineStr">
        <is>
          <t>6개 행</t>
        </is>
      </c>
      <c r="D194" s="29" t="inlineStr">
        <is>
          <t>JSON 상세는 dashboard_payload 파일 참조</t>
        </is>
      </c>
    </row>
    <row r="195" ht="24" customHeight="1">
      <c r="A195" s="24" t="inlineStr">
        <is>
          <t>검증 결과</t>
        </is>
      </c>
      <c r="B195" s="24" t="inlineStr">
        <is>
          <t>principle</t>
        </is>
      </c>
      <c r="C195" s="24" t="inlineStr">
        <is>
          <t>valuation_agent 자체 데이터/모델 일관성 검증; 기존 web-auditor 의존 없음</t>
        </is>
      </c>
      <c r="D195" s="24" t="inlineStr">
        <is>
          <t>JSON 상세는 dashboard_payload 파일 참조</t>
        </is>
      </c>
    </row>
    <row r="196" ht="24" customHeight="1">
      <c r="A196" s="29" t="inlineStr">
        <is>
          <t>display_labels_kr</t>
        </is>
      </c>
      <c r="B196" s="29" t="inlineStr">
        <is>
          <t>상위 블록</t>
        </is>
      </c>
      <c r="C196" s="29" t="inlineStr">
        <is>
          <t>8개 항목</t>
        </is>
      </c>
      <c r="D196" s="29" t="inlineStr">
        <is>
          <t>대시보드에서 객체로 사용</t>
        </is>
      </c>
    </row>
    <row r="197" ht="24" customHeight="1">
      <c r="A197" s="24" t="inlineStr">
        <is>
          <t>display_labels_kr</t>
        </is>
      </c>
      <c r="B197" s="24" t="inlineStr">
        <is>
          <t>summary_cards</t>
        </is>
      </c>
      <c r="C197" s="24" t="inlineStr">
        <is>
          <t>핵심 요약 카드</t>
        </is>
      </c>
      <c r="D197" s="24" t="inlineStr">
        <is>
          <t>JSON 상세는 dashboard_payload 파일 참조</t>
        </is>
      </c>
    </row>
    <row r="198" ht="24" customHeight="1">
      <c r="A198" s="29" t="inlineStr">
        <is>
          <t>display_labels_kr</t>
        </is>
      </c>
      <c r="B198" s="29" t="inlineStr">
        <is>
          <t>price_history</t>
        </is>
      </c>
      <c r="C198" s="29" t="inlineStr">
        <is>
          <t>주가 차트</t>
        </is>
      </c>
      <c r="D198" s="29" t="inlineStr">
        <is>
          <t>JSON 상세는 dashboard_payload 파일 참조</t>
        </is>
      </c>
    </row>
    <row r="199" ht="24" customHeight="1">
      <c r="A199" s="24" t="inlineStr">
        <is>
          <t>display_labels_kr</t>
        </is>
      </c>
      <c r="B199" s="24" t="inlineStr">
        <is>
          <t>historical_financials</t>
        </is>
      </c>
      <c r="C199" s="24" t="inlineStr">
        <is>
          <t>재무 추이</t>
        </is>
      </c>
      <c r="D199" s="24" t="inlineStr">
        <is>
          <t>JSON 상세는 dashboard_payload 파일 참조</t>
        </is>
      </c>
    </row>
    <row r="200" ht="24" customHeight="1">
      <c r="A200" s="29" t="inlineStr">
        <is>
          <t>display_labels_kr</t>
        </is>
      </c>
      <c r="B200" s="29" t="inlineStr">
        <is>
          <t>fcf_projection</t>
        </is>
      </c>
      <c r="C200" s="29" t="inlineStr">
        <is>
          <t>FCF 추정</t>
        </is>
      </c>
      <c r="D200" s="29" t="inlineStr">
        <is>
          <t>JSON 상세는 dashboard_payload 파일 참조</t>
        </is>
      </c>
    </row>
    <row r="201" ht="24" customHeight="1">
      <c r="A201" s="24" t="inlineStr">
        <is>
          <t>display_labels_kr</t>
        </is>
      </c>
      <c r="B201" s="24" t="inlineStr">
        <is>
          <t>peer_multiples</t>
        </is>
      </c>
      <c r="C201" s="24" t="inlineStr">
        <is>
          <t>비교기업 멀티플 비교</t>
        </is>
      </c>
      <c r="D201" s="24" t="inlineStr">
        <is>
          <t>JSON 상세는 dashboard_payload 파일 참조</t>
        </is>
      </c>
    </row>
    <row r="202" ht="24" customHeight="1">
      <c r="A202" s="29" t="inlineStr">
        <is>
          <t>display_labels_kr</t>
        </is>
      </c>
      <c r="B202" s="29" t="inlineStr">
        <is>
          <t>reference_universe_focus</t>
        </is>
      </c>
      <c r="C202" s="29" t="inlineStr">
        <is>
          <t>208개 반도체 비교군 상대위치</t>
        </is>
      </c>
      <c r="D202" s="29" t="inlineStr">
        <is>
          <t>JSON 상세는 dashboard_payload 파일 참조</t>
        </is>
      </c>
    </row>
    <row r="203" ht="24" customHeight="1">
      <c r="A203" s="24" t="inlineStr">
        <is>
          <t>display_labels_kr</t>
        </is>
      </c>
      <c r="B203" s="24" t="inlineStr">
        <is>
          <t>advanced_valuation</t>
        </is>
      </c>
      <c r="C203" s="24" t="inlineStr">
        <is>
          <t>종합 가치평가</t>
        </is>
      </c>
      <c r="D203" s="24" t="inlineStr">
        <is>
          <t>JSON 상세는 dashboard_payload 파일 참조</t>
        </is>
      </c>
    </row>
    <row r="204" ht="24" customHeight="1">
      <c r="A204" s="29" t="inlineStr">
        <is>
          <t>display_labels_kr</t>
        </is>
      </c>
      <c r="B204" s="29" t="inlineStr">
        <is>
          <t>download_workbook</t>
        </is>
      </c>
      <c r="C204" s="29" t="inlineStr">
        <is>
          <t>엑셀 다운로드</t>
        </is>
      </c>
      <c r="D204" s="29" t="inlineStr">
        <is>
          <t>JSON 상세는 dashboard_payload 파일 참조</t>
        </is>
      </c>
    </row>
    <row r="205" ht="24" customHeight="1">
      <c r="A205" s="24" t="inlineStr">
        <is>
          <t>dashboard_usage_note</t>
        </is>
      </c>
      <c r="B205" s="24" t="inlineStr">
        <is>
          <t>값</t>
        </is>
      </c>
      <c r="C205" s="24" t="inlineStr">
        <is>
          <t>Streamlit/React 대시보드에서 한국어 카드, 주가 차트, DCF·P/S·P/B·PER·가치범위표, 208개 기준 비교군 표/산점도, 검증 배지, 엑셀 다운로드 버튼에 바로 연결할 수 있습니다.</t>
        </is>
      </c>
      <c r="D205" s="24" t="inlineStr">
        <is>
          <t>대시보드 기본값</t>
        </is>
      </c>
    </row>
  </sheetData>
  <autoFilter ref="A2:D205"/>
  <mergeCells count="1">
    <mergeCell ref="A1:F1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감사 추적</t>
        </is>
      </c>
    </row>
    <row r="2" ht="24" customHeight="1">
      <c r="A2" s="25" t="inlineStr">
        <is>
          <t>단계</t>
        </is>
      </c>
      <c r="B2" s="25" t="inlineStr">
        <is>
          <t>상태</t>
        </is>
      </c>
      <c r="C2" s="25" t="inlineStr">
        <is>
          <t>rows</t>
        </is>
      </c>
      <c r="D2" s="25" t="inlineStr">
        <is>
          <t>발행주식 수</t>
        </is>
      </c>
      <c r="E2" s="25" t="inlineStr">
        <is>
          <t>시가총액</t>
        </is>
      </c>
      <c r="F2" s="25" t="inlineStr">
        <is>
          <t>20일 평균 거래대금</t>
        </is>
      </c>
    </row>
    <row r="3" ht="24" customHeight="1">
      <c r="A3" s="24" t="inlineStr">
        <is>
          <t>normalized_financials</t>
        </is>
      </c>
      <c r="B3" s="24" t="inlineStr">
        <is>
          <t>OK</t>
        </is>
      </c>
      <c r="C3" s="30" t="n">
        <v>5</v>
      </c>
      <c r="D3" s="24" t="inlineStr">
        <is>
          <t>해당 없음</t>
        </is>
      </c>
      <c r="E3" s="24" t="inlineStr">
        <is>
          <t>해당 없음</t>
        </is>
      </c>
      <c r="F3" s="24" t="inlineStr">
        <is>
          <t>해당 없음</t>
        </is>
      </c>
    </row>
    <row r="4" ht="24" customHeight="1">
      <c r="A4" s="29" t="inlineStr">
        <is>
          <t>price_history</t>
        </is>
      </c>
      <c r="B4" s="29" t="inlineStr">
        <is>
          <t>OK</t>
        </is>
      </c>
      <c r="C4" s="31" t="n">
        <v>1212</v>
      </c>
      <c r="D4" s="29" t="inlineStr">
        <is>
          <t>해당 없음</t>
        </is>
      </c>
      <c r="E4" s="29" t="inlineStr">
        <is>
          <t>해당 없음</t>
        </is>
      </c>
      <c r="F4" s="29" t="inlineStr">
        <is>
          <t>해당 없음</t>
        </is>
      </c>
    </row>
    <row r="5" ht="24" customHeight="1">
      <c r="A5" s="24" t="inlineStr">
        <is>
          <t>share_count</t>
        </is>
      </c>
      <c r="B5" s="24" t="inlineStr">
        <is>
          <t>OK</t>
        </is>
      </c>
      <c r="C5" s="24" t="inlineStr">
        <is>
          <t>해당 없음</t>
        </is>
      </c>
      <c r="D5" s="30" t="n">
        <v>76211850</v>
      </c>
      <c r="E5" s="24" t="inlineStr">
        <is>
          <t>해당 없음</t>
        </is>
      </c>
      <c r="F5" s="24" t="inlineStr">
        <is>
          <t>해당 없음</t>
        </is>
      </c>
    </row>
    <row r="6" ht="24" customHeight="1">
      <c r="A6" s="29" t="inlineStr">
        <is>
          <t>reference_universe</t>
        </is>
      </c>
      <c r="B6" s="29" t="inlineStr">
        <is>
          <t>OK</t>
        </is>
      </c>
      <c r="C6" s="31" t="n">
        <v>208</v>
      </c>
      <c r="D6" s="29" t="inlineStr">
        <is>
          <t>해당 없음</t>
        </is>
      </c>
      <c r="E6" s="29" t="inlineStr">
        <is>
          <t>해당 없음</t>
        </is>
      </c>
      <c r="F6" s="29" t="inlineStr">
        <is>
          <t>해당 없음</t>
        </is>
      </c>
    </row>
    <row r="7" ht="24" customHeight="1">
      <c r="A7" s="24" t="inlineStr">
        <is>
          <t>market_cap</t>
        </is>
      </c>
      <c r="B7" s="24" t="inlineStr">
        <is>
          <t>OK</t>
        </is>
      </c>
      <c r="C7" s="24" t="inlineStr">
        <is>
          <t>해당 없음</t>
        </is>
      </c>
      <c r="D7" s="24" t="inlineStr">
        <is>
          <t>해당 없음</t>
        </is>
      </c>
      <c r="E7" s="30" t="n">
        <v>7377307080000</v>
      </c>
      <c r="F7" s="24" t="inlineStr">
        <is>
          <t>해당 없음</t>
        </is>
      </c>
    </row>
    <row r="8" ht="24" customHeight="1">
      <c r="A8" s="29" t="inlineStr">
        <is>
          <t>liquidity_proxy</t>
        </is>
      </c>
      <c r="B8" s="29" t="inlineStr">
        <is>
          <t>OK</t>
        </is>
      </c>
      <c r="C8" s="29" t="inlineStr">
        <is>
          <t>해당 없음</t>
        </is>
      </c>
      <c r="D8" s="29" t="inlineStr">
        <is>
          <t>해당 없음</t>
        </is>
      </c>
      <c r="E8" s="29" t="inlineStr">
        <is>
          <t>해당 없음</t>
        </is>
      </c>
      <c r="F8" s="31" t="n">
        <v>131703750560</v>
      </c>
    </row>
  </sheetData>
  <autoFilter ref="A2:F8"/>
  <mergeCells count="1">
    <mergeCell ref="A1:F1"/>
  </mergeCells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업로드 파이낸셜 모델링 파일에서 추출한 설계 archetype</t>
        </is>
      </c>
    </row>
    <row r="2" ht="24" customHeight="1">
      <c r="A2" s="25" t="inlineStr">
        <is>
          <t>모델 유형</t>
        </is>
      </c>
      <c r="B2" s="25" t="inlineStr">
        <is>
          <t>설명</t>
        </is>
      </c>
      <c r="C2" s="25" t="inlineStr">
        <is>
          <t>참조 파일 패턴</t>
        </is>
      </c>
      <c r="D2" s="25" t="inlineStr">
        <is>
          <t>관찰된 시트</t>
        </is>
      </c>
      <c r="E2" s="25" t="inlineStr">
        <is>
          <t>권장 시트</t>
        </is>
      </c>
      <c r="F2" s="25" t="inlineStr">
        <is>
          <t>필요 데이터</t>
        </is>
      </c>
      <c r="G2" s="25" t="inlineStr">
        <is>
          <t>키워드</t>
        </is>
      </c>
    </row>
    <row r="3" ht="24" customHeight="1">
      <c r="A3" s="24" t="inlineStr">
        <is>
          <t>DCF_CORE</t>
        </is>
      </c>
      <c r="B3" s="24" t="inlineStr">
        <is>
          <t>DCF 핵심 모델: 가정, 정규화 재무제표, WACC, FCF 추정, DCF, 검증체크.</t>
        </is>
      </c>
      <c r="C3" s="24" t="inlineStr">
        <is>
          <t>파이낸셜 모델링 플레이북 / DCF, Value, Valuation, FCF, WACC 실습형 파일</t>
        </is>
      </c>
      <c r="D3" s="24" t="inlineStr">
        <is>
          <t>DCF | Summary | Sales | COGS | SG&amp;A | CAPEX Dep. | WC | Debt | FCF | WACC | Value</t>
        </is>
      </c>
      <c r="E3" s="24" t="inlineStr">
        <is>
          <t>01_ReadMe | 02_Assumptions | 03_Raw_Financials | 04_Normalized_FS | 05_Key_Ratios | 06_WACC | 07_FCF_Projection | 08_DCF | 09_Sensitivity | 10_Checks</t>
        </is>
      </c>
      <c r="F3" s="24" t="inlineStr">
        <is>
          <t>financial_statements | price_history | capital_structure | macro_assumptions | shares_outstanding</t>
        </is>
      </c>
      <c r="G3" s="24" t="inlineStr">
        <is>
          <t>dcf | wacc | fcf | valuation | value | capex | debt</t>
        </is>
      </c>
    </row>
    <row r="4" ht="24" customHeight="1">
      <c r="A4" s="29" t="inlineStr">
        <is>
          <t>THREE_STATEMENT_MODEL</t>
        </is>
      </c>
      <c r="B4" s="29" t="inlineStr">
        <is>
          <t>Three-statement style model: PL/BS/CF raw data normalization and operating driver projection.</t>
        </is>
      </c>
      <c r="C4" s="29" t="inlineStr">
        <is>
          <t>재무모델링/재무기획 자료 중 FS, BS, PL, CF, Raw data, Normalized 형태</t>
        </is>
      </c>
      <c r="D4" s="29" t="inlineStr">
        <is>
          <t>FS | BS | PL | CF | Raw data | Input | Output | Check</t>
        </is>
      </c>
      <c r="E4" s="29" t="inlineStr">
        <is>
          <t>01_ReadMe | 02_Source_Map | 03_Raw_Financials | 04_Normalized_FS | 05_Ratio_Drivers | 06_Projection | 07_Checks</t>
        </is>
      </c>
      <c r="F4" s="29" t="inlineStr">
        <is>
          <t>financial_statements | account_mapping | historical_ratios | projection_drivers</t>
        </is>
      </c>
      <c r="G4" s="29" t="inlineStr">
        <is>
          <t>fs | bs | pl | cf | raw | normalized | projection</t>
        </is>
      </c>
    </row>
    <row r="5" ht="24" customHeight="1">
      <c r="A5" s="24" t="inlineStr">
        <is>
          <t>PEER_COMPS</t>
        </is>
      </c>
      <c r="B5" s="24" t="inlineStr">
        <is>
          <t>Comparable-company workbook for peer multiples and relative valuation.</t>
        </is>
      </c>
      <c r="C5" s="24" t="inlineStr">
        <is>
          <t>Peer Analysis, 시장/산업 비교, valuation multiple 관련 시트</t>
        </is>
      </c>
      <c r="D5" s="24" t="inlineStr">
        <is>
          <t>Peer Analysis | Comps | Market | Industry | Output</t>
        </is>
      </c>
      <c r="E5" s="24" t="inlineStr">
        <is>
          <t>01_ReadMe | 02_Peer_Universe | 03_Peer_Raw_Data | 04_Peer_Multiples | 05_Relative_Value | 06_Checks</t>
        </is>
      </c>
      <c r="F5" s="24" t="inlineStr">
        <is>
          <t>peer_financials | peer_prices | market_cap | revenue | net_income | equity</t>
        </is>
      </c>
      <c r="G5" s="24" t="inlineStr">
        <is>
          <t>peer | comps | multiple | per | pbr | psr | ev</t>
        </is>
      </c>
    </row>
    <row r="6" ht="24" customHeight="1">
      <c r="A6" s="29" t="inlineStr">
        <is>
          <t>SCENARIO_SENSITIVITY</t>
        </is>
      </c>
      <c r="B6" s="29" t="inlineStr">
        <is>
          <t>Scenario workbook: base/bull/bear assumptions and DCF sensitivity table.</t>
        </is>
      </c>
      <c r="C6" s="29" t="inlineStr">
        <is>
          <t>Scenario, Sensitivity, 가정별 변화 보기, Check 관련 시트</t>
        </is>
      </c>
      <c r="D6" s="29" t="inlineStr">
        <is>
          <t>Scenario | Sensitivity | Input | Check | Output</t>
        </is>
      </c>
      <c r="E6" s="29" t="inlineStr">
        <is>
          <t>01_ReadMe | 02_Assumptions | 03_Scenario_Setup | 04_DCF_Base | 05_Sensitivity | 06_Checks</t>
        </is>
      </c>
      <c r="F6" s="29" t="inlineStr">
        <is>
          <t>base_assumptions | wacc_range | terminal_growth_range | growth_scenarios</t>
        </is>
      </c>
      <c r="G6" s="29" t="inlineStr">
        <is>
          <t>scenario | sensitivity | case | bear | bull | check</t>
        </is>
      </c>
    </row>
    <row r="7" ht="24" customHeight="1">
      <c r="A7" s="24" t="inlineStr">
        <is>
          <t>MANUFACTURING_DRIVER_MODEL</t>
        </is>
      </c>
      <c r="B7" s="24" t="inlineStr">
        <is>
          <t>Manufacturing-style driver model inferred from sheets such as Sales, COGS, CAPEX, SG&amp;A, WC, TAX, DEBT and Backdata.</t>
        </is>
      </c>
      <c r="C7" s="24" t="inlineStr">
        <is>
          <t>제조업/DCF Valuation_after_22ver/DCF+CoCo Valuation+reporting 등 driver-based workbook</t>
        </is>
      </c>
      <c r="D7" s="24" t="inlineStr">
        <is>
          <t>DCF Results | Output☞ | Report | CoCo | DCF | FCST BS | FCST IS | FCST CF | WP☞ | Assumption | Sales | COGS | CAPEX | Payroll | SG&amp;A | DEBT | TAX | WC | WACC | Backdata☞</t>
        </is>
      </c>
      <c r="E7" s="24" t="inlineStr">
        <is>
          <t>01_ReadMe | 02_Assumptions | 03_Raw_Financials | 04_Driver_Input | 05_Revenue_COGS_SGA | 06_CAPEX_WC_Tax | 07_Forecast_FS | 08_WACC | 09_DCF | 10_CoCo | 11_Report</t>
        </is>
      </c>
      <c r="F7" s="24" t="inlineStr">
        <is>
          <t>historical_fs | sales_driver | margin_driver | capex_driver | working_capital_driver | tax_assumption | debt_assumption</t>
        </is>
      </c>
      <c r="G7" s="24" t="inlineStr">
        <is>
          <t>manufacturing | driver | sales | cogs | capex | wc | tax | coco</t>
        </is>
      </c>
    </row>
    <row r="8" ht="24" customHeight="1">
      <c r="A8" s="29" t="inlineStr">
        <is>
          <t>FPNA_BUDGET_FORECAST</t>
        </is>
      </c>
      <c r="B8" s="29" t="inlineStr">
        <is>
          <t>FP&amp;A budget/forecast model inferred from Legend, Scenario, Input, Inventory, Cost, Working Capital and Financial Statement sheets.</t>
        </is>
      </c>
      <c r="C8" s="29" t="inlineStr">
        <is>
          <t>FP&amp;A / Budget &amp; Forecast xlsm examples</t>
        </is>
      </c>
      <c r="D8" s="29" t="inlineStr">
        <is>
          <t>Legend | Scenario | Input | Inventory | Cost | Working capital | Dep &amp; Tax | Debt &amp; Equity | Financial Statement | Valuation | Check | Actual</t>
        </is>
      </c>
      <c r="E8" s="29" t="inlineStr">
        <is>
          <t>01_ReadMe | 02_Scenario | 03_Input | 04_Actual | 05_Budget_Forecast | 06_Working_Capital | 07_Debt_Equity | 08_Financial_Statement | 09_Valuation | 10_Check</t>
        </is>
      </c>
      <c r="F8" s="29" t="inlineStr">
        <is>
          <t>actual_fs | budget_assumptions | scenario_assumptions | inventory_driver | cost_driver | debt_equity_driver</t>
        </is>
      </c>
      <c r="G8" s="29" t="inlineStr">
        <is>
          <t>fp&amp;a | budget | forecast | scenario | inventory | cost | working capital</t>
        </is>
      </c>
    </row>
    <row r="9" ht="24" customHeight="1">
      <c r="A9" s="24" t="inlineStr">
        <is>
          <t>M_AND_A_DEAL_STRUCTURING</t>
        </is>
      </c>
      <c r="B9" s="24" t="inlineStr">
        <is>
          <t>M&amp;A/deal structuring workbook pattern for merger, secondary sale, rights offering and CB issuance outputs.</t>
        </is>
      </c>
      <c r="C9" s="24" t="inlineStr">
        <is>
          <t>M&amp;A modeling pack / deal structuring exercise</t>
        </is>
      </c>
      <c r="D9" s="24" t="inlineStr">
        <is>
          <t>합병 | 구주매각 | 유상증자 | CB발행 | Peer Analysis | FS (dart) | Peer data (CapIQ) | 참고) Peer List (네이버증권)</t>
        </is>
      </c>
      <c r="E9" s="24" t="inlineStr">
        <is>
          <t>01_ReadMe | 02_Deal_Assumptions | 03_Target_FS | 04_Peer_Comps | 05_Merger | 06_Equity_Issuance | 07_CB_Issuance | 08_Value_Impact | 09_Checks</t>
        </is>
      </c>
      <c r="F9" s="24" t="inlineStr">
        <is>
          <t>target_fs | peer_multiples | deal_assumptions | share_price | capital_structure</t>
        </is>
      </c>
      <c r="G9" s="24" t="inlineStr">
        <is>
          <t>m&amp;a | deal | merger | cb | issuance | peer analysis</t>
        </is>
      </c>
    </row>
    <row r="10" ht="24" customHeight="1">
      <c r="A10" s="29" t="inlineStr">
        <is>
          <t>LBO_CREDIT_CASE</t>
        </is>
      </c>
      <c r="B10" s="29" t="inlineStr">
        <is>
          <t>LBO/debt capacity style model inferred from assumptions, covenants, FCFF, debt and country/rate sheets.</t>
        </is>
      </c>
      <c r="C10" s="29" t="inlineStr">
        <is>
          <t>part10 LBO modeling pack</t>
        </is>
      </c>
      <c r="D10" s="29" t="inlineStr">
        <is>
          <t>Assumptions | Covenants | FCFF (Hold Co) | FCFF(Op) | 추정PL | Sales | PL | BS | Summary | 채권수익률</t>
        </is>
      </c>
      <c r="E10" s="29" t="inlineStr">
        <is>
          <t>01_ReadMe | 02_Assumptions | 03_FCFF | 04_Debt_Schedule | 05_Covenants | 06_Returns | 07_Credit_Checks</t>
        </is>
      </c>
      <c r="F10" s="29" t="inlineStr">
        <is>
          <t>fcff | debt_assumption | interest_rate | covenant_threshold | exit_multiple</t>
        </is>
      </c>
      <c r="G10" s="29" t="inlineStr">
        <is>
          <t>lbo | covenant | debt | fcff | exit | credit</t>
        </is>
      </c>
    </row>
    <row r="11" ht="24" customHeight="1">
      <c r="A11" s="24" t="inlineStr">
        <is>
          <t>RISK_DASHBOARD_EXPORT</t>
        </is>
      </c>
      <c r="B11" s="24" t="inlineStr">
        <is>
          <t>Dashboard/export workbook for investor-facing outputs, risk checks and downloadable payloads.</t>
        </is>
      </c>
      <c r="C11" s="24" t="inlineStr">
        <is>
          <t>ChatGPT로 완성하는 파이낸셜 모델링 및 재무기획 / 수업개요, 엑셀함수, 데이터베이스 스키마, Dashboard/Output</t>
        </is>
      </c>
      <c r="D11" s="24" t="inlineStr">
        <is>
          <t>수업개요 | 엑셀함수소개 | Sheet1 | Dashboard | Output</t>
        </is>
      </c>
      <c r="E11" s="24" t="inlineStr">
        <is>
          <t>01_ReadMe | 02_Raw_Data | 03_Normalized | 04_Output | 05_Dashboard_Export | 06_Checks</t>
        </is>
      </c>
      <c r="F11" s="24" t="inlineStr">
        <is>
          <t>valuation_metrics | risk_flags | chart_series | dashboard_payload | validation_status</t>
        </is>
      </c>
      <c r="G11" s="24" t="inlineStr">
        <is>
          <t>dashboard | output | export | risk | schema | check</t>
        </is>
      </c>
    </row>
  </sheetData>
  <autoFilter ref="A2:G11"/>
  <mergeCells count="1">
    <mergeCell ref="A1:F1"/>
  </mergeCells>
  <pageMargins left="0.75" right="0.7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리노공업 투자자용 요약</t>
        </is>
      </c>
    </row>
    <row r="2" ht="28" customHeight="1">
      <c r="A2" s="17" t="inlineStr">
        <is>
          <t>Valuation Agent 단독 산출: 재무 원천·주가·DCF·Peer·ML 보조판단을 한 장으로 요약</t>
        </is>
      </c>
    </row>
    <row r="3" ht="24" customHeight="1"/>
    <row r="4" ht="24" customHeight="1">
      <c r="A4" s="22" t="inlineStr">
        <is>
          <t>투자자 핵심 요약</t>
        </is>
      </c>
    </row>
    <row r="5" ht="24" customHeight="1">
      <c r="A5" s="25" t="inlineStr">
        <is>
          <t>구분</t>
        </is>
      </c>
      <c r="B5" s="25" t="inlineStr">
        <is>
          <t>핵심값</t>
        </is>
      </c>
      <c r="C5" s="25" t="inlineStr">
        <is>
          <t>해석</t>
        </is>
      </c>
    </row>
    <row r="6" ht="24" customHeight="1">
      <c r="A6" s="24" t="inlineStr">
        <is>
          <t>데이터 상태</t>
        </is>
      </c>
      <c r="B6" s="24" t="inlineStr">
        <is>
          <t>PASS</t>
        </is>
      </c>
      <c r="C6" s="24" t="inlineStr">
        <is>
          <t>PASS이면 workbook/dashboard용 주요 입력값이 준비된 상태</t>
        </is>
      </c>
    </row>
    <row r="7" ht="24" customHeight="1">
      <c r="A7" s="29" t="inlineStr">
        <is>
          <t>현재가</t>
        </is>
      </c>
      <c r="B7" s="31" t="n">
        <v>96800</v>
      </c>
      <c r="C7" s="29" t="inlineStr">
        <is>
          <t>주가 intake 기준 최근 종가</t>
        </is>
      </c>
    </row>
    <row r="8" ht="24" customHeight="1">
      <c r="A8" s="24" t="inlineStr">
        <is>
          <t>시가총액</t>
        </is>
      </c>
      <c r="B8" s="30" t="n">
        <v>7377307080000</v>
      </c>
      <c r="C8" s="24" t="inlineStr">
        <is>
          <t>현재가 × 발행주식 수</t>
        </is>
      </c>
    </row>
    <row r="9" ht="24" customHeight="1">
      <c r="A9" s="29" t="inlineStr">
        <is>
          <t>최근 매출액</t>
        </is>
      </c>
      <c r="B9" s="31" t="n">
        <v>372534084608</v>
      </c>
      <c r="C9" s="29" t="inlineStr">
        <is>
          <t>DART 기반 정규화 재무제표</t>
        </is>
      </c>
    </row>
    <row r="10" ht="24" customHeight="1">
      <c r="A10" s="24" t="inlineStr">
        <is>
          <t>최근 영업이익률</t>
        </is>
      </c>
      <c r="B10" s="30" t="n">
        <v>0.4751167627392961</v>
      </c>
      <c r="C10" s="24" t="inlineStr">
        <is>
          <t>영업이익 / 매출액</t>
        </is>
      </c>
    </row>
    <row r="11" ht="24" customHeight="1">
      <c r="A11" s="29" t="inlineStr">
        <is>
          <t>최근 FCF margin</t>
        </is>
      </c>
      <c r="B11" s="31" t="n">
        <v>0.4809942403325316</v>
      </c>
      <c r="C11" s="29" t="inlineStr">
        <is>
          <t>FCF / 매출액</t>
        </is>
      </c>
    </row>
    <row r="12" ht="24" customHeight="1">
      <c r="A12" s="24" t="inlineStr">
        <is>
          <t>WACC</t>
        </is>
      </c>
      <c r="B12" s="30" t="n">
        <v>0.1421740039132658</v>
      </c>
      <c r="C12" s="24" t="inlineStr">
        <is>
          <t>DCF 할인율</t>
        </is>
      </c>
    </row>
    <row r="13" ht="24" customHeight="1">
      <c r="A13" s="29" t="inlineStr">
        <is>
          <t>DCF 기업가치</t>
        </is>
      </c>
      <c r="B13" s="31" t="n">
        <v>822695193514.7249</v>
      </c>
      <c r="C13" s="29" t="inlineStr">
        <is>
          <t>명시기간 FCF + Terminal Value 현재가치</t>
        </is>
      </c>
    </row>
    <row r="14" ht="24" customHeight="1">
      <c r="A14" s="24" t="inlineStr">
        <is>
          <t>DCF 내재주가</t>
        </is>
      </c>
      <c r="B14" s="30" t="n">
        <v>11116.23445656712</v>
      </c>
      <c r="C14" s="24" t="inlineStr">
        <is>
          <t>지분가치 / 발행주식 수</t>
        </is>
      </c>
    </row>
    <row r="15" ht="24" customHeight="1">
      <c r="A15" s="29" t="inlineStr">
        <is>
          <t>현재가 대비 괴리율</t>
        </is>
      </c>
      <c r="B15" s="31" t="n">
        <v>-0.885162867184224</v>
      </c>
      <c r="C15" s="29" t="inlineStr">
        <is>
          <t>내재주가 / 현재가 - 1</t>
        </is>
      </c>
    </row>
    <row r="16" ht="24" customHeight="1">
      <c r="A16" s="24" t="inlineStr">
        <is>
          <t>P/S</t>
        </is>
      </c>
      <c r="B16" s="30" t="n">
        <v>1.258122111711799</v>
      </c>
      <c r="C16" s="24" t="inlineStr">
        <is>
          <t>피어 대비 저PSR 구간: 상대 저평가 가능성</t>
        </is>
      </c>
    </row>
    <row r="17" ht="24" customHeight="1">
      <c r="A17" s="29" t="inlineStr">
        <is>
          <t>Peer P/S 중앙값</t>
        </is>
      </c>
      <c r="B17" s="31" t="n">
        <v>3.436583457683996</v>
      </c>
      <c r="C17" s="29" t="inlineStr">
        <is>
          <t>5개 live peer 기준 상대가치 비교</t>
        </is>
      </c>
    </row>
    <row r="18" ht="24" customHeight="1">
      <c r="A18" s="24" t="inlineStr">
        <is>
          <t>208개 Universe</t>
        </is>
      </c>
      <c r="B18" s="30" t="n">
        <v>208</v>
      </c>
      <c r="C18" s="24" t="inlineStr">
        <is>
          <t>후공정/패키징/테스트</t>
        </is>
      </c>
    </row>
    <row r="19" ht="24" customHeight="1">
      <c r="A19" s="29" t="inlineStr">
        <is>
          <t>1년 수익률</t>
        </is>
      </c>
      <c r="B19" s="31" t="n">
        <v>1.482051282051282</v>
      </c>
      <c r="C19" s="29" t="inlineStr">
        <is>
          <t>최근 약 1년 주가 변화</t>
        </is>
      </c>
    </row>
    <row r="20" ht="24" customHeight="1">
      <c r="A20" s="24" t="inlineStr">
        <is>
          <t>MDD</t>
        </is>
      </c>
      <c r="B20" s="30" t="n">
        <v>-0.4959731543624161</v>
      </c>
      <c r="C20" s="24" t="inlineStr">
        <is>
          <t>수집 기간 중 최대 낙폭</t>
        </is>
      </c>
    </row>
    <row r="21" ht="24" customHeight="1">
      <c r="A21" s="29" t="inlineStr">
        <is>
          <t>20일 평균 거래대금</t>
        </is>
      </c>
      <c r="B21" s="31" t="n">
        <v>131703750560</v>
      </c>
      <c r="C21" s="29" t="inlineStr">
        <is>
          <t>거래 유동성 proxy</t>
        </is>
      </c>
    </row>
    <row r="22" ht="24" customHeight="1">
      <c r="A22" s="22" t="inlineStr">
        <is>
          <t>활용 체크포인트</t>
        </is>
      </c>
      <c r="B22" s="32" t="n"/>
      <c r="C22" s="32" t="n"/>
      <c r="D22" s="32" t="n"/>
      <c r="E22" s="32" t="n"/>
      <c r="F22" s="33" t="n"/>
    </row>
    <row r="23" ht="24" customHeight="1">
      <c r="A23" s="25" t="inlineStr">
        <is>
          <t>체크포인트</t>
        </is>
      </c>
      <c r="B23" s="34" t="inlineStr">
        <is>
          <t>내용</t>
        </is>
      </c>
      <c r="C23" s="29" t="inlineStr">
        <is>
          <t>반도체 5개 focal universe</t>
        </is>
      </c>
    </row>
    <row r="24" ht="24" customHeight="1">
      <c r="A24" s="24" t="inlineStr">
        <is>
          <t>가중합 반영</t>
        </is>
      </c>
      <c r="B24" s="24" t="inlineStr">
        <is>
          <t>기존 Chair 5개 에이전트 가중합에는 미반영. 보조 가치평가·다운로드 산출물로 사용</t>
        </is>
      </c>
    </row>
    <row r="25" ht="24" customHeight="1">
      <c r="A25" s="29" t="inlineStr">
        <is>
          <t>Finance와 중복 방지</t>
        </is>
      </c>
      <c r="B25" s="29" t="inlineStr">
        <is>
          <t>finance_agent 산출물을 읽지 않고 valuation/intake 산출물만 사용</t>
        </is>
      </c>
    </row>
    <row r="26" ht="24" customHeight="1">
      <c r="A26" s="24" t="inlineStr">
        <is>
          <t>대시보드 연결</t>
        </is>
      </c>
      <c r="B26" s="24" t="inlineStr">
        <is>
          <t>dashboard_payload.json과 workbook 시트를 그대로 Streamlit/React 다운로드 영역에 연결 가능</t>
        </is>
      </c>
    </row>
    <row r="27" ht="24" customHeight="1">
      <c r="A27" s="29" t="inlineStr">
        <is>
          <t>PSR/208개 Universe</t>
        </is>
      </c>
      <c r="B27" s="29" t="inlineStr">
        <is>
          <t>P/S와 208개 반도체 reference universe를 함께 보여줘 단순 DCF보다 비교 설명력을 강화</t>
        </is>
      </c>
    </row>
    <row r="28" ht="24" customHeight="1">
      <c r="A28" s="24" t="inlineStr">
        <is>
          <t>해석 주의</t>
        </is>
      </c>
      <c r="B28" s="24" t="inlineStr">
        <is>
          <t>DCF는 가정 민감도가 크므로 WACC·성장률·FCF margin 민감도 시트와 함께 확인</t>
        </is>
      </c>
    </row>
  </sheetData>
  <autoFilter ref="A23:B28"/>
  <mergeCells count="4">
    <mergeCell ref="A1:J1"/>
    <mergeCell ref="A22:F22"/>
    <mergeCell ref="A4:F4"/>
    <mergeCell ref="A2:J2"/>
  </mergeCells>
  <pageMargins left="0.75" right="0.7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H2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0" customHeight="1">
      <c r="A1" s="16" t="inlineStr">
        <is>
          <t>208개 반도체 Reference Universe</t>
        </is>
      </c>
    </row>
    <row r="2" ht="28" customHeight="1">
      <c r="A2" s="17" t="inlineStr">
        <is>
          <t>Tech의 대규모 반도체 universe와 같은 축을 Valuation Agent가 자체 intake로 복제해 PSR/ML 보조판단에 활용</t>
        </is>
      </c>
    </row>
    <row r="3" ht="24" customHeight="1"/>
    <row r="4" ht="24" customHeight="1">
      <c r="A4" s="22" t="inlineStr">
        <is>
          <t>Universe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</row>
    <row r="6" ht="24" customHeight="1">
      <c r="A6" s="24" t="inlineStr">
        <is>
          <t>status</t>
        </is>
      </c>
      <c r="B6" s="24" t="inlineStr">
        <is>
          <t>OK</t>
        </is>
      </c>
    </row>
    <row r="7" ht="24" customHeight="1">
      <c r="A7" s="29" t="inlineStr">
        <is>
          <t>created_at</t>
        </is>
      </c>
      <c r="B7" s="29" t="inlineStr">
        <is>
          <t>2026-05-20T14:25:59</t>
        </is>
      </c>
    </row>
    <row r="8" ht="24" customHeight="1">
      <c r="A8" s="24" t="inlineStr">
        <is>
          <t>reference_universe_rows</t>
        </is>
      </c>
      <c r="B8" s="30" t="n">
        <v>208</v>
      </c>
    </row>
    <row r="9" ht="24" customHeight="1">
      <c r="A9" s="29" t="inlineStr">
        <is>
          <t>focus_rows</t>
        </is>
      </c>
      <c r="B9" s="31" t="n">
        <v>40</v>
      </c>
    </row>
    <row r="10" ht="24" customHeight="1">
      <c r="A10" s="24" t="inlineStr">
        <is>
          <t>focal_5_rows</t>
        </is>
      </c>
      <c r="B10" s="30" t="n">
        <v>5</v>
      </c>
    </row>
    <row r="11" ht="24" customHeight="1">
      <c r="A11" s="29" t="inlineStr">
        <is>
          <t>target_company</t>
        </is>
      </c>
      <c r="B11" s="29" t="inlineStr">
        <is>
          <t>리노공업</t>
        </is>
      </c>
    </row>
    <row r="12" ht="24" customHeight="1">
      <c r="A12" s="24" t="inlineStr">
        <is>
          <t>target_peer_group</t>
        </is>
      </c>
      <c r="B12" s="24" t="inlineStr">
        <is>
          <t>후공정/패키징/테스트</t>
        </is>
      </c>
    </row>
    <row r="13" ht="24" customHeight="1">
      <c r="A13" s="29" t="inlineStr">
        <is>
          <t>target_peer_group_size</t>
        </is>
      </c>
      <c r="B13" s="31" t="n">
        <v>45</v>
      </c>
    </row>
    <row r="14" ht="24" customHeight="1">
      <c r="A14" s="24" t="inlineStr">
        <is>
          <t>attractive_rows</t>
        </is>
      </c>
      <c r="B14" s="30" t="n">
        <v>43</v>
      </c>
    </row>
    <row r="15" ht="24" customHeight="1">
      <c r="A15" s="29" t="inlineStr">
        <is>
          <t>high_risk_rows</t>
        </is>
      </c>
      <c r="B15" s="31" t="n">
        <v>67</v>
      </c>
    </row>
    <row r="16" ht="24" customHeight="1">
      <c r="A16" s="24" t="inlineStr">
        <is>
          <t>note</t>
        </is>
      </c>
      <c r="B16" s="24" t="inlineStr">
        <is>
          <t>Valuation Agent는 live DCF/PSR 산출과 별도로 208개 반도체 universe의 proxy score를 활용해 상대 위치를 보조 판단합니다.</t>
        </is>
      </c>
    </row>
    <row r="17" ht="24" customHeight="1">
      <c r="A17" s="29" t="inlineStr">
        <is>
          <t>source_path</t>
        </is>
      </c>
      <c r="B17" s="29" t="inlineStr">
        <is>
          <t>data/반도체/_sector_common/ml_universe/valuation_credit_ml_overlay_candidate.csv</t>
        </is>
      </c>
    </row>
    <row r="18" ht="24" customHeight="1">
      <c r="A18" s="24" t="inlineStr">
        <is>
          <t>exported_at</t>
        </is>
      </c>
      <c r="B18" s="24" t="inlineStr">
        <is>
          <t>2026-05-20T14:25:59</t>
        </is>
      </c>
    </row>
    <row r="19" ht="24" customHeight="1"/>
    <row r="20" ht="24" customHeight="1"/>
    <row r="21" ht="24" customHeight="1">
      <c r="A21" s="22" t="inlineStr">
        <is>
          <t>Target 중심 비교군</t>
        </is>
      </c>
    </row>
    <row r="22" ht="24" customHeight="1">
      <c r="A22" s="25" t="inlineStr">
        <is>
          <t>Universe 순번</t>
        </is>
      </c>
      <c r="B22" s="25" t="inlineStr">
        <is>
          <t>기업코드</t>
        </is>
      </c>
      <c r="C22" s="25" t="inlineStr">
        <is>
          <t>기업명</t>
        </is>
      </c>
      <c r="D22" s="25" t="inlineStr">
        <is>
          <t>종목코드</t>
        </is>
      </c>
      <c r="E22" s="25" t="inlineStr">
        <is>
          <t>시장</t>
        </is>
      </c>
      <c r="F22" s="25" t="inlineStr">
        <is>
          <t>피어 그룹</t>
        </is>
      </c>
      <c r="G22" s="25" t="inlineStr">
        <is>
          <t>반도체 세부군</t>
        </is>
      </c>
      <c r="H22" s="25" t="inlineStr">
        <is>
          <t>5개 핵심기업</t>
        </is>
      </c>
      <c r="I22" s="25" t="inlineStr">
        <is>
          <t>market_data_available</t>
        </is>
      </c>
      <c r="J22" s="25" t="inlineStr">
        <is>
          <t>데이터 품질</t>
        </is>
      </c>
      <c r="K22" s="25" t="inlineStr">
        <is>
          <t>데이터 품질 해석</t>
        </is>
      </c>
      <c r="L22" s="25" t="inlineStr">
        <is>
          <t>수동검토 우선순위</t>
        </is>
      </c>
      <c r="M22" s="25" t="inlineStr">
        <is>
          <t>수동검토 우선순위 해석</t>
        </is>
      </c>
      <c r="N22" s="25" t="inlineStr">
        <is>
          <t>Valuation Proxy 점수</t>
        </is>
      </c>
      <c r="O22" s="25" t="inlineStr">
        <is>
          <t>Valuation Proxy 라벨</t>
        </is>
      </c>
      <c r="P22" s="25" t="inlineStr">
        <is>
          <t>가치 라벨</t>
        </is>
      </c>
      <c r="Q22" s="25" t="inlineStr">
        <is>
          <t>valuation_pred_label</t>
        </is>
      </c>
      <c r="R22" s="25" t="inlineStr">
        <is>
          <t>Valuation 신뢰도</t>
        </is>
      </c>
      <c r="S22" s="25" t="inlineStr">
        <is>
          <t>valuation_confidence_bucket</t>
        </is>
      </c>
      <c r="T22" s="25" t="inlineStr">
        <is>
          <t>valuation_confidence_bucket_kr</t>
        </is>
      </c>
      <c r="U22" s="25" t="inlineStr">
        <is>
          <t>Credit Risk 점수</t>
        </is>
      </c>
      <c r="V22" s="25" t="inlineStr">
        <is>
          <t>Credit Risk 라벨</t>
        </is>
      </c>
      <c r="W22" s="25" t="inlineStr">
        <is>
          <t>신용위험 라벨</t>
        </is>
      </c>
      <c r="X22" s="25" t="inlineStr">
        <is>
          <t>credit_pred_label</t>
        </is>
      </c>
      <c r="Y22" s="25" t="inlineStr">
        <is>
          <t>Credit 신뢰도</t>
        </is>
      </c>
      <c r="Z22" s="25" t="inlineStr">
        <is>
          <t>credit_confidence_bucket</t>
        </is>
      </c>
      <c r="AA22" s="25" t="inlineStr">
        <is>
          <t>credit_confidence_bucket_kr</t>
        </is>
      </c>
      <c r="AB22" s="25" t="inlineStr">
        <is>
          <t>Credit 이상치 점수</t>
        </is>
      </c>
      <c r="AC22" s="25" t="inlineStr">
        <is>
          <t>credit_anomaly_flag_top15pct</t>
        </is>
      </c>
      <c r="AD22" s="25" t="inlineStr">
        <is>
          <t>auditor_requires_human_review</t>
        </is>
      </c>
      <c r="AE22" s="25" t="inlineStr">
        <is>
          <t>출처 유형</t>
        </is>
      </c>
      <c r="AF22" s="25" t="inlineStr">
        <is>
          <t>출처 설명</t>
        </is>
      </c>
      <c r="AG22" s="25" t="inlineStr">
        <is>
          <t>포함 사유</t>
        </is>
      </c>
      <c r="AH22" s="25" t="inlineStr">
        <is>
          <t>분석대상</t>
        </is>
      </c>
    </row>
    <row r="23" ht="24" customHeight="1">
      <c r="A23" s="24" t="inlineStr">
        <is>
          <t>162</t>
        </is>
      </c>
      <c r="B23" s="24" t="inlineStr">
        <is>
          <t>해당 없음</t>
        </is>
      </c>
      <c r="C23" s="24" t="inlineStr">
        <is>
          <t>리노공업</t>
        </is>
      </c>
      <c r="D23" s="24" t="inlineStr">
        <is>
          <t>058470</t>
        </is>
      </c>
      <c r="E23" s="24" t="inlineStr">
        <is>
          <t>KOSDAQ GLOBAL</t>
        </is>
      </c>
      <c r="F23" s="24" t="inlineStr">
        <is>
          <t>후공정/패키징/테스트</t>
        </is>
      </c>
      <c r="G23" s="24" t="inlineStr">
        <is>
          <t>후공정/패키징/테스트</t>
        </is>
      </c>
      <c r="H23" s="24" t="inlineStr">
        <is>
          <t>False</t>
        </is>
      </c>
      <c r="I23" s="24" t="inlineStr">
        <is>
          <t>True</t>
        </is>
      </c>
      <c r="J23" s="24" t="inlineStr">
        <is>
          <t>OK</t>
        </is>
      </c>
      <c r="K23" s="24" t="inlineStr">
        <is>
          <t>데이터 사용 가능</t>
        </is>
      </c>
      <c r="L23" s="24" t="inlineStr">
        <is>
          <t>LOW</t>
        </is>
      </c>
      <c r="M23" s="24" t="inlineStr">
        <is>
          <t>LOW</t>
        </is>
      </c>
      <c r="N23" s="24" t="inlineStr">
        <is>
          <t>0.6191111111111112</t>
        </is>
      </c>
      <c r="O23" s="24" t="inlineStr">
        <is>
          <t>ATTRACTIVE</t>
        </is>
      </c>
      <c r="P23" s="24" t="inlineStr">
        <is>
          <t>가치 매력</t>
        </is>
      </c>
      <c r="Q23" s="24" t="inlineStr">
        <is>
          <t>ATTRACTIVE</t>
        </is>
      </c>
      <c r="R23" s="24" t="inlineStr">
        <is>
          <t>0.6825301704423244</t>
        </is>
      </c>
      <c r="S23" s="24" t="inlineStr">
        <is>
          <t>MEDIUM</t>
        </is>
      </c>
      <c r="T23" s="24" t="inlineStr">
        <is>
          <t>MEDIUM</t>
        </is>
      </c>
      <c r="U23" s="24" t="inlineStr">
        <is>
          <t>0.0</t>
        </is>
      </c>
      <c r="V23" s="24" t="inlineStr">
        <is>
          <t>LOW_RISK</t>
        </is>
      </c>
      <c r="W23" s="24" t="inlineStr">
        <is>
          <t>저위험</t>
        </is>
      </c>
      <c r="X23" s="24" t="inlineStr">
        <is>
          <t>LOW_RISK</t>
        </is>
      </c>
      <c r="Y23" s="24" t="inlineStr">
        <is>
          <t>0.941163557572434</t>
        </is>
      </c>
      <c r="Z23" s="24" t="inlineStr">
        <is>
          <t>HIGH</t>
        </is>
      </c>
      <c r="AA23" s="24" t="inlineStr">
        <is>
          <t>HIGH</t>
        </is>
      </c>
      <c r="AB23" s="24" t="inlineStr">
        <is>
          <t>0.3137137380028342</t>
        </is>
      </c>
      <c r="AC23" s="24" t="inlineStr">
        <is>
          <t>True</t>
        </is>
      </c>
      <c r="AD23" s="24" t="inlineStr">
        <is>
          <t>True</t>
        </is>
      </c>
      <c r="AE23" s="24" t="inlineStr">
        <is>
          <t>valuation_credit_ml_overlay_candidate.csv</t>
        </is>
      </c>
      <c r="AF23" s="24" t="inlineStr">
        <is>
          <t>208개 반도체 reference universe. Valuation Agent가 자체 intake 폴더로 복제해 Peer/ML/대시보드 비교에 사용.</t>
        </is>
      </c>
      <c r="AG23" s="24" t="inlineStr">
        <is>
          <t>TARGET</t>
        </is>
      </c>
      <c r="AH23" s="24" t="inlineStr">
        <is>
          <t>True</t>
        </is>
      </c>
    </row>
    <row r="24" ht="24" customHeight="1">
      <c r="A24" s="29" t="inlineStr">
        <is>
          <t>168</t>
        </is>
      </c>
      <c r="B24" s="29" t="inlineStr">
        <is>
          <t>해당 없음</t>
        </is>
      </c>
      <c r="C24" s="29" t="inlineStr">
        <is>
          <t>성우테크론</t>
        </is>
      </c>
      <c r="D24" s="29" t="inlineStr">
        <is>
          <t>045300</t>
        </is>
      </c>
      <c r="E24" s="29" t="inlineStr">
        <is>
          <t>KOSDAQ</t>
        </is>
      </c>
      <c r="F24" s="29" t="inlineStr">
        <is>
          <t>후공정/패키징/테스트</t>
        </is>
      </c>
      <c r="G24" s="29" t="inlineStr">
        <is>
          <t>후공정/패키징/테스트</t>
        </is>
      </c>
      <c r="H24" s="29" t="inlineStr">
        <is>
          <t>False</t>
        </is>
      </c>
      <c r="I24" s="29" t="inlineStr">
        <is>
          <t>True</t>
        </is>
      </c>
      <c r="J24" s="29" t="inlineStr">
        <is>
          <t>OK</t>
        </is>
      </c>
      <c r="K24" s="29" t="inlineStr">
        <is>
          <t>데이터 사용 가능</t>
        </is>
      </c>
      <c r="L24" s="29" t="inlineStr">
        <is>
          <t>LOW</t>
        </is>
      </c>
      <c r="M24" s="29" t="inlineStr">
        <is>
          <t>LOW</t>
        </is>
      </c>
      <c r="N24" s="29" t="inlineStr">
        <is>
          <t>0.7764444444444445</t>
        </is>
      </c>
      <c r="O24" s="29" t="inlineStr">
        <is>
          <t>ATTRACTIVE</t>
        </is>
      </c>
      <c r="P24" s="29" t="inlineStr">
        <is>
          <t>가치 매력</t>
        </is>
      </c>
      <c r="Q24" s="29" t="inlineStr">
        <is>
          <t>ATTRACTIVE</t>
        </is>
      </c>
      <c r="R24" s="29" t="inlineStr">
        <is>
          <t>0.9526864248076319</t>
        </is>
      </c>
      <c r="S24" s="29" t="inlineStr">
        <is>
          <t>HIGH</t>
        </is>
      </c>
      <c r="T24" s="29" t="inlineStr">
        <is>
          <t>HIGH</t>
        </is>
      </c>
      <c r="U24" s="29" t="inlineStr">
        <is>
          <t>0.0714285714285714</t>
        </is>
      </c>
      <c r="V24" s="29" t="inlineStr">
        <is>
          <t>LOW_RISK</t>
        </is>
      </c>
      <c r="W24" s="29" t="inlineStr">
        <is>
          <t>저위험</t>
        </is>
      </c>
      <c r="X24" s="29" t="inlineStr">
        <is>
          <t>LOW_RISK</t>
        </is>
      </c>
      <c r="Y24" s="29" t="inlineStr">
        <is>
          <t>0.869939352370702</t>
        </is>
      </c>
      <c r="Z24" s="29" t="inlineStr">
        <is>
          <t>HIGH</t>
        </is>
      </c>
      <c r="AA24" s="29" t="inlineStr">
        <is>
          <t>HIGH</t>
        </is>
      </c>
      <c r="AB24" s="29" t="inlineStr">
        <is>
          <t>0.10286671144812394</t>
        </is>
      </c>
      <c r="AC24" s="29" t="inlineStr">
        <is>
          <t>False</t>
        </is>
      </c>
      <c r="AD24" s="29" t="inlineStr">
        <is>
          <t>False</t>
        </is>
      </c>
      <c r="AE24" s="29" t="inlineStr">
        <is>
          <t>valuation_credit_ml_overlay_candidate.csv</t>
        </is>
      </c>
      <c r="AF24" s="29" t="inlineStr">
        <is>
          <t>208개 반도체 reference universe. Valuation Agent가 자체 intake 폴더로 복제해 Peer/ML/대시보드 비교에 사용.</t>
        </is>
      </c>
      <c r="AG24" s="29" t="inlineStr">
        <is>
          <t>SAME_PEER_GROUP</t>
        </is>
      </c>
      <c r="AH24" s="29" t="inlineStr">
        <is>
          <t>False</t>
        </is>
      </c>
    </row>
    <row r="25" ht="24" customHeight="1">
      <c r="A25" s="24" t="inlineStr">
        <is>
          <t>165</t>
        </is>
      </c>
      <c r="B25" s="24" t="inlineStr">
        <is>
          <t>해당 없음</t>
        </is>
      </c>
      <c r="C25" s="24" t="inlineStr">
        <is>
          <t>미래산업</t>
        </is>
      </c>
      <c r="D25" s="24" t="inlineStr">
        <is>
          <t>025560</t>
        </is>
      </c>
      <c r="E25" s="24" t="inlineStr">
        <is>
          <t>KOSPI</t>
        </is>
      </c>
      <c r="F25" s="24" t="inlineStr">
        <is>
          <t>후공정/패키징/테스트</t>
        </is>
      </c>
      <c r="G25" s="24" t="inlineStr">
        <is>
          <t>후공정/패키징/테스트</t>
        </is>
      </c>
      <c r="H25" s="24" t="inlineStr">
        <is>
          <t>False</t>
        </is>
      </c>
      <c r="I25" s="24" t="inlineStr">
        <is>
          <t>True</t>
        </is>
      </c>
      <c r="J25" s="24" t="inlineStr">
        <is>
          <t>OK</t>
        </is>
      </c>
      <c r="K25" s="24" t="inlineStr">
        <is>
          <t>데이터 사용 가능</t>
        </is>
      </c>
      <c r="L25" s="24" t="inlineStr">
        <is>
          <t>LOW</t>
        </is>
      </c>
      <c r="M25" s="24" t="inlineStr">
        <is>
          <t>LOW</t>
        </is>
      </c>
      <c r="N25" s="24" t="inlineStr">
        <is>
          <t>0.7748148148148148</t>
        </is>
      </c>
      <c r="O25" s="24" t="inlineStr">
        <is>
          <t>FAIR</t>
        </is>
      </c>
      <c r="P25" s="24" t="inlineStr">
        <is>
          <t>FAIR</t>
        </is>
      </c>
      <c r="Q25" s="24" t="inlineStr">
        <is>
          <t>FAIR</t>
        </is>
      </c>
      <c r="R25" s="24" t="inlineStr">
        <is>
          <t>0.883291104654336</t>
        </is>
      </c>
      <c r="S25" s="24" t="inlineStr">
        <is>
          <t>HIGH</t>
        </is>
      </c>
      <c r="T25" s="24" t="inlineStr">
        <is>
          <t>HIGH</t>
        </is>
      </c>
      <c r="U25" s="24" t="inlineStr">
        <is>
          <t>0.2857142857142857</t>
        </is>
      </c>
      <c r="V25" s="24" t="inlineStr">
        <is>
          <t>MEDIUM_RISK</t>
        </is>
      </c>
      <c r="W25" s="24" t="inlineStr">
        <is>
          <t>중위험</t>
        </is>
      </c>
      <c r="X25" s="24" t="inlineStr">
        <is>
          <t>MEDIUM_RISK</t>
        </is>
      </c>
      <c r="Y25" s="24" t="inlineStr">
        <is>
          <t>0.695536763680257</t>
        </is>
      </c>
      <c r="Z25" s="24" t="inlineStr">
        <is>
          <t>MEDIUM</t>
        </is>
      </c>
      <c r="AA25" s="24" t="inlineStr">
        <is>
          <t>MEDIUM</t>
        </is>
      </c>
      <c r="AB25" s="24" t="inlineStr">
        <is>
          <t>0.08100242357773374</t>
        </is>
      </c>
      <c r="AC25" s="24" t="inlineStr">
        <is>
          <t>False</t>
        </is>
      </c>
      <c r="AD25" s="24" t="inlineStr">
        <is>
          <t>False</t>
        </is>
      </c>
      <c r="AE25" s="24" t="inlineStr">
        <is>
          <t>valuation_credit_ml_overlay_candidate.csv</t>
        </is>
      </c>
      <c r="AF25" s="24" t="inlineStr">
        <is>
          <t>208개 반도체 reference universe. Valuation Agent가 자체 intake 폴더로 복제해 Peer/ML/대시보드 비교에 사용.</t>
        </is>
      </c>
      <c r="AG25" s="24" t="inlineStr">
        <is>
          <t>SAME_PEER_GROUP</t>
        </is>
      </c>
      <c r="AH25" s="24" t="inlineStr">
        <is>
          <t>False</t>
        </is>
      </c>
    </row>
    <row r="26" ht="24" customHeight="1">
      <c r="A26" s="29" t="inlineStr">
        <is>
          <t>163</t>
        </is>
      </c>
      <c r="B26" s="29" t="inlineStr">
        <is>
          <t>해당 없음</t>
        </is>
      </c>
      <c r="C26" s="29" t="inlineStr">
        <is>
          <t>링크제니시스</t>
        </is>
      </c>
      <c r="D26" s="29" t="inlineStr">
        <is>
          <t>219420</t>
        </is>
      </c>
      <c r="E26" s="29" t="inlineStr">
        <is>
          <t>KOSDAQ</t>
        </is>
      </c>
      <c r="F26" s="29" t="inlineStr">
        <is>
          <t>후공정/패키징/테스트</t>
        </is>
      </c>
      <c r="G26" s="29" t="inlineStr">
        <is>
          <t>후공정/패키징/테스트</t>
        </is>
      </c>
      <c r="H26" s="29" t="inlineStr">
        <is>
          <t>False</t>
        </is>
      </c>
      <c r="I26" s="29" t="inlineStr">
        <is>
          <t>True</t>
        </is>
      </c>
      <c r="J26" s="29" t="inlineStr">
        <is>
          <t>OK</t>
        </is>
      </c>
      <c r="K26" s="29" t="inlineStr">
        <is>
          <t>데이터 사용 가능</t>
        </is>
      </c>
      <c r="L26" s="29" t="inlineStr">
        <is>
          <t>LOW</t>
        </is>
      </c>
      <c r="M26" s="29" t="inlineStr">
        <is>
          <t>LOW</t>
        </is>
      </c>
      <c r="N26" s="29" t="inlineStr">
        <is>
          <t>0.7522962962962964</t>
        </is>
      </c>
      <c r="O26" s="29" t="inlineStr">
        <is>
          <t>ATTRACTIVE</t>
        </is>
      </c>
      <c r="P26" s="29" t="inlineStr">
        <is>
          <t>가치 매력</t>
        </is>
      </c>
      <c r="Q26" s="29" t="inlineStr">
        <is>
          <t>ATTRACTIVE</t>
        </is>
      </c>
      <c r="R26" s="29" t="inlineStr">
        <is>
          <t>0.8724992666433111</t>
        </is>
      </c>
      <c r="S26" s="29" t="inlineStr">
        <is>
          <t>HIGH</t>
        </is>
      </c>
      <c r="T26" s="29" t="inlineStr">
        <is>
          <t>HIGH</t>
        </is>
      </c>
      <c r="U26" s="29" t="inlineStr">
        <is>
          <t>0.0714285714285714</t>
        </is>
      </c>
      <c r="V26" s="29" t="inlineStr">
        <is>
          <t>LOW_RISK</t>
        </is>
      </c>
      <c r="W26" s="29" t="inlineStr">
        <is>
          <t>저위험</t>
        </is>
      </c>
      <c r="X26" s="29" t="inlineStr">
        <is>
          <t>LOW_RISK</t>
        </is>
      </c>
      <c r="Y26" s="29" t="inlineStr">
        <is>
          <t>0.8663667518810074</t>
        </is>
      </c>
      <c r="Z26" s="29" t="inlineStr">
        <is>
          <t>HIGH</t>
        </is>
      </c>
      <c r="AA26" s="29" t="inlineStr">
        <is>
          <t>HIGH</t>
        </is>
      </c>
      <c r="AB26" s="29" t="inlineStr">
        <is>
          <t>0.1247344063934745</t>
        </is>
      </c>
      <c r="AC26" s="29" t="inlineStr">
        <is>
          <t>False</t>
        </is>
      </c>
      <c r="AD26" s="29" t="inlineStr">
        <is>
          <t>False</t>
        </is>
      </c>
      <c r="AE26" s="29" t="inlineStr">
        <is>
          <t>valuation_credit_ml_overlay_candidate.csv</t>
        </is>
      </c>
      <c r="AF26" s="29" t="inlineStr">
        <is>
          <t>208개 반도체 reference universe. Valuation Agent가 자체 intake 폴더로 복제해 Peer/ML/대시보드 비교에 사용.</t>
        </is>
      </c>
      <c r="AG26" s="29" t="inlineStr">
        <is>
          <t>SAME_PEER_GROUP</t>
        </is>
      </c>
      <c r="AH26" s="29" t="inlineStr">
        <is>
          <t>False</t>
        </is>
      </c>
    </row>
    <row r="27" ht="24" customHeight="1">
      <c r="A27" s="24" t="inlineStr">
        <is>
          <t>189</t>
        </is>
      </c>
      <c r="B27" s="24" t="inlineStr">
        <is>
          <t>해당 없음</t>
        </is>
      </c>
      <c r="C27" s="24" t="inlineStr">
        <is>
          <t>프로텍</t>
        </is>
      </c>
      <c r="D27" s="24" t="inlineStr">
        <is>
          <t>053610</t>
        </is>
      </c>
      <c r="E27" s="24" t="inlineStr">
        <is>
          <t>KOSDAQ</t>
        </is>
      </c>
      <c r="F27" s="24" t="inlineStr">
        <is>
          <t>후공정/패키징/테스트</t>
        </is>
      </c>
      <c r="G27" s="24" t="inlineStr">
        <is>
          <t>후공정/패키징/테스트</t>
        </is>
      </c>
      <c r="H27" s="24" t="inlineStr">
        <is>
          <t>False</t>
        </is>
      </c>
      <c r="I27" s="24" t="inlineStr">
        <is>
          <t>True</t>
        </is>
      </c>
      <c r="J27" s="24" t="inlineStr">
        <is>
          <t>OK</t>
        </is>
      </c>
      <c r="K27" s="24" t="inlineStr">
        <is>
          <t>데이터 사용 가능</t>
        </is>
      </c>
      <c r="L27" s="24" t="inlineStr">
        <is>
          <t>LOW</t>
        </is>
      </c>
      <c r="M27" s="24" t="inlineStr">
        <is>
          <t>LOW</t>
        </is>
      </c>
      <c r="N27" s="24" t="inlineStr">
        <is>
          <t>0.7342222222222222</t>
        </is>
      </c>
      <c r="O27" s="24" t="inlineStr">
        <is>
          <t>FAIR</t>
        </is>
      </c>
      <c r="P27" s="24" t="inlineStr">
        <is>
          <t>FAIR</t>
        </is>
      </c>
      <c r="Q27" s="24" t="inlineStr">
        <is>
          <t>FAIR</t>
        </is>
      </c>
      <c r="R27" s="24" t="inlineStr">
        <is>
          <t>0.8971257561900263</t>
        </is>
      </c>
      <c r="S27" s="24" t="inlineStr">
        <is>
          <t>HIGH</t>
        </is>
      </c>
      <c r="T27" s="24" t="inlineStr">
        <is>
          <t>HIGH</t>
        </is>
      </c>
      <c r="U27" s="24" t="inlineStr">
        <is>
          <t>0.0714285714285714</t>
        </is>
      </c>
      <c r="V27" s="24" t="inlineStr">
        <is>
          <t>LOW_RISK</t>
        </is>
      </c>
      <c r="W27" s="24" t="inlineStr">
        <is>
          <t>저위험</t>
        </is>
      </c>
      <c r="X27" s="24" t="inlineStr">
        <is>
          <t>LOW_RISK</t>
        </is>
      </c>
      <c r="Y27" s="24" t="inlineStr">
        <is>
          <t>0.9163768919768406</t>
        </is>
      </c>
      <c r="Z27" s="24" t="inlineStr">
        <is>
          <t>HIGH</t>
        </is>
      </c>
      <c r="AA27" s="24" t="inlineStr">
        <is>
          <t>HIGH</t>
        </is>
      </c>
      <c r="AB27" s="24" t="inlineStr">
        <is>
          <t>0.04594870251712977</t>
        </is>
      </c>
      <c r="AC27" s="24" t="inlineStr">
        <is>
          <t>False</t>
        </is>
      </c>
      <c r="AD27" s="24" t="inlineStr">
        <is>
          <t>False</t>
        </is>
      </c>
      <c r="AE27" s="24" t="inlineStr">
        <is>
          <t>valuation_credit_ml_overlay_candidate.csv</t>
        </is>
      </c>
      <c r="AF27" s="24" t="inlineStr">
        <is>
          <t>208개 반도체 reference universe. Valuation Agent가 자체 intake 폴더로 복제해 Peer/ML/대시보드 비교에 사용.</t>
        </is>
      </c>
      <c r="AG27" s="24" t="inlineStr">
        <is>
          <t>SAME_PEER_GROUP</t>
        </is>
      </c>
      <c r="AH27" s="24" t="inlineStr">
        <is>
          <t>False</t>
        </is>
      </c>
    </row>
    <row r="28" ht="24" customHeight="1">
      <c r="A28" s="29" t="inlineStr">
        <is>
          <t>188</t>
        </is>
      </c>
      <c r="B28" s="29" t="inlineStr">
        <is>
          <t>해당 없음</t>
        </is>
      </c>
      <c r="C28" s="29" t="inlineStr">
        <is>
          <t>프로이천</t>
        </is>
      </c>
      <c r="D28" s="29" t="inlineStr">
        <is>
          <t>321260</t>
        </is>
      </c>
      <c r="E28" s="29" t="inlineStr">
        <is>
          <t>KOSDAQ</t>
        </is>
      </c>
      <c r="F28" s="29" t="inlineStr">
        <is>
          <t>후공정/패키징/테스트</t>
        </is>
      </c>
      <c r="G28" s="29" t="inlineStr">
        <is>
          <t>후공정/패키징/테스트</t>
        </is>
      </c>
      <c r="H28" s="29" t="inlineStr">
        <is>
          <t>False</t>
        </is>
      </c>
      <c r="I28" s="29" t="inlineStr">
        <is>
          <t>True</t>
        </is>
      </c>
      <c r="J28" s="29" t="inlineStr">
        <is>
          <t>OK</t>
        </is>
      </c>
      <c r="K28" s="29" t="inlineStr">
        <is>
          <t>데이터 사용 가능</t>
        </is>
      </c>
      <c r="L28" s="29" t="inlineStr">
        <is>
          <t>LOW</t>
        </is>
      </c>
      <c r="M28" s="29" t="inlineStr">
        <is>
          <t>LOW</t>
        </is>
      </c>
      <c r="N28" s="29" t="inlineStr">
        <is>
          <t>0.6905185185185185</t>
        </is>
      </c>
      <c r="O28" s="29" t="inlineStr">
        <is>
          <t>ATTRACTIVE</t>
        </is>
      </c>
      <c r="P28" s="29" t="inlineStr">
        <is>
          <t>가치 매력</t>
        </is>
      </c>
      <c r="Q28" s="29" t="inlineStr">
        <is>
          <t>ATTRACTIVE</t>
        </is>
      </c>
      <c r="R28" s="29" t="inlineStr">
        <is>
          <t>0.9481469936627798</t>
        </is>
      </c>
      <c r="S28" s="29" t="inlineStr">
        <is>
          <t>HIGH</t>
        </is>
      </c>
      <c r="T28" s="29" t="inlineStr">
        <is>
          <t>HIGH</t>
        </is>
      </c>
      <c r="U28" s="29" t="inlineStr">
        <is>
          <t>0.1428571428571428</t>
        </is>
      </c>
      <c r="V28" s="29" t="inlineStr">
        <is>
          <t>LOW_RISK</t>
        </is>
      </c>
      <c r="W28" s="29" t="inlineStr">
        <is>
          <t>저위험</t>
        </is>
      </c>
      <c r="X28" s="29" t="inlineStr">
        <is>
          <t>LOW_RISK</t>
        </is>
      </c>
      <c r="Y28" s="29" t="inlineStr">
        <is>
          <t>0.7571217577270841</t>
        </is>
      </c>
      <c r="Z28" s="29" t="inlineStr">
        <is>
          <t>HIGH</t>
        </is>
      </c>
      <c r="AA28" s="29" t="inlineStr">
        <is>
          <t>HIGH</t>
        </is>
      </c>
      <c r="AB28" s="29" t="inlineStr">
        <is>
          <t>0.1980202748075635</t>
        </is>
      </c>
      <c r="AC28" s="29" t="inlineStr">
        <is>
          <t>False</t>
        </is>
      </c>
      <c r="AD28" s="29" t="inlineStr">
        <is>
          <t>False</t>
        </is>
      </c>
      <c r="AE28" s="29" t="inlineStr">
        <is>
          <t>valuation_credit_ml_overlay_candidate.csv</t>
        </is>
      </c>
      <c r="AF28" s="29" t="inlineStr">
        <is>
          <t>208개 반도체 reference universe. Valuation Agent가 자체 intake 폴더로 복제해 Peer/ML/대시보드 비교에 사용.</t>
        </is>
      </c>
      <c r="AG28" s="29" t="inlineStr">
        <is>
          <t>SAME_PEER_GROUP</t>
        </is>
      </c>
      <c r="AH28" s="29" t="inlineStr">
        <is>
          <t>False</t>
        </is>
      </c>
    </row>
    <row r="29" ht="24" customHeight="1">
      <c r="A29" s="24" t="inlineStr">
        <is>
          <t>167</t>
        </is>
      </c>
      <c r="B29" s="24" t="inlineStr">
        <is>
          <t>해당 없음</t>
        </is>
      </c>
      <c r="C29" s="24" t="inlineStr">
        <is>
          <t>샘씨엔에스</t>
        </is>
      </c>
      <c r="D29" s="24" t="inlineStr">
        <is>
          <t>252990</t>
        </is>
      </c>
      <c r="E29" s="24" t="inlineStr">
        <is>
          <t>KOSDAQ</t>
        </is>
      </c>
      <c r="F29" s="24" t="inlineStr">
        <is>
          <t>후공정/패키징/테스트</t>
        </is>
      </c>
      <c r="G29" s="24" t="inlineStr">
        <is>
          <t>후공정/패키징/테스트</t>
        </is>
      </c>
      <c r="H29" s="24" t="inlineStr">
        <is>
          <t>False</t>
        </is>
      </c>
      <c r="I29" s="24" t="inlineStr">
        <is>
          <t>True</t>
        </is>
      </c>
      <c r="J29" s="24" t="inlineStr">
        <is>
          <t>OK</t>
        </is>
      </c>
      <c r="K29" s="24" t="inlineStr">
        <is>
          <t>데이터 사용 가능</t>
        </is>
      </c>
      <c r="L29" s="24" t="inlineStr">
        <is>
          <t>LOW</t>
        </is>
      </c>
      <c r="M29" s="24" t="inlineStr">
        <is>
          <t>LOW</t>
        </is>
      </c>
      <c r="N29" s="24" t="inlineStr">
        <is>
          <t>0.6491851851851852</t>
        </is>
      </c>
      <c r="O29" s="24" t="inlineStr">
        <is>
          <t>ATTRACTIVE</t>
        </is>
      </c>
      <c r="P29" s="24" t="inlineStr">
        <is>
          <t>가치 매력</t>
        </is>
      </c>
      <c r="Q29" s="24" t="inlineStr">
        <is>
          <t>ATTRACTIVE</t>
        </is>
      </c>
      <c r="R29" s="24" t="inlineStr">
        <is>
          <t>0.5521991152548656</t>
        </is>
      </c>
      <c r="S29" s="24" t="inlineStr">
        <is>
          <t>MEDIUM</t>
        </is>
      </c>
      <c r="T29" s="24" t="inlineStr">
        <is>
          <t>MEDIUM</t>
        </is>
      </c>
      <c r="U29" s="24" t="inlineStr">
        <is>
          <t>0.1428571428571428</t>
        </is>
      </c>
      <c r="V29" s="24" t="inlineStr">
        <is>
          <t>LOW_RISK</t>
        </is>
      </c>
      <c r="W29" s="24" t="inlineStr">
        <is>
          <t>저위험</t>
        </is>
      </c>
      <c r="X29" s="24" t="inlineStr">
        <is>
          <t>LOW_RISK</t>
        </is>
      </c>
      <c r="Y29" s="24" t="inlineStr">
        <is>
          <t>0.8184283672559926</t>
        </is>
      </c>
      <c r="Z29" s="24" t="inlineStr">
        <is>
          <t>HIGH</t>
        </is>
      </c>
      <c r="AA29" s="24" t="inlineStr">
        <is>
          <t>HIGH</t>
        </is>
      </c>
      <c r="AB29" s="24" t="inlineStr">
        <is>
          <t>0.02862485694144737</t>
        </is>
      </c>
      <c r="AC29" s="24" t="inlineStr">
        <is>
          <t>False</t>
        </is>
      </c>
      <c r="AD29" s="24" t="inlineStr">
        <is>
          <t>False</t>
        </is>
      </c>
      <c r="AE29" s="24" t="inlineStr">
        <is>
          <t>valuation_credit_ml_overlay_candidate.csv</t>
        </is>
      </c>
      <c r="AF29" s="24" t="inlineStr">
        <is>
          <t>208개 반도체 reference universe. Valuation Agent가 자체 intake 폴더로 복제해 Peer/ML/대시보드 비교에 사용.</t>
        </is>
      </c>
      <c r="AG29" s="24" t="inlineStr">
        <is>
          <t>SAME_PEER_GROUP</t>
        </is>
      </c>
      <c r="AH29" s="24" t="inlineStr">
        <is>
          <t>False</t>
        </is>
      </c>
    </row>
    <row r="30" ht="24" customHeight="1">
      <c r="A30" s="29" t="inlineStr">
        <is>
          <t>191</t>
        </is>
      </c>
      <c r="B30" s="29" t="inlineStr">
        <is>
          <t>해당 없음</t>
        </is>
      </c>
      <c r="C30" s="29" t="inlineStr">
        <is>
          <t>하나마이크론</t>
        </is>
      </c>
      <c r="D30" s="29" t="inlineStr">
        <is>
          <t>067310</t>
        </is>
      </c>
      <c r="E30" s="29" t="inlineStr">
        <is>
          <t>KOSDAQ</t>
        </is>
      </c>
      <c r="F30" s="29" t="inlineStr">
        <is>
          <t>후공정/패키징/테스트</t>
        </is>
      </c>
      <c r="G30" s="29" t="inlineStr">
        <is>
          <t>후공정/패키징/테스트</t>
        </is>
      </c>
      <c r="H30" s="29" t="inlineStr">
        <is>
          <t>False</t>
        </is>
      </c>
      <c r="I30" s="29" t="inlineStr">
        <is>
          <t>True</t>
        </is>
      </c>
      <c r="J30" s="29" t="inlineStr">
        <is>
          <t>OK</t>
        </is>
      </c>
      <c r="K30" s="29" t="inlineStr">
        <is>
          <t>데이터 사용 가능</t>
        </is>
      </c>
      <c r="L30" s="29" t="inlineStr">
        <is>
          <t>LOW</t>
        </is>
      </c>
      <c r="M30" s="29" t="inlineStr">
        <is>
          <t>LOW</t>
        </is>
      </c>
      <c r="N30" s="29" t="inlineStr">
        <is>
          <t>0.6405925925925926</t>
        </is>
      </c>
      <c r="O30" s="29" t="inlineStr">
        <is>
          <t>ATTRACTIVE</t>
        </is>
      </c>
      <c r="P30" s="29" t="inlineStr">
        <is>
          <t>가치 매력</t>
        </is>
      </c>
      <c r="Q30" s="29" t="inlineStr">
        <is>
          <t>ATTRACTIVE</t>
        </is>
      </c>
      <c r="R30" s="29" t="inlineStr">
        <is>
          <t>0.8727001075083287</t>
        </is>
      </c>
      <c r="S30" s="29" t="inlineStr">
        <is>
          <t>HIGH</t>
        </is>
      </c>
      <c r="T30" s="29" t="inlineStr">
        <is>
          <t>HIGH</t>
        </is>
      </c>
      <c r="U30" s="29" t="inlineStr">
        <is>
          <t>0.2857142857142857</t>
        </is>
      </c>
      <c r="V30" s="29" t="inlineStr">
        <is>
          <t>MEDIUM_RISK</t>
        </is>
      </c>
      <c r="W30" s="29" t="inlineStr">
        <is>
          <t>중위험</t>
        </is>
      </c>
      <c r="X30" s="29" t="inlineStr">
        <is>
          <t>MEDIUM_RISK</t>
        </is>
      </c>
      <c r="Y30" s="29" t="inlineStr">
        <is>
          <t>0.4659076101576026</t>
        </is>
      </c>
      <c r="Z30" s="29" t="inlineStr">
        <is>
          <t>LOW</t>
        </is>
      </c>
      <c r="AA30" s="29" t="inlineStr">
        <is>
          <t>LOW</t>
        </is>
      </c>
      <c r="AB30" s="29" t="inlineStr">
        <is>
          <t>0.1167493316831868</t>
        </is>
      </c>
      <c r="AC30" s="29" t="inlineStr">
        <is>
          <t>False</t>
        </is>
      </c>
      <c r="AD30" s="29" t="inlineStr">
        <is>
          <t>True</t>
        </is>
      </c>
      <c r="AE30" s="29" t="inlineStr">
        <is>
          <t>valuation_credit_ml_overlay_candidate.csv</t>
        </is>
      </c>
      <c r="AF30" s="29" t="inlineStr">
        <is>
          <t>208개 반도체 reference universe. Valuation Agent가 자체 intake 폴더로 복제해 Peer/ML/대시보드 비교에 사용.</t>
        </is>
      </c>
      <c r="AG30" s="29" t="inlineStr">
        <is>
          <t>SAME_PEER_GROUP</t>
        </is>
      </c>
      <c r="AH30" s="29" t="inlineStr">
        <is>
          <t>False</t>
        </is>
      </c>
    </row>
    <row r="31" ht="24" customHeight="1">
      <c r="A31" s="24" t="inlineStr">
        <is>
          <t>157</t>
        </is>
      </c>
      <c r="B31" s="24" t="inlineStr">
        <is>
          <t>nepes</t>
        </is>
      </c>
      <c r="C31" s="24" t="inlineStr">
        <is>
          <t>네패스</t>
        </is>
      </c>
      <c r="D31" s="24" t="inlineStr">
        <is>
          <t>033640</t>
        </is>
      </c>
      <c r="E31" s="24" t="inlineStr">
        <is>
          <t>KOSDAQ</t>
        </is>
      </c>
      <c r="F31" s="24" t="inlineStr">
        <is>
          <t>후공정/패키징/테스트</t>
        </is>
      </c>
      <c r="G31" s="24" t="inlineStr">
        <is>
          <t>후공정/패키징/테스트</t>
        </is>
      </c>
      <c r="H31" s="24" t="inlineStr">
        <is>
          <t>True</t>
        </is>
      </c>
      <c r="I31" s="24" t="inlineStr">
        <is>
          <t>True</t>
        </is>
      </c>
      <c r="J31" s="24" t="inlineStr">
        <is>
          <t>OK</t>
        </is>
      </c>
      <c r="K31" s="24" t="inlineStr">
        <is>
          <t>데이터 사용 가능</t>
        </is>
      </c>
      <c r="L31" s="24" t="inlineStr">
        <is>
          <t>LOW</t>
        </is>
      </c>
      <c r="M31" s="24" t="inlineStr">
        <is>
          <t>LOW</t>
        </is>
      </c>
      <c r="N31" s="24" t="inlineStr">
        <is>
          <t>0.6385185185185186</t>
        </is>
      </c>
      <c r="O31" s="24" t="inlineStr">
        <is>
          <t>ATTRACTIVE</t>
        </is>
      </c>
      <c r="P31" s="24" t="inlineStr">
        <is>
          <t>가치 매력</t>
        </is>
      </c>
      <c r="Q31" s="24" t="inlineStr">
        <is>
          <t>ATTRACTIVE</t>
        </is>
      </c>
      <c r="R31" s="24" t="inlineStr">
        <is>
          <t>0.8763685947958789</t>
        </is>
      </c>
      <c r="S31" s="24" t="inlineStr">
        <is>
          <t>HIGH</t>
        </is>
      </c>
      <c r="T31" s="24" t="inlineStr">
        <is>
          <t>HIGH</t>
        </is>
      </c>
      <c r="U31" s="24" t="inlineStr">
        <is>
          <t>0.2857142857142857</t>
        </is>
      </c>
      <c r="V31" s="24" t="inlineStr">
        <is>
          <t>MEDIUM_RISK</t>
        </is>
      </c>
      <c r="W31" s="24" t="inlineStr">
        <is>
          <t>중위험</t>
        </is>
      </c>
      <c r="X31" s="24" t="inlineStr">
        <is>
          <t>MEDIUM_RISK</t>
        </is>
      </c>
      <c r="Y31" s="24" t="inlineStr">
        <is>
          <t>0.5963458259503356</t>
        </is>
      </c>
      <c r="Z31" s="24" t="inlineStr">
        <is>
          <t>MEDIUM</t>
        </is>
      </c>
      <c r="AA31" s="24" t="inlineStr">
        <is>
          <t>MEDIUM</t>
        </is>
      </c>
      <c r="AB31" s="24" t="inlineStr">
        <is>
          <t>0.07896643996759804</t>
        </is>
      </c>
      <c r="AC31" s="24" t="inlineStr">
        <is>
          <t>False</t>
        </is>
      </c>
      <c r="AD31" s="24" t="inlineStr">
        <is>
          <t>False</t>
        </is>
      </c>
      <c r="AE31" s="24" t="inlineStr">
        <is>
          <t>valuation_credit_ml_overlay_candidate.csv</t>
        </is>
      </c>
      <c r="AF31" s="24" t="inlineStr">
        <is>
          <t>208개 반도체 reference universe. Valuation Agent가 자체 intake 폴더로 복제해 Peer/ML/대시보드 비교에 사용.</t>
        </is>
      </c>
      <c r="AG31" s="24" t="inlineStr">
        <is>
          <t>SAME_PEER_GROUP</t>
        </is>
      </c>
      <c r="AH31" s="24" t="inlineStr">
        <is>
          <t>False</t>
        </is>
      </c>
    </row>
    <row r="32" ht="24" customHeight="1">
      <c r="A32" s="29" t="inlineStr">
        <is>
          <t>151</t>
        </is>
      </c>
      <c r="B32" s="29" t="inlineStr">
        <is>
          <t>해당 없음</t>
        </is>
      </c>
      <c r="C32" s="29" t="inlineStr">
        <is>
          <t>KX하이텍</t>
        </is>
      </c>
      <c r="D32" s="29" t="inlineStr">
        <is>
          <t>052900</t>
        </is>
      </c>
      <c r="E32" s="29" t="inlineStr">
        <is>
          <t>KOSDAQ</t>
        </is>
      </c>
      <c r="F32" s="29" t="inlineStr">
        <is>
          <t>후공정/패키징/테스트</t>
        </is>
      </c>
      <c r="G32" s="29" t="inlineStr">
        <is>
          <t>후공정/패키징/테스트</t>
        </is>
      </c>
      <c r="H32" s="29" t="inlineStr">
        <is>
          <t>False</t>
        </is>
      </c>
      <c r="I32" s="29" t="inlineStr">
        <is>
          <t>True</t>
        </is>
      </c>
      <c r="J32" s="29" t="inlineStr">
        <is>
          <t>OK</t>
        </is>
      </c>
      <c r="K32" s="29" t="inlineStr">
        <is>
          <t>데이터 사용 가능</t>
        </is>
      </c>
      <c r="L32" s="29" t="inlineStr">
        <is>
          <t>LOW</t>
        </is>
      </c>
      <c r="M32" s="29" t="inlineStr">
        <is>
          <t>LOW</t>
        </is>
      </c>
      <c r="N32" s="29" t="inlineStr">
        <is>
          <t>0.6361481481481482</t>
        </is>
      </c>
      <c r="O32" s="29" t="inlineStr">
        <is>
          <t>ATTRACTIVE</t>
        </is>
      </c>
      <c r="P32" s="29" t="inlineStr">
        <is>
          <t>가치 매력</t>
        </is>
      </c>
      <c r="Q32" s="29" t="inlineStr">
        <is>
          <t>ATTRACTIVE</t>
        </is>
      </c>
      <c r="R32" s="29" t="inlineStr">
        <is>
          <t>0.7896879678479897</t>
        </is>
      </c>
      <c r="S32" s="29" t="inlineStr">
        <is>
          <t>HIGH</t>
        </is>
      </c>
      <c r="T32" s="29" t="inlineStr">
        <is>
          <t>HIGH</t>
        </is>
      </c>
      <c r="U32" s="29" t="inlineStr">
        <is>
          <t>0.0714285714285714</t>
        </is>
      </c>
      <c r="V32" s="29" t="inlineStr">
        <is>
          <t>LOW_RISK</t>
        </is>
      </c>
      <c r="W32" s="29" t="inlineStr">
        <is>
          <t>저위험</t>
        </is>
      </c>
      <c r="X32" s="29" t="inlineStr">
        <is>
          <t>LOW_RISK</t>
        </is>
      </c>
      <c r="Y32" s="29" t="inlineStr">
        <is>
          <t>0.87015899446037</t>
        </is>
      </c>
      <c r="Z32" s="29" t="inlineStr">
        <is>
          <t>HIGH</t>
        </is>
      </c>
      <c r="AA32" s="29" t="inlineStr">
        <is>
          <t>HIGH</t>
        </is>
      </c>
      <c r="AB32" s="29" t="inlineStr">
        <is>
          <t>0.012348610212675635</t>
        </is>
      </c>
      <c r="AC32" s="29" t="inlineStr">
        <is>
          <t>False</t>
        </is>
      </c>
      <c r="AD32" s="29" t="inlineStr">
        <is>
          <t>False</t>
        </is>
      </c>
      <c r="AE32" s="29" t="inlineStr">
        <is>
          <t>valuation_credit_ml_overlay_candidate.csv</t>
        </is>
      </c>
      <c r="AF32" s="29" t="inlineStr">
        <is>
          <t>208개 반도체 reference universe. Valuation Agent가 자체 intake 폴더로 복제해 Peer/ML/대시보드 비교에 사용.</t>
        </is>
      </c>
      <c r="AG32" s="29" t="inlineStr">
        <is>
          <t>SAME_PEER_GROUP</t>
        </is>
      </c>
      <c r="AH32" s="29" t="inlineStr">
        <is>
          <t>False</t>
        </is>
      </c>
    </row>
    <row r="33" ht="24" customHeight="1">
      <c r="A33" s="24" t="inlineStr">
        <is>
          <t>172</t>
        </is>
      </c>
      <c r="B33" s="24" t="inlineStr">
        <is>
          <t>해당 없음</t>
        </is>
      </c>
      <c r="C33" s="24" t="inlineStr">
        <is>
          <t>에이치엠넥스</t>
        </is>
      </c>
      <c r="D33" s="24" t="inlineStr">
        <is>
          <t>036170</t>
        </is>
      </c>
      <c r="E33" s="24" t="inlineStr">
        <is>
          <t>KOSDAQ</t>
        </is>
      </c>
      <c r="F33" s="24" t="inlineStr">
        <is>
          <t>후공정/패키징/테스트</t>
        </is>
      </c>
      <c r="G33" s="24" t="inlineStr">
        <is>
          <t>후공정/패키징/테스트</t>
        </is>
      </c>
      <c r="H33" s="24" t="inlineStr">
        <is>
          <t>False</t>
        </is>
      </c>
      <c r="I33" s="24" t="inlineStr">
        <is>
          <t>True</t>
        </is>
      </c>
      <c r="J33" s="24" t="inlineStr">
        <is>
          <t>OK</t>
        </is>
      </c>
      <c r="K33" s="24" t="inlineStr">
        <is>
          <t>데이터 사용 가능</t>
        </is>
      </c>
      <c r="L33" s="24" t="inlineStr">
        <is>
          <t>LOW</t>
        </is>
      </c>
      <c r="M33" s="24" t="inlineStr">
        <is>
          <t>LOW</t>
        </is>
      </c>
      <c r="N33" s="24" t="inlineStr">
        <is>
          <t>0.621037037037037</t>
        </is>
      </c>
      <c r="O33" s="24" t="inlineStr">
        <is>
          <t>FAIR</t>
        </is>
      </c>
      <c r="P33" s="24" t="inlineStr">
        <is>
          <t>FAIR</t>
        </is>
      </c>
      <c r="Q33" s="24" t="inlineStr">
        <is>
          <t>FAIR</t>
        </is>
      </c>
      <c r="R33" s="24" t="inlineStr">
        <is>
          <t>0.7433115072206052</t>
        </is>
      </c>
      <c r="S33" s="24" t="inlineStr">
        <is>
          <t>HIGH</t>
        </is>
      </c>
      <c r="T33" s="24" t="inlineStr">
        <is>
          <t>HIGH</t>
        </is>
      </c>
      <c r="U33" s="24" t="inlineStr">
        <is>
          <t>0.3571428571428571</t>
        </is>
      </c>
      <c r="V33" s="24" t="inlineStr">
        <is>
          <t>MEDIUM_RISK</t>
        </is>
      </c>
      <c r="W33" s="24" t="inlineStr">
        <is>
          <t>중위험</t>
        </is>
      </c>
      <c r="X33" s="24" t="inlineStr">
        <is>
          <t>MEDIUM_RISK</t>
        </is>
      </c>
      <c r="Y33" s="24" t="inlineStr">
        <is>
          <t>0.7084051764737881</t>
        </is>
      </c>
      <c r="Z33" s="24" t="inlineStr">
        <is>
          <t>HIGH</t>
        </is>
      </c>
      <c r="AA33" s="24" t="inlineStr">
        <is>
          <t>HIGH</t>
        </is>
      </c>
      <c r="AB33" s="24" t="inlineStr">
        <is>
          <t>0.3531105059628509</t>
        </is>
      </c>
      <c r="AC33" s="24" t="inlineStr">
        <is>
          <t>True</t>
        </is>
      </c>
      <c r="AD33" s="24" t="inlineStr">
        <is>
          <t>True</t>
        </is>
      </c>
      <c r="AE33" s="24" t="inlineStr">
        <is>
          <t>valuation_credit_ml_overlay_candidate.csv</t>
        </is>
      </c>
      <c r="AF33" s="24" t="inlineStr">
        <is>
          <t>208개 반도체 reference universe. Valuation Agent가 자체 intake 폴더로 복제해 Peer/ML/대시보드 비교에 사용.</t>
        </is>
      </c>
      <c r="AG33" s="24" t="inlineStr">
        <is>
          <t>SAME_PEER_GROUP</t>
        </is>
      </c>
      <c r="AH33" s="24" t="inlineStr">
        <is>
          <t>False</t>
        </is>
      </c>
    </row>
    <row r="34" ht="24" customHeight="1">
      <c r="A34" s="29" t="inlineStr">
        <is>
          <t>175</t>
        </is>
      </c>
      <c r="B34" s="29" t="inlineStr">
        <is>
          <t>해당 없음</t>
        </is>
      </c>
      <c r="C34" s="29" t="inlineStr">
        <is>
          <t>오킨스전자</t>
        </is>
      </c>
      <c r="D34" s="29" t="inlineStr">
        <is>
          <t>080580</t>
        </is>
      </c>
      <c r="E34" s="29" t="inlineStr">
        <is>
          <t>KOSDAQ</t>
        </is>
      </c>
      <c r="F34" s="29" t="inlineStr">
        <is>
          <t>후공정/패키징/테스트</t>
        </is>
      </c>
      <c r="G34" s="29" t="inlineStr">
        <is>
          <t>후공정/패키징/테스트</t>
        </is>
      </c>
      <c r="H34" s="29" t="inlineStr">
        <is>
          <t>False</t>
        </is>
      </c>
      <c r="I34" s="29" t="inlineStr">
        <is>
          <t>True</t>
        </is>
      </c>
      <c r="J34" s="29" t="inlineStr">
        <is>
          <t>OK</t>
        </is>
      </c>
      <c r="K34" s="29" t="inlineStr">
        <is>
          <t>데이터 사용 가능</t>
        </is>
      </c>
      <c r="L34" s="29" t="inlineStr">
        <is>
          <t>LOW</t>
        </is>
      </c>
      <c r="M34" s="29" t="inlineStr">
        <is>
          <t>LOW</t>
        </is>
      </c>
      <c r="N34" s="29" t="inlineStr">
        <is>
          <t>0.6062222222222222</t>
        </is>
      </c>
      <c r="O34" s="29" t="inlineStr">
        <is>
          <t>ATTRACTIVE</t>
        </is>
      </c>
      <c r="P34" s="29" t="inlineStr">
        <is>
          <t>가치 매력</t>
        </is>
      </c>
      <c r="Q34" s="29" t="inlineStr">
        <is>
          <t>ATTRACTIVE</t>
        </is>
      </c>
      <c r="R34" s="29" t="inlineStr">
        <is>
          <t>0.8105235691914331</t>
        </is>
      </c>
      <c r="S34" s="29" t="inlineStr">
        <is>
          <t>HIGH</t>
        </is>
      </c>
      <c r="T34" s="29" t="inlineStr">
        <is>
          <t>HIGH</t>
        </is>
      </c>
      <c r="U34" s="29" t="inlineStr">
        <is>
          <t>0.2142857142857142</t>
        </is>
      </c>
      <c r="V34" s="29" t="inlineStr">
        <is>
          <t>MEDIUM_RISK</t>
        </is>
      </c>
      <c r="W34" s="29" t="inlineStr">
        <is>
          <t>중위험</t>
        </is>
      </c>
      <c r="X34" s="29" t="inlineStr">
        <is>
          <t>MEDIUM_RISK</t>
        </is>
      </c>
      <c r="Y34" s="29" t="inlineStr">
        <is>
          <t>0.5565647223385506</t>
        </is>
      </c>
      <c r="Z34" s="29" t="inlineStr">
        <is>
          <t>MEDIUM</t>
        </is>
      </c>
      <c r="AA34" s="29" t="inlineStr">
        <is>
          <t>MEDIUM</t>
        </is>
      </c>
      <c r="AB34" s="29" t="inlineStr">
        <is>
          <t>0.05131400931985753</t>
        </is>
      </c>
      <c r="AC34" s="29" t="inlineStr">
        <is>
          <t>False</t>
        </is>
      </c>
      <c r="AD34" s="29" t="inlineStr">
        <is>
          <t>False</t>
        </is>
      </c>
      <c r="AE34" s="29" t="inlineStr">
        <is>
          <t>valuation_credit_ml_overlay_candidate.csv</t>
        </is>
      </c>
      <c r="AF34" s="29" t="inlineStr">
        <is>
          <t>208개 반도체 reference universe. Valuation Agent가 자체 intake 폴더로 복제해 Peer/ML/대시보드 비교에 사용.</t>
        </is>
      </c>
      <c r="AG34" s="29" t="inlineStr">
        <is>
          <t>SAME_PEER_GROUP</t>
        </is>
      </c>
      <c r="AH34" s="29" t="inlineStr">
        <is>
          <t>False</t>
        </is>
      </c>
    </row>
    <row r="35" ht="24" customHeight="1">
      <c r="A35" s="24" t="inlineStr">
        <is>
          <t>160</t>
        </is>
      </c>
      <c r="B35" s="24" t="inlineStr">
        <is>
          <t>해당 없음</t>
        </is>
      </c>
      <c r="C35" s="24" t="inlineStr">
        <is>
          <t>디아이</t>
        </is>
      </c>
      <c r="D35" s="24" t="inlineStr">
        <is>
          <t>003160</t>
        </is>
      </c>
      <c r="E35" s="24" t="inlineStr">
        <is>
          <t>KOSPI</t>
        </is>
      </c>
      <c r="F35" s="24" t="inlineStr">
        <is>
          <t>후공정/패키징/테스트</t>
        </is>
      </c>
      <c r="G35" s="24" t="inlineStr">
        <is>
          <t>후공정/패키징/테스트</t>
        </is>
      </c>
      <c r="H35" s="24" t="inlineStr">
        <is>
          <t>False</t>
        </is>
      </c>
      <c r="I35" s="24" t="inlineStr">
        <is>
          <t>True</t>
        </is>
      </c>
      <c r="J35" s="24" t="inlineStr">
        <is>
          <t>OK</t>
        </is>
      </c>
      <c r="K35" s="24" t="inlineStr">
        <is>
          <t>데이터 사용 가능</t>
        </is>
      </c>
      <c r="L35" s="24" t="inlineStr">
        <is>
          <t>LOW</t>
        </is>
      </c>
      <c r="M35" s="24" t="inlineStr">
        <is>
          <t>LOW</t>
        </is>
      </c>
      <c r="N35" s="24" t="inlineStr">
        <is>
          <t>0.5875555555555555</t>
        </is>
      </c>
      <c r="O35" s="24" t="inlineStr">
        <is>
          <t>ATTRACTIVE</t>
        </is>
      </c>
      <c r="P35" s="24" t="inlineStr">
        <is>
          <t>가치 매력</t>
        </is>
      </c>
      <c r="Q35" s="24" t="inlineStr">
        <is>
          <t>ATTRACTIVE</t>
        </is>
      </c>
      <c r="R35" s="24" t="inlineStr">
        <is>
          <t>0.6560906263736197</t>
        </is>
      </c>
      <c r="S35" s="24" t="inlineStr">
        <is>
          <t>MEDIUM</t>
        </is>
      </c>
      <c r="T35" s="24" t="inlineStr">
        <is>
          <t>MEDIUM</t>
        </is>
      </c>
      <c r="U35" s="24" t="inlineStr">
        <is>
          <t>0.0714285714285714</t>
        </is>
      </c>
      <c r="V35" s="24" t="inlineStr">
        <is>
          <t>LOW_RISK</t>
        </is>
      </c>
      <c r="W35" s="24" t="inlineStr">
        <is>
          <t>저위험</t>
        </is>
      </c>
      <c r="X35" s="24" t="inlineStr">
        <is>
          <t>LOW_RISK</t>
        </is>
      </c>
      <c r="Y35" s="24" t="inlineStr">
        <is>
          <t>0.7571818581431954</t>
        </is>
      </c>
      <c r="Z35" s="24" t="inlineStr">
        <is>
          <t>HIGH</t>
        </is>
      </c>
      <c r="AA35" s="24" t="inlineStr">
        <is>
          <t>HIGH</t>
        </is>
      </c>
      <c r="AB35" s="24" t="inlineStr">
        <is>
          <t>0.027510707117244317</t>
        </is>
      </c>
      <c r="AC35" s="24" t="inlineStr">
        <is>
          <t>False</t>
        </is>
      </c>
      <c r="AD35" s="24" t="inlineStr">
        <is>
          <t>False</t>
        </is>
      </c>
      <c r="AE35" s="24" t="inlineStr">
        <is>
          <t>valuation_credit_ml_overlay_candidate.csv</t>
        </is>
      </c>
      <c r="AF35" s="24" t="inlineStr">
        <is>
          <t>208개 반도체 reference universe. Valuation Agent가 자체 intake 폴더로 복제해 Peer/ML/대시보드 비교에 사용.</t>
        </is>
      </c>
      <c r="AG35" s="24" t="inlineStr">
        <is>
          <t>SAME_PEER_GROUP</t>
        </is>
      </c>
      <c r="AH35" s="24" t="inlineStr">
        <is>
          <t>False</t>
        </is>
      </c>
    </row>
    <row r="36" ht="24" customHeight="1">
      <c r="A36" s="29" t="inlineStr">
        <is>
          <t>174</t>
        </is>
      </c>
      <c r="B36" s="29" t="inlineStr">
        <is>
          <t>해당 없음</t>
        </is>
      </c>
      <c r="C36" s="29" t="inlineStr">
        <is>
          <t>엑시콘</t>
        </is>
      </c>
      <c r="D36" s="29" t="inlineStr">
        <is>
          <t>092870</t>
        </is>
      </c>
      <c r="E36" s="29" t="inlineStr">
        <is>
          <t>KOSDAQ</t>
        </is>
      </c>
      <c r="F36" s="29" t="inlineStr">
        <is>
          <t>후공정/패키징/테스트</t>
        </is>
      </c>
      <c r="G36" s="29" t="inlineStr">
        <is>
          <t>후공정/패키징/테스트</t>
        </is>
      </c>
      <c r="H36" s="29" t="inlineStr">
        <is>
          <t>False</t>
        </is>
      </c>
      <c r="I36" s="29" t="inlineStr">
        <is>
          <t>True</t>
        </is>
      </c>
      <c r="J36" s="29" t="inlineStr">
        <is>
          <t>OK</t>
        </is>
      </c>
      <c r="K36" s="29" t="inlineStr">
        <is>
          <t>데이터 사용 가능</t>
        </is>
      </c>
      <c r="L36" s="29" t="inlineStr">
        <is>
          <t>LOW</t>
        </is>
      </c>
      <c r="M36" s="29" t="inlineStr">
        <is>
          <t>LOW</t>
        </is>
      </c>
      <c r="N36" s="29" t="inlineStr">
        <is>
          <t>0.5711111111111111</t>
        </is>
      </c>
      <c r="O36" s="29" t="inlineStr">
        <is>
          <t>FAIR</t>
        </is>
      </c>
      <c r="P36" s="29" t="inlineStr">
        <is>
          <t>FAIR</t>
        </is>
      </c>
      <c r="Q36" s="29" t="inlineStr">
        <is>
          <t>FAIR</t>
        </is>
      </c>
      <c r="R36" s="29" t="inlineStr">
        <is>
          <t>0.7870958268046786</t>
        </is>
      </c>
      <c r="S36" s="29" t="inlineStr">
        <is>
          <t>HIGH</t>
        </is>
      </c>
      <c r="T36" s="29" t="inlineStr">
        <is>
          <t>HIGH</t>
        </is>
      </c>
      <c r="U36" s="29" t="inlineStr">
        <is>
          <t>0.2142857142857142</t>
        </is>
      </c>
      <c r="V36" s="29" t="inlineStr">
        <is>
          <t>MEDIUM_RISK</t>
        </is>
      </c>
      <c r="W36" s="29" t="inlineStr">
        <is>
          <t>중위험</t>
        </is>
      </c>
      <c r="X36" s="29" t="inlineStr">
        <is>
          <t>MEDIUM_RISK</t>
        </is>
      </c>
      <c r="Y36" s="29" t="inlineStr">
        <is>
          <t>0.6956414267155251</t>
        </is>
      </c>
      <c r="Z36" s="29" t="inlineStr">
        <is>
          <t>MEDIUM</t>
        </is>
      </c>
      <c r="AA36" s="29" t="inlineStr">
        <is>
          <t>MEDIUM</t>
        </is>
      </c>
      <c r="AB36" s="29" t="inlineStr">
        <is>
          <t>0.09079387845598708</t>
        </is>
      </c>
      <c r="AC36" s="29" t="inlineStr">
        <is>
          <t>False</t>
        </is>
      </c>
      <c r="AD36" s="29" t="inlineStr">
        <is>
          <t>False</t>
        </is>
      </c>
      <c r="AE36" s="29" t="inlineStr">
        <is>
          <t>valuation_credit_ml_overlay_candidate.csv</t>
        </is>
      </c>
      <c r="AF36" s="29" t="inlineStr">
        <is>
          <t>208개 반도체 reference universe. Valuation Agent가 자체 intake 폴더로 복제해 Peer/ML/대시보드 비교에 사용.</t>
        </is>
      </c>
      <c r="AG36" s="29" t="inlineStr">
        <is>
          <t>SAME_PEER_GROUP</t>
        </is>
      </c>
      <c r="AH36" s="29" t="inlineStr">
        <is>
          <t>False</t>
        </is>
      </c>
    </row>
    <row r="37" ht="24" customHeight="1">
      <c r="A37" s="24" t="inlineStr">
        <is>
          <t>177</t>
        </is>
      </c>
      <c r="B37" s="24" t="inlineStr">
        <is>
          <t>해당 없음</t>
        </is>
      </c>
      <c r="C37" s="24" t="inlineStr">
        <is>
          <t>우리이앤엘하루틴</t>
        </is>
      </c>
      <c r="D37" s="24" t="inlineStr">
        <is>
          <t>153490</t>
        </is>
      </c>
      <c r="E37" s="24" t="inlineStr">
        <is>
          <t>KOSDAQ</t>
        </is>
      </c>
      <c r="F37" s="24" t="inlineStr">
        <is>
          <t>후공정/패키징/테스트</t>
        </is>
      </c>
      <c r="G37" s="24" t="inlineStr">
        <is>
          <t>후공정/패키징/테스트</t>
        </is>
      </c>
      <c r="H37" s="24" t="inlineStr">
        <is>
          <t>False</t>
        </is>
      </c>
      <c r="I37" s="24" t="inlineStr">
        <is>
          <t>True</t>
        </is>
      </c>
      <c r="J37" s="24" t="inlineStr">
        <is>
          <t>OK</t>
        </is>
      </c>
      <c r="K37" s="24" t="inlineStr">
        <is>
          <t>데이터 사용 가능</t>
        </is>
      </c>
      <c r="L37" s="24" t="inlineStr">
        <is>
          <t>LOW</t>
        </is>
      </c>
      <c r="M37" s="24" t="inlineStr">
        <is>
          <t>LOW</t>
        </is>
      </c>
      <c r="N37" s="24" t="inlineStr">
        <is>
          <t>0.5598518518518519</t>
        </is>
      </c>
      <c r="O37" s="24" t="inlineStr">
        <is>
          <t>FAIR</t>
        </is>
      </c>
      <c r="P37" s="24" t="inlineStr">
        <is>
          <t>FAIR</t>
        </is>
      </c>
      <c r="Q37" s="24" t="inlineStr">
        <is>
          <t>FAIR</t>
        </is>
      </c>
      <c r="R37" s="24" t="inlineStr">
        <is>
          <t>0.803860880134826</t>
        </is>
      </c>
      <c r="S37" s="24" t="inlineStr">
        <is>
          <t>HIGH</t>
        </is>
      </c>
      <c r="T37" s="24" t="inlineStr">
        <is>
          <t>HIGH</t>
        </is>
      </c>
      <c r="U37" s="24" t="inlineStr">
        <is>
          <t>0.1428571428571428</t>
        </is>
      </c>
      <c r="V37" s="24" t="inlineStr">
        <is>
          <t>LOW_RISK</t>
        </is>
      </c>
      <c r="W37" s="24" t="inlineStr">
        <is>
          <t>저위험</t>
        </is>
      </c>
      <c r="X37" s="24" t="inlineStr">
        <is>
          <t>LOW_RISK</t>
        </is>
      </c>
      <c r="Y37" s="24" t="inlineStr">
        <is>
          <t>0.5263237628250668</t>
        </is>
      </c>
      <c r="Z37" s="24" t="inlineStr">
        <is>
          <t>MEDIUM</t>
        </is>
      </c>
      <c r="AA37" s="24" t="inlineStr">
        <is>
          <t>MEDIUM</t>
        </is>
      </c>
      <c r="AB37" s="24" t="inlineStr">
        <is>
          <t>0.12425981563248314</t>
        </is>
      </c>
      <c r="AC37" s="24" t="inlineStr">
        <is>
          <t>False</t>
        </is>
      </c>
      <c r="AD37" s="24" t="inlineStr">
        <is>
          <t>False</t>
        </is>
      </c>
      <c r="AE37" s="24" t="inlineStr">
        <is>
          <t>valuation_credit_ml_overlay_candidate.csv</t>
        </is>
      </c>
      <c r="AF37" s="24" t="inlineStr">
        <is>
          <t>208개 반도체 reference universe. Valuation Agent가 자체 intake 폴더로 복제해 Peer/ML/대시보드 비교에 사용.</t>
        </is>
      </c>
      <c r="AG37" s="24" t="inlineStr">
        <is>
          <t>SAME_PEER_GROUP</t>
        </is>
      </c>
      <c r="AH37" s="24" t="inlineStr">
        <is>
          <t>False</t>
        </is>
      </c>
    </row>
    <row r="38" ht="24" customHeight="1">
      <c r="A38" s="29" t="inlineStr">
        <is>
          <t>176</t>
        </is>
      </c>
      <c r="B38" s="29" t="inlineStr">
        <is>
          <t>해당 없음</t>
        </is>
      </c>
      <c r="C38" s="29" t="inlineStr">
        <is>
          <t>와이씨</t>
        </is>
      </c>
      <c r="D38" s="29" t="inlineStr">
        <is>
          <t>232140</t>
        </is>
      </c>
      <c r="E38" s="29" t="inlineStr">
        <is>
          <t>KOSDAQ</t>
        </is>
      </c>
      <c r="F38" s="29" t="inlineStr">
        <is>
          <t>후공정/패키징/테스트</t>
        </is>
      </c>
      <c r="G38" s="29" t="inlineStr">
        <is>
          <t>후공정/패키징/테스트</t>
        </is>
      </c>
      <c r="H38" s="29" t="inlineStr">
        <is>
          <t>False</t>
        </is>
      </c>
      <c r="I38" s="29" t="inlineStr">
        <is>
          <t>True</t>
        </is>
      </c>
      <c r="J38" s="29" t="inlineStr">
        <is>
          <t>OK</t>
        </is>
      </c>
      <c r="K38" s="29" t="inlineStr">
        <is>
          <t>데이터 사용 가능</t>
        </is>
      </c>
      <c r="L38" s="29" t="inlineStr">
        <is>
          <t>LOW</t>
        </is>
      </c>
      <c r="M38" s="29" t="inlineStr">
        <is>
          <t>LOW</t>
        </is>
      </c>
      <c r="N38" s="29" t="inlineStr">
        <is>
          <t>0.5573333333333333</t>
        </is>
      </c>
      <c r="O38" s="29" t="inlineStr">
        <is>
          <t>FAIR</t>
        </is>
      </c>
      <c r="P38" s="29" t="inlineStr">
        <is>
          <t>FAIR</t>
        </is>
      </c>
      <c r="Q38" s="29" t="inlineStr">
        <is>
          <t>FAIR</t>
        </is>
      </c>
      <c r="R38" s="29" t="inlineStr">
        <is>
          <t>0.5813875575219858</t>
        </is>
      </c>
      <c r="S38" s="29" t="inlineStr">
        <is>
          <t>MEDIUM</t>
        </is>
      </c>
      <c r="T38" s="29" t="inlineStr">
        <is>
          <t>MEDIUM</t>
        </is>
      </c>
      <c r="U38" s="29" t="inlineStr">
        <is>
          <t>0.0</t>
        </is>
      </c>
      <c r="V38" s="29" t="inlineStr">
        <is>
          <t>LOW_RISK</t>
        </is>
      </c>
      <c r="W38" s="29" t="inlineStr">
        <is>
          <t>저위험</t>
        </is>
      </c>
      <c r="X38" s="29" t="inlineStr">
        <is>
          <t>LOW_RISK</t>
        </is>
      </c>
      <c r="Y38" s="29" t="inlineStr">
        <is>
          <t>0.9779169949984006</t>
        </is>
      </c>
      <c r="Z38" s="29" t="inlineStr">
        <is>
          <t>HIGH</t>
        </is>
      </c>
      <c r="AA38" s="29" t="inlineStr">
        <is>
          <t>HIGH</t>
        </is>
      </c>
      <c r="AB38" s="29" t="inlineStr">
        <is>
          <t>0.027903490153269303</t>
        </is>
      </c>
      <c r="AC38" s="29" t="inlineStr">
        <is>
          <t>False</t>
        </is>
      </c>
      <c r="AD38" s="29" t="inlineStr">
        <is>
          <t>False</t>
        </is>
      </c>
      <c r="AE38" s="29" t="inlineStr">
        <is>
          <t>valuation_credit_ml_overlay_candidate.csv</t>
        </is>
      </c>
      <c r="AF38" s="29" t="inlineStr">
        <is>
          <t>208개 반도체 reference universe. Valuation Agent가 자체 intake 폴더로 복제해 Peer/ML/대시보드 비교에 사용.</t>
        </is>
      </c>
      <c r="AG38" s="29" t="inlineStr">
        <is>
          <t>SAME_PEER_GROUP</t>
        </is>
      </c>
      <c r="AH38" s="29" t="inlineStr">
        <is>
          <t>False</t>
        </is>
      </c>
    </row>
    <row r="39" ht="24" customHeight="1">
      <c r="A39" s="24" t="inlineStr">
        <is>
          <t>155</t>
        </is>
      </c>
      <c r="B39" s="24" t="inlineStr">
        <is>
          <t>해당 없음</t>
        </is>
      </c>
      <c r="C39" s="24" t="inlineStr">
        <is>
          <t>기가비스</t>
        </is>
      </c>
      <c r="D39" s="24" t="inlineStr">
        <is>
          <t>420770</t>
        </is>
      </c>
      <c r="E39" s="24" t="inlineStr">
        <is>
          <t>KOSDAQ</t>
        </is>
      </c>
      <c r="F39" s="24" t="inlineStr">
        <is>
          <t>후공정/패키징/테스트</t>
        </is>
      </c>
      <c r="G39" s="24" t="inlineStr">
        <is>
          <t>후공정/패키징/테스트</t>
        </is>
      </c>
      <c r="H39" s="24" t="inlineStr">
        <is>
          <t>False</t>
        </is>
      </c>
      <c r="I39" s="24" t="inlineStr">
        <is>
          <t>True</t>
        </is>
      </c>
      <c r="J39" s="24" t="inlineStr">
        <is>
          <t>OK_LIMITED_HISTORY_OR_GROWTH_NA</t>
        </is>
      </c>
      <c r="K39" s="24" t="inlineStr">
        <is>
          <t>데이터 사용 가능</t>
        </is>
      </c>
      <c r="L39" s="24" t="inlineStr">
        <is>
          <t>LOW</t>
        </is>
      </c>
      <c r="M39" s="24" t="inlineStr">
        <is>
          <t>LOW</t>
        </is>
      </c>
      <c r="N39" s="24" t="inlineStr">
        <is>
          <t>0.5544444444444445</t>
        </is>
      </c>
      <c r="O39" s="24" t="inlineStr">
        <is>
          <t>FAIR</t>
        </is>
      </c>
      <c r="P39" s="24" t="inlineStr">
        <is>
          <t>FAIR</t>
        </is>
      </c>
      <c r="Q39" s="24" t="inlineStr">
        <is>
          <t>FAIR</t>
        </is>
      </c>
      <c r="R39" s="24" t="inlineStr">
        <is>
          <t>0.604283449323821</t>
        </is>
      </c>
      <c r="S39" s="24" t="inlineStr">
        <is>
          <t>MEDIUM</t>
        </is>
      </c>
      <c r="T39" s="24" t="inlineStr">
        <is>
          <t>MEDIUM</t>
        </is>
      </c>
      <c r="U39" s="24" t="inlineStr">
        <is>
          <t>0.0714285714285714</t>
        </is>
      </c>
      <c r="V39" s="24" t="inlineStr">
        <is>
          <t>LOW_RISK</t>
        </is>
      </c>
      <c r="W39" s="24" t="inlineStr">
        <is>
          <t>저위험</t>
        </is>
      </c>
      <c r="X39" s="24" t="inlineStr">
        <is>
          <t>LOW_RISK</t>
        </is>
      </c>
      <c r="Y39" s="24" t="inlineStr">
        <is>
          <t>0.9462252670112353</t>
        </is>
      </c>
      <c r="Z39" s="24" t="inlineStr">
        <is>
          <t>HIGH</t>
        </is>
      </c>
      <c r="AA39" s="24" t="inlineStr">
        <is>
          <t>HIGH</t>
        </is>
      </c>
      <c r="AB39" s="24" t="inlineStr">
        <is>
          <t>0.34444594339538714</t>
        </is>
      </c>
      <c r="AC39" s="24" t="inlineStr">
        <is>
          <t>True</t>
        </is>
      </c>
      <c r="AD39" s="24" t="inlineStr">
        <is>
          <t>True</t>
        </is>
      </c>
      <c r="AE39" s="24" t="inlineStr">
        <is>
          <t>valuation_credit_ml_overlay_candidate.csv</t>
        </is>
      </c>
      <c r="AF39" s="24" t="inlineStr">
        <is>
          <t>208개 반도체 reference universe. Valuation Agent가 자체 intake 폴더로 복제해 Peer/ML/대시보드 비교에 사용.</t>
        </is>
      </c>
      <c r="AG39" s="24" t="inlineStr">
        <is>
          <t>SAME_PEER_GROUP</t>
        </is>
      </c>
      <c r="AH39" s="24" t="inlineStr">
        <is>
          <t>False</t>
        </is>
      </c>
    </row>
    <row r="40" ht="24" customHeight="1">
      <c r="A40" s="29" t="inlineStr">
        <is>
          <t>194</t>
        </is>
      </c>
      <c r="B40" s="29" t="inlineStr">
        <is>
          <t>해당 없음</t>
        </is>
      </c>
      <c r="C40" s="29" t="inlineStr">
        <is>
          <t>해성디에스</t>
        </is>
      </c>
      <c r="D40" s="29" t="inlineStr">
        <is>
          <t>195870</t>
        </is>
      </c>
      <c r="E40" s="29" t="inlineStr">
        <is>
          <t>KOSPI</t>
        </is>
      </c>
      <c r="F40" s="29" t="inlineStr">
        <is>
          <t>후공정/패키징/테스트</t>
        </is>
      </c>
      <c r="G40" s="29" t="inlineStr">
        <is>
          <t>후공정/패키징/테스트</t>
        </is>
      </c>
      <c r="H40" s="29" t="inlineStr">
        <is>
          <t>False</t>
        </is>
      </c>
      <c r="I40" s="29" t="inlineStr">
        <is>
          <t>True</t>
        </is>
      </c>
      <c r="J40" s="29" t="inlineStr">
        <is>
          <t>OK</t>
        </is>
      </c>
      <c r="K40" s="29" t="inlineStr">
        <is>
          <t>데이터 사용 가능</t>
        </is>
      </c>
      <c r="L40" s="29" t="inlineStr">
        <is>
          <t>LOW</t>
        </is>
      </c>
      <c r="M40" s="29" t="inlineStr">
        <is>
          <t>LOW</t>
        </is>
      </c>
      <c r="N40" s="29" t="inlineStr">
        <is>
          <t>0.5333333333333333</t>
        </is>
      </c>
      <c r="O40" s="29" t="inlineStr">
        <is>
          <t>FAIR</t>
        </is>
      </c>
      <c r="P40" s="29" t="inlineStr">
        <is>
          <t>FAIR</t>
        </is>
      </c>
      <c r="Q40" s="29" t="inlineStr">
        <is>
          <t>FAIR</t>
        </is>
      </c>
      <c r="R40" s="29" t="inlineStr">
        <is>
          <t>0.8942165906576592</t>
        </is>
      </c>
      <c r="S40" s="29" t="inlineStr">
        <is>
          <t>HIGH</t>
        </is>
      </c>
      <c r="T40" s="29" t="inlineStr">
        <is>
          <t>HIGH</t>
        </is>
      </c>
      <c r="U40" s="29" t="inlineStr">
        <is>
          <t>0.0714285714285714</t>
        </is>
      </c>
      <c r="V40" s="29" t="inlineStr">
        <is>
          <t>LOW_RISK</t>
        </is>
      </c>
      <c r="W40" s="29" t="inlineStr">
        <is>
          <t>저위험</t>
        </is>
      </c>
      <c r="X40" s="29" t="inlineStr">
        <is>
          <t>LOW_RISK</t>
        </is>
      </c>
      <c r="Y40" s="29" t="inlineStr">
        <is>
          <t>0.7552918248784374</t>
        </is>
      </c>
      <c r="Z40" s="29" t="inlineStr">
        <is>
          <t>HIGH</t>
        </is>
      </c>
      <c r="AA40" s="29" t="inlineStr">
        <is>
          <t>HIGH</t>
        </is>
      </c>
      <c r="AB40" s="29" t="inlineStr">
        <is>
          <t>0.0</t>
        </is>
      </c>
      <c r="AC40" s="29" t="inlineStr">
        <is>
          <t>False</t>
        </is>
      </c>
      <c r="AD40" s="29" t="inlineStr">
        <is>
          <t>False</t>
        </is>
      </c>
      <c r="AE40" s="29" t="inlineStr">
        <is>
          <t>valuation_credit_ml_overlay_candidate.csv</t>
        </is>
      </c>
      <c r="AF40" s="29" t="inlineStr">
        <is>
          <t>208개 반도체 reference universe. Valuation Agent가 자체 intake 폴더로 복제해 Peer/ML/대시보드 비교에 사용.</t>
        </is>
      </c>
      <c r="AG40" s="29" t="inlineStr">
        <is>
          <t>SAME_PEER_GROUP</t>
        </is>
      </c>
      <c r="AH40" s="29" t="inlineStr">
        <is>
          <t>False</t>
        </is>
      </c>
    </row>
    <row r="41" ht="24" customHeight="1">
      <c r="A41" s="24" t="inlineStr">
        <is>
          <t>150</t>
        </is>
      </c>
      <c r="B41" s="24" t="inlineStr">
        <is>
          <t>해당 없음</t>
        </is>
      </c>
      <c r="C41" s="24" t="inlineStr">
        <is>
          <t>ISC</t>
        </is>
      </c>
      <c r="D41" s="24" t="inlineStr">
        <is>
          <t>095340</t>
        </is>
      </c>
      <c r="E41" s="24" t="inlineStr">
        <is>
          <t>KOSDAQ GLOBAL</t>
        </is>
      </c>
      <c r="F41" s="24" t="inlineStr">
        <is>
          <t>후공정/패키징/테스트</t>
        </is>
      </c>
      <c r="G41" s="24" t="inlineStr">
        <is>
          <t>후공정/패키징/테스트</t>
        </is>
      </c>
      <c r="H41" s="24" t="inlineStr">
        <is>
          <t>False</t>
        </is>
      </c>
      <c r="I41" s="24" t="inlineStr">
        <is>
          <t>True</t>
        </is>
      </c>
      <c r="J41" s="24" t="inlineStr">
        <is>
          <t>OK</t>
        </is>
      </c>
      <c r="K41" s="24" t="inlineStr">
        <is>
          <t>데이터 사용 가능</t>
        </is>
      </c>
      <c r="L41" s="24" t="inlineStr">
        <is>
          <t>LOW</t>
        </is>
      </c>
      <c r="M41" s="24" t="inlineStr">
        <is>
          <t>LOW</t>
        </is>
      </c>
      <c r="N41" s="24" t="inlineStr">
        <is>
          <t>0.5176296296296296</t>
        </is>
      </c>
      <c r="O41" s="24" t="inlineStr">
        <is>
          <t>FAIR</t>
        </is>
      </c>
      <c r="P41" s="24" t="inlineStr">
        <is>
          <t>FAIR</t>
        </is>
      </c>
      <c r="Q41" s="24" t="inlineStr">
        <is>
          <t>FAIR</t>
        </is>
      </c>
      <c r="R41" s="24" t="inlineStr">
        <is>
          <t>0.5753148434947495</t>
        </is>
      </c>
      <c r="S41" s="24" t="inlineStr">
        <is>
          <t>MEDIUM</t>
        </is>
      </c>
      <c r="T41" s="24" t="inlineStr">
        <is>
          <t>MEDIUM</t>
        </is>
      </c>
      <c r="U41" s="24" t="inlineStr">
        <is>
          <t>0.0</t>
        </is>
      </c>
      <c r="V41" s="24" t="inlineStr">
        <is>
          <t>LOW_RISK</t>
        </is>
      </c>
      <c r="W41" s="24" t="inlineStr">
        <is>
          <t>저위험</t>
        </is>
      </c>
      <c r="X41" s="24" t="inlineStr">
        <is>
          <t>LOW_RISK</t>
        </is>
      </c>
      <c r="Y41" s="24" t="inlineStr">
        <is>
          <t>0.9755870924998499</t>
        </is>
      </c>
      <c r="Z41" s="24" t="inlineStr">
        <is>
          <t>HIGH</t>
        </is>
      </c>
      <c r="AA41" s="24" t="inlineStr">
        <is>
          <t>HIGH</t>
        </is>
      </c>
      <c r="AB41" s="24" t="inlineStr">
        <is>
          <t>0.14006921921799445</t>
        </is>
      </c>
      <c r="AC41" s="24" t="inlineStr">
        <is>
          <t>False</t>
        </is>
      </c>
      <c r="AD41" s="24" t="inlineStr">
        <is>
          <t>False</t>
        </is>
      </c>
      <c r="AE41" s="24" t="inlineStr">
        <is>
          <t>valuation_credit_ml_overlay_candidate.csv</t>
        </is>
      </c>
      <c r="AF41" s="24" t="inlineStr">
        <is>
          <t>208개 반도체 reference universe. Valuation Agent가 자체 intake 폴더로 복제해 Peer/ML/대시보드 비교에 사용.</t>
        </is>
      </c>
      <c r="AG41" s="24" t="inlineStr">
        <is>
          <t>SAME_PEER_GROUP</t>
        </is>
      </c>
      <c r="AH41" s="24" t="inlineStr">
        <is>
          <t>False</t>
        </is>
      </c>
    </row>
    <row r="42" ht="24" customHeight="1">
      <c r="A42" s="29" t="inlineStr">
        <is>
          <t>173</t>
        </is>
      </c>
      <c r="B42" s="29" t="inlineStr">
        <is>
          <t>해당 없음</t>
        </is>
      </c>
      <c r="C42" s="29" t="inlineStr">
        <is>
          <t>에이팩트</t>
        </is>
      </c>
      <c r="D42" s="29" t="inlineStr">
        <is>
          <t>200470</t>
        </is>
      </c>
      <c r="E42" s="29" t="inlineStr">
        <is>
          <t>KOSDAQ</t>
        </is>
      </c>
      <c r="F42" s="29" t="inlineStr">
        <is>
          <t>후공정/패키징/테스트</t>
        </is>
      </c>
      <c r="G42" s="29" t="inlineStr">
        <is>
          <t>후공정/패키징/테스트</t>
        </is>
      </c>
      <c r="H42" s="29" t="inlineStr">
        <is>
          <t>False</t>
        </is>
      </c>
      <c r="I42" s="29" t="inlineStr">
        <is>
          <t>True</t>
        </is>
      </c>
      <c r="J42" s="29" t="inlineStr">
        <is>
          <t>OK</t>
        </is>
      </c>
      <c r="K42" s="29" t="inlineStr">
        <is>
          <t>데이터 사용 가능</t>
        </is>
      </c>
      <c r="L42" s="29" t="inlineStr">
        <is>
          <t>LOW</t>
        </is>
      </c>
      <c r="M42" s="29" t="inlineStr">
        <is>
          <t>LOW</t>
        </is>
      </c>
      <c r="N42" s="29" t="inlineStr">
        <is>
          <t>0.5026666666666667</t>
        </is>
      </c>
      <c r="O42" s="29" t="inlineStr">
        <is>
          <t>FAIR</t>
        </is>
      </c>
      <c r="P42" s="29" t="inlineStr">
        <is>
          <t>FAIR</t>
        </is>
      </c>
      <c r="Q42" s="29" t="inlineStr">
        <is>
          <t>FAIR</t>
        </is>
      </c>
      <c r="R42" s="29" t="inlineStr">
        <is>
          <t>0.8010795762920226</t>
        </is>
      </c>
      <c r="S42" s="29" t="inlineStr">
        <is>
          <t>HIGH</t>
        </is>
      </c>
      <c r="T42" s="29" t="inlineStr">
        <is>
          <t>HIGH</t>
        </is>
      </c>
      <c r="U42" s="29" t="inlineStr">
        <is>
          <t>0.4285714285714285</t>
        </is>
      </c>
      <c r="V42" s="29" t="inlineStr">
        <is>
          <t>HIGH_RISK</t>
        </is>
      </c>
      <c r="W42" s="29" t="inlineStr">
        <is>
          <t>고위험</t>
        </is>
      </c>
      <c r="X42" s="29" t="inlineStr">
        <is>
          <t>MEDIUM_RISK</t>
        </is>
      </c>
      <c r="Y42" s="29" t="inlineStr">
        <is>
          <t>0.40666664980482187</t>
        </is>
      </c>
      <c r="Z42" s="29" t="inlineStr">
        <is>
          <t>LOW</t>
        </is>
      </c>
      <c r="AA42" s="29" t="inlineStr">
        <is>
          <t>LOW</t>
        </is>
      </c>
      <c r="AB42" s="29" t="inlineStr">
        <is>
          <t>0.060282917359955154</t>
        </is>
      </c>
      <c r="AC42" s="29" t="inlineStr">
        <is>
          <t>False</t>
        </is>
      </c>
      <c r="AD42" s="29" t="inlineStr">
        <is>
          <t>True</t>
        </is>
      </c>
      <c r="AE42" s="29" t="inlineStr">
        <is>
          <t>valuation_credit_ml_overlay_candidate.csv</t>
        </is>
      </c>
      <c r="AF42" s="29" t="inlineStr">
        <is>
          <t>208개 반도체 reference universe. Valuation Agent가 자체 intake 폴더로 복제해 Peer/ML/대시보드 비교에 사용.</t>
        </is>
      </c>
      <c r="AG42" s="29" t="inlineStr">
        <is>
          <t>SAME_PEER_GROUP</t>
        </is>
      </c>
      <c r="AH42" s="29" t="inlineStr">
        <is>
          <t>False</t>
        </is>
      </c>
    </row>
    <row r="43" ht="24" customHeight="1">
      <c r="A43" s="24" t="inlineStr">
        <is>
          <t>166</t>
        </is>
      </c>
      <c r="B43" s="24" t="inlineStr">
        <is>
          <t>해당 없음</t>
        </is>
      </c>
      <c r="C43" s="24" t="inlineStr">
        <is>
          <t>삼성전기</t>
        </is>
      </c>
      <c r="D43" s="24" t="inlineStr">
        <is>
          <t>009150</t>
        </is>
      </c>
      <c r="E43" s="24" t="inlineStr">
        <is>
          <t>KOSPI</t>
        </is>
      </c>
      <c r="F43" s="24" t="inlineStr">
        <is>
          <t>후공정/패키징/테스트</t>
        </is>
      </c>
      <c r="G43" s="24" t="inlineStr">
        <is>
          <t>후공정/패키징/테스트</t>
        </is>
      </c>
      <c r="H43" s="24" t="inlineStr">
        <is>
          <t>False</t>
        </is>
      </c>
      <c r="I43" s="24" t="inlineStr">
        <is>
          <t>True</t>
        </is>
      </c>
      <c r="J43" s="24" t="inlineStr">
        <is>
          <t>OK</t>
        </is>
      </c>
      <c r="K43" s="24" t="inlineStr">
        <is>
          <t>데이터 사용 가능</t>
        </is>
      </c>
      <c r="L43" s="24" t="inlineStr">
        <is>
          <t>LOW</t>
        </is>
      </c>
      <c r="M43" s="24" t="inlineStr">
        <is>
          <t>LOW</t>
        </is>
      </c>
      <c r="N43" s="24" t="inlineStr">
        <is>
          <t>0.4957037037037037</t>
        </is>
      </c>
      <c r="O43" s="24" t="inlineStr">
        <is>
          <t>FAIR</t>
        </is>
      </c>
      <c r="P43" s="24" t="inlineStr">
        <is>
          <t>FAIR</t>
        </is>
      </c>
      <c r="Q43" s="24" t="inlineStr">
        <is>
          <t>FAIR</t>
        </is>
      </c>
      <c r="R43" s="24" t="inlineStr">
        <is>
          <t>0.5297655139045552</t>
        </is>
      </c>
      <c r="S43" s="24" t="inlineStr">
        <is>
          <t>MEDIUM</t>
        </is>
      </c>
      <c r="T43" s="24" t="inlineStr">
        <is>
          <t>MEDIUM</t>
        </is>
      </c>
      <c r="U43" s="24" t="inlineStr">
        <is>
          <t>0.0</t>
        </is>
      </c>
      <c r="V43" s="24" t="inlineStr">
        <is>
          <t>LOW_RISK</t>
        </is>
      </c>
      <c r="W43" s="24" t="inlineStr">
        <is>
          <t>저위험</t>
        </is>
      </c>
      <c r="X43" s="24" t="inlineStr">
        <is>
          <t>LOW_RISK</t>
        </is>
      </c>
      <c r="Y43" s="24" t="inlineStr">
        <is>
          <t>0.9613637696053304</t>
        </is>
      </c>
      <c r="Z43" s="24" t="inlineStr">
        <is>
          <t>HIGH</t>
        </is>
      </c>
      <c r="AA43" s="24" t="inlineStr">
        <is>
          <t>HIGH</t>
        </is>
      </c>
      <c r="AB43" s="24" t="inlineStr">
        <is>
          <t>0.09523408011479967</t>
        </is>
      </c>
      <c r="AC43" s="24" t="inlineStr">
        <is>
          <t>False</t>
        </is>
      </c>
      <c r="AD43" s="24" t="inlineStr">
        <is>
          <t>False</t>
        </is>
      </c>
      <c r="AE43" s="24" t="inlineStr">
        <is>
          <t>valuation_credit_ml_overlay_candidate.csv</t>
        </is>
      </c>
      <c r="AF43" s="24" t="inlineStr">
        <is>
          <t>208개 반도체 reference universe. Valuation Agent가 자체 intake 폴더로 복제해 Peer/ML/대시보드 비교에 사용.</t>
        </is>
      </c>
      <c r="AG43" s="24" t="inlineStr">
        <is>
          <t>SAME_PEER_GROUP</t>
        </is>
      </c>
      <c r="AH43" s="24" t="inlineStr">
        <is>
          <t>False</t>
        </is>
      </c>
    </row>
    <row r="44" ht="24" customHeight="1">
      <c r="A44" s="29" t="inlineStr">
        <is>
          <t>148</t>
        </is>
      </c>
      <c r="B44" s="29" t="inlineStr">
        <is>
          <t>hansol</t>
        </is>
      </c>
      <c r="C44" s="29" t="inlineStr">
        <is>
          <t>한솔케미칼</t>
        </is>
      </c>
      <c r="D44" s="29" t="inlineStr">
        <is>
          <t>014680</t>
        </is>
      </c>
      <c r="E44" s="29" t="inlineStr">
        <is>
          <t>KOSPI</t>
        </is>
      </c>
      <c r="F44" s="29" t="inlineStr">
        <is>
          <t>소재</t>
        </is>
      </c>
      <c r="G44" s="29" t="inlineStr">
        <is>
          <t>소재</t>
        </is>
      </c>
      <c r="H44" s="29" t="inlineStr">
        <is>
          <t>True</t>
        </is>
      </c>
      <c r="I44" s="29" t="inlineStr">
        <is>
          <t>True</t>
        </is>
      </c>
      <c r="J44" s="29" t="inlineStr">
        <is>
          <t>OK</t>
        </is>
      </c>
      <c r="K44" s="29" t="inlineStr">
        <is>
          <t>데이터 사용 가능</t>
        </is>
      </c>
      <c r="L44" s="29" t="inlineStr">
        <is>
          <t>LOW</t>
        </is>
      </c>
      <c r="M44" s="29" t="inlineStr">
        <is>
          <t>LOW</t>
        </is>
      </c>
      <c r="N44" s="29" t="inlineStr">
        <is>
          <t>0.6330769230769231</t>
        </is>
      </c>
      <c r="O44" s="29" t="inlineStr">
        <is>
          <t>ATTRACTIVE</t>
        </is>
      </c>
      <c r="P44" s="29" t="inlineStr">
        <is>
          <t>가치 매력</t>
        </is>
      </c>
      <c r="Q44" s="29" t="inlineStr">
        <is>
          <t>ATTRACTIVE</t>
        </is>
      </c>
      <c r="R44" s="29" t="inlineStr">
        <is>
          <t>0.8364696976606926</t>
        </is>
      </c>
      <c r="S44" s="29" t="inlineStr">
        <is>
          <t>HIGH</t>
        </is>
      </c>
      <c r="T44" s="29" t="inlineStr">
        <is>
          <t>HIGH</t>
        </is>
      </c>
      <c r="U44" s="29" t="inlineStr">
        <is>
          <t>0.0</t>
        </is>
      </c>
      <c r="V44" s="29" t="inlineStr">
        <is>
          <t>LOW_RISK</t>
        </is>
      </c>
      <c r="W44" s="29" t="inlineStr">
        <is>
          <t>저위험</t>
        </is>
      </c>
      <c r="X44" s="29" t="inlineStr">
        <is>
          <t>LOW_RISK</t>
        </is>
      </c>
      <c r="Y44" s="29" t="inlineStr">
        <is>
          <t>0.9711543901439185</t>
        </is>
      </c>
      <c r="Z44" s="29" t="inlineStr">
        <is>
          <t>HIGH</t>
        </is>
      </c>
      <c r="AA44" s="29" t="inlineStr">
        <is>
          <t>HIGH</t>
        </is>
      </c>
      <c r="AB44" s="29" t="inlineStr">
        <is>
          <t>0.058190310497948615</t>
        </is>
      </c>
      <c r="AC44" s="29" t="inlineStr">
        <is>
          <t>False</t>
        </is>
      </c>
      <c r="AD44" s="29" t="inlineStr">
        <is>
          <t>False</t>
        </is>
      </c>
      <c r="AE44" s="29" t="inlineStr">
        <is>
          <t>valuation_credit_ml_overlay_candidate.csv</t>
        </is>
      </c>
      <c r="AF44" s="29" t="inlineStr">
        <is>
          <t>208개 반도체 reference universe. Valuation Agent가 자체 intake 폴더로 복제해 Peer/ML/대시보드 비교에 사용.</t>
        </is>
      </c>
      <c r="AG44" s="29" t="inlineStr">
        <is>
          <t>FOCAL_5</t>
        </is>
      </c>
      <c r="AH44" s="29" t="inlineStr">
        <is>
          <t>False</t>
        </is>
      </c>
    </row>
    <row r="45" ht="24" customHeight="1">
      <c r="A45" s="24" t="inlineStr">
        <is>
          <t>133</t>
        </is>
      </c>
      <c r="B45" s="24" t="inlineStr">
        <is>
          <t>ltc</t>
        </is>
      </c>
      <c r="C45" s="24" t="inlineStr">
        <is>
          <t>엘티씨</t>
        </is>
      </c>
      <c r="D45" s="24" t="inlineStr">
        <is>
          <t>170920</t>
        </is>
      </c>
      <c r="E45" s="24" t="inlineStr">
        <is>
          <t>KOSDAQ</t>
        </is>
      </c>
      <c r="F45" s="24" t="inlineStr">
        <is>
          <t>소재</t>
        </is>
      </c>
      <c r="G45" s="24" t="inlineStr">
        <is>
          <t>소재</t>
        </is>
      </c>
      <c r="H45" s="24" t="inlineStr">
        <is>
          <t>True</t>
        </is>
      </c>
      <c r="I45" s="24" t="inlineStr">
        <is>
          <t>True</t>
        </is>
      </c>
      <c r="J45" s="24" t="inlineStr">
        <is>
          <t>OK</t>
        </is>
      </c>
      <c r="K45" s="24" t="inlineStr">
        <is>
          <t>데이터 사용 가능</t>
        </is>
      </c>
      <c r="L45" s="24" t="inlineStr">
        <is>
          <t>LOW</t>
        </is>
      </c>
      <c r="M45" s="24" t="inlineStr">
        <is>
          <t>LOW</t>
        </is>
      </c>
      <c r="N45" s="24" t="inlineStr">
        <is>
          <t>0.5838461538461538</t>
        </is>
      </c>
      <c r="O45" s="24" t="inlineStr">
        <is>
          <t>FAIR</t>
        </is>
      </c>
      <c r="P45" s="24" t="inlineStr">
        <is>
          <t>FAIR</t>
        </is>
      </c>
      <c r="Q45" s="24" t="inlineStr">
        <is>
          <t>ATTRACTIVE</t>
        </is>
      </c>
      <c r="R45" s="24" t="inlineStr">
        <is>
          <t>0.6353016273848794</t>
        </is>
      </c>
      <c r="S45" s="24" t="inlineStr">
        <is>
          <t>MEDIUM</t>
        </is>
      </c>
      <c r="T45" s="24" t="inlineStr">
        <is>
          <t>MEDIUM</t>
        </is>
      </c>
      <c r="U45" s="24" t="inlineStr">
        <is>
          <t>0.0</t>
        </is>
      </c>
      <c r="V45" s="24" t="inlineStr">
        <is>
          <t>LOW_RISK</t>
        </is>
      </c>
      <c r="W45" s="24" t="inlineStr">
        <is>
          <t>저위험</t>
        </is>
      </c>
      <c r="X45" s="24" t="inlineStr">
        <is>
          <t>LOW_RISK</t>
        </is>
      </c>
      <c r="Y45" s="24" t="inlineStr">
        <is>
          <t>0.9205018564538214</t>
        </is>
      </c>
      <c r="Z45" s="24" t="inlineStr">
        <is>
          <t>HIGH</t>
        </is>
      </c>
      <c r="AA45" s="24" t="inlineStr">
        <is>
          <t>HIGH</t>
        </is>
      </c>
      <c r="AB45" s="24" t="inlineStr">
        <is>
          <t>0.0038993876391341673</t>
        </is>
      </c>
      <c r="AC45" s="24" t="inlineStr">
        <is>
          <t>False</t>
        </is>
      </c>
      <c r="AD45" s="24" t="inlineStr">
        <is>
          <t>False</t>
        </is>
      </c>
      <c r="AE45" s="24" t="inlineStr">
        <is>
          <t>valuation_credit_ml_overlay_candidate.csv</t>
        </is>
      </c>
      <c r="AF45" s="24" t="inlineStr">
        <is>
          <t>208개 반도체 reference universe. Valuation Agent가 자체 intake 폴더로 복제해 Peer/ML/대시보드 비교에 사용.</t>
        </is>
      </c>
      <c r="AG45" s="24" t="inlineStr">
        <is>
          <t>FOCAL_5</t>
        </is>
      </c>
      <c r="AH45" s="24" t="inlineStr">
        <is>
          <t>False</t>
        </is>
      </c>
    </row>
    <row r="46" ht="24" customHeight="1">
      <c r="A46" s="29" t="inlineStr">
        <is>
          <t>125</t>
        </is>
      </c>
      <c r="B46" s="29" t="inlineStr">
        <is>
          <t>duksan</t>
        </is>
      </c>
      <c r="C46" s="29" t="inlineStr">
        <is>
          <t>덕산테코피아</t>
        </is>
      </c>
      <c r="D46" s="29" t="inlineStr">
        <is>
          <t>317330</t>
        </is>
      </c>
      <c r="E46" s="29" t="inlineStr">
        <is>
          <t>KOSDAQ</t>
        </is>
      </c>
      <c r="F46" s="29" t="inlineStr">
        <is>
          <t>소재</t>
        </is>
      </c>
      <c r="G46" s="29" t="inlineStr">
        <is>
          <t>소재</t>
        </is>
      </c>
      <c r="H46" s="29" t="inlineStr">
        <is>
          <t>True</t>
        </is>
      </c>
      <c r="I46" s="29" t="inlineStr">
        <is>
          <t>True</t>
        </is>
      </c>
      <c r="J46" s="29" t="inlineStr">
        <is>
          <t>OK</t>
        </is>
      </c>
      <c r="K46" s="29" t="inlineStr">
        <is>
          <t>데이터 사용 가능</t>
        </is>
      </c>
      <c r="L46" s="29" t="inlineStr">
        <is>
          <t>LOW</t>
        </is>
      </c>
      <c r="M46" s="29" t="inlineStr">
        <is>
          <t>LOW</t>
        </is>
      </c>
      <c r="N46" s="29" t="inlineStr">
        <is>
          <t>0.251025641025641</t>
        </is>
      </c>
      <c r="O46" s="29" t="inlineStr">
        <is>
          <t>EXPENSIVE</t>
        </is>
      </c>
      <c r="P46" s="29" t="inlineStr">
        <is>
          <t>EXPENSIVE</t>
        </is>
      </c>
      <c r="Q46" s="29" t="inlineStr">
        <is>
          <t>EXPENSIVE</t>
        </is>
      </c>
      <c r="R46" s="29" t="inlineStr">
        <is>
          <t>0.9683283970250778</t>
        </is>
      </c>
      <c r="S46" s="29" t="inlineStr">
        <is>
          <t>HIGH</t>
        </is>
      </c>
      <c r="T46" s="29" t="inlineStr">
        <is>
          <t>HIGH</t>
        </is>
      </c>
      <c r="U46" s="29" t="inlineStr">
        <is>
          <t>0.7142857142857143</t>
        </is>
      </c>
      <c r="V46" s="29" t="inlineStr">
        <is>
          <t>HIGH_RISK</t>
        </is>
      </c>
      <c r="W46" s="29" t="inlineStr">
        <is>
          <t>고위험</t>
        </is>
      </c>
      <c r="X46" s="29" t="inlineStr">
        <is>
          <t>HIGH_RISK</t>
        </is>
      </c>
      <c r="Y46" s="29" t="inlineStr">
        <is>
          <t>0.9663044353705786</t>
        </is>
      </c>
      <c r="Z46" s="29" t="inlineStr">
        <is>
          <t>HIGH</t>
        </is>
      </c>
      <c r="AA46" s="29" t="inlineStr">
        <is>
          <t>HIGH</t>
        </is>
      </c>
      <c r="AB46" s="29" t="inlineStr">
        <is>
          <t>0.3843555232614074</t>
        </is>
      </c>
      <c r="AC46" s="29" t="inlineStr">
        <is>
          <t>True</t>
        </is>
      </c>
      <c r="AD46" s="29" t="inlineStr">
        <is>
          <t>True</t>
        </is>
      </c>
      <c r="AE46" s="29" t="inlineStr">
        <is>
          <t>valuation_credit_ml_overlay_candidate.csv</t>
        </is>
      </c>
      <c r="AF46" s="29" t="inlineStr">
        <is>
          <t>208개 반도체 reference universe. Valuation Agent가 자체 intake 폴더로 복제해 Peer/ML/대시보드 비교에 사용.</t>
        </is>
      </c>
      <c r="AG46" s="29" t="inlineStr">
        <is>
          <t>FOCAL_5</t>
        </is>
      </c>
      <c r="AH46" s="29" t="inlineStr">
        <is>
          <t>False</t>
        </is>
      </c>
    </row>
    <row r="47" ht="24" customHeight="1">
      <c r="A47" s="24" t="inlineStr">
        <is>
          <t>192</t>
        </is>
      </c>
      <c r="B47" s="24" t="inlineStr">
        <is>
          <t>hanmi</t>
        </is>
      </c>
      <c r="C47" s="24" t="inlineStr">
        <is>
          <t>한미반도체</t>
        </is>
      </c>
      <c r="D47" s="24" t="inlineStr">
        <is>
          <t>042700</t>
        </is>
      </c>
      <c r="E47" s="24" t="inlineStr">
        <is>
          <t>KOSPI</t>
        </is>
      </c>
      <c r="F47" s="24" t="inlineStr">
        <is>
          <t>후공정/패키징/테스트</t>
        </is>
      </c>
      <c r="G47" s="24" t="inlineStr">
        <is>
          <t>후공정/패키징/테스트</t>
        </is>
      </c>
      <c r="H47" s="24" t="inlineStr">
        <is>
          <t>True</t>
        </is>
      </c>
      <c r="I47" s="24" t="inlineStr">
        <is>
          <t>True</t>
        </is>
      </c>
      <c r="J47" s="24" t="inlineStr">
        <is>
          <t>OK</t>
        </is>
      </c>
      <c r="K47" s="24" t="inlineStr">
        <is>
          <t>데이터 사용 가능</t>
        </is>
      </c>
      <c r="L47" s="24" t="inlineStr">
        <is>
          <t>LOW</t>
        </is>
      </c>
      <c r="M47" s="24" t="inlineStr">
        <is>
          <t>LOW</t>
        </is>
      </c>
      <c r="N47" s="24" t="inlineStr">
        <is>
          <t>0.4712592592592592</t>
        </is>
      </c>
      <c r="O47" s="24" t="inlineStr">
        <is>
          <t>FAIR</t>
        </is>
      </c>
      <c r="P47" s="24" t="inlineStr">
        <is>
          <t>FAIR</t>
        </is>
      </c>
      <c r="Q47" s="24" t="inlineStr">
        <is>
          <t>FAIR</t>
        </is>
      </c>
      <c r="R47" s="24" t="inlineStr">
        <is>
          <t>0.618072727307107</t>
        </is>
      </c>
      <c r="S47" s="24" t="inlineStr">
        <is>
          <t>MEDIUM</t>
        </is>
      </c>
      <c r="T47" s="24" t="inlineStr">
        <is>
          <t>MEDIUM</t>
        </is>
      </c>
      <c r="U47" s="24" t="inlineStr">
        <is>
          <t>0.0</t>
        </is>
      </c>
      <c r="V47" s="24" t="inlineStr">
        <is>
          <t>LOW_RISK</t>
        </is>
      </c>
      <c r="W47" s="24" t="inlineStr">
        <is>
          <t>저위험</t>
        </is>
      </c>
      <c r="X47" s="24" t="inlineStr">
        <is>
          <t>LOW_RISK</t>
        </is>
      </c>
      <c r="Y47" s="24" t="inlineStr">
        <is>
          <t>0.9350232170644448</t>
        </is>
      </c>
      <c r="Z47" s="24" t="inlineStr">
        <is>
          <t>HIGH</t>
        </is>
      </c>
      <c r="AA47" s="24" t="inlineStr">
        <is>
          <t>HIGH</t>
        </is>
      </c>
      <c r="AB47" s="24" t="inlineStr">
        <is>
          <t>0.2707179947680644</t>
        </is>
      </c>
      <c r="AC47" s="24" t="inlineStr">
        <is>
          <t>True</t>
        </is>
      </c>
      <c r="AD47" s="24" t="inlineStr">
        <is>
          <t>True</t>
        </is>
      </c>
      <c r="AE47" s="24" t="inlineStr">
        <is>
          <t>valuation_credit_ml_overlay_candidate.csv</t>
        </is>
      </c>
      <c r="AF47" s="24" t="inlineStr">
        <is>
          <t>208개 반도체 reference universe. Valuation Agent가 자체 intake 폴더로 복제해 Peer/ML/대시보드 비교에 사용.</t>
        </is>
      </c>
      <c r="AG47" s="24" t="inlineStr">
        <is>
          <t>FOCAL_5</t>
        </is>
      </c>
      <c r="AH47" s="24" t="inlineStr">
        <is>
          <t>False</t>
        </is>
      </c>
    </row>
    <row r="48" ht="24" customHeight="1">
      <c r="A48" s="29" t="inlineStr">
        <is>
          <t>99</t>
        </is>
      </c>
      <c r="B48" s="29" t="inlineStr">
        <is>
          <t>해당 없음</t>
        </is>
      </c>
      <c r="C48" s="29" t="inlineStr">
        <is>
          <t>엔투텍</t>
        </is>
      </c>
      <c r="D48" s="29" t="inlineStr">
        <is>
          <t>227950</t>
        </is>
      </c>
      <c r="E48" s="29" t="inlineStr">
        <is>
          <t>KOSDAQ</t>
        </is>
      </c>
      <c r="F48" s="29" t="inlineStr">
        <is>
          <t>장비</t>
        </is>
      </c>
      <c r="G48" s="29" t="inlineStr">
        <is>
          <t>장비</t>
        </is>
      </c>
      <c r="H48" s="29" t="inlineStr">
        <is>
          <t>False</t>
        </is>
      </c>
      <c r="I48" s="29" t="inlineStr">
        <is>
          <t>True</t>
        </is>
      </c>
      <c r="J48" s="29" t="inlineStr">
        <is>
          <t>OK</t>
        </is>
      </c>
      <c r="K48" s="29" t="inlineStr">
        <is>
          <t>데이터 사용 가능</t>
        </is>
      </c>
      <c r="L48" s="29" t="inlineStr">
        <is>
          <t>LOW</t>
        </is>
      </c>
      <c r="M48" s="29" t="inlineStr">
        <is>
          <t>LOW</t>
        </is>
      </c>
      <c r="N48" s="29" t="inlineStr">
        <is>
          <t>0.8128666666666667</t>
        </is>
      </c>
      <c r="O48" s="29" t="inlineStr">
        <is>
          <t>ATTRACTIVE</t>
        </is>
      </c>
      <c r="P48" s="29" t="inlineStr">
        <is>
          <t>가치 매력</t>
        </is>
      </c>
      <c r="Q48" s="29" t="inlineStr">
        <is>
          <t>ATTRACTIVE</t>
        </is>
      </c>
      <c r="R48" s="29" t="inlineStr">
        <is>
          <t>0.8347222629406851</t>
        </is>
      </c>
      <c r="S48" s="29" t="inlineStr">
        <is>
          <t>HIGH</t>
        </is>
      </c>
      <c r="T48" s="29" t="inlineStr">
        <is>
          <t>HIGH</t>
        </is>
      </c>
      <c r="U48" s="29" t="inlineStr">
        <is>
          <t>0.2142857142857142</t>
        </is>
      </c>
      <c r="V48" s="29" t="inlineStr">
        <is>
          <t>MEDIUM_RISK</t>
        </is>
      </c>
      <c r="W48" s="29" t="inlineStr">
        <is>
          <t>중위험</t>
        </is>
      </c>
      <c r="X48" s="29" t="inlineStr">
        <is>
          <t>MEDIUM_RISK</t>
        </is>
      </c>
      <c r="Y48" s="29" t="inlineStr">
        <is>
          <t>0.5142933547274794</t>
        </is>
      </c>
      <c r="Z48" s="29" t="inlineStr">
        <is>
          <t>MEDIUM</t>
        </is>
      </c>
      <c r="AA48" s="29" t="inlineStr">
        <is>
          <t>MEDIUM</t>
        </is>
      </c>
      <c r="AB48" s="29" t="inlineStr">
        <is>
          <t>0.21193857896314997</t>
        </is>
      </c>
      <c r="AC48" s="29" t="inlineStr">
        <is>
          <t>False</t>
        </is>
      </c>
      <c r="AD48" s="29" t="inlineStr">
        <is>
          <t>False</t>
        </is>
      </c>
      <c r="AE48" s="29" t="inlineStr">
        <is>
          <t>valuation_credit_ml_overlay_candidate.csv</t>
        </is>
      </c>
      <c r="AF48" s="29" t="inlineStr">
        <is>
          <t>208개 반도체 reference universe. Valuation Agent가 자체 intake 폴더로 복제해 Peer/ML/대시보드 비교에 사용.</t>
        </is>
      </c>
      <c r="AG48" s="29" t="inlineStr">
        <is>
          <t>TOP_REFERENCE</t>
        </is>
      </c>
      <c r="AH48" s="29" t="inlineStr">
        <is>
          <t>False</t>
        </is>
      </c>
    </row>
    <row r="49" ht="24" customHeight="1">
      <c r="A49" s="24" t="inlineStr">
        <is>
          <t>62</t>
        </is>
      </c>
      <c r="B49" s="24" t="inlineStr">
        <is>
          <t>해당 없음</t>
        </is>
      </c>
      <c r="C49" s="24" t="inlineStr">
        <is>
          <t>에스에이엠티</t>
        </is>
      </c>
      <c r="D49" s="24" t="inlineStr">
        <is>
          <t>031330</t>
        </is>
      </c>
      <c r="E49" s="24" t="inlineStr">
        <is>
          <t>KOSDAQ</t>
        </is>
      </c>
      <c r="F49" s="24" t="inlineStr">
        <is>
          <t>팹리스/설계</t>
        </is>
      </c>
      <c r="G49" s="24" t="inlineStr">
        <is>
          <t>팹리스/설계</t>
        </is>
      </c>
      <c r="H49" s="24" t="inlineStr">
        <is>
          <t>False</t>
        </is>
      </c>
      <c r="I49" s="24" t="inlineStr">
        <is>
          <t>True</t>
        </is>
      </c>
      <c r="J49" s="24" t="inlineStr">
        <is>
          <t>OK</t>
        </is>
      </c>
      <c r="K49" s="24" t="inlineStr">
        <is>
          <t>데이터 사용 가능</t>
        </is>
      </c>
      <c r="L49" s="24" t="inlineStr">
        <is>
          <t>LOW</t>
        </is>
      </c>
      <c r="M49" s="24" t="inlineStr">
        <is>
          <t>LOW</t>
        </is>
      </c>
      <c r="N49" s="24" t="inlineStr">
        <is>
          <t>0.7838383838383839</t>
        </is>
      </c>
      <c r="O49" s="24" t="inlineStr">
        <is>
          <t>FAIR</t>
        </is>
      </c>
      <c r="P49" s="24" t="inlineStr">
        <is>
          <t>FAIR</t>
        </is>
      </c>
      <c r="Q49" s="24" t="inlineStr">
        <is>
          <t>FAIR</t>
        </is>
      </c>
      <c r="R49" s="24" t="inlineStr">
        <is>
          <t>0.8575928985222669</t>
        </is>
      </c>
      <c r="S49" s="24" t="inlineStr">
        <is>
          <t>HIGH</t>
        </is>
      </c>
      <c r="T49" s="24" t="inlineStr">
        <is>
          <t>HIGH</t>
        </is>
      </c>
      <c r="U49" s="24" t="inlineStr">
        <is>
          <t>0.5</t>
        </is>
      </c>
      <c r="V49" s="24" t="inlineStr">
        <is>
          <t>HIGH_RISK</t>
        </is>
      </c>
      <c r="W49" s="24" t="inlineStr">
        <is>
          <t>고위험</t>
        </is>
      </c>
      <c r="X49" s="24" t="inlineStr">
        <is>
          <t>HIGH_RISK</t>
        </is>
      </c>
      <c r="Y49" s="24" t="inlineStr">
        <is>
          <t>0.5021487096911619</t>
        </is>
      </c>
      <c r="Z49" s="24" t="inlineStr">
        <is>
          <t>MEDIUM</t>
        </is>
      </c>
      <c r="AA49" s="24" t="inlineStr">
        <is>
          <t>MEDIUM</t>
        </is>
      </c>
      <c r="AB49" s="24" t="inlineStr">
        <is>
          <t>0.11372149345925425</t>
        </is>
      </c>
      <c r="AC49" s="24" t="inlineStr">
        <is>
          <t>False</t>
        </is>
      </c>
      <c r="AD49" s="24" t="inlineStr">
        <is>
          <t>False</t>
        </is>
      </c>
      <c r="AE49" s="24" t="inlineStr">
        <is>
          <t>valuation_credit_ml_overlay_candidate.csv</t>
        </is>
      </c>
      <c r="AF49" s="24" t="inlineStr">
        <is>
          <t>208개 반도체 reference universe. Valuation Agent가 자체 intake 폴더로 복제해 Peer/ML/대시보드 비교에 사용.</t>
        </is>
      </c>
      <c r="AG49" s="24" t="inlineStr">
        <is>
          <t>TOP_REFERENCE</t>
        </is>
      </c>
      <c r="AH49" s="24" t="inlineStr">
        <is>
          <t>False</t>
        </is>
      </c>
    </row>
    <row r="50" ht="24" customHeight="1">
      <c r="A50" s="29" t="inlineStr">
        <is>
          <t>10</t>
        </is>
      </c>
      <c r="B50" s="29" t="inlineStr">
        <is>
          <t>해당 없음</t>
        </is>
      </c>
      <c r="C50" s="29" t="inlineStr">
        <is>
          <t>미코</t>
        </is>
      </c>
      <c r="D50" s="29" t="inlineStr">
        <is>
          <t>059090</t>
        </is>
      </c>
      <c r="E50" s="29" t="inlineStr">
        <is>
          <t>KOSDAQ</t>
        </is>
      </c>
      <c r="F50" s="29" t="inlineStr">
        <is>
          <t>IDM/제조/메모리</t>
        </is>
      </c>
      <c r="G50" s="29" t="inlineStr">
        <is>
          <t>IDM/제조/메모리</t>
        </is>
      </c>
      <c r="H50" s="29" t="inlineStr">
        <is>
          <t>False</t>
        </is>
      </c>
      <c r="I50" s="29" t="inlineStr">
        <is>
          <t>True</t>
        </is>
      </c>
      <c r="J50" s="29" t="inlineStr">
        <is>
          <t>OK</t>
        </is>
      </c>
      <c r="K50" s="29" t="inlineStr">
        <is>
          <t>데이터 사용 가능</t>
        </is>
      </c>
      <c r="L50" s="29" t="inlineStr">
        <is>
          <t>LOW</t>
        </is>
      </c>
      <c r="M50" s="29" t="inlineStr">
        <is>
          <t>LOW</t>
        </is>
      </c>
      <c r="N50" s="29" t="inlineStr">
        <is>
          <t>0.7733333333333334</t>
        </is>
      </c>
      <c r="O50" s="29" t="inlineStr">
        <is>
          <t>FAIR</t>
        </is>
      </c>
      <c r="P50" s="29" t="inlineStr">
        <is>
          <t>FAIR</t>
        </is>
      </c>
      <c r="Q50" s="29" t="inlineStr">
        <is>
          <t>FAIR</t>
        </is>
      </c>
      <c r="R50" s="29" t="inlineStr">
        <is>
          <t>0.9066669659525092</t>
        </is>
      </c>
      <c r="S50" s="29" t="inlineStr">
        <is>
          <t>HIGH</t>
        </is>
      </c>
      <c r="T50" s="29" t="inlineStr">
        <is>
          <t>HIGH</t>
        </is>
      </c>
      <c r="U50" s="29" t="inlineStr">
        <is>
          <t>0.2142857142857142</t>
        </is>
      </c>
      <c r="V50" s="29" t="inlineStr">
        <is>
          <t>MEDIUM_RISK</t>
        </is>
      </c>
      <c r="W50" s="29" t="inlineStr">
        <is>
          <t>중위험</t>
        </is>
      </c>
      <c r="X50" s="29" t="inlineStr">
        <is>
          <t>MEDIUM_RISK</t>
        </is>
      </c>
      <c r="Y50" s="29" t="inlineStr">
        <is>
          <t>0.6769145960065608</t>
        </is>
      </c>
      <c r="Z50" s="29" t="inlineStr">
        <is>
          <t>MEDIUM</t>
        </is>
      </c>
      <c r="AA50" s="29" t="inlineStr">
        <is>
          <t>MEDIUM</t>
        </is>
      </c>
      <c r="AB50" s="29" t="inlineStr">
        <is>
          <t>0.10646038380774528</t>
        </is>
      </c>
      <c r="AC50" s="29" t="inlineStr">
        <is>
          <t>False</t>
        </is>
      </c>
      <c r="AD50" s="29" t="inlineStr">
        <is>
          <t>False</t>
        </is>
      </c>
      <c r="AE50" s="29" t="inlineStr">
        <is>
          <t>valuation_credit_ml_overlay_candidate.csv</t>
        </is>
      </c>
      <c r="AF50" s="29" t="inlineStr">
        <is>
          <t>208개 반도체 reference universe. Valuation Agent가 자체 intake 폴더로 복제해 Peer/ML/대시보드 비교에 사용.</t>
        </is>
      </c>
      <c r="AG50" s="29" t="inlineStr">
        <is>
          <t>TOP_REFERENCE</t>
        </is>
      </c>
      <c r="AH50" s="29" t="inlineStr">
        <is>
          <t>False</t>
        </is>
      </c>
    </row>
    <row r="51" ht="24" customHeight="1">
      <c r="A51" s="24" t="inlineStr">
        <is>
          <t>22</t>
        </is>
      </c>
      <c r="B51" s="24" t="inlineStr">
        <is>
          <t>해당 없음</t>
        </is>
      </c>
      <c r="C51" s="24" t="inlineStr">
        <is>
          <t>엘디티</t>
        </is>
      </c>
      <c r="D51" s="24" t="inlineStr">
        <is>
          <t>096870</t>
        </is>
      </c>
      <c r="E51" s="24" t="inlineStr">
        <is>
          <t>KOSDAQ</t>
        </is>
      </c>
      <c r="F51" s="24" t="inlineStr">
        <is>
          <t>IDM/제조/메모리</t>
        </is>
      </c>
      <c r="G51" s="24" t="inlineStr">
        <is>
          <t>IDM/제조/메모리</t>
        </is>
      </c>
      <c r="H51" s="24" t="inlineStr">
        <is>
          <t>False</t>
        </is>
      </c>
      <c r="I51" s="24" t="inlineStr">
        <is>
          <t>True</t>
        </is>
      </c>
      <c r="J51" s="24" t="inlineStr">
        <is>
          <t>OK</t>
        </is>
      </c>
      <c r="K51" s="24" t="inlineStr">
        <is>
          <t>데이터 사용 가능</t>
        </is>
      </c>
      <c r="L51" s="24" t="inlineStr">
        <is>
          <t>LOW</t>
        </is>
      </c>
      <c r="M51" s="24" t="inlineStr">
        <is>
          <t>LOW</t>
        </is>
      </c>
      <c r="N51" s="24" t="inlineStr">
        <is>
          <t>0.7518333333333332</t>
        </is>
      </c>
      <c r="O51" s="24" t="inlineStr">
        <is>
          <t>ATTRACTIVE</t>
        </is>
      </c>
      <c r="P51" s="24" t="inlineStr">
        <is>
          <t>가치 매력</t>
        </is>
      </c>
      <c r="Q51" s="24" t="inlineStr">
        <is>
          <t>ATTRACTIVE</t>
        </is>
      </c>
      <c r="R51" s="24" t="inlineStr">
        <is>
          <t>0.8817908899004964</t>
        </is>
      </c>
      <c r="S51" s="24" t="inlineStr">
        <is>
          <t>HIGH</t>
        </is>
      </c>
      <c r="T51" s="24" t="inlineStr">
        <is>
          <t>HIGH</t>
        </is>
      </c>
      <c r="U51" s="24" t="inlineStr">
        <is>
          <t>0.0714285714285714</t>
        </is>
      </c>
      <c r="V51" s="24" t="inlineStr">
        <is>
          <t>LOW_RISK</t>
        </is>
      </c>
      <c r="W51" s="24" t="inlineStr">
        <is>
          <t>저위험</t>
        </is>
      </c>
      <c r="X51" s="24" t="inlineStr">
        <is>
          <t>LOW_RISK</t>
        </is>
      </c>
      <c r="Y51" s="24" t="inlineStr">
        <is>
          <t>0.8068970516192283</t>
        </is>
      </c>
      <c r="Z51" s="24" t="inlineStr">
        <is>
          <t>HIGH</t>
        </is>
      </c>
      <c r="AA51" s="24" t="inlineStr">
        <is>
          <t>HIGH</t>
        </is>
      </c>
      <c r="AB51" s="24" t="inlineStr">
        <is>
          <t>0.2312715560027526</t>
        </is>
      </c>
      <c r="AC51" s="24" t="inlineStr">
        <is>
          <t>False</t>
        </is>
      </c>
      <c r="AD51" s="24" t="inlineStr">
        <is>
          <t>False</t>
        </is>
      </c>
      <c r="AE51" s="24" t="inlineStr">
        <is>
          <t>valuation_credit_ml_overlay_candidate.csv</t>
        </is>
      </c>
      <c r="AF51" s="24" t="inlineStr">
        <is>
          <t>208개 반도체 reference universe. Valuation Agent가 자체 intake 폴더로 복제해 Peer/ML/대시보드 비교에 사용.</t>
        </is>
      </c>
      <c r="AG51" s="24" t="inlineStr">
        <is>
          <t>TOP_REFERENCE</t>
        </is>
      </c>
      <c r="AH51" s="24" t="inlineStr">
        <is>
          <t>False</t>
        </is>
      </c>
    </row>
    <row r="52" ht="24" customHeight="1">
      <c r="A52" s="29" t="inlineStr">
        <is>
          <t>65</t>
        </is>
      </c>
      <c r="B52" s="29" t="inlineStr">
        <is>
          <t>해당 없음</t>
        </is>
      </c>
      <c r="C52" s="29" t="inlineStr">
        <is>
          <t>유니트론텍</t>
        </is>
      </c>
      <c r="D52" s="29" t="inlineStr">
        <is>
          <t>142210</t>
        </is>
      </c>
      <c r="E52" s="29" t="inlineStr">
        <is>
          <t>KOSDAQ</t>
        </is>
      </c>
      <c r="F52" s="29" t="inlineStr">
        <is>
          <t>팹리스/설계</t>
        </is>
      </c>
      <c r="G52" s="29" t="inlineStr">
        <is>
          <t>팹리스/설계</t>
        </is>
      </c>
      <c r="H52" s="29" t="inlineStr">
        <is>
          <t>False</t>
        </is>
      </c>
      <c r="I52" s="29" t="inlineStr">
        <is>
          <t>True</t>
        </is>
      </c>
      <c r="J52" s="29" t="inlineStr">
        <is>
          <t>OK</t>
        </is>
      </c>
      <c r="K52" s="29" t="inlineStr">
        <is>
          <t>데이터 사용 가능</t>
        </is>
      </c>
      <c r="L52" s="29" t="inlineStr">
        <is>
          <t>LOW</t>
        </is>
      </c>
      <c r="M52" s="29" t="inlineStr">
        <is>
          <t>LOW</t>
        </is>
      </c>
      <c r="N52" s="29" t="inlineStr">
        <is>
          <t>0.7478787878787879</t>
        </is>
      </c>
      <c r="O52" s="29" t="inlineStr">
        <is>
          <t>FAIR</t>
        </is>
      </c>
      <c r="P52" s="29" t="inlineStr">
        <is>
          <t>FAIR</t>
        </is>
      </c>
      <c r="Q52" s="29" t="inlineStr">
        <is>
          <t>FAIR</t>
        </is>
      </c>
      <c r="R52" s="29" t="inlineStr">
        <is>
          <t>0.8593164302034415</t>
        </is>
      </c>
      <c r="S52" s="29" t="inlineStr">
        <is>
          <t>HIGH</t>
        </is>
      </c>
      <c r="T52" s="29" t="inlineStr">
        <is>
          <t>HIGH</t>
        </is>
      </c>
      <c r="U52" s="29" t="inlineStr">
        <is>
          <t>0.3571428571428571</t>
        </is>
      </c>
      <c r="V52" s="29" t="inlineStr">
        <is>
          <t>MEDIUM_RISK</t>
        </is>
      </c>
      <c r="W52" s="29" t="inlineStr">
        <is>
          <t>중위험</t>
        </is>
      </c>
      <c r="X52" s="29" t="inlineStr">
        <is>
          <t>MEDIUM_RISK</t>
        </is>
      </c>
      <c r="Y52" s="29" t="inlineStr">
        <is>
          <t>0.6687746551665015</t>
        </is>
      </c>
      <c r="Z52" s="29" t="inlineStr">
        <is>
          <t>MEDIUM</t>
        </is>
      </c>
      <c r="AA52" s="29" t="inlineStr">
        <is>
          <t>MEDIUM</t>
        </is>
      </c>
      <c r="AB52" s="29" t="inlineStr">
        <is>
          <t>0.05354194050015521</t>
        </is>
      </c>
      <c r="AC52" s="29" t="inlineStr">
        <is>
          <t>False</t>
        </is>
      </c>
      <c r="AD52" s="29" t="inlineStr">
        <is>
          <t>False</t>
        </is>
      </c>
      <c r="AE52" s="29" t="inlineStr">
        <is>
          <t>valuation_credit_ml_overlay_candidate.csv</t>
        </is>
      </c>
      <c r="AF52" s="29" t="inlineStr">
        <is>
          <t>208개 반도체 reference universe. Valuation Agent가 자체 intake 폴더로 복제해 Peer/ML/대시보드 비교에 사용.</t>
        </is>
      </c>
      <c r="AG52" s="29" t="inlineStr">
        <is>
          <t>TOP_REFERENCE</t>
        </is>
      </c>
      <c r="AH52" s="29" t="inlineStr">
        <is>
          <t>False</t>
        </is>
      </c>
    </row>
    <row r="53" ht="24" customHeight="1">
      <c r="A53" s="24" t="inlineStr">
        <is>
          <t>9</t>
        </is>
      </c>
      <c r="B53" s="24" t="inlineStr">
        <is>
          <t>해당 없음</t>
        </is>
      </c>
      <c r="C53" s="24" t="inlineStr">
        <is>
          <t>메카로</t>
        </is>
      </c>
      <c r="D53" s="24" t="inlineStr">
        <is>
          <t>241770</t>
        </is>
      </c>
      <c r="E53" s="24" t="inlineStr">
        <is>
          <t>KOSDAQ</t>
        </is>
      </c>
      <c r="F53" s="24" t="inlineStr">
        <is>
          <t>IDM/제조/메모리</t>
        </is>
      </c>
      <c r="G53" s="24" t="inlineStr">
        <is>
          <t>IDM/제조/메모리</t>
        </is>
      </c>
      <c r="H53" s="24" t="inlineStr">
        <is>
          <t>False</t>
        </is>
      </c>
      <c r="I53" s="24" t="inlineStr">
        <is>
          <t>True</t>
        </is>
      </c>
      <c r="J53" s="24" t="inlineStr">
        <is>
          <t>OK</t>
        </is>
      </c>
      <c r="K53" s="24" t="inlineStr">
        <is>
          <t>데이터 사용 가능</t>
        </is>
      </c>
      <c r="L53" s="24" t="inlineStr">
        <is>
          <t>LOW</t>
        </is>
      </c>
      <c r="M53" s="24" t="inlineStr">
        <is>
          <t>LOW</t>
        </is>
      </c>
      <c r="N53" s="24" t="inlineStr">
        <is>
          <t>0.7476666666666667</t>
        </is>
      </c>
      <c r="O53" s="24" t="inlineStr">
        <is>
          <t>ATTRACTIVE</t>
        </is>
      </c>
      <c r="P53" s="24" t="inlineStr">
        <is>
          <t>가치 매력</t>
        </is>
      </c>
      <c r="Q53" s="24" t="inlineStr">
        <is>
          <t>ATTRACTIVE</t>
        </is>
      </c>
      <c r="R53" s="24" t="inlineStr">
        <is>
          <t>0.9154158498128573</t>
        </is>
      </c>
      <c r="S53" s="24" t="inlineStr">
        <is>
          <t>HIGH</t>
        </is>
      </c>
      <c r="T53" s="24" t="inlineStr">
        <is>
          <t>HIGH</t>
        </is>
      </c>
      <c r="U53" s="24" t="inlineStr">
        <is>
          <t>0.0</t>
        </is>
      </c>
      <c r="V53" s="24" t="inlineStr">
        <is>
          <t>LOW_RISK</t>
        </is>
      </c>
      <c r="W53" s="24" t="inlineStr">
        <is>
          <t>저위험</t>
        </is>
      </c>
      <c r="X53" s="24" t="inlineStr">
        <is>
          <t>LOW_RISK</t>
        </is>
      </c>
      <c r="Y53" s="24" t="inlineStr">
        <is>
          <t>0.9196609311939408</t>
        </is>
      </c>
      <c r="Z53" s="24" t="inlineStr">
        <is>
          <t>HIGH</t>
        </is>
      </c>
      <c r="AA53" s="24" t="inlineStr">
        <is>
          <t>HIGH</t>
        </is>
      </c>
      <c r="AB53" s="24" t="inlineStr">
        <is>
          <t>0.12775877727770685</t>
        </is>
      </c>
      <c r="AC53" s="24" t="inlineStr">
        <is>
          <t>False</t>
        </is>
      </c>
      <c r="AD53" s="24" t="inlineStr">
        <is>
          <t>False</t>
        </is>
      </c>
      <c r="AE53" s="24" t="inlineStr">
        <is>
          <t>valuation_credit_ml_overlay_candidate.csv</t>
        </is>
      </c>
      <c r="AF53" s="24" t="inlineStr">
        <is>
          <t>208개 반도체 reference universe. Valuation Agent가 자체 intake 폴더로 복제해 Peer/ML/대시보드 비교에 사용.</t>
        </is>
      </c>
      <c r="AG53" s="24" t="inlineStr">
        <is>
          <t>TOP_REFERENCE</t>
        </is>
      </c>
      <c r="AH53" s="24" t="inlineStr">
        <is>
          <t>False</t>
        </is>
      </c>
    </row>
    <row r="54" ht="24" customHeight="1">
      <c r="A54" s="29" t="inlineStr">
        <is>
          <t>139</t>
        </is>
      </c>
      <c r="B54" s="29" t="inlineStr">
        <is>
          <t>해당 없음</t>
        </is>
      </c>
      <c r="C54" s="29" t="inlineStr">
        <is>
          <t>월덱스</t>
        </is>
      </c>
      <c r="D54" s="29" t="inlineStr">
        <is>
          <t>101160</t>
        </is>
      </c>
      <c r="E54" s="29" t="inlineStr">
        <is>
          <t>KOSDAQ</t>
        </is>
      </c>
      <c r="F54" s="29" t="inlineStr">
        <is>
          <t>소재</t>
        </is>
      </c>
      <c r="G54" s="29" t="inlineStr">
        <is>
          <t>소재</t>
        </is>
      </c>
      <c r="H54" s="29" t="inlineStr">
        <is>
          <t>False</t>
        </is>
      </c>
      <c r="I54" s="29" t="inlineStr">
        <is>
          <t>True</t>
        </is>
      </c>
      <c r="J54" s="29" t="inlineStr">
        <is>
          <t>OK</t>
        </is>
      </c>
      <c r="K54" s="29" t="inlineStr">
        <is>
          <t>데이터 사용 가능</t>
        </is>
      </c>
      <c r="L54" s="29" t="inlineStr">
        <is>
          <t>LOW</t>
        </is>
      </c>
      <c r="M54" s="29" t="inlineStr">
        <is>
          <t>LOW</t>
        </is>
      </c>
      <c r="N54" s="29" t="inlineStr">
        <is>
          <t>0.745897435897436</t>
        </is>
      </c>
      <c r="O54" s="29" t="inlineStr">
        <is>
          <t>ATTRACTIVE</t>
        </is>
      </c>
      <c r="P54" s="29" t="inlineStr">
        <is>
          <t>가치 매력</t>
        </is>
      </c>
      <c r="Q54" s="29" t="inlineStr">
        <is>
          <t>ATTRACTIVE</t>
        </is>
      </c>
      <c r="R54" s="29" t="inlineStr">
        <is>
          <t>0.9476922450763601</t>
        </is>
      </c>
      <c r="S54" s="29" t="inlineStr">
        <is>
          <t>HIGH</t>
        </is>
      </c>
      <c r="T54" s="29" t="inlineStr">
        <is>
          <t>HIGH</t>
        </is>
      </c>
      <c r="U54" s="29" t="inlineStr">
        <is>
          <t>0.0</t>
        </is>
      </c>
      <c r="V54" s="29" t="inlineStr">
        <is>
          <t>LOW_RISK</t>
        </is>
      </c>
      <c r="W54" s="29" t="inlineStr">
        <is>
          <t>저위험</t>
        </is>
      </c>
      <c r="X54" s="29" t="inlineStr">
        <is>
          <t>LOW_RISK</t>
        </is>
      </c>
      <c r="Y54" s="29" t="inlineStr">
        <is>
          <t>0.9681016473230849</t>
        </is>
      </c>
      <c r="Z54" s="29" t="inlineStr">
        <is>
          <t>HIGH</t>
        </is>
      </c>
      <c r="AA54" s="29" t="inlineStr">
        <is>
          <t>HIGH</t>
        </is>
      </c>
      <c r="AB54" s="29" t="inlineStr">
        <is>
          <t>0.15527064195126172</t>
        </is>
      </c>
      <c r="AC54" s="29" t="inlineStr">
        <is>
          <t>False</t>
        </is>
      </c>
      <c r="AD54" s="29" t="inlineStr">
        <is>
          <t>False</t>
        </is>
      </c>
      <c r="AE54" s="29" t="inlineStr">
        <is>
          <t>valuation_credit_ml_overlay_candidate.csv</t>
        </is>
      </c>
      <c r="AF54" s="29" t="inlineStr">
        <is>
          <t>208개 반도체 reference universe. Valuation Agent가 자체 intake 폴더로 복제해 Peer/ML/대시보드 비교에 사용.</t>
        </is>
      </c>
      <c r="AG54" s="29" t="inlineStr">
        <is>
          <t>TOP_REFERENCE</t>
        </is>
      </c>
      <c r="AH54" s="29" t="inlineStr">
        <is>
          <t>False</t>
        </is>
      </c>
    </row>
    <row r="55" ht="24" customHeight="1">
      <c r="A55" s="24" t="inlineStr">
        <is>
          <t>60</t>
        </is>
      </c>
      <c r="B55" s="24" t="inlineStr">
        <is>
          <t>해당 없음</t>
        </is>
      </c>
      <c r="C55" s="24" t="inlineStr">
        <is>
          <t>앤씨앤</t>
        </is>
      </c>
      <c r="D55" s="24" t="inlineStr">
        <is>
          <t>092600</t>
        </is>
      </c>
      <c r="E55" s="24" t="inlineStr">
        <is>
          <t>KOSDAQ</t>
        </is>
      </c>
      <c r="F55" s="24" t="inlineStr">
        <is>
          <t>팹리스/설계</t>
        </is>
      </c>
      <c r="G55" s="24" t="inlineStr">
        <is>
          <t>팹리스/설계</t>
        </is>
      </c>
      <c r="H55" s="24" t="inlineStr">
        <is>
          <t>False</t>
        </is>
      </c>
      <c r="I55" s="24" t="inlineStr">
        <is>
          <t>True</t>
        </is>
      </c>
      <c r="J55" s="24" t="inlineStr">
        <is>
          <t>OK</t>
        </is>
      </c>
      <c r="K55" s="24" t="inlineStr">
        <is>
          <t>데이터 사용 가능</t>
        </is>
      </c>
      <c r="L55" s="24" t="inlineStr">
        <is>
          <t>LOW</t>
        </is>
      </c>
      <c r="M55" s="24" t="inlineStr">
        <is>
          <t>LOW</t>
        </is>
      </c>
      <c r="N55" s="24" t="inlineStr">
        <is>
          <t>0.7450505050505051</t>
        </is>
      </c>
      <c r="O55" s="24" t="inlineStr">
        <is>
          <t>FAIR</t>
        </is>
      </c>
      <c r="P55" s="24" t="inlineStr">
        <is>
          <t>FAIR</t>
        </is>
      </c>
      <c r="Q55" s="24" t="inlineStr">
        <is>
          <t>FAIR</t>
        </is>
      </c>
      <c r="R55" s="24" t="inlineStr">
        <is>
          <t>0.8450252323777523</t>
        </is>
      </c>
      <c r="S55" s="24" t="inlineStr">
        <is>
          <t>HIGH</t>
        </is>
      </c>
      <c r="T55" s="24" t="inlineStr">
        <is>
          <t>HIGH</t>
        </is>
      </c>
      <c r="U55" s="24" t="inlineStr">
        <is>
          <t>0.5</t>
        </is>
      </c>
      <c r="V55" s="24" t="inlineStr">
        <is>
          <t>HIGH_RISK</t>
        </is>
      </c>
      <c r="W55" s="24" t="inlineStr">
        <is>
          <t>고위험</t>
        </is>
      </c>
      <c r="X55" s="24" t="inlineStr">
        <is>
          <t>HIGH_RISK</t>
        </is>
      </c>
      <c r="Y55" s="24" t="inlineStr">
        <is>
          <t>0.6852720703017778</t>
        </is>
      </c>
      <c r="Z55" s="24" t="inlineStr">
        <is>
          <t>MEDIUM</t>
        </is>
      </c>
      <c r="AA55" s="24" t="inlineStr">
        <is>
          <t>MEDIUM</t>
        </is>
      </c>
      <c r="AB55" s="24" t="inlineStr">
        <is>
          <t>0.05126917274476802</t>
        </is>
      </c>
      <c r="AC55" s="24" t="inlineStr">
        <is>
          <t>False</t>
        </is>
      </c>
      <c r="AD55" s="24" t="inlineStr">
        <is>
          <t>False</t>
        </is>
      </c>
      <c r="AE55" s="24" t="inlineStr">
        <is>
          <t>valuation_credit_ml_overlay_candidate.csv</t>
        </is>
      </c>
      <c r="AF55" s="24" t="inlineStr">
        <is>
          <t>208개 반도체 reference universe. Valuation Agent가 자체 intake 폴더로 복제해 Peer/ML/대시보드 비교에 사용.</t>
        </is>
      </c>
      <c r="AG55" s="24" t="inlineStr">
        <is>
          <t>TOP_REFERENCE</t>
        </is>
      </c>
      <c r="AH55" s="24" t="inlineStr">
        <is>
          <t>False</t>
        </is>
      </c>
    </row>
    <row r="56" ht="24" customHeight="1">
      <c r="A56" s="29" t="inlineStr">
        <is>
          <t>147</t>
        </is>
      </c>
      <c r="B56" s="29" t="inlineStr">
        <is>
          <t>해당 없음</t>
        </is>
      </c>
      <c r="C56" s="29" t="inlineStr">
        <is>
          <t>퓨릿</t>
        </is>
      </c>
      <c r="D56" s="29" t="inlineStr">
        <is>
          <t>445180</t>
        </is>
      </c>
      <c r="E56" s="29" t="inlineStr">
        <is>
          <t>KOSDAQ</t>
        </is>
      </c>
      <c r="F56" s="29" t="inlineStr">
        <is>
          <t>소재</t>
        </is>
      </c>
      <c r="G56" s="29" t="inlineStr">
        <is>
          <t>소재</t>
        </is>
      </c>
      <c r="H56" s="29" t="inlineStr">
        <is>
          <t>False</t>
        </is>
      </c>
      <c r="I56" s="29" t="inlineStr">
        <is>
          <t>True</t>
        </is>
      </c>
      <c r="J56" s="29" t="inlineStr">
        <is>
          <t>OK_LIMITED_HISTORY_OR_GROWTH_NA</t>
        </is>
      </c>
      <c r="K56" s="29" t="inlineStr">
        <is>
          <t>데이터 사용 가능</t>
        </is>
      </c>
      <c r="L56" s="29" t="inlineStr">
        <is>
          <t>LOW</t>
        </is>
      </c>
      <c r="M56" s="29" t="inlineStr">
        <is>
          <t>LOW</t>
        </is>
      </c>
      <c r="N56" s="29" t="inlineStr">
        <is>
          <t>0.7448717948717948</t>
        </is>
      </c>
      <c r="O56" s="29" t="inlineStr">
        <is>
          <t>ATTRACTIVE</t>
        </is>
      </c>
      <c r="P56" s="29" t="inlineStr">
        <is>
          <t>가치 매력</t>
        </is>
      </c>
      <c r="Q56" s="29" t="inlineStr">
        <is>
          <t>ATTRACTIVE</t>
        </is>
      </c>
      <c r="R56" s="29" t="inlineStr">
        <is>
          <t>0.8817607106455689</t>
        </is>
      </c>
      <c r="S56" s="29" t="inlineStr">
        <is>
          <t>HIGH</t>
        </is>
      </c>
      <c r="T56" s="29" t="inlineStr">
        <is>
          <t>HIGH</t>
        </is>
      </c>
      <c r="U56" s="29" t="inlineStr">
        <is>
          <t>0.0714285714285714</t>
        </is>
      </c>
      <c r="V56" s="29" t="inlineStr">
        <is>
          <t>LOW_RISK</t>
        </is>
      </c>
      <c r="W56" s="29" t="inlineStr">
        <is>
          <t>저위험</t>
        </is>
      </c>
      <c r="X56" s="29" t="inlineStr">
        <is>
          <t>LOW_RISK</t>
        </is>
      </c>
      <c r="Y56" s="29" t="inlineStr">
        <is>
          <t>0.9587686707140917</t>
        </is>
      </c>
      <c r="Z56" s="29" t="inlineStr">
        <is>
          <t>HIGH</t>
        </is>
      </c>
      <c r="AA56" s="29" t="inlineStr">
        <is>
          <t>HIGH</t>
        </is>
      </c>
      <c r="AB56" s="29" t="inlineStr">
        <is>
          <t>0.09055441585311619</t>
        </is>
      </c>
      <c r="AC56" s="29" t="inlineStr">
        <is>
          <t>False</t>
        </is>
      </c>
      <c r="AD56" s="29" t="inlineStr">
        <is>
          <t>True</t>
        </is>
      </c>
      <c r="AE56" s="29" t="inlineStr">
        <is>
          <t>valuation_credit_ml_overlay_candidate.csv</t>
        </is>
      </c>
      <c r="AF56" s="29" t="inlineStr">
        <is>
          <t>208개 반도체 reference universe. Valuation Agent가 자체 intake 폴더로 복제해 Peer/ML/대시보드 비교에 사용.</t>
        </is>
      </c>
      <c r="AG56" s="29" t="inlineStr">
        <is>
          <t>TOP_REFERENCE</t>
        </is>
      </c>
      <c r="AH56" s="29" t="inlineStr">
        <is>
          <t>False</t>
        </is>
      </c>
    </row>
    <row r="57" ht="24" customHeight="1">
      <c r="A57" s="24" t="inlineStr">
        <is>
          <t>47</t>
        </is>
      </c>
      <c r="B57" s="24" t="inlineStr">
        <is>
          <t>해당 없음</t>
        </is>
      </c>
      <c r="C57" s="24" t="inlineStr">
        <is>
          <t>마이크로컨텍솔</t>
        </is>
      </c>
      <c r="D57" s="24" t="inlineStr">
        <is>
          <t>098120</t>
        </is>
      </c>
      <c r="E57" s="24" t="inlineStr">
        <is>
          <t>KOSDAQ</t>
        </is>
      </c>
      <c r="F57" s="24" t="inlineStr">
        <is>
          <t>팹리스/설계</t>
        </is>
      </c>
      <c r="G57" s="24" t="inlineStr">
        <is>
          <t>팹리스/설계</t>
        </is>
      </c>
      <c r="H57" s="24" t="inlineStr">
        <is>
          <t>False</t>
        </is>
      </c>
      <c r="I57" s="24" t="inlineStr">
        <is>
          <t>True</t>
        </is>
      </c>
      <c r="J57" s="24" t="inlineStr">
        <is>
          <t>OK</t>
        </is>
      </c>
      <c r="K57" s="24" t="inlineStr">
        <is>
          <t>데이터 사용 가능</t>
        </is>
      </c>
      <c r="L57" s="24" t="inlineStr">
        <is>
          <t>LOW</t>
        </is>
      </c>
      <c r="M57" s="24" t="inlineStr">
        <is>
          <t>LOW</t>
        </is>
      </c>
      <c r="N57" s="24" t="inlineStr">
        <is>
          <t>0.7383838383838384</t>
        </is>
      </c>
      <c r="O57" s="24" t="inlineStr">
        <is>
          <t>ATTRACTIVE</t>
        </is>
      </c>
      <c r="P57" s="24" t="inlineStr">
        <is>
          <t>가치 매력</t>
        </is>
      </c>
      <c r="Q57" s="24" t="inlineStr">
        <is>
          <t>ATTRACTIVE</t>
        </is>
      </c>
      <c r="R57" s="24" t="inlineStr">
        <is>
          <t>0.8262966149459129</t>
        </is>
      </c>
      <c r="S57" s="24" t="inlineStr">
        <is>
          <t>HIGH</t>
        </is>
      </c>
      <c r="T57" s="24" t="inlineStr">
        <is>
          <t>HIGH</t>
        </is>
      </c>
      <c r="U57" s="24" t="inlineStr">
        <is>
          <t>0.1428571428571428</t>
        </is>
      </c>
      <c r="V57" s="24" t="inlineStr">
        <is>
          <t>LOW_RISK</t>
        </is>
      </c>
      <c r="W57" s="24" t="inlineStr">
        <is>
          <t>저위험</t>
        </is>
      </c>
      <c r="X57" s="24" t="inlineStr">
        <is>
          <t>LOW_RISK</t>
        </is>
      </c>
      <c r="Y57" s="24" t="inlineStr">
        <is>
          <t>0.7491981695245683</t>
        </is>
      </c>
      <c r="Z57" s="24" t="inlineStr">
        <is>
          <t>HIGH</t>
        </is>
      </c>
      <c r="AA57" s="24" t="inlineStr">
        <is>
          <t>HIGH</t>
        </is>
      </c>
      <c r="AB57" s="24" t="inlineStr">
        <is>
          <t>0.08427857084894262</t>
        </is>
      </c>
      <c r="AC57" s="24" t="inlineStr">
        <is>
          <t>False</t>
        </is>
      </c>
      <c r="AD57" s="24" t="inlineStr">
        <is>
          <t>False</t>
        </is>
      </c>
      <c r="AE57" s="24" t="inlineStr">
        <is>
          <t>valuation_credit_ml_overlay_candidate.csv</t>
        </is>
      </c>
      <c r="AF57" s="24" t="inlineStr">
        <is>
          <t>208개 반도체 reference universe. Valuation Agent가 자체 intake 폴더로 복제해 Peer/ML/대시보드 비교에 사용.</t>
        </is>
      </c>
      <c r="AG57" s="24" t="inlineStr">
        <is>
          <t>TOP_REFERENCE</t>
        </is>
      </c>
      <c r="AH57" s="24" t="inlineStr">
        <is>
          <t>False</t>
        </is>
      </c>
    </row>
    <row r="58" ht="24" customHeight="1">
      <c r="A58" s="29" t="inlineStr">
        <is>
          <t>55</t>
        </is>
      </c>
      <c r="B58" s="29" t="inlineStr">
        <is>
          <t>해당 없음</t>
        </is>
      </c>
      <c r="C58" s="29" t="inlineStr">
        <is>
          <t>아이앤씨</t>
        </is>
      </c>
      <c r="D58" s="29" t="inlineStr">
        <is>
          <t>052860</t>
        </is>
      </c>
      <c r="E58" s="29" t="inlineStr">
        <is>
          <t>KOSDAQ</t>
        </is>
      </c>
      <c r="F58" s="29" t="inlineStr">
        <is>
          <t>팹리스/설계</t>
        </is>
      </c>
      <c r="G58" s="29" t="inlineStr">
        <is>
          <t>팹리스/설계</t>
        </is>
      </c>
      <c r="H58" s="29" t="inlineStr">
        <is>
          <t>False</t>
        </is>
      </c>
      <c r="I58" s="29" t="inlineStr">
        <is>
          <t>True</t>
        </is>
      </c>
      <c r="J58" s="29" t="inlineStr">
        <is>
          <t>OK</t>
        </is>
      </c>
      <c r="K58" s="29" t="inlineStr">
        <is>
          <t>데이터 사용 가능</t>
        </is>
      </c>
      <c r="L58" s="29" t="inlineStr">
        <is>
          <t>LOW</t>
        </is>
      </c>
      <c r="M58" s="29" t="inlineStr">
        <is>
          <t>LOW</t>
        </is>
      </c>
      <c r="N58" s="29" t="inlineStr">
        <is>
          <t>0.7325252525252526</t>
        </is>
      </c>
      <c r="O58" s="29" t="inlineStr">
        <is>
          <t>ATTRACTIVE</t>
        </is>
      </c>
      <c r="P58" s="29" t="inlineStr">
        <is>
          <t>가치 매력</t>
        </is>
      </c>
      <c r="Q58" s="29" t="inlineStr">
        <is>
          <t>ATTRACTIVE</t>
        </is>
      </c>
      <c r="R58" s="29" t="inlineStr">
        <is>
          <t>0.9267130449922303</t>
        </is>
      </c>
      <c r="S58" s="29" t="inlineStr">
        <is>
          <t>HIGH</t>
        </is>
      </c>
      <c r="T58" s="29" t="inlineStr">
        <is>
          <t>HIGH</t>
        </is>
      </c>
      <c r="U58" s="29" t="inlineStr">
        <is>
          <t>0.0</t>
        </is>
      </c>
      <c r="V58" s="29" t="inlineStr">
        <is>
          <t>LOW_RISK</t>
        </is>
      </c>
      <c r="W58" s="29" t="inlineStr">
        <is>
          <t>저위험</t>
        </is>
      </c>
      <c r="X58" s="29" t="inlineStr">
        <is>
          <t>LOW_RISK</t>
        </is>
      </c>
      <c r="Y58" s="29" t="inlineStr">
        <is>
          <t>0.8920304728976969</t>
        </is>
      </c>
      <c r="Z58" s="29" t="inlineStr">
        <is>
          <t>HIGH</t>
        </is>
      </c>
      <c r="AA58" s="29" t="inlineStr">
        <is>
          <t>HIGH</t>
        </is>
      </c>
      <c r="AB58" s="29" t="inlineStr">
        <is>
          <t>0.022475117759514655</t>
        </is>
      </c>
      <c r="AC58" s="29" t="inlineStr">
        <is>
          <t>False</t>
        </is>
      </c>
      <c r="AD58" s="29" t="inlineStr">
        <is>
          <t>False</t>
        </is>
      </c>
      <c r="AE58" s="29" t="inlineStr">
        <is>
          <t>valuation_credit_ml_overlay_candidate.csv</t>
        </is>
      </c>
      <c r="AF58" s="29" t="inlineStr">
        <is>
          <t>208개 반도체 reference universe. Valuation Agent가 자체 intake 폴더로 복제해 Peer/ML/대시보드 비교에 사용.</t>
        </is>
      </c>
      <c r="AG58" s="29" t="inlineStr">
        <is>
          <t>TOP_REFERENCE</t>
        </is>
      </c>
      <c r="AH58" s="29" t="inlineStr">
        <is>
          <t>False</t>
        </is>
      </c>
    </row>
    <row r="59" ht="24" customHeight="1">
      <c r="A59" s="24" t="inlineStr">
        <is>
          <t>88</t>
        </is>
      </c>
      <c r="B59" s="24" t="inlineStr">
        <is>
          <t>해당 없음</t>
        </is>
      </c>
      <c r="C59" s="24" t="inlineStr">
        <is>
          <t>비아트론</t>
        </is>
      </c>
      <c r="D59" s="24" t="inlineStr">
        <is>
          <t>141000</t>
        </is>
      </c>
      <c r="E59" s="24" t="inlineStr">
        <is>
          <t>KOSDAQ</t>
        </is>
      </c>
      <c r="F59" s="24" t="inlineStr">
        <is>
          <t>장비</t>
        </is>
      </c>
      <c r="G59" s="24" t="inlineStr">
        <is>
          <t>장비</t>
        </is>
      </c>
      <c r="H59" s="24" t="inlineStr">
        <is>
          <t>False</t>
        </is>
      </c>
      <c r="I59" s="24" t="inlineStr">
        <is>
          <t>True</t>
        </is>
      </c>
      <c r="J59" s="24" t="inlineStr">
        <is>
          <t>OK</t>
        </is>
      </c>
      <c r="K59" s="24" t="inlineStr">
        <is>
          <t>데이터 사용 가능</t>
        </is>
      </c>
      <c r="L59" s="24" t="inlineStr">
        <is>
          <t>LOW</t>
        </is>
      </c>
      <c r="M59" s="24" t="inlineStr">
        <is>
          <t>LOW</t>
        </is>
      </c>
      <c r="N59" s="24" t="inlineStr">
        <is>
          <t>0.7105333333333335</t>
        </is>
      </c>
      <c r="O59" s="24" t="inlineStr">
        <is>
          <t>ATTRACTIVE</t>
        </is>
      </c>
      <c r="P59" s="24" t="inlineStr">
        <is>
          <t>가치 매력</t>
        </is>
      </c>
      <c r="Q59" s="24" t="inlineStr">
        <is>
          <t>ATTRACTIVE</t>
        </is>
      </c>
      <c r="R59" s="24" t="inlineStr">
        <is>
          <t>0.934708213344448</t>
        </is>
      </c>
      <c r="S59" s="24" t="inlineStr">
        <is>
          <t>HIGH</t>
        </is>
      </c>
      <c r="T59" s="24" t="inlineStr">
        <is>
          <t>HIGH</t>
        </is>
      </c>
      <c r="U59" s="24" t="inlineStr">
        <is>
          <t>0.0</t>
        </is>
      </c>
      <c r="V59" s="24" t="inlineStr">
        <is>
          <t>LOW_RISK</t>
        </is>
      </c>
      <c r="W59" s="24" t="inlineStr">
        <is>
          <t>저위험</t>
        </is>
      </c>
      <c r="X59" s="24" t="inlineStr">
        <is>
          <t>LOW_RISK</t>
        </is>
      </c>
      <c r="Y59" s="24" t="inlineStr">
        <is>
          <t>0.9411184099481913</t>
        </is>
      </c>
      <c r="Z59" s="24" t="inlineStr">
        <is>
          <t>HIGH</t>
        </is>
      </c>
      <c r="AA59" s="24" t="inlineStr">
        <is>
          <t>HIGH</t>
        </is>
      </c>
      <c r="AB59" s="24" t="inlineStr">
        <is>
          <t>0.11715633071246634</t>
        </is>
      </c>
      <c r="AC59" s="24" t="inlineStr">
        <is>
          <t>False</t>
        </is>
      </c>
      <c r="AD59" s="24" t="inlineStr">
        <is>
          <t>False</t>
        </is>
      </c>
      <c r="AE59" s="24" t="inlineStr">
        <is>
          <t>valuation_credit_ml_overlay_candidate.csv</t>
        </is>
      </c>
      <c r="AF59" s="24" t="inlineStr">
        <is>
          <t>208개 반도체 reference universe. Valuation Agent가 자체 intake 폴더로 복제해 Peer/ML/대시보드 비교에 사용.</t>
        </is>
      </c>
      <c r="AG59" s="24" t="inlineStr">
        <is>
          <t>TOP_REFERENCE</t>
        </is>
      </c>
      <c r="AH59" s="24" t="inlineStr">
        <is>
          <t>False</t>
        </is>
      </c>
    </row>
    <row r="60" ht="24" customHeight="1">
      <c r="A60" s="29" t="inlineStr">
        <is>
          <t>203</t>
        </is>
      </c>
      <c r="B60" s="29" t="inlineStr">
        <is>
          <t>해당 없음</t>
        </is>
      </c>
      <c r="C60" s="29" t="inlineStr">
        <is>
          <t>인터플렉스</t>
        </is>
      </c>
      <c r="D60" s="29" t="inlineStr">
        <is>
          <t>051370</t>
        </is>
      </c>
      <c r="E60" s="29" t="inlineStr">
        <is>
          <t>KOSDAQ</t>
        </is>
      </c>
      <c r="F60" s="29" t="inlineStr">
        <is>
          <t>부품/기판</t>
        </is>
      </c>
      <c r="G60" s="29" t="inlineStr">
        <is>
          <t>부품/기판</t>
        </is>
      </c>
      <c r="H60" s="29" t="inlineStr">
        <is>
          <t>False</t>
        </is>
      </c>
      <c r="I60" s="29" t="inlineStr">
        <is>
          <t>True</t>
        </is>
      </c>
      <c r="J60" s="29" t="inlineStr">
        <is>
          <t>OK</t>
        </is>
      </c>
      <c r="K60" s="29" t="inlineStr">
        <is>
          <t>데이터 사용 가능</t>
        </is>
      </c>
      <c r="L60" s="29" t="inlineStr">
        <is>
          <t>LOW</t>
        </is>
      </c>
      <c r="M60" s="29" t="inlineStr">
        <is>
          <t>LOW</t>
        </is>
      </c>
      <c r="N60" s="29" t="inlineStr">
        <is>
          <t>0.709047619047619</t>
        </is>
      </c>
      <c r="O60" s="29" t="inlineStr">
        <is>
          <t>FAIR</t>
        </is>
      </c>
      <c r="P60" s="29" t="inlineStr">
        <is>
          <t>FAIR</t>
        </is>
      </c>
      <c r="Q60" s="29" t="inlineStr">
        <is>
          <t>FAIR</t>
        </is>
      </c>
      <c r="R60" s="29" t="inlineStr">
        <is>
          <t>0.904555257888918</t>
        </is>
      </c>
      <c r="S60" s="29" t="inlineStr">
        <is>
          <t>HIGH</t>
        </is>
      </c>
      <c r="T60" s="29" t="inlineStr">
        <is>
          <t>HIGH</t>
        </is>
      </c>
      <c r="U60" s="29" t="inlineStr">
        <is>
          <t>0.0714285714285714</t>
        </is>
      </c>
      <c r="V60" s="29" t="inlineStr">
        <is>
          <t>LOW_RISK</t>
        </is>
      </c>
      <c r="W60" s="29" t="inlineStr">
        <is>
          <t>저위험</t>
        </is>
      </c>
      <c r="X60" s="29" t="inlineStr">
        <is>
          <t>LOW_RISK</t>
        </is>
      </c>
      <c r="Y60" s="29" t="inlineStr">
        <is>
          <t>0.8421993774288782</t>
        </is>
      </c>
      <c r="Z60" s="29" t="inlineStr">
        <is>
          <t>HIGH</t>
        </is>
      </c>
      <c r="AA60" s="29" t="inlineStr">
        <is>
          <t>HIGH</t>
        </is>
      </c>
      <c r="AB60" s="29" t="inlineStr">
        <is>
          <t>0.04875174090091772</t>
        </is>
      </c>
      <c r="AC60" s="29" t="inlineStr">
        <is>
          <t>False</t>
        </is>
      </c>
      <c r="AD60" s="29" t="inlineStr">
        <is>
          <t>False</t>
        </is>
      </c>
      <c r="AE60" s="29" t="inlineStr">
        <is>
          <t>valuation_credit_ml_overlay_candidate.csv</t>
        </is>
      </c>
      <c r="AF60" s="29" t="inlineStr">
        <is>
          <t>208개 반도체 reference universe. Valuation Agent가 자체 intake 폴더로 복제해 Peer/ML/대시보드 비교에 사용.</t>
        </is>
      </c>
      <c r="AG60" s="29" t="inlineStr">
        <is>
          <t>TOP_REFERENCE</t>
        </is>
      </c>
      <c r="AH60" s="29" t="inlineStr">
        <is>
          <t>False</t>
        </is>
      </c>
    </row>
    <row r="61" ht="24" customHeight="1">
      <c r="A61" s="24" t="inlineStr">
        <is>
          <t>12</t>
        </is>
      </c>
      <c r="B61" s="24" t="inlineStr">
        <is>
          <t>해당 없음</t>
        </is>
      </c>
      <c r="C61" s="24" t="inlineStr">
        <is>
          <t>삼성전자</t>
        </is>
      </c>
      <c r="D61" s="24" t="inlineStr">
        <is>
          <t>005930</t>
        </is>
      </c>
      <c r="E61" s="24" t="inlineStr">
        <is>
          <t>KOSPI</t>
        </is>
      </c>
      <c r="F61" s="24" t="inlineStr">
        <is>
          <t>IDM/제조/메모리</t>
        </is>
      </c>
      <c r="G61" s="24" t="inlineStr">
        <is>
          <t>IDM/제조/메모리</t>
        </is>
      </c>
      <c r="H61" s="24" t="inlineStr">
        <is>
          <t>False</t>
        </is>
      </c>
      <c r="I61" s="24" t="inlineStr">
        <is>
          <t>True</t>
        </is>
      </c>
      <c r="J61" s="24" t="inlineStr">
        <is>
          <t>OK</t>
        </is>
      </c>
      <c r="K61" s="24" t="inlineStr">
        <is>
          <t>데이터 사용 가능</t>
        </is>
      </c>
      <c r="L61" s="24" t="inlineStr">
        <is>
          <t>LOW</t>
        </is>
      </c>
      <c r="M61" s="24" t="inlineStr">
        <is>
          <t>LOW</t>
        </is>
      </c>
      <c r="N61" s="24" t="inlineStr">
        <is>
          <t>0.7078333333333333</t>
        </is>
      </c>
      <c r="O61" s="24" t="inlineStr">
        <is>
          <t>ATTRACTIVE</t>
        </is>
      </c>
      <c r="P61" s="24" t="inlineStr">
        <is>
          <t>가치 매력</t>
        </is>
      </c>
      <c r="Q61" s="24" t="inlineStr">
        <is>
          <t>ATTRACTIVE</t>
        </is>
      </c>
      <c r="R61" s="24" t="inlineStr">
        <is>
          <t>0.9371541027950523</t>
        </is>
      </c>
      <c r="S61" s="24" t="inlineStr">
        <is>
          <t>HIGH</t>
        </is>
      </c>
      <c r="T61" s="24" t="inlineStr">
        <is>
          <t>HIGH</t>
        </is>
      </c>
      <c r="U61" s="24" t="inlineStr">
        <is>
          <t>0.0</t>
        </is>
      </c>
      <c r="V61" s="24" t="inlineStr">
        <is>
          <t>LOW_RISK</t>
        </is>
      </c>
      <c r="W61" s="24" t="inlineStr">
        <is>
          <t>저위험</t>
        </is>
      </c>
      <c r="X61" s="24" t="inlineStr">
        <is>
          <t>LOW_RISK</t>
        </is>
      </c>
      <c r="Y61" s="24" t="inlineStr">
        <is>
          <t>0.9760796731366836</t>
        </is>
      </c>
      <c r="Z61" s="24" t="inlineStr">
        <is>
          <t>HIGH</t>
        </is>
      </c>
      <c r="AA61" s="24" t="inlineStr">
        <is>
          <t>HIGH</t>
        </is>
      </c>
      <c r="AB61" s="24" t="inlineStr">
        <is>
          <t>0.4140062883705867</t>
        </is>
      </c>
      <c r="AC61" s="24" t="inlineStr">
        <is>
          <t>True</t>
        </is>
      </c>
      <c r="AD61" s="24" t="inlineStr">
        <is>
          <t>True</t>
        </is>
      </c>
      <c r="AE61" s="24" t="inlineStr">
        <is>
          <t>valuation_credit_ml_overlay_candidate.csv</t>
        </is>
      </c>
      <c r="AF61" s="24" t="inlineStr">
        <is>
          <t>208개 반도체 reference universe. Valuation Agent가 자체 intake 폴더로 복제해 Peer/ML/대시보드 비교에 사용.</t>
        </is>
      </c>
      <c r="AG61" s="24" t="inlineStr">
        <is>
          <t>TOP_REFERENCE</t>
        </is>
      </c>
      <c r="AH61" s="24" t="inlineStr">
        <is>
          <t>False</t>
        </is>
      </c>
    </row>
    <row r="62" ht="24" customHeight="1">
      <c r="A62" s="29" t="inlineStr">
        <is>
          <t>112</t>
        </is>
      </c>
      <c r="B62" s="29" t="inlineStr">
        <is>
          <t>해당 없음</t>
        </is>
      </c>
      <c r="C62" s="29" t="inlineStr">
        <is>
          <t>케이씨</t>
        </is>
      </c>
      <c r="D62" s="29" t="inlineStr">
        <is>
          <t>029460</t>
        </is>
      </c>
      <c r="E62" s="29" t="inlineStr">
        <is>
          <t>KOSPI</t>
        </is>
      </c>
      <c r="F62" s="29" t="inlineStr">
        <is>
          <t>장비</t>
        </is>
      </c>
      <c r="G62" s="29" t="inlineStr">
        <is>
          <t>장비</t>
        </is>
      </c>
      <c r="H62" s="29" t="inlineStr">
        <is>
          <t>False</t>
        </is>
      </c>
      <c r="I62" s="29" t="inlineStr">
        <is>
          <t>True</t>
        </is>
      </c>
      <c r="J62" s="29" t="inlineStr">
        <is>
          <t>OK</t>
        </is>
      </c>
      <c r="K62" s="29" t="inlineStr">
        <is>
          <t>데이터 사용 가능</t>
        </is>
      </c>
      <c r="L62" s="29" t="inlineStr">
        <is>
          <t>LOW</t>
        </is>
      </c>
      <c r="M62" s="29" t="inlineStr">
        <is>
          <t>LOW</t>
        </is>
      </c>
      <c r="N62" s="29" t="inlineStr">
        <is>
          <t>0.7065333333333332</t>
        </is>
      </c>
      <c r="O62" s="29" t="inlineStr">
        <is>
          <t>ATTRACTIVE</t>
        </is>
      </c>
      <c r="P62" s="29" t="inlineStr">
        <is>
          <t>가치 매력</t>
        </is>
      </c>
      <c r="Q62" s="29" t="inlineStr">
        <is>
          <t>ATTRACTIVE</t>
        </is>
      </c>
      <c r="R62" s="29" t="inlineStr">
        <is>
          <t>0.9151708177015135</t>
        </is>
      </c>
      <c r="S62" s="29" t="inlineStr">
        <is>
          <t>HIGH</t>
        </is>
      </c>
      <c r="T62" s="29" t="inlineStr">
        <is>
          <t>HIGH</t>
        </is>
      </c>
      <c r="U62" s="29" t="inlineStr">
        <is>
          <t>0.0</t>
        </is>
      </c>
      <c r="V62" s="29" t="inlineStr">
        <is>
          <t>LOW_RISK</t>
        </is>
      </c>
      <c r="W62" s="29" t="inlineStr">
        <is>
          <t>저위험</t>
        </is>
      </c>
      <c r="X62" s="29" t="inlineStr">
        <is>
          <t>LOW_RISK</t>
        </is>
      </c>
      <c r="Y62" s="29" t="inlineStr">
        <is>
          <t>0.883115363364621</t>
        </is>
      </c>
      <c r="Z62" s="29" t="inlineStr">
        <is>
          <t>HIGH</t>
        </is>
      </c>
      <c r="AA62" s="29" t="inlineStr">
        <is>
          <t>HIGH</t>
        </is>
      </c>
      <c r="AB62" s="29" t="inlineStr">
        <is>
          <t>0.07036651203602409</t>
        </is>
      </c>
      <c r="AC62" s="29" t="inlineStr">
        <is>
          <t>False</t>
        </is>
      </c>
      <c r="AD62" s="29" t="inlineStr">
        <is>
          <t>False</t>
        </is>
      </c>
      <c r="AE62" s="29" t="inlineStr">
        <is>
          <t>valuation_credit_ml_overlay_candidate.csv</t>
        </is>
      </c>
      <c r="AF62" s="29" t="inlineStr">
        <is>
          <t>208개 반도체 reference universe. Valuation Agent가 자체 intake 폴더로 복제해 Peer/ML/대시보드 비교에 사용.</t>
        </is>
      </c>
      <c r="AG62" s="29" t="inlineStr">
        <is>
          <t>TOP_REFERENCE</t>
        </is>
      </c>
      <c r="AH62" s="29" t="inlineStr">
        <is>
          <t>False</t>
        </is>
      </c>
    </row>
    <row r="63" ht="24" customHeight="1"/>
    <row r="64" ht="24" customHeight="1"/>
    <row r="65" ht="24" customHeight="1">
      <c r="A65" s="22" t="inlineStr">
        <is>
          <t>208개 전체 Universe</t>
        </is>
      </c>
    </row>
    <row r="66" ht="24" customHeight="1">
      <c r="A66" s="25" t="inlineStr">
        <is>
          <t>Universe 순번</t>
        </is>
      </c>
      <c r="B66" s="25" t="inlineStr">
        <is>
          <t>기업코드</t>
        </is>
      </c>
      <c r="C66" s="25" t="inlineStr">
        <is>
          <t>기업명</t>
        </is>
      </c>
      <c r="D66" s="25" t="inlineStr">
        <is>
          <t>종목코드</t>
        </is>
      </c>
      <c r="E66" s="25" t="inlineStr">
        <is>
          <t>시장</t>
        </is>
      </c>
      <c r="F66" s="25" t="inlineStr">
        <is>
          <t>피어 그룹</t>
        </is>
      </c>
      <c r="G66" s="25" t="inlineStr">
        <is>
          <t>반도체 세부군</t>
        </is>
      </c>
      <c r="H66" s="25" t="inlineStr">
        <is>
          <t>5개 핵심기업</t>
        </is>
      </c>
      <c r="I66" s="25" t="inlineStr">
        <is>
          <t>market_data_available</t>
        </is>
      </c>
      <c r="J66" s="25" t="inlineStr">
        <is>
          <t>데이터 품질</t>
        </is>
      </c>
      <c r="K66" s="25" t="inlineStr">
        <is>
          <t>데이터 품질 해석</t>
        </is>
      </c>
      <c r="L66" s="25" t="inlineStr">
        <is>
          <t>수동검토 우선순위</t>
        </is>
      </c>
      <c r="M66" s="25" t="inlineStr">
        <is>
          <t>수동검토 우선순위 해석</t>
        </is>
      </c>
      <c r="N66" s="25" t="inlineStr">
        <is>
          <t>Valuation Proxy 점수</t>
        </is>
      </c>
      <c r="O66" s="25" t="inlineStr">
        <is>
          <t>Valuation Proxy 라벨</t>
        </is>
      </c>
      <c r="P66" s="25" t="inlineStr">
        <is>
          <t>가치 라벨</t>
        </is>
      </c>
      <c r="Q66" s="25" t="inlineStr">
        <is>
          <t>valuation_pred_label</t>
        </is>
      </c>
      <c r="R66" s="25" t="inlineStr">
        <is>
          <t>Valuation 신뢰도</t>
        </is>
      </c>
      <c r="S66" s="25" t="inlineStr">
        <is>
          <t>valuation_confidence_bucket</t>
        </is>
      </c>
      <c r="T66" s="25" t="inlineStr">
        <is>
          <t>valuation_confidence_bucket_kr</t>
        </is>
      </c>
      <c r="U66" s="25" t="inlineStr">
        <is>
          <t>Credit Risk 점수</t>
        </is>
      </c>
      <c r="V66" s="25" t="inlineStr">
        <is>
          <t>Credit Risk 라벨</t>
        </is>
      </c>
      <c r="W66" s="25" t="inlineStr">
        <is>
          <t>신용위험 라벨</t>
        </is>
      </c>
      <c r="X66" s="25" t="inlineStr">
        <is>
          <t>credit_pred_label</t>
        </is>
      </c>
      <c r="Y66" s="25" t="inlineStr">
        <is>
          <t>Credit 신뢰도</t>
        </is>
      </c>
      <c r="Z66" s="25" t="inlineStr">
        <is>
          <t>credit_confidence_bucket</t>
        </is>
      </c>
      <c r="AA66" s="25" t="inlineStr">
        <is>
          <t>credit_confidence_bucket_kr</t>
        </is>
      </c>
      <c r="AB66" s="25" t="inlineStr">
        <is>
          <t>Credit 이상치 점수</t>
        </is>
      </c>
      <c r="AC66" s="25" t="inlineStr">
        <is>
          <t>credit_anomaly_flag_top15pct</t>
        </is>
      </c>
      <c r="AD66" s="25" t="inlineStr">
        <is>
          <t>auditor_requires_human_review</t>
        </is>
      </c>
      <c r="AE66" s="25" t="inlineStr">
        <is>
          <t>출처 유형</t>
        </is>
      </c>
      <c r="AF66" s="25" t="inlineStr">
        <is>
          <t>출처 설명</t>
        </is>
      </c>
    </row>
    <row r="67" ht="24" customHeight="1">
      <c r="A67" s="24" t="inlineStr">
        <is>
          <t>10</t>
        </is>
      </c>
      <c r="B67" s="24" t="inlineStr">
        <is>
          <t>해당 없음</t>
        </is>
      </c>
      <c r="C67" s="24" t="inlineStr">
        <is>
          <t>미코</t>
        </is>
      </c>
      <c r="D67" s="24" t="inlineStr">
        <is>
          <t>059090</t>
        </is>
      </c>
      <c r="E67" s="24" t="inlineStr">
        <is>
          <t>KOSDAQ</t>
        </is>
      </c>
      <c r="F67" s="24" t="inlineStr">
        <is>
          <t>IDM/제조/메모리</t>
        </is>
      </c>
      <c r="G67" s="24" t="inlineStr">
        <is>
          <t>IDM/제조/메모리</t>
        </is>
      </c>
      <c r="H67" s="24" t="inlineStr">
        <is>
          <t>False</t>
        </is>
      </c>
      <c r="I67" s="24" t="inlineStr">
        <is>
          <t>True</t>
        </is>
      </c>
      <c r="J67" s="24" t="inlineStr">
        <is>
          <t>OK</t>
        </is>
      </c>
      <c r="K67" s="24" t="inlineStr">
        <is>
          <t>데이터 사용 가능</t>
        </is>
      </c>
      <c r="L67" s="24" t="inlineStr">
        <is>
          <t>LOW</t>
        </is>
      </c>
      <c r="M67" s="24" t="inlineStr">
        <is>
          <t>LOW</t>
        </is>
      </c>
      <c r="N67" s="24" t="inlineStr">
        <is>
          <t>0.7733333333333334</t>
        </is>
      </c>
      <c r="O67" s="24" t="inlineStr">
        <is>
          <t>FAIR</t>
        </is>
      </c>
      <c r="P67" s="24" t="inlineStr">
        <is>
          <t>FAIR</t>
        </is>
      </c>
      <c r="Q67" s="24" t="inlineStr">
        <is>
          <t>FAIR</t>
        </is>
      </c>
      <c r="R67" s="24" t="inlineStr">
        <is>
          <t>0.9066669659525092</t>
        </is>
      </c>
      <c r="S67" s="24" t="inlineStr">
        <is>
          <t>HIGH</t>
        </is>
      </c>
      <c r="T67" s="24" t="inlineStr">
        <is>
          <t>HIGH</t>
        </is>
      </c>
      <c r="U67" s="24" t="inlineStr">
        <is>
          <t>0.2142857142857142</t>
        </is>
      </c>
      <c r="V67" s="24" t="inlineStr">
        <is>
          <t>MEDIUM_RISK</t>
        </is>
      </c>
      <c r="W67" s="24" t="inlineStr">
        <is>
          <t>중위험</t>
        </is>
      </c>
      <c r="X67" s="24" t="inlineStr">
        <is>
          <t>MEDIUM_RISK</t>
        </is>
      </c>
      <c r="Y67" s="24" t="inlineStr">
        <is>
          <t>0.6769145960065608</t>
        </is>
      </c>
      <c r="Z67" s="24" t="inlineStr">
        <is>
          <t>MEDIUM</t>
        </is>
      </c>
      <c r="AA67" s="24" t="inlineStr">
        <is>
          <t>MEDIUM</t>
        </is>
      </c>
      <c r="AB67" s="24" t="inlineStr">
        <is>
          <t>0.10646038380774528</t>
        </is>
      </c>
      <c r="AC67" s="24" t="inlineStr">
        <is>
          <t>False</t>
        </is>
      </c>
      <c r="AD67" s="24" t="inlineStr">
        <is>
          <t>False</t>
        </is>
      </c>
      <c r="AE67" s="24" t="inlineStr">
        <is>
          <t>valuation_credit_ml_overlay_candidate.csv</t>
        </is>
      </c>
      <c r="AF67" s="24" t="inlineStr">
        <is>
          <t>208개 반도체 reference universe. Valuation Agent가 자체 intake 폴더로 복제해 Peer/ML/대시보드 비교에 사용.</t>
        </is>
      </c>
    </row>
    <row r="68" ht="24" customHeight="1">
      <c r="A68" s="29" t="inlineStr">
        <is>
          <t>22</t>
        </is>
      </c>
      <c r="B68" s="29" t="inlineStr">
        <is>
          <t>해당 없음</t>
        </is>
      </c>
      <c r="C68" s="29" t="inlineStr">
        <is>
          <t>엘디티</t>
        </is>
      </c>
      <c r="D68" s="29" t="inlineStr">
        <is>
          <t>096870</t>
        </is>
      </c>
      <c r="E68" s="29" t="inlineStr">
        <is>
          <t>KOSDAQ</t>
        </is>
      </c>
      <c r="F68" s="29" t="inlineStr">
        <is>
          <t>IDM/제조/메모리</t>
        </is>
      </c>
      <c r="G68" s="29" t="inlineStr">
        <is>
          <t>IDM/제조/메모리</t>
        </is>
      </c>
      <c r="H68" s="29" t="inlineStr">
        <is>
          <t>False</t>
        </is>
      </c>
      <c r="I68" s="29" t="inlineStr">
        <is>
          <t>True</t>
        </is>
      </c>
      <c r="J68" s="29" t="inlineStr">
        <is>
          <t>OK</t>
        </is>
      </c>
      <c r="K68" s="29" t="inlineStr">
        <is>
          <t>데이터 사용 가능</t>
        </is>
      </c>
      <c r="L68" s="29" t="inlineStr">
        <is>
          <t>LOW</t>
        </is>
      </c>
      <c r="M68" s="29" t="inlineStr">
        <is>
          <t>LOW</t>
        </is>
      </c>
      <c r="N68" s="29" t="inlineStr">
        <is>
          <t>0.7518333333333332</t>
        </is>
      </c>
      <c r="O68" s="29" t="inlineStr">
        <is>
          <t>ATTRACTIVE</t>
        </is>
      </c>
      <c r="P68" s="29" t="inlineStr">
        <is>
          <t>가치 매력</t>
        </is>
      </c>
      <c r="Q68" s="29" t="inlineStr">
        <is>
          <t>ATTRACTIVE</t>
        </is>
      </c>
      <c r="R68" s="29" t="inlineStr">
        <is>
          <t>0.8817908899004964</t>
        </is>
      </c>
      <c r="S68" s="29" t="inlineStr">
        <is>
          <t>HIGH</t>
        </is>
      </c>
      <c r="T68" s="29" t="inlineStr">
        <is>
          <t>HIGH</t>
        </is>
      </c>
      <c r="U68" s="29" t="inlineStr">
        <is>
          <t>0.0714285714285714</t>
        </is>
      </c>
      <c r="V68" s="29" t="inlineStr">
        <is>
          <t>LOW_RISK</t>
        </is>
      </c>
      <c r="W68" s="29" t="inlineStr">
        <is>
          <t>저위험</t>
        </is>
      </c>
      <c r="X68" s="29" t="inlineStr">
        <is>
          <t>LOW_RISK</t>
        </is>
      </c>
      <c r="Y68" s="29" t="inlineStr">
        <is>
          <t>0.8068970516192283</t>
        </is>
      </c>
      <c r="Z68" s="29" t="inlineStr">
        <is>
          <t>HIGH</t>
        </is>
      </c>
      <c r="AA68" s="29" t="inlineStr">
        <is>
          <t>HIGH</t>
        </is>
      </c>
      <c r="AB68" s="29" t="inlineStr">
        <is>
          <t>0.2312715560027526</t>
        </is>
      </c>
      <c r="AC68" s="29" t="inlineStr">
        <is>
          <t>False</t>
        </is>
      </c>
      <c r="AD68" s="29" t="inlineStr">
        <is>
          <t>False</t>
        </is>
      </c>
      <c r="AE68" s="29" t="inlineStr">
        <is>
          <t>valuation_credit_ml_overlay_candidate.csv</t>
        </is>
      </c>
      <c r="AF68" s="29" t="inlineStr">
        <is>
          <t>208개 반도체 reference universe. Valuation Agent가 자체 intake 폴더로 복제해 Peer/ML/대시보드 비교에 사용.</t>
        </is>
      </c>
    </row>
    <row r="69" ht="24" customHeight="1">
      <c r="A69" s="24" t="inlineStr">
        <is>
          <t>9</t>
        </is>
      </c>
      <c r="B69" s="24" t="inlineStr">
        <is>
          <t>해당 없음</t>
        </is>
      </c>
      <c r="C69" s="24" t="inlineStr">
        <is>
          <t>메카로</t>
        </is>
      </c>
      <c r="D69" s="24" t="inlineStr">
        <is>
          <t>241770</t>
        </is>
      </c>
      <c r="E69" s="24" t="inlineStr">
        <is>
          <t>KOSDAQ</t>
        </is>
      </c>
      <c r="F69" s="24" t="inlineStr">
        <is>
          <t>IDM/제조/메모리</t>
        </is>
      </c>
      <c r="G69" s="24" t="inlineStr">
        <is>
          <t>IDM/제조/메모리</t>
        </is>
      </c>
      <c r="H69" s="24" t="inlineStr">
        <is>
          <t>False</t>
        </is>
      </c>
      <c r="I69" s="24" t="inlineStr">
        <is>
          <t>True</t>
        </is>
      </c>
      <c r="J69" s="24" t="inlineStr">
        <is>
          <t>OK</t>
        </is>
      </c>
      <c r="K69" s="24" t="inlineStr">
        <is>
          <t>데이터 사용 가능</t>
        </is>
      </c>
      <c r="L69" s="24" t="inlineStr">
        <is>
          <t>LOW</t>
        </is>
      </c>
      <c r="M69" s="24" t="inlineStr">
        <is>
          <t>LOW</t>
        </is>
      </c>
      <c r="N69" s="24" t="inlineStr">
        <is>
          <t>0.7476666666666667</t>
        </is>
      </c>
      <c r="O69" s="24" t="inlineStr">
        <is>
          <t>ATTRACTIVE</t>
        </is>
      </c>
      <c r="P69" s="24" t="inlineStr">
        <is>
          <t>가치 매력</t>
        </is>
      </c>
      <c r="Q69" s="24" t="inlineStr">
        <is>
          <t>ATTRACTIVE</t>
        </is>
      </c>
      <c r="R69" s="24" t="inlineStr">
        <is>
          <t>0.9154158498128573</t>
        </is>
      </c>
      <c r="S69" s="24" t="inlineStr">
        <is>
          <t>HIGH</t>
        </is>
      </c>
      <c r="T69" s="24" t="inlineStr">
        <is>
          <t>HIGH</t>
        </is>
      </c>
      <c r="U69" s="24" t="inlineStr">
        <is>
          <t>0.0</t>
        </is>
      </c>
      <c r="V69" s="24" t="inlineStr">
        <is>
          <t>LOW_RISK</t>
        </is>
      </c>
      <c r="W69" s="24" t="inlineStr">
        <is>
          <t>저위험</t>
        </is>
      </c>
      <c r="X69" s="24" t="inlineStr">
        <is>
          <t>LOW_RISK</t>
        </is>
      </c>
      <c r="Y69" s="24" t="inlineStr">
        <is>
          <t>0.9196609311939408</t>
        </is>
      </c>
      <c r="Z69" s="24" t="inlineStr">
        <is>
          <t>HIGH</t>
        </is>
      </c>
      <c r="AA69" s="24" t="inlineStr">
        <is>
          <t>HIGH</t>
        </is>
      </c>
      <c r="AB69" s="24" t="inlineStr">
        <is>
          <t>0.12775877727770685</t>
        </is>
      </c>
      <c r="AC69" s="24" t="inlineStr">
        <is>
          <t>False</t>
        </is>
      </c>
      <c r="AD69" s="24" t="inlineStr">
        <is>
          <t>False</t>
        </is>
      </c>
      <c r="AE69" s="24" t="inlineStr">
        <is>
          <t>valuation_credit_ml_overlay_candidate.csv</t>
        </is>
      </c>
      <c r="AF69" s="24" t="inlineStr">
        <is>
          <t>208개 반도체 reference universe. Valuation Agent가 자체 intake 폴더로 복제해 Peer/ML/대시보드 비교에 사용.</t>
        </is>
      </c>
    </row>
    <row r="70" ht="24" customHeight="1">
      <c r="A70" s="29" t="inlineStr">
        <is>
          <t>12</t>
        </is>
      </c>
      <c r="B70" s="29" t="inlineStr">
        <is>
          <t>해당 없음</t>
        </is>
      </c>
      <c r="C70" s="29" t="inlineStr">
        <is>
          <t>삼성전자</t>
        </is>
      </c>
      <c r="D70" s="29" t="inlineStr">
        <is>
          <t>005930</t>
        </is>
      </c>
      <c r="E70" s="29" t="inlineStr">
        <is>
          <t>KOSPI</t>
        </is>
      </c>
      <c r="F70" s="29" t="inlineStr">
        <is>
          <t>IDM/제조/메모리</t>
        </is>
      </c>
      <c r="G70" s="29" t="inlineStr">
        <is>
          <t>IDM/제조/메모리</t>
        </is>
      </c>
      <c r="H70" s="29" t="inlineStr">
        <is>
          <t>False</t>
        </is>
      </c>
      <c r="I70" s="29" t="inlineStr">
        <is>
          <t>True</t>
        </is>
      </c>
      <c r="J70" s="29" t="inlineStr">
        <is>
          <t>OK</t>
        </is>
      </c>
      <c r="K70" s="29" t="inlineStr">
        <is>
          <t>데이터 사용 가능</t>
        </is>
      </c>
      <c r="L70" s="29" t="inlineStr">
        <is>
          <t>LOW</t>
        </is>
      </c>
      <c r="M70" s="29" t="inlineStr">
        <is>
          <t>LOW</t>
        </is>
      </c>
      <c r="N70" s="29" t="inlineStr">
        <is>
          <t>0.7078333333333333</t>
        </is>
      </c>
      <c r="O70" s="29" t="inlineStr">
        <is>
          <t>ATTRACTIVE</t>
        </is>
      </c>
      <c r="P70" s="29" t="inlineStr">
        <is>
          <t>가치 매력</t>
        </is>
      </c>
      <c r="Q70" s="29" t="inlineStr">
        <is>
          <t>ATTRACTIVE</t>
        </is>
      </c>
      <c r="R70" s="29" t="inlineStr">
        <is>
          <t>0.9371541027950523</t>
        </is>
      </c>
      <c r="S70" s="29" t="inlineStr">
        <is>
          <t>HIGH</t>
        </is>
      </c>
      <c r="T70" s="29" t="inlineStr">
        <is>
          <t>HIGH</t>
        </is>
      </c>
      <c r="U70" s="29" t="inlineStr">
        <is>
          <t>0.0</t>
        </is>
      </c>
      <c r="V70" s="29" t="inlineStr">
        <is>
          <t>LOW_RISK</t>
        </is>
      </c>
      <c r="W70" s="29" t="inlineStr">
        <is>
          <t>저위험</t>
        </is>
      </c>
      <c r="X70" s="29" t="inlineStr">
        <is>
          <t>LOW_RISK</t>
        </is>
      </c>
      <c r="Y70" s="29" t="inlineStr">
        <is>
          <t>0.9760796731366836</t>
        </is>
      </c>
      <c r="Z70" s="29" t="inlineStr">
        <is>
          <t>HIGH</t>
        </is>
      </c>
      <c r="AA70" s="29" t="inlineStr">
        <is>
          <t>HIGH</t>
        </is>
      </c>
      <c r="AB70" s="29" t="inlineStr">
        <is>
          <t>0.4140062883705867</t>
        </is>
      </c>
      <c r="AC70" s="29" t="inlineStr">
        <is>
          <t>True</t>
        </is>
      </c>
      <c r="AD70" s="29" t="inlineStr">
        <is>
          <t>True</t>
        </is>
      </c>
      <c r="AE70" s="29" t="inlineStr">
        <is>
          <t>valuation_credit_ml_overlay_candidate.csv</t>
        </is>
      </c>
      <c r="AF70" s="29" t="inlineStr">
        <is>
          <t>208개 반도체 reference universe. Valuation Agent가 자체 intake 폴더로 복제해 Peer/ML/대시보드 비교에 사용.</t>
        </is>
      </c>
    </row>
    <row r="71" ht="24" customHeight="1">
      <c r="A71" s="24" t="inlineStr">
        <is>
          <t>4</t>
        </is>
      </c>
      <c r="B71" s="24" t="inlineStr">
        <is>
          <t>해당 없음</t>
        </is>
      </c>
      <c r="C71" s="24" t="inlineStr">
        <is>
          <t>SK하이닉스</t>
        </is>
      </c>
      <c r="D71" s="24" t="inlineStr">
        <is>
          <t>000660</t>
        </is>
      </c>
      <c r="E71" s="24" t="inlineStr">
        <is>
          <t>KOSPI</t>
        </is>
      </c>
      <c r="F71" s="24" t="inlineStr">
        <is>
          <t>IDM/제조/메모리</t>
        </is>
      </c>
      <c r="G71" s="24" t="inlineStr">
        <is>
          <t>IDM/제조/메모리</t>
        </is>
      </c>
      <c r="H71" s="24" t="inlineStr">
        <is>
          <t>False</t>
        </is>
      </c>
      <c r="I71" s="24" t="inlineStr">
        <is>
          <t>True</t>
        </is>
      </c>
      <c r="J71" s="24" t="inlineStr">
        <is>
          <t>OK</t>
        </is>
      </c>
      <c r="K71" s="24" t="inlineStr">
        <is>
          <t>데이터 사용 가능</t>
        </is>
      </c>
      <c r="L71" s="24" t="inlineStr">
        <is>
          <t>LOW</t>
        </is>
      </c>
      <c r="M71" s="24" t="inlineStr">
        <is>
          <t>LOW</t>
        </is>
      </c>
      <c r="N71" s="24" t="inlineStr">
        <is>
          <t>0.6933333333333334</t>
        </is>
      </c>
      <c r="O71" s="24" t="inlineStr">
        <is>
          <t>ATTRACTIVE</t>
        </is>
      </c>
      <c r="P71" s="24" t="inlineStr">
        <is>
          <t>가치 매력</t>
        </is>
      </c>
      <c r="Q71" s="24" t="inlineStr">
        <is>
          <t>ATTRACTIVE</t>
        </is>
      </c>
      <c r="R71" s="24" t="inlineStr">
        <is>
          <t>0.8582250965188642</t>
        </is>
      </c>
      <c r="S71" s="24" t="inlineStr">
        <is>
          <t>HIGH</t>
        </is>
      </c>
      <c r="T71" s="24" t="inlineStr">
        <is>
          <t>HIGH</t>
        </is>
      </c>
      <c r="U71" s="24" t="inlineStr">
        <is>
          <t>0.0</t>
        </is>
      </c>
      <c r="V71" s="24" t="inlineStr">
        <is>
          <t>LOW_RISK</t>
        </is>
      </c>
      <c r="W71" s="24" t="inlineStr">
        <is>
          <t>저위험</t>
        </is>
      </c>
      <c r="X71" s="24" t="inlineStr">
        <is>
          <t>LOW_RISK</t>
        </is>
      </c>
      <c r="Y71" s="24" t="inlineStr">
        <is>
          <t>0.9246810687108324</t>
        </is>
      </c>
      <c r="Z71" s="24" t="inlineStr">
        <is>
          <t>HIGH</t>
        </is>
      </c>
      <c r="AA71" s="24" t="inlineStr">
        <is>
          <t>HIGH</t>
        </is>
      </c>
      <c r="AB71" s="24" t="inlineStr">
        <is>
          <t>0.4530741670429333</t>
        </is>
      </c>
      <c r="AC71" s="24" t="inlineStr">
        <is>
          <t>True</t>
        </is>
      </c>
      <c r="AD71" s="24" t="inlineStr">
        <is>
          <t>True</t>
        </is>
      </c>
      <c r="AE71" s="24" t="inlineStr">
        <is>
          <t>valuation_credit_ml_overlay_candidate.csv</t>
        </is>
      </c>
      <c r="AF71" s="24" t="inlineStr">
        <is>
          <t>208개 반도체 reference universe. Valuation Agent가 자체 intake 폴더로 복제해 Peer/ML/대시보드 비교에 사용.</t>
        </is>
      </c>
    </row>
    <row r="72" ht="24" customHeight="1">
      <c r="A72" s="29" t="inlineStr">
        <is>
          <t>32</t>
        </is>
      </c>
      <c r="B72" s="29" t="inlineStr">
        <is>
          <t>해당 없음</t>
        </is>
      </c>
      <c r="C72" s="29" t="inlineStr">
        <is>
          <t>케이엔제이</t>
        </is>
      </c>
      <c r="D72" s="29" t="inlineStr">
        <is>
          <t>272110</t>
        </is>
      </c>
      <c r="E72" s="29" t="inlineStr">
        <is>
          <t>KOSDAQ</t>
        </is>
      </c>
      <c r="F72" s="29" t="inlineStr">
        <is>
          <t>IDM/제조/메모리</t>
        </is>
      </c>
      <c r="G72" s="29" t="inlineStr">
        <is>
          <t>IDM/제조/메모리</t>
        </is>
      </c>
      <c r="H72" s="29" t="inlineStr">
        <is>
          <t>False</t>
        </is>
      </c>
      <c r="I72" s="29" t="inlineStr">
        <is>
          <t>True</t>
        </is>
      </c>
      <c r="J72" s="29" t="inlineStr">
        <is>
          <t>OK</t>
        </is>
      </c>
      <c r="K72" s="29" t="inlineStr">
        <is>
          <t>데이터 사용 가능</t>
        </is>
      </c>
      <c r="L72" s="29" t="inlineStr">
        <is>
          <t>LOW</t>
        </is>
      </c>
      <c r="M72" s="29" t="inlineStr">
        <is>
          <t>LOW</t>
        </is>
      </c>
      <c r="N72" s="29" t="inlineStr">
        <is>
          <t>0.69</t>
        </is>
      </c>
      <c r="O72" s="29" t="inlineStr">
        <is>
          <t>FAIR</t>
        </is>
      </c>
      <c r="P72" s="29" t="inlineStr">
        <is>
          <t>FAIR</t>
        </is>
      </c>
      <c r="Q72" s="29" t="inlineStr">
        <is>
          <t>FAIR</t>
        </is>
      </c>
      <c r="R72" s="29" t="inlineStr">
        <is>
          <t>0.8941431334693103</t>
        </is>
      </c>
      <c r="S72" s="29" t="inlineStr">
        <is>
          <t>HIGH</t>
        </is>
      </c>
      <c r="T72" s="29" t="inlineStr">
        <is>
          <t>HIGH</t>
        </is>
      </c>
      <c r="U72" s="29" t="inlineStr">
        <is>
          <t>0.3571428571428571</t>
        </is>
      </c>
      <c r="V72" s="29" t="inlineStr">
        <is>
          <t>MEDIUM_RISK</t>
        </is>
      </c>
      <c r="W72" s="29" t="inlineStr">
        <is>
          <t>중위험</t>
        </is>
      </c>
      <c r="X72" s="29" t="inlineStr">
        <is>
          <t>MEDIUM_RISK</t>
        </is>
      </c>
      <c r="Y72" s="29" t="inlineStr">
        <is>
          <t>0.6916505304322266</t>
        </is>
      </c>
      <c r="Z72" s="29" t="inlineStr">
        <is>
          <t>MEDIUM</t>
        </is>
      </c>
      <c r="AA72" s="29" t="inlineStr">
        <is>
          <t>MEDIUM</t>
        </is>
      </c>
      <c r="AB72" s="29" t="inlineStr">
        <is>
          <t>0.08026450343217886</t>
        </is>
      </c>
      <c r="AC72" s="29" t="inlineStr">
        <is>
          <t>False</t>
        </is>
      </c>
      <c r="AD72" s="29" t="inlineStr">
        <is>
          <t>False</t>
        </is>
      </c>
      <c r="AE72" s="29" t="inlineStr">
        <is>
          <t>valuation_credit_ml_overlay_candidate.csv</t>
        </is>
      </c>
      <c r="AF72" s="29" t="inlineStr">
        <is>
          <t>208개 반도체 reference universe. Valuation Agent가 자체 intake 폴더로 복제해 Peer/ML/대시보드 비교에 사용.</t>
        </is>
      </c>
    </row>
    <row r="73" ht="24" customHeight="1">
      <c r="A73" s="24" t="inlineStr">
        <is>
          <t>40</t>
        </is>
      </c>
      <c r="B73" s="24" t="inlineStr">
        <is>
          <t>해당 없음</t>
        </is>
      </c>
      <c r="C73" s="24" t="inlineStr">
        <is>
          <t>한양디지텍</t>
        </is>
      </c>
      <c r="D73" s="24" t="inlineStr">
        <is>
          <t>078350</t>
        </is>
      </c>
      <c r="E73" s="24" t="inlineStr">
        <is>
          <t>KOSDAQ</t>
        </is>
      </c>
      <c r="F73" s="24" t="inlineStr">
        <is>
          <t>IDM/제조/메모리</t>
        </is>
      </c>
      <c r="G73" s="24" t="inlineStr">
        <is>
          <t>IDM/제조/메모리</t>
        </is>
      </c>
      <c r="H73" s="24" t="inlineStr">
        <is>
          <t>False</t>
        </is>
      </c>
      <c r="I73" s="24" t="inlineStr">
        <is>
          <t>True</t>
        </is>
      </c>
      <c r="J73" s="24" t="inlineStr">
        <is>
          <t>OK</t>
        </is>
      </c>
      <c r="K73" s="24" t="inlineStr">
        <is>
          <t>데이터 사용 가능</t>
        </is>
      </c>
      <c r="L73" s="24" t="inlineStr">
        <is>
          <t>LOW</t>
        </is>
      </c>
      <c r="M73" s="24" t="inlineStr">
        <is>
          <t>LOW</t>
        </is>
      </c>
      <c r="N73" s="24" t="inlineStr">
        <is>
          <t>0.6805000000000001</t>
        </is>
      </c>
      <c r="O73" s="24" t="inlineStr">
        <is>
          <t>ATTRACTIVE</t>
        </is>
      </c>
      <c r="P73" s="24" t="inlineStr">
        <is>
          <t>가치 매력</t>
        </is>
      </c>
      <c r="Q73" s="24" t="inlineStr">
        <is>
          <t>ATTRACTIVE</t>
        </is>
      </c>
      <c r="R73" s="24" t="inlineStr">
        <is>
          <t>0.8705426081647281</t>
        </is>
      </c>
      <c r="S73" s="24" t="inlineStr">
        <is>
          <t>HIGH</t>
        </is>
      </c>
      <c r="T73" s="24" t="inlineStr">
        <is>
          <t>HIGH</t>
        </is>
      </c>
      <c r="U73" s="24" t="inlineStr">
        <is>
          <t>0.0714285714285714</t>
        </is>
      </c>
      <c r="V73" s="24" t="inlineStr">
        <is>
          <t>LOW_RISK</t>
        </is>
      </c>
      <c r="W73" s="24" t="inlineStr">
        <is>
          <t>저위험</t>
        </is>
      </c>
      <c r="X73" s="24" t="inlineStr">
        <is>
          <t>LOW_RISK</t>
        </is>
      </c>
      <c r="Y73" s="24" t="inlineStr">
        <is>
          <t>0.7978732006060483</t>
        </is>
      </c>
      <c r="Z73" s="24" t="inlineStr">
        <is>
          <t>HIGH</t>
        </is>
      </c>
      <c r="AA73" s="24" t="inlineStr">
        <is>
          <t>HIGH</t>
        </is>
      </c>
      <c r="AB73" s="24" t="inlineStr">
        <is>
          <t>0.008155150389343335</t>
        </is>
      </c>
      <c r="AC73" s="24" t="inlineStr">
        <is>
          <t>False</t>
        </is>
      </c>
      <c r="AD73" s="24" t="inlineStr">
        <is>
          <t>False</t>
        </is>
      </c>
      <c r="AE73" s="24" t="inlineStr">
        <is>
          <t>valuation_credit_ml_overlay_candidate.csv</t>
        </is>
      </c>
      <c r="AF73" s="24" t="inlineStr">
        <is>
          <t>208개 반도체 reference universe. Valuation Agent가 자체 intake 폴더로 복제해 Peer/ML/대시보드 비교에 사용.</t>
        </is>
      </c>
    </row>
    <row r="74" ht="24" customHeight="1">
      <c r="A74" s="29" t="inlineStr">
        <is>
          <t>1</t>
        </is>
      </c>
      <c r="B74" s="29" t="inlineStr">
        <is>
          <t>해당 없음</t>
        </is>
      </c>
      <c r="C74" s="29" t="inlineStr">
        <is>
          <t>DB하이텍</t>
        </is>
      </c>
      <c r="D74" s="29" t="inlineStr">
        <is>
          <t>000990</t>
        </is>
      </c>
      <c r="E74" s="29" t="inlineStr">
        <is>
          <t>KOSPI</t>
        </is>
      </c>
      <c r="F74" s="29" t="inlineStr">
        <is>
          <t>IDM/제조/메모리</t>
        </is>
      </c>
      <c r="G74" s="29" t="inlineStr">
        <is>
          <t>IDM/제조/메모리</t>
        </is>
      </c>
      <c r="H74" s="29" t="inlineStr">
        <is>
          <t>False</t>
        </is>
      </c>
      <c r="I74" s="29" t="inlineStr">
        <is>
          <t>True</t>
        </is>
      </c>
      <c r="J74" s="29" t="inlineStr">
        <is>
          <t>OK</t>
        </is>
      </c>
      <c r="K74" s="29" t="inlineStr">
        <is>
          <t>데이터 사용 가능</t>
        </is>
      </c>
      <c r="L74" s="29" t="inlineStr">
        <is>
          <t>LOW</t>
        </is>
      </c>
      <c r="M74" s="29" t="inlineStr">
        <is>
          <t>LOW</t>
        </is>
      </c>
      <c r="N74" s="29" t="inlineStr">
        <is>
          <t>0.6653333333333333</t>
        </is>
      </c>
      <c r="O74" s="29" t="inlineStr">
        <is>
          <t>ATTRACTIVE</t>
        </is>
      </c>
      <c r="P74" s="29" t="inlineStr">
        <is>
          <t>가치 매력</t>
        </is>
      </c>
      <c r="Q74" s="29" t="inlineStr">
        <is>
          <t>ATTRACTIVE</t>
        </is>
      </c>
      <c r="R74" s="29" t="inlineStr">
        <is>
          <t>0.9104444876024207</t>
        </is>
      </c>
      <c r="S74" s="29" t="inlineStr">
        <is>
          <t>HIGH</t>
        </is>
      </c>
      <c r="T74" s="29" t="inlineStr">
        <is>
          <t>HIGH</t>
        </is>
      </c>
      <c r="U74" s="29" t="inlineStr">
        <is>
          <t>0.0</t>
        </is>
      </c>
      <c r="V74" s="29" t="inlineStr">
        <is>
          <t>LOW_RISK</t>
        </is>
      </c>
      <c r="W74" s="29" t="inlineStr">
        <is>
          <t>저위험</t>
        </is>
      </c>
      <c r="X74" s="29" t="inlineStr">
        <is>
          <t>LOW_RISK</t>
        </is>
      </c>
      <c r="Y74" s="29" t="inlineStr">
        <is>
          <t>0.9880726272379208</t>
        </is>
      </c>
      <c r="Z74" s="29" t="inlineStr">
        <is>
          <t>HIGH</t>
        </is>
      </c>
      <c r="AA74" s="29" t="inlineStr">
        <is>
          <t>HIGH</t>
        </is>
      </c>
      <c r="AB74" s="29" t="inlineStr">
        <is>
          <t>0.04988685023425709</t>
        </is>
      </c>
      <c r="AC74" s="29" t="inlineStr">
        <is>
          <t>False</t>
        </is>
      </c>
      <c r="AD74" s="29" t="inlineStr">
        <is>
          <t>False</t>
        </is>
      </c>
      <c r="AE74" s="29" t="inlineStr">
        <is>
          <t>valuation_credit_ml_overlay_candidate.csv</t>
        </is>
      </c>
      <c r="AF74" s="29" t="inlineStr">
        <is>
          <t>208개 반도체 reference universe. Valuation Agent가 자체 intake 폴더로 복제해 Peer/ML/대시보드 비교에 사용.</t>
        </is>
      </c>
    </row>
    <row r="75" ht="24" customHeight="1">
      <c r="A75" s="24" t="inlineStr">
        <is>
          <t>24</t>
        </is>
      </c>
      <c r="B75" s="24" t="inlineStr">
        <is>
          <t>해당 없음</t>
        </is>
      </c>
      <c r="C75" s="24" t="inlineStr">
        <is>
          <t>오디텍</t>
        </is>
      </c>
      <c r="D75" s="24" t="inlineStr">
        <is>
          <t>080520</t>
        </is>
      </c>
      <c r="E75" s="24" t="inlineStr">
        <is>
          <t>KOSDAQ</t>
        </is>
      </c>
      <c r="F75" s="24" t="inlineStr">
        <is>
          <t>IDM/제조/메모리</t>
        </is>
      </c>
      <c r="G75" s="24" t="inlineStr">
        <is>
          <t>IDM/제조/메모리</t>
        </is>
      </c>
      <c r="H75" s="24" t="inlineStr">
        <is>
          <t>False</t>
        </is>
      </c>
      <c r="I75" s="24" t="inlineStr">
        <is>
          <t>True</t>
        </is>
      </c>
      <c r="J75" s="24" t="inlineStr">
        <is>
          <t>OK</t>
        </is>
      </c>
      <c r="K75" s="24" t="inlineStr">
        <is>
          <t>데이터 사용 가능</t>
        </is>
      </c>
      <c r="L75" s="24" t="inlineStr">
        <is>
          <t>LOW</t>
        </is>
      </c>
      <c r="M75" s="24" t="inlineStr">
        <is>
          <t>LOW</t>
        </is>
      </c>
      <c r="N75" s="24" t="inlineStr">
        <is>
          <t>0.6083333333333334</t>
        </is>
      </c>
      <c r="O75" s="24" t="inlineStr">
        <is>
          <t>FAIR</t>
        </is>
      </c>
      <c r="P75" s="24" t="inlineStr">
        <is>
          <t>FAIR</t>
        </is>
      </c>
      <c r="Q75" s="24" t="inlineStr">
        <is>
          <t>FAIR</t>
        </is>
      </c>
      <c r="R75" s="24" t="inlineStr">
        <is>
          <t>0.8328575689014174</t>
        </is>
      </c>
      <c r="S75" s="24" t="inlineStr">
        <is>
          <t>HIGH</t>
        </is>
      </c>
      <c r="T75" s="24" t="inlineStr">
        <is>
          <t>HIGH</t>
        </is>
      </c>
      <c r="U75" s="24" t="inlineStr">
        <is>
          <t>0.4285714285714285</t>
        </is>
      </c>
      <c r="V75" s="24" t="inlineStr">
        <is>
          <t>HIGH_RISK</t>
        </is>
      </c>
      <c r="W75" s="24" t="inlineStr">
        <is>
          <t>고위험</t>
        </is>
      </c>
      <c r="X75" s="24" t="inlineStr">
        <is>
          <t>HIGH_RISK</t>
        </is>
      </c>
      <c r="Y75" s="24" t="inlineStr">
        <is>
          <t>0.5607063964580236</t>
        </is>
      </c>
      <c r="Z75" s="24" t="inlineStr">
        <is>
          <t>MEDIUM</t>
        </is>
      </c>
      <c r="AA75" s="24" t="inlineStr">
        <is>
          <t>MEDIUM</t>
        </is>
      </c>
      <c r="AB75" s="24" t="inlineStr">
        <is>
          <t>0.4397907707686155</t>
        </is>
      </c>
      <c r="AC75" s="24" t="inlineStr">
        <is>
          <t>True</t>
        </is>
      </c>
      <c r="AD75" s="24" t="inlineStr">
        <is>
          <t>True</t>
        </is>
      </c>
      <c r="AE75" s="24" t="inlineStr">
        <is>
          <t>valuation_credit_ml_overlay_candidate.csv</t>
        </is>
      </c>
      <c r="AF75" s="24" t="inlineStr">
        <is>
          <t>208개 반도체 reference universe. Valuation Agent가 자체 intake 폴더로 복제해 Peer/ML/대시보드 비교에 사용.</t>
        </is>
      </c>
    </row>
    <row r="76" ht="24" customHeight="1">
      <c r="A76" s="29" t="inlineStr">
        <is>
          <t>6</t>
        </is>
      </c>
      <c r="B76" s="29" t="inlineStr">
        <is>
          <t>해당 없음</t>
        </is>
      </c>
      <c r="C76" s="29" t="inlineStr">
        <is>
          <t>그린리소스</t>
        </is>
      </c>
      <c r="D76" s="29" t="inlineStr">
        <is>
          <t>402490</t>
        </is>
      </c>
      <c r="E76" s="29" t="inlineStr">
        <is>
          <t>KOSDAQ</t>
        </is>
      </c>
      <c r="F76" s="29" t="inlineStr">
        <is>
          <t>IDM/제조/메모리</t>
        </is>
      </c>
      <c r="G76" s="29" t="inlineStr">
        <is>
          <t>IDM/제조/메모리</t>
        </is>
      </c>
      <c r="H76" s="29" t="inlineStr">
        <is>
          <t>False</t>
        </is>
      </c>
      <c r="I76" s="29" t="inlineStr">
        <is>
          <t>True</t>
        </is>
      </c>
      <c r="J76" s="29" t="inlineStr">
        <is>
          <t>OK_LIMITED_HISTORY_OR_GROWTH_NA</t>
        </is>
      </c>
      <c r="K76" s="29" t="inlineStr">
        <is>
          <t>데이터 사용 가능</t>
        </is>
      </c>
      <c r="L76" s="29" t="inlineStr">
        <is>
          <t>LOW</t>
        </is>
      </c>
      <c r="M76" s="29" t="inlineStr">
        <is>
          <t>LOW</t>
        </is>
      </c>
      <c r="N76" s="29" t="inlineStr">
        <is>
          <t>0.6021666666666667</t>
        </is>
      </c>
      <c r="O76" s="29" t="inlineStr">
        <is>
          <t>FAIR</t>
        </is>
      </c>
      <c r="P76" s="29" t="inlineStr">
        <is>
          <t>FAIR</t>
        </is>
      </c>
      <c r="Q76" s="29" t="inlineStr">
        <is>
          <t>FAIR</t>
        </is>
      </c>
      <c r="R76" s="29" t="inlineStr">
        <is>
          <t>0.7869051998623771</t>
        </is>
      </c>
      <c r="S76" s="29" t="inlineStr">
        <is>
          <t>HIGH</t>
        </is>
      </c>
      <c r="T76" s="29" t="inlineStr">
        <is>
          <t>HIGH</t>
        </is>
      </c>
      <c r="U76" s="29" t="inlineStr">
        <is>
          <t>0.4285714285714285</t>
        </is>
      </c>
      <c r="V76" s="29" t="inlineStr">
        <is>
          <t>HIGH_RISK</t>
        </is>
      </c>
      <c r="W76" s="29" t="inlineStr">
        <is>
          <t>고위험</t>
        </is>
      </c>
      <c r="X76" s="29" t="inlineStr">
        <is>
          <t>HIGH_RISK</t>
        </is>
      </c>
      <c r="Y76" s="29" t="inlineStr">
        <is>
          <t>0.5860253292011965</t>
        </is>
      </c>
      <c r="Z76" s="29" t="inlineStr">
        <is>
          <t>MEDIUM</t>
        </is>
      </c>
      <c r="AA76" s="29" t="inlineStr">
        <is>
          <t>MEDIUM</t>
        </is>
      </c>
      <c r="AB76" s="29" t="inlineStr">
        <is>
          <t>0.04512954873345755</t>
        </is>
      </c>
      <c r="AC76" s="29" t="inlineStr">
        <is>
          <t>False</t>
        </is>
      </c>
      <c r="AD76" s="29" t="inlineStr">
        <is>
          <t>True</t>
        </is>
      </c>
      <c r="AE76" s="29" t="inlineStr">
        <is>
          <t>valuation_credit_ml_overlay_candidate.csv</t>
        </is>
      </c>
      <c r="AF76" s="29" t="inlineStr">
        <is>
          <t>208개 반도체 reference universe. Valuation Agent가 자체 intake 폴더로 복제해 Peer/ML/대시보드 비교에 사용.</t>
        </is>
      </c>
    </row>
    <row r="77" ht="24" customHeight="1">
      <c r="A77" s="24" t="inlineStr">
        <is>
          <t>8</t>
        </is>
      </c>
      <c r="B77" s="24" t="inlineStr">
        <is>
          <t>해당 없음</t>
        </is>
      </c>
      <c r="C77" s="24" t="inlineStr">
        <is>
          <t>루멘스</t>
        </is>
      </c>
      <c r="D77" s="24" t="inlineStr">
        <is>
          <t>038060</t>
        </is>
      </c>
      <c r="E77" s="24" t="inlineStr">
        <is>
          <t>KOSDAQ</t>
        </is>
      </c>
      <c r="F77" s="24" t="inlineStr">
        <is>
          <t>IDM/제조/메모리</t>
        </is>
      </c>
      <c r="G77" s="24" t="inlineStr">
        <is>
          <t>IDM/제조/메모리</t>
        </is>
      </c>
      <c r="H77" s="24" t="inlineStr">
        <is>
          <t>False</t>
        </is>
      </c>
      <c r="I77" s="24" t="inlineStr">
        <is>
          <t>True</t>
        </is>
      </c>
      <c r="J77" s="24" t="inlineStr">
        <is>
          <t>OK</t>
        </is>
      </c>
      <c r="K77" s="24" t="inlineStr">
        <is>
          <t>데이터 사용 가능</t>
        </is>
      </c>
      <c r="L77" s="24" t="inlineStr">
        <is>
          <t>LOW</t>
        </is>
      </c>
      <c r="M77" s="24" t="inlineStr">
        <is>
          <t>LOW</t>
        </is>
      </c>
      <c r="N77" s="24" t="inlineStr">
        <is>
          <t>0.5970000000000001</t>
        </is>
      </c>
      <c r="O77" s="24" t="inlineStr">
        <is>
          <t>FAIR</t>
        </is>
      </c>
      <c r="P77" s="24" t="inlineStr">
        <is>
          <t>FAIR</t>
        </is>
      </c>
      <c r="Q77" s="24" t="inlineStr">
        <is>
          <t>FAIR</t>
        </is>
      </c>
      <c r="R77" s="24" t="inlineStr">
        <is>
          <t>0.8437683700786414</t>
        </is>
      </c>
      <c r="S77" s="24" t="inlineStr">
        <is>
          <t>HIGH</t>
        </is>
      </c>
      <c r="T77" s="24" t="inlineStr">
        <is>
          <t>HIGH</t>
        </is>
      </c>
      <c r="U77" s="24" t="inlineStr">
        <is>
          <t>0.3571428571428571</t>
        </is>
      </c>
      <c r="V77" s="24" t="inlineStr">
        <is>
          <t>MEDIUM_RISK</t>
        </is>
      </c>
      <c r="W77" s="24" t="inlineStr">
        <is>
          <t>중위험</t>
        </is>
      </c>
      <c r="X77" s="24" t="inlineStr">
        <is>
          <t>MEDIUM_RISK</t>
        </is>
      </c>
      <c r="Y77" s="24" t="inlineStr">
        <is>
          <t>0.7365544810444915</t>
        </is>
      </c>
      <c r="Z77" s="24" t="inlineStr">
        <is>
          <t>HIGH</t>
        </is>
      </c>
      <c r="AA77" s="24" t="inlineStr">
        <is>
          <t>HIGH</t>
        </is>
      </c>
      <c r="AB77" s="24" t="inlineStr">
        <is>
          <t>0.0791711120821534</t>
        </is>
      </c>
      <c r="AC77" s="24" t="inlineStr">
        <is>
          <t>False</t>
        </is>
      </c>
      <c r="AD77" s="24" t="inlineStr">
        <is>
          <t>False</t>
        </is>
      </c>
      <c r="AE77" s="24" t="inlineStr">
        <is>
          <t>valuation_credit_ml_overlay_candidate.csv</t>
        </is>
      </c>
      <c r="AF77" s="24" t="inlineStr">
        <is>
          <t>208개 반도체 reference universe. Valuation Agent가 자체 intake 폴더로 복제해 Peer/ML/대시보드 비교에 사용.</t>
        </is>
      </c>
    </row>
    <row r="78" ht="24" customHeight="1">
      <c r="A78" s="29" t="inlineStr">
        <is>
          <t>37</t>
        </is>
      </c>
      <c r="B78" s="29" t="inlineStr">
        <is>
          <t>해당 없음</t>
        </is>
      </c>
      <c r="C78" s="29" t="inlineStr">
        <is>
          <t>피델릭스</t>
        </is>
      </c>
      <c r="D78" s="29" t="inlineStr">
        <is>
          <t>032580</t>
        </is>
      </c>
      <c r="E78" s="29" t="inlineStr">
        <is>
          <t>KOSDAQ</t>
        </is>
      </c>
      <c r="F78" s="29" t="inlineStr">
        <is>
          <t>IDM/제조/메모리</t>
        </is>
      </c>
      <c r="G78" s="29" t="inlineStr">
        <is>
          <t>IDM/제조/메모리</t>
        </is>
      </c>
      <c r="H78" s="29" t="inlineStr">
        <is>
          <t>False</t>
        </is>
      </c>
      <c r="I78" s="29" t="inlineStr">
        <is>
          <t>True</t>
        </is>
      </c>
      <c r="J78" s="29" t="inlineStr">
        <is>
          <t>OK</t>
        </is>
      </c>
      <c r="K78" s="29" t="inlineStr">
        <is>
          <t>데이터 사용 가능</t>
        </is>
      </c>
      <c r="L78" s="29" t="inlineStr">
        <is>
          <t>LOW</t>
        </is>
      </c>
      <c r="M78" s="29" t="inlineStr">
        <is>
          <t>LOW</t>
        </is>
      </c>
      <c r="N78" s="29" t="inlineStr">
        <is>
          <t>0.5873333333333334</t>
        </is>
      </c>
      <c r="O78" s="29" t="inlineStr">
        <is>
          <t>FAIR</t>
        </is>
      </c>
      <c r="P78" s="29" t="inlineStr">
        <is>
          <t>FAIR</t>
        </is>
      </c>
      <c r="Q78" s="29" t="inlineStr">
        <is>
          <t>FAIR</t>
        </is>
      </c>
      <c r="R78" s="29" t="inlineStr">
        <is>
          <t>0.8604826019551013</t>
        </is>
      </c>
      <c r="S78" s="29" t="inlineStr">
        <is>
          <t>HIGH</t>
        </is>
      </c>
      <c r="T78" s="29" t="inlineStr">
        <is>
          <t>HIGH</t>
        </is>
      </c>
      <c r="U78" s="29" t="inlineStr">
        <is>
          <t>0.5</t>
        </is>
      </c>
      <c r="V78" s="29" t="inlineStr">
        <is>
          <t>HIGH_RISK</t>
        </is>
      </c>
      <c r="W78" s="29" t="inlineStr">
        <is>
          <t>고위험</t>
        </is>
      </c>
      <c r="X78" s="29" t="inlineStr">
        <is>
          <t>HIGH_RISK</t>
        </is>
      </c>
      <c r="Y78" s="29" t="inlineStr">
        <is>
          <t>0.9138628953549666</t>
        </is>
      </c>
      <c r="Z78" s="29" t="inlineStr">
        <is>
          <t>HIGH</t>
        </is>
      </c>
      <c r="AA78" s="29" t="inlineStr">
        <is>
          <t>HIGH</t>
        </is>
      </c>
      <c r="AB78" s="29" t="inlineStr">
        <is>
          <t>0.0765288896391056</t>
        </is>
      </c>
      <c r="AC78" s="29" t="inlineStr">
        <is>
          <t>False</t>
        </is>
      </c>
      <c r="AD78" s="29" t="inlineStr">
        <is>
          <t>False</t>
        </is>
      </c>
      <c r="AE78" s="29" t="inlineStr">
        <is>
          <t>valuation_credit_ml_overlay_candidate.csv</t>
        </is>
      </c>
      <c r="AF78" s="29" t="inlineStr">
        <is>
          <t>208개 반도체 reference universe. Valuation Agent가 자체 intake 폴더로 복제해 Peer/ML/대시보드 비교에 사용.</t>
        </is>
      </c>
    </row>
    <row r="79" ht="24" customHeight="1">
      <c r="A79" s="24" t="inlineStr">
        <is>
          <t>21</t>
        </is>
      </c>
      <c r="B79" s="24" t="inlineStr">
        <is>
          <t>해당 없음</t>
        </is>
      </c>
      <c r="C79" s="24" t="inlineStr">
        <is>
          <t>엔시트론</t>
        </is>
      </c>
      <c r="D79" s="24" t="inlineStr">
        <is>
          <t>101400</t>
        </is>
      </c>
      <c r="E79" s="24" t="inlineStr">
        <is>
          <t>KOSDAQ</t>
        </is>
      </c>
      <c r="F79" s="24" t="inlineStr">
        <is>
          <t>IDM/제조/메모리</t>
        </is>
      </c>
      <c r="G79" s="24" t="inlineStr">
        <is>
          <t>IDM/제조/메모리</t>
        </is>
      </c>
      <c r="H79" s="24" t="inlineStr">
        <is>
          <t>False</t>
        </is>
      </c>
      <c r="I79" s="24" t="inlineStr">
        <is>
          <t>True</t>
        </is>
      </c>
      <c r="J79" s="24" t="inlineStr">
        <is>
          <t>OK</t>
        </is>
      </c>
      <c r="K79" s="24" t="inlineStr">
        <is>
          <t>데이터 사용 가능</t>
        </is>
      </c>
      <c r="L79" s="24" t="inlineStr">
        <is>
          <t>LOW</t>
        </is>
      </c>
      <c r="M79" s="24" t="inlineStr">
        <is>
          <t>LOW</t>
        </is>
      </c>
      <c r="N79" s="24" t="inlineStr">
        <is>
          <t>0.5773333333333333</t>
        </is>
      </c>
      <c r="O79" s="24" t="inlineStr">
        <is>
          <t>FAIR</t>
        </is>
      </c>
      <c r="P79" s="24" t="inlineStr">
        <is>
          <t>FAIR</t>
        </is>
      </c>
      <c r="Q79" s="24" t="inlineStr">
        <is>
          <t>FAIR</t>
        </is>
      </c>
      <c r="R79" s="24" t="inlineStr">
        <is>
          <t>0.8173941540342667</t>
        </is>
      </c>
      <c r="S79" s="24" t="inlineStr">
        <is>
          <t>HIGH</t>
        </is>
      </c>
      <c r="T79" s="24" t="inlineStr">
        <is>
          <t>HIGH</t>
        </is>
      </c>
      <c r="U79" s="24" t="inlineStr">
        <is>
          <t>0.3571428571428571</t>
        </is>
      </c>
      <c r="V79" s="24" t="inlineStr">
        <is>
          <t>MEDIUM_RISK</t>
        </is>
      </c>
      <c r="W79" s="24" t="inlineStr">
        <is>
          <t>중위험</t>
        </is>
      </c>
      <c r="X79" s="24" t="inlineStr">
        <is>
          <t>MEDIUM_RISK</t>
        </is>
      </c>
      <c r="Y79" s="24" t="inlineStr">
        <is>
          <t>0.7799614337035685</t>
        </is>
      </c>
      <c r="Z79" s="24" t="inlineStr">
        <is>
          <t>HIGH</t>
        </is>
      </c>
      <c r="AA79" s="24" t="inlineStr">
        <is>
          <t>HIGH</t>
        </is>
      </c>
      <c r="AB79" s="24" t="inlineStr">
        <is>
          <t>0.08202020185637905</t>
        </is>
      </c>
      <c r="AC79" s="24" t="inlineStr">
        <is>
          <t>False</t>
        </is>
      </c>
      <c r="AD79" s="24" t="inlineStr">
        <is>
          <t>False</t>
        </is>
      </c>
      <c r="AE79" s="24" t="inlineStr">
        <is>
          <t>valuation_credit_ml_overlay_candidate.csv</t>
        </is>
      </c>
      <c r="AF79" s="24" t="inlineStr">
        <is>
          <t>208개 반도체 reference universe. Valuation Agent가 자체 intake 폴더로 복제해 Peer/ML/대시보드 비교에 사용.</t>
        </is>
      </c>
    </row>
    <row r="80" ht="24" customHeight="1">
      <c r="A80" s="29" t="inlineStr">
        <is>
          <t>13</t>
        </is>
      </c>
      <c r="B80" s="29" t="inlineStr">
        <is>
          <t>해당 없음</t>
        </is>
      </c>
      <c r="C80" s="29" t="inlineStr">
        <is>
          <t>서울바이오시스</t>
        </is>
      </c>
      <c r="D80" s="29" t="inlineStr">
        <is>
          <t>092190</t>
        </is>
      </c>
      <c r="E80" s="29" t="inlineStr">
        <is>
          <t>KOSDAQ</t>
        </is>
      </c>
      <c r="F80" s="29" t="inlineStr">
        <is>
          <t>IDM/제조/메모리</t>
        </is>
      </c>
      <c r="G80" s="29" t="inlineStr">
        <is>
          <t>IDM/제조/메모리</t>
        </is>
      </c>
      <c r="H80" s="29" t="inlineStr">
        <is>
          <t>False</t>
        </is>
      </c>
      <c r="I80" s="29" t="inlineStr">
        <is>
          <t>True</t>
        </is>
      </c>
      <c r="J80" s="29" t="inlineStr">
        <is>
          <t>OK</t>
        </is>
      </c>
      <c r="K80" s="29" t="inlineStr">
        <is>
          <t>데이터 사용 가능</t>
        </is>
      </c>
      <c r="L80" s="29" t="inlineStr">
        <is>
          <t>LOW</t>
        </is>
      </c>
      <c r="M80" s="29" t="inlineStr">
        <is>
          <t>LOW</t>
        </is>
      </c>
      <c r="N80" s="29" t="inlineStr">
        <is>
          <t>0.5655</t>
        </is>
      </c>
      <c r="O80" s="29" t="inlineStr">
        <is>
          <t>FAIR</t>
        </is>
      </c>
      <c r="P80" s="29" t="inlineStr">
        <is>
          <t>FAIR</t>
        </is>
      </c>
      <c r="Q80" s="29" t="inlineStr">
        <is>
          <t>FAIR</t>
        </is>
      </c>
      <c r="R80" s="29" t="inlineStr">
        <is>
          <t>0.7336783523450653</t>
        </is>
      </c>
      <c r="S80" s="29" t="inlineStr">
        <is>
          <t>HIGH</t>
        </is>
      </c>
      <c r="T80" s="29" t="inlineStr">
        <is>
          <t>HIGH</t>
        </is>
      </c>
      <c r="U80" s="29" t="inlineStr">
        <is>
          <t>0.4285714285714285</t>
        </is>
      </c>
      <c r="V80" s="29" t="inlineStr">
        <is>
          <t>HIGH_RISK</t>
        </is>
      </c>
      <c r="W80" s="29" t="inlineStr">
        <is>
          <t>고위험</t>
        </is>
      </c>
      <c r="X80" s="29" t="inlineStr">
        <is>
          <t>MEDIUM_RISK</t>
        </is>
      </c>
      <c r="Y80" s="29" t="inlineStr">
        <is>
          <t>0.420701328500417</t>
        </is>
      </c>
      <c r="Z80" s="29" t="inlineStr">
        <is>
          <t>LOW</t>
        </is>
      </c>
      <c r="AA80" s="29" t="inlineStr">
        <is>
          <t>LOW</t>
        </is>
      </c>
      <c r="AB80" s="29" t="inlineStr">
        <is>
          <t>0.22867438374329632</t>
        </is>
      </c>
      <c r="AC80" s="29" t="inlineStr">
        <is>
          <t>False</t>
        </is>
      </c>
      <c r="AD80" s="29" t="inlineStr">
        <is>
          <t>True</t>
        </is>
      </c>
      <c r="AE80" s="29" t="inlineStr">
        <is>
          <t>valuation_credit_ml_overlay_candidate.csv</t>
        </is>
      </c>
      <c r="AF80" s="29" t="inlineStr">
        <is>
          <t>208개 반도체 reference universe. Valuation Agent가 자체 intake 폴더로 복제해 Peer/ML/대시보드 비교에 사용.</t>
        </is>
      </c>
    </row>
    <row r="81" ht="24" customHeight="1">
      <c r="A81" s="24" t="inlineStr">
        <is>
          <t>34</t>
        </is>
      </c>
      <c r="B81" s="24" t="inlineStr">
        <is>
          <t>해당 없음</t>
        </is>
      </c>
      <c r="C81" s="24" t="inlineStr">
        <is>
          <t>큐에스아이</t>
        </is>
      </c>
      <c r="D81" s="24" t="inlineStr">
        <is>
          <t>066310</t>
        </is>
      </c>
      <c r="E81" s="24" t="inlineStr">
        <is>
          <t>KOSDAQ</t>
        </is>
      </c>
      <c r="F81" s="24" t="inlineStr">
        <is>
          <t>IDM/제조/메모리</t>
        </is>
      </c>
      <c r="G81" s="24" t="inlineStr">
        <is>
          <t>IDM/제조/메모리</t>
        </is>
      </c>
      <c r="H81" s="24" t="inlineStr">
        <is>
          <t>False</t>
        </is>
      </c>
      <c r="I81" s="24" t="inlineStr">
        <is>
          <t>True</t>
        </is>
      </c>
      <c r="J81" s="24" t="inlineStr">
        <is>
          <t>OK</t>
        </is>
      </c>
      <c r="K81" s="24" t="inlineStr">
        <is>
          <t>데이터 사용 가능</t>
        </is>
      </c>
      <c r="L81" s="24" t="inlineStr">
        <is>
          <t>LOW</t>
        </is>
      </c>
      <c r="M81" s="24" t="inlineStr">
        <is>
          <t>LOW</t>
        </is>
      </c>
      <c r="N81" s="24" t="inlineStr">
        <is>
          <t>0.5423333333333333</t>
        </is>
      </c>
      <c r="O81" s="24" t="inlineStr">
        <is>
          <t>FAIR</t>
        </is>
      </c>
      <c r="P81" s="24" t="inlineStr">
        <is>
          <t>FAIR</t>
        </is>
      </c>
      <c r="Q81" s="24" t="inlineStr">
        <is>
          <t>FAIR</t>
        </is>
      </c>
      <c r="R81" s="24" t="inlineStr">
        <is>
          <t>0.5496283015517583</t>
        </is>
      </c>
      <c r="S81" s="24" t="inlineStr">
        <is>
          <t>MEDIUM</t>
        </is>
      </c>
      <c r="T81" s="24" t="inlineStr">
        <is>
          <t>MEDIUM</t>
        </is>
      </c>
      <c r="U81" s="24" t="inlineStr">
        <is>
          <t>0.0714285714285714</t>
        </is>
      </c>
      <c r="V81" s="24" t="inlineStr">
        <is>
          <t>LOW_RISK</t>
        </is>
      </c>
      <c r="W81" s="24" t="inlineStr">
        <is>
          <t>저위험</t>
        </is>
      </c>
      <c r="X81" s="24" t="inlineStr">
        <is>
          <t>LOW_RISK</t>
        </is>
      </c>
      <c r="Y81" s="24" t="inlineStr">
        <is>
          <t>0.8341403016587674</t>
        </is>
      </c>
      <c r="Z81" s="24" t="inlineStr">
        <is>
          <t>HIGH</t>
        </is>
      </c>
      <c r="AA81" s="24" t="inlineStr">
        <is>
          <t>HIGH</t>
        </is>
      </c>
      <c r="AB81" s="24" t="inlineStr">
        <is>
          <t>0.21446147407494193</t>
        </is>
      </c>
      <c r="AC81" s="24" t="inlineStr">
        <is>
          <t>False</t>
        </is>
      </c>
      <c r="AD81" s="24" t="inlineStr">
        <is>
          <t>False</t>
        </is>
      </c>
      <c r="AE81" s="24" t="inlineStr">
        <is>
          <t>valuation_credit_ml_overlay_candidate.csv</t>
        </is>
      </c>
      <c r="AF81" s="24" t="inlineStr">
        <is>
          <t>208개 반도체 reference universe. Valuation Agent가 자체 intake 폴더로 복제해 Peer/ML/대시보드 비교에 사용.</t>
        </is>
      </c>
    </row>
    <row r="82" ht="24" customHeight="1">
      <c r="A82" s="29" t="inlineStr">
        <is>
          <t>23</t>
        </is>
      </c>
      <c r="B82" s="29" t="inlineStr">
        <is>
          <t>해당 없음</t>
        </is>
      </c>
      <c r="C82" s="29" t="inlineStr">
        <is>
          <t>엘오티베큠</t>
        </is>
      </c>
      <c r="D82" s="29" t="inlineStr">
        <is>
          <t>083310</t>
        </is>
      </c>
      <c r="E82" s="29" t="inlineStr">
        <is>
          <t>KOSDAQ</t>
        </is>
      </c>
      <c r="F82" s="29" t="inlineStr">
        <is>
          <t>IDM/제조/메모리</t>
        </is>
      </c>
      <c r="G82" s="29" t="inlineStr">
        <is>
          <t>IDM/제조/메모리</t>
        </is>
      </c>
      <c r="H82" s="29" t="inlineStr">
        <is>
          <t>False</t>
        </is>
      </c>
      <c r="I82" s="29" t="inlineStr">
        <is>
          <t>True</t>
        </is>
      </c>
      <c r="J82" s="29" t="inlineStr">
        <is>
          <t>OK</t>
        </is>
      </c>
      <c r="K82" s="29" t="inlineStr">
        <is>
          <t>데이터 사용 가능</t>
        </is>
      </c>
      <c r="L82" s="29" t="inlineStr">
        <is>
          <t>LOW</t>
        </is>
      </c>
      <c r="M82" s="29" t="inlineStr">
        <is>
          <t>LOW</t>
        </is>
      </c>
      <c r="N82" s="29" t="inlineStr">
        <is>
          <t>0.538</t>
        </is>
      </c>
      <c r="O82" s="29" t="inlineStr">
        <is>
          <t>FAIR</t>
        </is>
      </c>
      <c r="P82" s="29" t="inlineStr">
        <is>
          <t>FAIR</t>
        </is>
      </c>
      <c r="Q82" s="29" t="inlineStr">
        <is>
          <t>FAIR</t>
        </is>
      </c>
      <c r="R82" s="29" t="inlineStr">
        <is>
          <t>0.860578291373445</t>
        </is>
      </c>
      <c r="S82" s="29" t="inlineStr">
        <is>
          <t>HIGH</t>
        </is>
      </c>
      <c r="T82" s="29" t="inlineStr">
        <is>
          <t>HIGH</t>
        </is>
      </c>
      <c r="U82" s="29" t="inlineStr">
        <is>
          <t>0.2142857142857142</t>
        </is>
      </c>
      <c r="V82" s="29" t="inlineStr">
        <is>
          <t>MEDIUM_RISK</t>
        </is>
      </c>
      <c r="W82" s="29" t="inlineStr">
        <is>
          <t>중위험</t>
        </is>
      </c>
      <c r="X82" s="29" t="inlineStr">
        <is>
          <t>MEDIUM_RISK</t>
        </is>
      </c>
      <c r="Y82" s="29" t="inlineStr">
        <is>
          <t>0.8356274138697954</t>
        </is>
      </c>
      <c r="Z82" s="29" t="inlineStr">
        <is>
          <t>HIGH</t>
        </is>
      </c>
      <c r="AA82" s="29" t="inlineStr">
        <is>
          <t>HIGH</t>
        </is>
      </c>
      <c r="AB82" s="29" t="inlineStr">
        <is>
          <t>0.04088276425948358</t>
        </is>
      </c>
      <c r="AC82" s="29" t="inlineStr">
        <is>
          <t>False</t>
        </is>
      </c>
      <c r="AD82" s="29" t="inlineStr">
        <is>
          <t>False</t>
        </is>
      </c>
      <c r="AE82" s="29" t="inlineStr">
        <is>
          <t>valuation_credit_ml_overlay_candidate.csv</t>
        </is>
      </c>
      <c r="AF82" s="29" t="inlineStr">
        <is>
          <t>208개 반도체 reference universe. Valuation Agent가 자체 intake 폴더로 복제해 Peer/ML/대시보드 비교에 사용.</t>
        </is>
      </c>
    </row>
    <row r="83" ht="24" customHeight="1">
      <c r="A83" s="24" t="inlineStr">
        <is>
          <t>11</t>
        </is>
      </c>
      <c r="B83" s="24" t="inlineStr">
        <is>
          <t>해당 없음</t>
        </is>
      </c>
      <c r="C83" s="24" t="inlineStr">
        <is>
          <t>비씨엔씨</t>
        </is>
      </c>
      <c r="D83" s="24" t="inlineStr">
        <is>
          <t>146320</t>
        </is>
      </c>
      <c r="E83" s="24" t="inlineStr">
        <is>
          <t>KOSDAQ</t>
        </is>
      </c>
      <c r="F83" s="24" t="inlineStr">
        <is>
          <t>IDM/제조/메모리</t>
        </is>
      </c>
      <c r="G83" s="24" t="inlineStr">
        <is>
          <t>IDM/제조/메모리</t>
        </is>
      </c>
      <c r="H83" s="24" t="inlineStr">
        <is>
          <t>False</t>
        </is>
      </c>
      <c r="I83" s="24" t="inlineStr">
        <is>
          <t>True</t>
        </is>
      </c>
      <c r="J83" s="24" t="inlineStr">
        <is>
          <t>KEY_ACCOUNT_PARTIAL_MISSING</t>
        </is>
      </c>
      <c r="K83" s="24" t="inlineStr">
        <is>
          <t>데이터 사용 가능</t>
        </is>
      </c>
      <c r="L83" s="24" t="inlineStr">
        <is>
          <t>MEDIUM</t>
        </is>
      </c>
      <c r="M83" s="24" t="inlineStr">
        <is>
          <t>MEDIUM</t>
        </is>
      </c>
      <c r="N83" s="24" t="inlineStr">
        <is>
          <t>0.5365833333333333</t>
        </is>
      </c>
      <c r="O83" s="24" t="inlineStr">
        <is>
          <t>FAIR</t>
        </is>
      </c>
      <c r="P83" s="24" t="inlineStr">
        <is>
          <t>FAIR</t>
        </is>
      </c>
      <c r="Q83" s="24" t="inlineStr">
        <is>
          <t>FAIR</t>
        </is>
      </c>
      <c r="R83" s="24" t="inlineStr">
        <is>
          <t>0.7033805368548921</t>
        </is>
      </c>
      <c r="S83" s="24" t="inlineStr">
        <is>
          <t>HIGH</t>
        </is>
      </c>
      <c r="T83" s="24" t="inlineStr">
        <is>
          <t>HIGH</t>
        </is>
      </c>
      <c r="U83" s="24" t="inlineStr">
        <is>
          <t>0.2857142857142857</t>
        </is>
      </c>
      <c r="V83" s="24" t="inlineStr">
        <is>
          <t>MEDIUM_RISK</t>
        </is>
      </c>
      <c r="W83" s="24" t="inlineStr">
        <is>
          <t>중위험</t>
        </is>
      </c>
      <c r="X83" s="24" t="inlineStr">
        <is>
          <t>MEDIUM_RISK</t>
        </is>
      </c>
      <c r="Y83" s="24" t="inlineStr">
        <is>
          <t>0.7333342608471988</t>
        </is>
      </c>
      <c r="Z83" s="24" t="inlineStr">
        <is>
          <t>HIGH</t>
        </is>
      </c>
      <c r="AA83" s="24" t="inlineStr">
        <is>
          <t>HIGH</t>
        </is>
      </c>
      <c r="AB83" s="24" t="inlineStr">
        <is>
          <t>0.031762409510830696</t>
        </is>
      </c>
      <c r="AC83" s="24" t="inlineStr">
        <is>
          <t>False</t>
        </is>
      </c>
      <c r="AD83" s="24" t="inlineStr">
        <is>
          <t>True</t>
        </is>
      </c>
      <c r="AE83" s="24" t="inlineStr">
        <is>
          <t>valuation_credit_ml_overlay_candidate.csv</t>
        </is>
      </c>
      <c r="AF83" s="24" t="inlineStr">
        <is>
          <t>208개 반도체 reference universe. Valuation Agent가 자체 intake 폴더로 복제해 Peer/ML/대시보드 비교에 사용.</t>
        </is>
      </c>
    </row>
    <row r="84" ht="24" customHeight="1">
      <c r="A84" s="29" t="inlineStr">
        <is>
          <t>36</t>
        </is>
      </c>
      <c r="B84" s="29" t="inlineStr">
        <is>
          <t>해당 없음</t>
        </is>
      </c>
      <c r="C84" s="29" t="inlineStr">
        <is>
          <t>티엘비</t>
        </is>
      </c>
      <c r="D84" s="29" t="inlineStr">
        <is>
          <t>356860</t>
        </is>
      </c>
      <c r="E84" s="29" t="inlineStr">
        <is>
          <t>KOSDAQ</t>
        </is>
      </c>
      <c r="F84" s="29" t="inlineStr">
        <is>
          <t>IDM/제조/메모리</t>
        </is>
      </c>
      <c r="G84" s="29" t="inlineStr">
        <is>
          <t>IDM/제조/메모리</t>
        </is>
      </c>
      <c r="H84" s="29" t="inlineStr">
        <is>
          <t>False</t>
        </is>
      </c>
      <c r="I84" s="29" t="inlineStr">
        <is>
          <t>True</t>
        </is>
      </c>
      <c r="J84" s="29" t="inlineStr">
        <is>
          <t>OK</t>
        </is>
      </c>
      <c r="K84" s="29" t="inlineStr">
        <is>
          <t>데이터 사용 가능</t>
        </is>
      </c>
      <c r="L84" s="29" t="inlineStr">
        <is>
          <t>LOW</t>
        </is>
      </c>
      <c r="M84" s="29" t="inlineStr">
        <is>
          <t>LOW</t>
        </is>
      </c>
      <c r="N84" s="29" t="inlineStr">
        <is>
          <t>0.5361666666666667</t>
        </is>
      </c>
      <c r="O84" s="29" t="inlineStr">
        <is>
          <t>FAIR</t>
        </is>
      </c>
      <c r="P84" s="29" t="inlineStr">
        <is>
          <t>FAIR</t>
        </is>
      </c>
      <c r="Q84" s="29" t="inlineStr">
        <is>
          <t>FAIR</t>
        </is>
      </c>
      <c r="R84" s="29" t="inlineStr">
        <is>
          <t>0.8509295904965918</t>
        </is>
      </c>
      <c r="S84" s="29" t="inlineStr">
        <is>
          <t>HIGH</t>
        </is>
      </c>
      <c r="T84" s="29" t="inlineStr">
        <is>
          <t>HIGH</t>
        </is>
      </c>
      <c r="U84" s="29" t="inlineStr">
        <is>
          <t>0.0714285714285714</t>
        </is>
      </c>
      <c r="V84" s="29" t="inlineStr">
        <is>
          <t>LOW_RISK</t>
        </is>
      </c>
      <c r="W84" s="29" t="inlineStr">
        <is>
          <t>저위험</t>
        </is>
      </c>
      <c r="X84" s="29" t="inlineStr">
        <is>
          <t>LOW_RISK</t>
        </is>
      </c>
      <c r="Y84" s="29" t="inlineStr">
        <is>
          <t>0.6625834729097503</t>
        </is>
      </c>
      <c r="Z84" s="29" t="inlineStr">
        <is>
          <t>MEDIUM</t>
        </is>
      </c>
      <c r="AA84" s="29" t="inlineStr">
        <is>
          <t>MEDIUM</t>
        </is>
      </c>
      <c r="AB84" s="29" t="inlineStr">
        <is>
          <t>0.01843936297746685</t>
        </is>
      </c>
      <c r="AC84" s="29" t="inlineStr">
        <is>
          <t>False</t>
        </is>
      </c>
      <c r="AD84" s="29" t="inlineStr">
        <is>
          <t>False</t>
        </is>
      </c>
      <c r="AE84" s="29" t="inlineStr">
        <is>
          <t>valuation_credit_ml_overlay_candidate.csv</t>
        </is>
      </c>
      <c r="AF84" s="29" t="inlineStr">
        <is>
          <t>208개 반도체 reference universe. Valuation Agent가 자체 intake 폴더로 복제해 Peer/ML/대시보드 비교에 사용.</t>
        </is>
      </c>
    </row>
    <row r="85" ht="24" customHeight="1">
      <c r="A85" s="24" t="inlineStr">
        <is>
          <t>38</t>
        </is>
      </c>
      <c r="B85" s="24" t="inlineStr">
        <is>
          <t>해당 없음</t>
        </is>
      </c>
      <c r="C85" s="24" t="inlineStr">
        <is>
          <t>하나머티리얼즈</t>
        </is>
      </c>
      <c r="D85" s="24" t="inlineStr">
        <is>
          <t>166090</t>
        </is>
      </c>
      <c r="E85" s="24" t="inlineStr">
        <is>
          <t>KOSDAQ GLOBAL</t>
        </is>
      </c>
      <c r="F85" s="24" t="inlineStr">
        <is>
          <t>IDM/제조/메모리</t>
        </is>
      </c>
      <c r="G85" s="24" t="inlineStr">
        <is>
          <t>IDM/제조/메모리</t>
        </is>
      </c>
      <c r="H85" s="24" t="inlineStr">
        <is>
          <t>False</t>
        </is>
      </c>
      <c r="I85" s="24" t="inlineStr">
        <is>
          <t>True</t>
        </is>
      </c>
      <c r="J85" s="24" t="inlineStr">
        <is>
          <t>OK</t>
        </is>
      </c>
      <c r="K85" s="24" t="inlineStr">
        <is>
          <t>데이터 사용 가능</t>
        </is>
      </c>
      <c r="L85" s="24" t="inlineStr">
        <is>
          <t>LOW</t>
        </is>
      </c>
      <c r="M85" s="24" t="inlineStr">
        <is>
          <t>LOW</t>
        </is>
      </c>
      <c r="N85" s="24" t="inlineStr">
        <is>
          <t>0.5321666666666667</t>
        </is>
      </c>
      <c r="O85" s="24" t="inlineStr">
        <is>
          <t>FAIR</t>
        </is>
      </c>
      <c r="P85" s="24" t="inlineStr">
        <is>
          <t>FAIR</t>
        </is>
      </c>
      <c r="Q85" s="24" t="inlineStr">
        <is>
          <t>ATTRACTIVE</t>
        </is>
      </c>
      <c r="R85" s="24" t="inlineStr">
        <is>
          <t>0.6425667923365267</t>
        </is>
      </c>
      <c r="S85" s="24" t="inlineStr">
        <is>
          <t>MEDIUM</t>
        </is>
      </c>
      <c r="T85" s="24" t="inlineStr">
        <is>
          <t>MEDIUM</t>
        </is>
      </c>
      <c r="U85" s="24" t="inlineStr">
        <is>
          <t>0.0</t>
        </is>
      </c>
      <c r="V85" s="24" t="inlineStr">
        <is>
          <t>LOW_RISK</t>
        </is>
      </c>
      <c r="W85" s="24" t="inlineStr">
        <is>
          <t>저위험</t>
        </is>
      </c>
      <c r="X85" s="24" t="inlineStr">
        <is>
          <t>LOW_RISK</t>
        </is>
      </c>
      <c r="Y85" s="24" t="inlineStr">
        <is>
          <t>0.9093779024453453</t>
        </is>
      </c>
      <c r="Z85" s="24" t="inlineStr">
        <is>
          <t>HIGH</t>
        </is>
      </c>
      <c r="AA85" s="24" t="inlineStr">
        <is>
          <t>HIGH</t>
        </is>
      </c>
      <c r="AB85" s="24" t="inlineStr">
        <is>
          <t>0.030620686282363033</t>
        </is>
      </c>
      <c r="AC85" s="24" t="inlineStr">
        <is>
          <t>False</t>
        </is>
      </c>
      <c r="AD85" s="24" t="inlineStr">
        <is>
          <t>False</t>
        </is>
      </c>
      <c r="AE85" s="24" t="inlineStr">
        <is>
          <t>valuation_credit_ml_overlay_candidate.csv</t>
        </is>
      </c>
      <c r="AF85" s="24" t="inlineStr">
        <is>
          <t>208개 반도체 reference universe. Valuation Agent가 자체 intake 폴더로 복제해 Peer/ML/대시보드 비교에 사용.</t>
        </is>
      </c>
    </row>
    <row r="86" ht="24" customHeight="1">
      <c r="A86" s="29" t="inlineStr">
        <is>
          <t>26</t>
        </is>
      </c>
      <c r="B86" s="29" t="inlineStr">
        <is>
          <t>해당 없음</t>
        </is>
      </c>
      <c r="C86" s="29" t="inlineStr">
        <is>
          <t>웰킵스하이텍</t>
        </is>
      </c>
      <c r="D86" s="29" t="inlineStr">
        <is>
          <t>043590</t>
        </is>
      </c>
      <c r="E86" s="29" t="inlineStr">
        <is>
          <t>KOSDAQ</t>
        </is>
      </c>
      <c r="F86" s="29" t="inlineStr">
        <is>
          <t>IDM/제조/메모리</t>
        </is>
      </c>
      <c r="G86" s="29" t="inlineStr">
        <is>
          <t>IDM/제조/메모리</t>
        </is>
      </c>
      <c r="H86" s="29" t="inlineStr">
        <is>
          <t>False</t>
        </is>
      </c>
      <c r="I86" s="29" t="inlineStr">
        <is>
          <t>True</t>
        </is>
      </c>
      <c r="J86" s="29" t="inlineStr">
        <is>
          <t>OK</t>
        </is>
      </c>
      <c r="K86" s="29" t="inlineStr">
        <is>
          <t>데이터 사용 가능</t>
        </is>
      </c>
      <c r="L86" s="29" t="inlineStr">
        <is>
          <t>LOW</t>
        </is>
      </c>
      <c r="M86" s="29" t="inlineStr">
        <is>
          <t>LOW</t>
        </is>
      </c>
      <c r="N86" s="29" t="inlineStr">
        <is>
          <t>0.5086666666666667</t>
        </is>
      </c>
      <c r="O86" s="29" t="inlineStr">
        <is>
          <t>FAIR</t>
        </is>
      </c>
      <c r="P86" s="29" t="inlineStr">
        <is>
          <t>FAIR</t>
        </is>
      </c>
      <c r="Q86" s="29" t="inlineStr">
        <is>
          <t>FAIR</t>
        </is>
      </c>
      <c r="R86" s="29" t="inlineStr">
        <is>
          <t>0.7753200487478359</t>
        </is>
      </c>
      <c r="S86" s="29" t="inlineStr">
        <is>
          <t>HIGH</t>
        </is>
      </c>
      <c r="T86" s="29" t="inlineStr">
        <is>
          <t>HIGH</t>
        </is>
      </c>
      <c r="U86" s="29" t="inlineStr">
        <is>
          <t>0.7142857142857143</t>
        </is>
      </c>
      <c r="V86" s="29" t="inlineStr">
        <is>
          <t>HIGH_RISK</t>
        </is>
      </c>
      <c r="W86" s="29" t="inlineStr">
        <is>
          <t>고위험</t>
        </is>
      </c>
      <c r="X86" s="29" t="inlineStr">
        <is>
          <t>HIGH_RISK</t>
        </is>
      </c>
      <c r="Y86" s="29" t="inlineStr">
        <is>
          <t>0.947839296487721</t>
        </is>
      </c>
      <c r="Z86" s="29" t="inlineStr">
        <is>
          <t>HIGH</t>
        </is>
      </c>
      <c r="AA86" s="29" t="inlineStr">
        <is>
          <t>HIGH</t>
        </is>
      </c>
      <c r="AB86" s="29" t="inlineStr">
        <is>
          <t>0.081041930024575</t>
        </is>
      </c>
      <c r="AC86" s="29" t="inlineStr">
        <is>
          <t>False</t>
        </is>
      </c>
      <c r="AD86" s="29" t="inlineStr">
        <is>
          <t>False</t>
        </is>
      </c>
      <c r="AE86" s="29" t="inlineStr">
        <is>
          <t>valuation_credit_ml_overlay_candidate.csv</t>
        </is>
      </c>
      <c r="AF86" s="29" t="inlineStr">
        <is>
          <t>208개 반도체 reference universe. Valuation Agent가 자체 intake 폴더로 복제해 Peer/ML/대시보드 비교에 사용.</t>
        </is>
      </c>
    </row>
    <row r="87" ht="24" customHeight="1">
      <c r="A87" s="24" t="inlineStr">
        <is>
          <t>35</t>
        </is>
      </c>
      <c r="B87" s="24" t="inlineStr">
        <is>
          <t>해당 없음</t>
        </is>
      </c>
      <c r="C87" s="24" t="inlineStr">
        <is>
          <t>테크엘</t>
        </is>
      </c>
      <c r="D87" s="24" t="inlineStr">
        <is>
          <t>064520</t>
        </is>
      </c>
      <c r="E87" s="24" t="inlineStr">
        <is>
          <t>KOSDAQ</t>
        </is>
      </c>
      <c r="F87" s="24" t="inlineStr">
        <is>
          <t>IDM/제조/메모리</t>
        </is>
      </c>
      <c r="G87" s="24" t="inlineStr">
        <is>
          <t>IDM/제조/메모리</t>
        </is>
      </c>
      <c r="H87" s="24" t="inlineStr">
        <is>
          <t>False</t>
        </is>
      </c>
      <c r="I87" s="24" t="inlineStr">
        <is>
          <t>True</t>
        </is>
      </c>
      <c r="J87" s="24" t="inlineStr">
        <is>
          <t>OK</t>
        </is>
      </c>
      <c r="K87" s="24" t="inlineStr">
        <is>
          <t>데이터 사용 가능</t>
        </is>
      </c>
      <c r="L87" s="24" t="inlineStr">
        <is>
          <t>LOW</t>
        </is>
      </c>
      <c r="M87" s="24" t="inlineStr">
        <is>
          <t>LOW</t>
        </is>
      </c>
      <c r="N87" s="24" t="inlineStr">
        <is>
          <t>0.4756666666666667</t>
        </is>
      </c>
      <c r="O87" s="24" t="inlineStr">
        <is>
          <t>FAIR</t>
        </is>
      </c>
      <c r="P87" s="24" t="inlineStr">
        <is>
          <t>FAIR</t>
        </is>
      </c>
      <c r="Q87" s="24" t="inlineStr">
        <is>
          <t>FAIR</t>
        </is>
      </c>
      <c r="R87" s="24" t="inlineStr">
        <is>
          <t>0.7806095936743286</t>
        </is>
      </c>
      <c r="S87" s="24" t="inlineStr">
        <is>
          <t>HIGH</t>
        </is>
      </c>
      <c r="T87" s="24" t="inlineStr">
        <is>
          <t>HIGH</t>
        </is>
      </c>
      <c r="U87" s="24" t="inlineStr">
        <is>
          <t>0.5</t>
        </is>
      </c>
      <c r="V87" s="24" t="inlineStr">
        <is>
          <t>HIGH_RISK</t>
        </is>
      </c>
      <c r="W87" s="24" t="inlineStr">
        <is>
          <t>고위험</t>
        </is>
      </c>
      <c r="X87" s="24" t="inlineStr">
        <is>
          <t>HIGH_RISK</t>
        </is>
      </c>
      <c r="Y87" s="24" t="inlineStr">
        <is>
          <t>0.8561648968032103</t>
        </is>
      </c>
      <c r="Z87" s="24" t="inlineStr">
        <is>
          <t>HIGH</t>
        </is>
      </c>
      <c r="AA87" s="24" t="inlineStr">
        <is>
          <t>HIGH</t>
        </is>
      </c>
      <c r="AB87" s="24" t="inlineStr">
        <is>
          <t>0.5330742789427354</t>
        </is>
      </c>
      <c r="AC87" s="24" t="inlineStr">
        <is>
          <t>True</t>
        </is>
      </c>
      <c r="AD87" s="24" t="inlineStr">
        <is>
          <t>True</t>
        </is>
      </c>
      <c r="AE87" s="24" t="inlineStr">
        <is>
          <t>valuation_credit_ml_overlay_candidate.csv</t>
        </is>
      </c>
      <c r="AF87" s="24" t="inlineStr">
        <is>
          <t>208개 반도체 reference universe. Valuation Agent가 자체 intake 폴더로 복제해 Peer/ML/대시보드 비교에 사용.</t>
        </is>
      </c>
    </row>
    <row r="88" ht="24" customHeight="1">
      <c r="A88" s="29" t="inlineStr">
        <is>
          <t>14</t>
        </is>
      </c>
      <c r="B88" s="29" t="inlineStr">
        <is>
          <t>해당 없음</t>
        </is>
      </c>
      <c r="C88" s="29" t="inlineStr">
        <is>
          <t>서울반도체</t>
        </is>
      </c>
      <c r="D88" s="29" t="inlineStr">
        <is>
          <t>046890</t>
        </is>
      </c>
      <c r="E88" s="29" t="inlineStr">
        <is>
          <t>KOSDAQ GLOBAL</t>
        </is>
      </c>
      <c r="F88" s="29" t="inlineStr">
        <is>
          <t>IDM/제조/메모리</t>
        </is>
      </c>
      <c r="G88" s="29" t="inlineStr">
        <is>
          <t>IDM/제조/메모리</t>
        </is>
      </c>
      <c r="H88" s="29" t="inlineStr">
        <is>
          <t>False</t>
        </is>
      </c>
      <c r="I88" s="29" t="inlineStr">
        <is>
          <t>True</t>
        </is>
      </c>
      <c r="J88" s="29" t="inlineStr">
        <is>
          <t>OK</t>
        </is>
      </c>
      <c r="K88" s="29" t="inlineStr">
        <is>
          <t>데이터 사용 가능</t>
        </is>
      </c>
      <c r="L88" s="29" t="inlineStr">
        <is>
          <t>LOW</t>
        </is>
      </c>
      <c r="M88" s="29" t="inlineStr">
        <is>
          <t>LOW</t>
        </is>
      </c>
      <c r="N88" s="29" t="inlineStr">
        <is>
          <t>0.4713333333333333</t>
        </is>
      </c>
      <c r="O88" s="29" t="inlineStr">
        <is>
          <t>FAIR</t>
        </is>
      </c>
      <c r="P88" s="29" t="inlineStr">
        <is>
          <t>FAIR</t>
        </is>
      </c>
      <c r="Q88" s="29" t="inlineStr">
        <is>
          <t>FAIR</t>
        </is>
      </c>
      <c r="R88" s="29" t="inlineStr">
        <is>
          <t>0.8223266790603506</t>
        </is>
      </c>
      <c r="S88" s="29" t="inlineStr">
        <is>
          <t>HIGH</t>
        </is>
      </c>
      <c r="T88" s="29" t="inlineStr">
        <is>
          <t>HIGH</t>
        </is>
      </c>
      <c r="U88" s="29" t="inlineStr">
        <is>
          <t>0.4285714285714285</t>
        </is>
      </c>
      <c r="V88" s="29" t="inlineStr">
        <is>
          <t>HIGH_RISK</t>
        </is>
      </c>
      <c r="W88" s="29" t="inlineStr">
        <is>
          <t>고위험</t>
        </is>
      </c>
      <c r="X88" s="29" t="inlineStr">
        <is>
          <t>HIGH_RISK</t>
        </is>
      </c>
      <c r="Y88" s="29" t="inlineStr">
        <is>
          <t>0.4638497062404094</t>
        </is>
      </c>
      <c r="Z88" s="29" t="inlineStr">
        <is>
          <t>LOW</t>
        </is>
      </c>
      <c r="AA88" s="29" t="inlineStr">
        <is>
          <t>LOW</t>
        </is>
      </c>
      <c r="AB88" s="29" t="inlineStr">
        <is>
          <t>0.03475805140959721</t>
        </is>
      </c>
      <c r="AC88" s="29" t="inlineStr">
        <is>
          <t>False</t>
        </is>
      </c>
      <c r="AD88" s="29" t="inlineStr">
        <is>
          <t>True</t>
        </is>
      </c>
      <c r="AE88" s="29" t="inlineStr">
        <is>
          <t>valuation_credit_ml_overlay_candidate.csv</t>
        </is>
      </c>
      <c r="AF88" s="29" t="inlineStr">
        <is>
          <t>208개 반도체 reference universe. Valuation Agent가 자체 intake 폴더로 복제해 Peer/ML/대시보드 비교에 사용.</t>
        </is>
      </c>
    </row>
    <row r="89" ht="24" customHeight="1">
      <c r="A89" s="24" t="inlineStr">
        <is>
          <t>2</t>
        </is>
      </c>
      <c r="B89" s="24" t="inlineStr">
        <is>
          <t>해당 없음</t>
        </is>
      </c>
      <c r="C89" s="24" t="inlineStr">
        <is>
          <t>HD현대에너지솔루션</t>
        </is>
      </c>
      <c r="D89" s="24" t="inlineStr">
        <is>
          <t>322000</t>
        </is>
      </c>
      <c r="E89" s="24" t="inlineStr">
        <is>
          <t>KOSPI</t>
        </is>
      </c>
      <c r="F89" s="24" t="inlineStr">
        <is>
          <t>IDM/제조/메모리</t>
        </is>
      </c>
      <c r="G89" s="24" t="inlineStr">
        <is>
          <t>IDM/제조/메모리</t>
        </is>
      </c>
      <c r="H89" s="24" t="inlineStr">
        <is>
          <t>False</t>
        </is>
      </c>
      <c r="I89" s="24" t="inlineStr">
        <is>
          <t>True</t>
        </is>
      </c>
      <c r="J89" s="24" t="inlineStr">
        <is>
          <t>OK</t>
        </is>
      </c>
      <c r="K89" s="24" t="inlineStr">
        <is>
          <t>데이터 사용 가능</t>
        </is>
      </c>
      <c r="L89" s="24" t="inlineStr">
        <is>
          <t>LOW</t>
        </is>
      </c>
      <c r="M89" s="24" t="inlineStr">
        <is>
          <t>LOW</t>
        </is>
      </c>
      <c r="N89" s="24" t="inlineStr">
        <is>
          <t>0.465</t>
        </is>
      </c>
      <c r="O89" s="24" t="inlineStr">
        <is>
          <t>FAIR</t>
        </is>
      </c>
      <c r="P89" s="24" t="inlineStr">
        <is>
          <t>FAIR</t>
        </is>
      </c>
      <c r="Q89" s="24" t="inlineStr">
        <is>
          <t>FAIR</t>
        </is>
      </c>
      <c r="R89" s="24" t="inlineStr">
        <is>
          <t>0.6226975287022534</t>
        </is>
      </c>
      <c r="S89" s="24" t="inlineStr">
        <is>
          <t>MEDIUM</t>
        </is>
      </c>
      <c r="T89" s="24" t="inlineStr">
        <is>
          <t>MEDIUM</t>
        </is>
      </c>
      <c r="U89" s="24" t="inlineStr">
        <is>
          <t>0.1428571428571428</t>
        </is>
      </c>
      <c r="V89" s="24" t="inlineStr">
        <is>
          <t>LOW_RISK</t>
        </is>
      </c>
      <c r="W89" s="24" t="inlineStr">
        <is>
          <t>저위험</t>
        </is>
      </c>
      <c r="X89" s="24" t="inlineStr">
        <is>
          <t>LOW_RISK</t>
        </is>
      </c>
      <c r="Y89" s="24" t="inlineStr">
        <is>
          <t>0.7991918320073205</t>
        </is>
      </c>
      <c r="Z89" s="24" t="inlineStr">
        <is>
          <t>HIGH</t>
        </is>
      </c>
      <c r="AA89" s="24" t="inlineStr">
        <is>
          <t>HIGH</t>
        </is>
      </c>
      <c r="AB89" s="24" t="inlineStr">
        <is>
          <t>0.09437249653360377</t>
        </is>
      </c>
      <c r="AC89" s="24" t="inlineStr">
        <is>
          <t>False</t>
        </is>
      </c>
      <c r="AD89" s="24" t="inlineStr">
        <is>
          <t>False</t>
        </is>
      </c>
      <c r="AE89" s="24" t="inlineStr">
        <is>
          <t>valuation_credit_ml_overlay_candidate.csv</t>
        </is>
      </c>
      <c r="AF89" s="24" t="inlineStr">
        <is>
          <t>208개 반도체 reference universe. Valuation Agent가 자체 intake 폴더로 복제해 Peer/ML/대시보드 비교에 사용.</t>
        </is>
      </c>
    </row>
    <row r="90" ht="24" customHeight="1">
      <c r="A90" s="29" t="inlineStr">
        <is>
          <t>25</t>
        </is>
      </c>
      <c r="B90" s="29" t="inlineStr">
        <is>
          <t>해당 없음</t>
        </is>
      </c>
      <c r="C90" s="29" t="inlineStr">
        <is>
          <t>와이투솔루션</t>
        </is>
      </c>
      <c r="D90" s="29" t="inlineStr">
        <is>
          <t>011690</t>
        </is>
      </c>
      <c r="E90" s="29" t="inlineStr">
        <is>
          <t>KOSPI</t>
        </is>
      </c>
      <c r="F90" s="29" t="inlineStr">
        <is>
          <t>IDM/제조/메모리</t>
        </is>
      </c>
      <c r="G90" s="29" t="inlineStr">
        <is>
          <t>IDM/제조/메모리</t>
        </is>
      </c>
      <c r="H90" s="29" t="inlineStr">
        <is>
          <t>False</t>
        </is>
      </c>
      <c r="I90" s="29" t="inlineStr">
        <is>
          <t>True</t>
        </is>
      </c>
      <c r="J90" s="29" t="inlineStr">
        <is>
          <t>OK</t>
        </is>
      </c>
      <c r="K90" s="29" t="inlineStr">
        <is>
          <t>데이터 사용 가능</t>
        </is>
      </c>
      <c r="L90" s="29" t="inlineStr">
        <is>
          <t>LOW</t>
        </is>
      </c>
      <c r="M90" s="29" t="inlineStr">
        <is>
          <t>LOW</t>
        </is>
      </c>
      <c r="N90" s="29" t="inlineStr">
        <is>
          <t>0.4601666666666666</t>
        </is>
      </c>
      <c r="O90" s="29" t="inlineStr">
        <is>
          <t>FAIR</t>
        </is>
      </c>
      <c r="P90" s="29" t="inlineStr">
        <is>
          <t>FAIR</t>
        </is>
      </c>
      <c r="Q90" s="29" t="inlineStr">
        <is>
          <t>FAIR</t>
        </is>
      </c>
      <c r="R90" s="29" t="inlineStr">
        <is>
          <t>0.7379153959384467</t>
        </is>
      </c>
      <c r="S90" s="29" t="inlineStr">
        <is>
          <t>HIGH</t>
        </is>
      </c>
      <c r="T90" s="29" t="inlineStr">
        <is>
          <t>HIGH</t>
        </is>
      </c>
      <c r="U90" s="29" t="inlineStr">
        <is>
          <t>0.5714285714285714</t>
        </is>
      </c>
      <c r="V90" s="29" t="inlineStr">
        <is>
          <t>HIGH_RISK</t>
        </is>
      </c>
      <c r="W90" s="29" t="inlineStr">
        <is>
          <t>고위험</t>
        </is>
      </c>
      <c r="X90" s="29" t="inlineStr">
        <is>
          <t>HIGH_RISK</t>
        </is>
      </c>
      <c r="Y90" s="29" t="inlineStr">
        <is>
          <t>0.8423633310679534</t>
        </is>
      </c>
      <c r="Z90" s="29" t="inlineStr">
        <is>
          <t>HIGH</t>
        </is>
      </c>
      <c r="AA90" s="29" t="inlineStr">
        <is>
          <t>HIGH</t>
        </is>
      </c>
      <c r="AB90" s="29" t="inlineStr">
        <is>
          <t>0.03670855345736708</t>
        </is>
      </c>
      <c r="AC90" s="29" t="inlineStr">
        <is>
          <t>False</t>
        </is>
      </c>
      <c r="AD90" s="29" t="inlineStr">
        <is>
          <t>False</t>
        </is>
      </c>
      <c r="AE90" s="29" t="inlineStr">
        <is>
          <t>valuation_credit_ml_overlay_candidate.csv</t>
        </is>
      </c>
      <c r="AF90" s="29" t="inlineStr">
        <is>
          <t>208개 반도체 reference universe. Valuation Agent가 자체 intake 폴더로 복제해 Peer/ML/대시보드 비교에 사용.</t>
        </is>
      </c>
    </row>
    <row r="91" ht="24" customHeight="1">
      <c r="A91" s="24" t="inlineStr">
        <is>
          <t>16</t>
        </is>
      </c>
      <c r="B91" s="24" t="inlineStr">
        <is>
          <t>해당 없음</t>
        </is>
      </c>
      <c r="C91" s="24" t="inlineStr">
        <is>
          <t>신성이엔지</t>
        </is>
      </c>
      <c r="D91" s="24" t="inlineStr">
        <is>
          <t>011930</t>
        </is>
      </c>
      <c r="E91" s="24" t="inlineStr">
        <is>
          <t>KOSPI</t>
        </is>
      </c>
      <c r="F91" s="24" t="inlineStr">
        <is>
          <t>IDM/제조/메모리</t>
        </is>
      </c>
      <c r="G91" s="24" t="inlineStr">
        <is>
          <t>IDM/제조/메모리</t>
        </is>
      </c>
      <c r="H91" s="24" t="inlineStr">
        <is>
          <t>False</t>
        </is>
      </c>
      <c r="I91" s="24" t="inlineStr">
        <is>
          <t>True</t>
        </is>
      </c>
      <c r="J91" s="24" t="inlineStr">
        <is>
          <t>OK</t>
        </is>
      </c>
      <c r="K91" s="24" t="inlineStr">
        <is>
          <t>데이터 사용 가능</t>
        </is>
      </c>
      <c r="L91" s="24" t="inlineStr">
        <is>
          <t>LOW</t>
        </is>
      </c>
      <c r="M91" s="24" t="inlineStr">
        <is>
          <t>LOW</t>
        </is>
      </c>
      <c r="N91" s="24" t="inlineStr">
        <is>
          <t>0.4551666666666667</t>
        </is>
      </c>
      <c r="O91" s="24" t="inlineStr">
        <is>
          <t>FAIR</t>
        </is>
      </c>
      <c r="P91" s="24" t="inlineStr">
        <is>
          <t>FAIR</t>
        </is>
      </c>
      <c r="Q91" s="24" t="inlineStr">
        <is>
          <t>FAIR</t>
        </is>
      </c>
      <c r="R91" s="24" t="inlineStr">
        <is>
          <t>0.7610157176994289</t>
        </is>
      </c>
      <c r="S91" s="24" t="inlineStr">
        <is>
          <t>HIGH</t>
        </is>
      </c>
      <c r="T91" s="24" t="inlineStr">
        <is>
          <t>HIGH</t>
        </is>
      </c>
      <c r="U91" s="24" t="inlineStr">
        <is>
          <t>0.5714285714285714</t>
        </is>
      </c>
      <c r="V91" s="24" t="inlineStr">
        <is>
          <t>HIGH_RISK</t>
        </is>
      </c>
      <c r="W91" s="24" t="inlineStr">
        <is>
          <t>고위험</t>
        </is>
      </c>
      <c r="X91" s="24" t="inlineStr">
        <is>
          <t>HIGH_RISK</t>
        </is>
      </c>
      <c r="Y91" s="24" t="inlineStr">
        <is>
          <t>0.8294308064443926</t>
        </is>
      </c>
      <c r="Z91" s="24" t="inlineStr">
        <is>
          <t>HIGH</t>
        </is>
      </c>
      <c r="AA91" s="24" t="inlineStr">
        <is>
          <t>HIGH</t>
        </is>
      </c>
      <c r="AB91" s="24" t="inlineStr">
        <is>
          <t>0.06151448502214275</t>
        </is>
      </c>
      <c r="AC91" s="24" t="inlineStr">
        <is>
          <t>False</t>
        </is>
      </c>
      <c r="AD91" s="24" t="inlineStr">
        <is>
          <t>False</t>
        </is>
      </c>
      <c r="AE91" s="24" t="inlineStr">
        <is>
          <t>valuation_credit_ml_overlay_candidate.csv</t>
        </is>
      </c>
      <c r="AF91" s="24" t="inlineStr">
        <is>
          <t>208개 반도체 reference universe. Valuation Agent가 자체 intake 폴더로 복제해 Peer/ML/대시보드 비교에 사용.</t>
        </is>
      </c>
    </row>
    <row r="92" ht="24" customHeight="1">
      <c r="A92" s="29" t="inlineStr">
        <is>
          <t>3</t>
        </is>
      </c>
      <c r="B92" s="29" t="inlineStr">
        <is>
          <t>해당 없음</t>
        </is>
      </c>
      <c r="C92" s="29" t="inlineStr">
        <is>
          <t>KEC</t>
        </is>
      </c>
      <c r="D92" s="29" t="inlineStr">
        <is>
          <t>092220</t>
        </is>
      </c>
      <c r="E92" s="29" t="inlineStr">
        <is>
          <t>KOSPI</t>
        </is>
      </c>
      <c r="F92" s="29" t="inlineStr">
        <is>
          <t>IDM/제조/메모리</t>
        </is>
      </c>
      <c r="G92" s="29" t="inlineStr">
        <is>
          <t>IDM/제조/메모리</t>
        </is>
      </c>
      <c r="H92" s="29" t="inlineStr">
        <is>
          <t>False</t>
        </is>
      </c>
      <c r="I92" s="29" t="inlineStr">
        <is>
          <t>True</t>
        </is>
      </c>
      <c r="J92" s="29" t="inlineStr">
        <is>
          <t>OK</t>
        </is>
      </c>
      <c r="K92" s="29" t="inlineStr">
        <is>
          <t>데이터 사용 가능</t>
        </is>
      </c>
      <c r="L92" s="29" t="inlineStr">
        <is>
          <t>LOW</t>
        </is>
      </c>
      <c r="M92" s="29" t="inlineStr">
        <is>
          <t>LOW</t>
        </is>
      </c>
      <c r="N92" s="29" t="inlineStr">
        <is>
          <t>0.4550000000000001</t>
        </is>
      </c>
      <c r="O92" s="29" t="inlineStr">
        <is>
          <t>FAIR</t>
        </is>
      </c>
      <c r="P92" s="29" t="inlineStr">
        <is>
          <t>FAIR</t>
        </is>
      </c>
      <c r="Q92" s="29" t="inlineStr">
        <is>
          <t>FAIR</t>
        </is>
      </c>
      <c r="R92" s="29" t="inlineStr">
        <is>
          <t>0.7937660338126779</t>
        </is>
      </c>
      <c r="S92" s="29" t="inlineStr">
        <is>
          <t>HIGH</t>
        </is>
      </c>
      <c r="T92" s="29" t="inlineStr">
        <is>
          <t>HIGH</t>
        </is>
      </c>
      <c r="U92" s="29" t="inlineStr">
        <is>
          <t>0.5</t>
        </is>
      </c>
      <c r="V92" s="29" t="inlineStr">
        <is>
          <t>HIGH_RISK</t>
        </is>
      </c>
      <c r="W92" s="29" t="inlineStr">
        <is>
          <t>고위험</t>
        </is>
      </c>
      <c r="X92" s="29" t="inlineStr">
        <is>
          <t>HIGH_RISK</t>
        </is>
      </c>
      <c r="Y92" s="29" t="inlineStr">
        <is>
          <t>0.7303610104178266</t>
        </is>
      </c>
      <c r="Z92" s="29" t="inlineStr">
        <is>
          <t>HIGH</t>
        </is>
      </c>
      <c r="AA92" s="29" t="inlineStr">
        <is>
          <t>HIGH</t>
        </is>
      </c>
      <c r="AB92" s="29" t="inlineStr">
        <is>
          <t>0.053989845114113894</t>
        </is>
      </c>
      <c r="AC92" s="29" t="inlineStr">
        <is>
          <t>False</t>
        </is>
      </c>
      <c r="AD92" s="29" t="inlineStr">
        <is>
          <t>False</t>
        </is>
      </c>
      <c r="AE92" s="29" t="inlineStr">
        <is>
          <t>valuation_credit_ml_overlay_candidate.csv</t>
        </is>
      </c>
      <c r="AF92" s="29" t="inlineStr">
        <is>
          <t>208개 반도체 reference universe. Valuation Agent가 자체 intake 폴더로 복제해 Peer/ML/대시보드 비교에 사용.</t>
        </is>
      </c>
    </row>
    <row r="93" ht="24" customHeight="1">
      <c r="A93" s="24" t="inlineStr">
        <is>
          <t>28</t>
        </is>
      </c>
      <c r="B93" s="24" t="inlineStr">
        <is>
          <t>해당 없음</t>
        </is>
      </c>
      <c r="C93" s="24" t="inlineStr">
        <is>
          <t>일진디스플</t>
        </is>
      </c>
      <c r="D93" s="24" t="inlineStr">
        <is>
          <t>020760</t>
        </is>
      </c>
      <c r="E93" s="24" t="inlineStr">
        <is>
          <t>KOSPI</t>
        </is>
      </c>
      <c r="F93" s="24" t="inlineStr">
        <is>
          <t>IDM/제조/메모리</t>
        </is>
      </c>
      <c r="G93" s="24" t="inlineStr">
        <is>
          <t>IDM/제조/메모리</t>
        </is>
      </c>
      <c r="H93" s="24" t="inlineStr">
        <is>
          <t>False</t>
        </is>
      </c>
      <c r="I93" s="24" t="inlineStr">
        <is>
          <t>True</t>
        </is>
      </c>
      <c r="J93" s="24" t="inlineStr">
        <is>
          <t>OK</t>
        </is>
      </c>
      <c r="K93" s="24" t="inlineStr">
        <is>
          <t>데이터 사용 가능</t>
        </is>
      </c>
      <c r="L93" s="24" t="inlineStr">
        <is>
          <t>LOW</t>
        </is>
      </c>
      <c r="M93" s="24" t="inlineStr">
        <is>
          <t>LOW</t>
        </is>
      </c>
      <c r="N93" s="24" t="inlineStr">
        <is>
          <t>0.4335</t>
        </is>
      </c>
      <c r="O93" s="24" t="inlineStr">
        <is>
          <t>FAIR</t>
        </is>
      </c>
      <c r="P93" s="24" t="inlineStr">
        <is>
          <t>FAIR</t>
        </is>
      </c>
      <c r="Q93" s="24" t="inlineStr">
        <is>
          <t>FAIR</t>
        </is>
      </c>
      <c r="R93" s="24" t="inlineStr">
        <is>
          <t>0.7887205359697603</t>
        </is>
      </c>
      <c r="S93" s="24" t="inlineStr">
        <is>
          <t>HIGH</t>
        </is>
      </c>
      <c r="T93" s="24" t="inlineStr">
        <is>
          <t>HIGH</t>
        </is>
      </c>
      <c r="U93" s="24" t="inlineStr">
        <is>
          <t>0.6428571428571429</t>
        </is>
      </c>
      <c r="V93" s="24" t="inlineStr">
        <is>
          <t>HIGH_RISK</t>
        </is>
      </c>
      <c r="W93" s="24" t="inlineStr">
        <is>
          <t>고위험</t>
        </is>
      </c>
      <c r="X93" s="24" t="inlineStr">
        <is>
          <t>HIGH_RISK</t>
        </is>
      </c>
      <c r="Y93" s="24" t="inlineStr">
        <is>
          <t>0.8165793827285804</t>
        </is>
      </c>
      <c r="Z93" s="24" t="inlineStr">
        <is>
          <t>HIGH</t>
        </is>
      </c>
      <c r="AA93" s="24" t="inlineStr">
        <is>
          <t>HIGH</t>
        </is>
      </c>
      <c r="AB93" s="24" t="inlineStr">
        <is>
          <t>0.21528045597611217</t>
        </is>
      </c>
      <c r="AC93" s="24" t="inlineStr">
        <is>
          <t>False</t>
        </is>
      </c>
      <c r="AD93" s="24" t="inlineStr">
        <is>
          <t>False</t>
        </is>
      </c>
      <c r="AE93" s="24" t="inlineStr">
        <is>
          <t>valuation_credit_ml_overlay_candidate.csv</t>
        </is>
      </c>
      <c r="AF93" s="24" t="inlineStr">
        <is>
          <t>208개 반도체 reference universe. Valuation Agent가 자체 intake 폴더로 복제해 Peer/ML/대시보드 비교에 사용.</t>
        </is>
      </c>
    </row>
    <row r="94" ht="24" customHeight="1">
      <c r="A94" s="29" t="inlineStr">
        <is>
          <t>7</t>
        </is>
      </c>
      <c r="B94" s="29" t="inlineStr">
        <is>
          <t>해당 없음</t>
        </is>
      </c>
      <c r="C94" s="29" t="inlineStr">
        <is>
          <t>덕산하이메탈</t>
        </is>
      </c>
      <c r="D94" s="29" t="inlineStr">
        <is>
          <t>077360</t>
        </is>
      </c>
      <c r="E94" s="29" t="inlineStr">
        <is>
          <t>KOSDAQ</t>
        </is>
      </c>
      <c r="F94" s="29" t="inlineStr">
        <is>
          <t>IDM/제조/메모리</t>
        </is>
      </c>
      <c r="G94" s="29" t="inlineStr">
        <is>
          <t>IDM/제조/메모리</t>
        </is>
      </c>
      <c r="H94" s="29" t="inlineStr">
        <is>
          <t>False</t>
        </is>
      </c>
      <c r="I94" s="29" t="inlineStr">
        <is>
          <t>True</t>
        </is>
      </c>
      <c r="J94" s="29" t="inlineStr">
        <is>
          <t>OK</t>
        </is>
      </c>
      <c r="K94" s="29" t="inlineStr">
        <is>
          <t>데이터 사용 가능</t>
        </is>
      </c>
      <c r="L94" s="29" t="inlineStr">
        <is>
          <t>LOW</t>
        </is>
      </c>
      <c r="M94" s="29" t="inlineStr">
        <is>
          <t>LOW</t>
        </is>
      </c>
      <c r="N94" s="29" t="inlineStr">
        <is>
          <t>0.4333333333333333</t>
        </is>
      </c>
      <c r="O94" s="29" t="inlineStr">
        <is>
          <t>FAIR</t>
        </is>
      </c>
      <c r="P94" s="29" t="inlineStr">
        <is>
          <t>FAIR</t>
        </is>
      </c>
      <c r="Q94" s="29" t="inlineStr">
        <is>
          <t>FAIR</t>
        </is>
      </c>
      <c r="R94" s="29" t="inlineStr">
        <is>
          <t>0.6698541971057747</t>
        </is>
      </c>
      <c r="S94" s="29" t="inlineStr">
        <is>
          <t>MEDIUM</t>
        </is>
      </c>
      <c r="T94" s="29" t="inlineStr">
        <is>
          <t>MEDIUM</t>
        </is>
      </c>
      <c r="U94" s="29" t="inlineStr">
        <is>
          <t>0.2857142857142857</t>
        </is>
      </c>
      <c r="V94" s="29" t="inlineStr">
        <is>
          <t>MEDIUM_RISK</t>
        </is>
      </c>
      <c r="W94" s="29" t="inlineStr">
        <is>
          <t>중위험</t>
        </is>
      </c>
      <c r="X94" s="29" t="inlineStr">
        <is>
          <t>MEDIUM_RISK</t>
        </is>
      </c>
      <c r="Y94" s="29" t="inlineStr">
        <is>
          <t>0.6576042698954024</t>
        </is>
      </c>
      <c r="Z94" s="29" t="inlineStr">
        <is>
          <t>MEDIUM</t>
        </is>
      </c>
      <c r="AA94" s="29" t="inlineStr">
        <is>
          <t>MEDIUM</t>
        </is>
      </c>
      <c r="AB94" s="29" t="inlineStr">
        <is>
          <t>0.07260471392088348</t>
        </is>
      </c>
      <c r="AC94" s="29" t="inlineStr">
        <is>
          <t>False</t>
        </is>
      </c>
      <c r="AD94" s="29" t="inlineStr">
        <is>
          <t>False</t>
        </is>
      </c>
      <c r="AE94" s="29" t="inlineStr">
        <is>
          <t>valuation_credit_ml_overlay_candidate.csv</t>
        </is>
      </c>
      <c r="AF94" s="29" t="inlineStr">
        <is>
          <t>208개 반도체 reference universe. Valuation Agent가 자체 intake 폴더로 복제해 Peer/ML/대시보드 비교에 사용.</t>
        </is>
      </c>
    </row>
    <row r="95" ht="24" customHeight="1">
      <c r="A95" s="24" t="inlineStr">
        <is>
          <t>20</t>
        </is>
      </c>
      <c r="B95" s="24" t="inlineStr">
        <is>
          <t>해당 없음</t>
        </is>
      </c>
      <c r="C95" s="24" t="inlineStr">
        <is>
          <t>에이디테크놀로지</t>
        </is>
      </c>
      <c r="D95" s="24" t="inlineStr">
        <is>
          <t>200710</t>
        </is>
      </c>
      <c r="E95" s="24" t="inlineStr">
        <is>
          <t>KOSDAQ</t>
        </is>
      </c>
      <c r="F95" s="24" t="inlineStr">
        <is>
          <t>IDM/제조/메모리</t>
        </is>
      </c>
      <c r="G95" s="24" t="inlineStr">
        <is>
          <t>IDM/제조/메모리</t>
        </is>
      </c>
      <c r="H95" s="24" t="inlineStr">
        <is>
          <t>False</t>
        </is>
      </c>
      <c r="I95" s="24" t="inlineStr">
        <is>
          <t>True</t>
        </is>
      </c>
      <c r="J95" s="24" t="inlineStr">
        <is>
          <t>OK</t>
        </is>
      </c>
      <c r="K95" s="24" t="inlineStr">
        <is>
          <t>데이터 사용 가능</t>
        </is>
      </c>
      <c r="L95" s="24" t="inlineStr">
        <is>
          <t>LOW</t>
        </is>
      </c>
      <c r="M95" s="24" t="inlineStr">
        <is>
          <t>LOW</t>
        </is>
      </c>
      <c r="N95" s="24" t="inlineStr">
        <is>
          <t>0.4271666666666666</t>
        </is>
      </c>
      <c r="O95" s="24" t="inlineStr">
        <is>
          <t>FAIR</t>
        </is>
      </c>
      <c r="P95" s="24" t="inlineStr">
        <is>
          <t>FAIR</t>
        </is>
      </c>
      <c r="Q95" s="24" t="inlineStr">
        <is>
          <t>FAIR</t>
        </is>
      </c>
      <c r="R95" s="24" t="inlineStr">
        <is>
          <t>0.6637416757093363</t>
        </is>
      </c>
      <c r="S95" s="24" t="inlineStr">
        <is>
          <t>MEDIUM</t>
        </is>
      </c>
      <c r="T95" s="24" t="inlineStr">
        <is>
          <t>MEDIUM</t>
        </is>
      </c>
      <c r="U95" s="24" t="inlineStr">
        <is>
          <t>0.2857142857142857</t>
        </is>
      </c>
      <c r="V95" s="24" t="inlineStr">
        <is>
          <t>MEDIUM_RISK</t>
        </is>
      </c>
      <c r="W95" s="24" t="inlineStr">
        <is>
          <t>중위험</t>
        </is>
      </c>
      <c r="X95" s="24" t="inlineStr">
        <is>
          <t>MEDIUM_RISK</t>
        </is>
      </c>
      <c r="Y95" s="24" t="inlineStr">
        <is>
          <t>0.4528354914042248</t>
        </is>
      </c>
      <c r="Z95" s="24" t="inlineStr">
        <is>
          <t>LOW</t>
        </is>
      </c>
      <c r="AA95" s="24" t="inlineStr">
        <is>
          <t>LOW</t>
        </is>
      </c>
      <c r="AB95" s="24" t="inlineStr">
        <is>
          <t>0.0588627097981607</t>
        </is>
      </c>
      <c r="AC95" s="24" t="inlineStr">
        <is>
          <t>False</t>
        </is>
      </c>
      <c r="AD95" s="24" t="inlineStr">
        <is>
          <t>True</t>
        </is>
      </c>
      <c r="AE95" s="24" t="inlineStr">
        <is>
          <t>valuation_credit_ml_overlay_candidate.csv</t>
        </is>
      </c>
      <c r="AF95" s="24" t="inlineStr">
        <is>
          <t>208개 반도체 reference universe. Valuation Agent가 자체 intake 폴더로 복제해 Peer/ML/대시보드 비교에 사용.</t>
        </is>
      </c>
    </row>
    <row r="96" ht="24" customHeight="1">
      <c r="A96" s="29" t="inlineStr">
        <is>
          <t>5</t>
        </is>
      </c>
      <c r="B96" s="29" t="inlineStr">
        <is>
          <t>해당 없음</t>
        </is>
      </c>
      <c r="C96" s="29" t="inlineStr">
        <is>
          <t>광전자</t>
        </is>
      </c>
      <c r="D96" s="29" t="inlineStr">
        <is>
          <t>017900</t>
        </is>
      </c>
      <c r="E96" s="29" t="inlineStr">
        <is>
          <t>KOSPI</t>
        </is>
      </c>
      <c r="F96" s="29" t="inlineStr">
        <is>
          <t>IDM/제조/메모리</t>
        </is>
      </c>
      <c r="G96" s="29" t="inlineStr">
        <is>
          <t>IDM/제조/메모리</t>
        </is>
      </c>
      <c r="H96" s="29" t="inlineStr">
        <is>
          <t>False</t>
        </is>
      </c>
      <c r="I96" s="29" t="inlineStr">
        <is>
          <t>True</t>
        </is>
      </c>
      <c r="J96" s="29" t="inlineStr">
        <is>
          <t>OK</t>
        </is>
      </c>
      <c r="K96" s="29" t="inlineStr">
        <is>
          <t>데이터 사용 가능</t>
        </is>
      </c>
      <c r="L96" s="29" t="inlineStr">
        <is>
          <t>LOW</t>
        </is>
      </c>
      <c r="M96" s="29" t="inlineStr">
        <is>
          <t>LOW</t>
        </is>
      </c>
      <c r="N96" s="29" t="inlineStr">
        <is>
          <t>0.4184166666666666</t>
        </is>
      </c>
      <c r="O96" s="29" t="inlineStr">
        <is>
          <t>EXPENSIVE</t>
        </is>
      </c>
      <c r="P96" s="29" t="inlineStr">
        <is>
          <t>EXPENSIVE</t>
        </is>
      </c>
      <c r="Q96" s="29" t="inlineStr">
        <is>
          <t>EXPENSIVE</t>
        </is>
      </c>
      <c r="R96" s="29" t="inlineStr">
        <is>
          <t>0.6817751829328556</t>
        </is>
      </c>
      <c r="S96" s="29" t="inlineStr">
        <is>
          <t>MEDIUM</t>
        </is>
      </c>
      <c r="T96" s="29" t="inlineStr">
        <is>
          <t>MEDIUM</t>
        </is>
      </c>
      <c r="U96" s="29" t="inlineStr">
        <is>
          <t>0.2142857142857142</t>
        </is>
      </c>
      <c r="V96" s="29" t="inlineStr">
        <is>
          <t>MEDIUM_RISK</t>
        </is>
      </c>
      <c r="W96" s="29" t="inlineStr">
        <is>
          <t>중위험</t>
        </is>
      </c>
      <c r="X96" s="29" t="inlineStr">
        <is>
          <t>LOW_RISK</t>
        </is>
      </c>
      <c r="Y96" s="29" t="inlineStr">
        <is>
          <t>0.4656539331033742</t>
        </is>
      </c>
      <c r="Z96" s="29" t="inlineStr">
        <is>
          <t>LOW</t>
        </is>
      </c>
      <c r="AA96" s="29" t="inlineStr">
        <is>
          <t>LOW</t>
        </is>
      </c>
      <c r="AB96" s="29" t="inlineStr">
        <is>
          <t>0.24789843408919227</t>
        </is>
      </c>
      <c r="AC96" s="29" t="inlineStr">
        <is>
          <t>True</t>
        </is>
      </c>
      <c r="AD96" s="29" t="inlineStr">
        <is>
          <t>True</t>
        </is>
      </c>
      <c r="AE96" s="29" t="inlineStr">
        <is>
          <t>valuation_credit_ml_overlay_candidate.csv</t>
        </is>
      </c>
      <c r="AF96" s="29" t="inlineStr">
        <is>
          <t>208개 반도체 reference universe. Valuation Agent가 자체 intake 폴더로 복제해 Peer/ML/대시보드 비교에 사용.</t>
        </is>
      </c>
    </row>
    <row r="97" ht="24" customHeight="1">
      <c r="A97" s="24" t="inlineStr">
        <is>
          <t>19</t>
        </is>
      </c>
      <c r="B97" s="24" t="inlineStr">
        <is>
          <t>해당 없음</t>
        </is>
      </c>
      <c r="C97" s="24" t="inlineStr">
        <is>
          <t>아진엑스텍</t>
        </is>
      </c>
      <c r="D97" s="24" t="inlineStr">
        <is>
          <t>059120</t>
        </is>
      </c>
      <c r="E97" s="24" t="inlineStr">
        <is>
          <t>KOSDAQ</t>
        </is>
      </c>
      <c r="F97" s="24" t="inlineStr">
        <is>
          <t>IDM/제조/메모리</t>
        </is>
      </c>
      <c r="G97" s="24" t="inlineStr">
        <is>
          <t>IDM/제조/메모리</t>
        </is>
      </c>
      <c r="H97" s="24" t="inlineStr">
        <is>
          <t>False</t>
        </is>
      </c>
      <c r="I97" s="24" t="inlineStr">
        <is>
          <t>True</t>
        </is>
      </c>
      <c r="J97" s="24" t="inlineStr">
        <is>
          <t>OK</t>
        </is>
      </c>
      <c r="K97" s="24" t="inlineStr">
        <is>
          <t>데이터 사용 가능</t>
        </is>
      </c>
      <c r="L97" s="24" t="inlineStr">
        <is>
          <t>LOW</t>
        </is>
      </c>
      <c r="M97" s="24" t="inlineStr">
        <is>
          <t>LOW</t>
        </is>
      </c>
      <c r="N97" s="24" t="inlineStr">
        <is>
          <t>0.4128333333333333</t>
        </is>
      </c>
      <c r="O97" s="24" t="inlineStr">
        <is>
          <t>EXPENSIVE</t>
        </is>
      </c>
      <c r="P97" s="24" t="inlineStr">
        <is>
          <t>EXPENSIVE</t>
        </is>
      </c>
      <c r="Q97" s="24" t="inlineStr">
        <is>
          <t>EXPENSIVE</t>
        </is>
      </c>
      <c r="R97" s="24" t="inlineStr">
        <is>
          <t>0.6635799672057409</t>
        </is>
      </c>
      <c r="S97" s="24" t="inlineStr">
        <is>
          <t>MEDIUM</t>
        </is>
      </c>
      <c r="T97" s="24" t="inlineStr">
        <is>
          <t>MEDIUM</t>
        </is>
      </c>
      <c r="U97" s="24" t="inlineStr">
        <is>
          <t>0.0714285714285714</t>
        </is>
      </c>
      <c r="V97" s="24" t="inlineStr">
        <is>
          <t>LOW_RISK</t>
        </is>
      </c>
      <c r="W97" s="24" t="inlineStr">
        <is>
          <t>저위험</t>
        </is>
      </c>
      <c r="X97" s="24" t="inlineStr">
        <is>
          <t>LOW_RISK</t>
        </is>
      </c>
      <c r="Y97" s="24" t="inlineStr">
        <is>
          <t>0.8000764213249202</t>
        </is>
      </c>
      <c r="Z97" s="24" t="inlineStr">
        <is>
          <t>HIGH</t>
        </is>
      </c>
      <c r="AA97" s="24" t="inlineStr">
        <is>
          <t>HIGH</t>
        </is>
      </c>
      <c r="AB97" s="24" t="inlineStr">
        <is>
          <t>0.21158533556078782</t>
        </is>
      </c>
      <c r="AC97" s="24" t="inlineStr">
        <is>
          <t>False</t>
        </is>
      </c>
      <c r="AD97" s="24" t="inlineStr">
        <is>
          <t>False</t>
        </is>
      </c>
      <c r="AE97" s="24" t="inlineStr">
        <is>
          <t>valuation_credit_ml_overlay_candidate.csv</t>
        </is>
      </c>
      <c r="AF97" s="24" t="inlineStr">
        <is>
          <t>208개 반도체 reference universe. Valuation Agent가 자체 intake 폴더로 복제해 Peer/ML/대시보드 비교에 사용.</t>
        </is>
      </c>
    </row>
    <row r="98" ht="24" customHeight="1">
      <c r="A98" s="29" t="inlineStr">
        <is>
          <t>33</t>
        </is>
      </c>
      <c r="B98" s="29" t="inlineStr">
        <is>
          <t>해당 없음</t>
        </is>
      </c>
      <c r="C98" s="29" t="inlineStr">
        <is>
          <t>코스텍시스</t>
        </is>
      </c>
      <c r="D98" s="29" t="inlineStr">
        <is>
          <t>355150</t>
        </is>
      </c>
      <c r="E98" s="29" t="inlineStr">
        <is>
          <t>KOSDAQ</t>
        </is>
      </c>
      <c r="F98" s="29" t="inlineStr">
        <is>
          <t>IDM/제조/메모리</t>
        </is>
      </c>
      <c r="G98" s="29" t="inlineStr">
        <is>
          <t>IDM/제조/메모리</t>
        </is>
      </c>
      <c r="H98" s="29" t="inlineStr">
        <is>
          <t>False</t>
        </is>
      </c>
      <c r="I98" s="29" t="inlineStr">
        <is>
          <t>True</t>
        </is>
      </c>
      <c r="J98" s="29" t="inlineStr">
        <is>
          <t>OK_LIMITED_HISTORY_OR_GROWTH_NA</t>
        </is>
      </c>
      <c r="K98" s="29" t="inlineStr">
        <is>
          <t>데이터 사용 가능</t>
        </is>
      </c>
      <c r="L98" s="29" t="inlineStr">
        <is>
          <t>LOW</t>
        </is>
      </c>
      <c r="M98" s="29" t="inlineStr">
        <is>
          <t>LOW</t>
        </is>
      </c>
      <c r="N98" s="29" t="inlineStr">
        <is>
          <t>0.4096666666666666</t>
        </is>
      </c>
      <c r="O98" s="29" t="inlineStr">
        <is>
          <t>EXPENSIVE</t>
        </is>
      </c>
      <c r="P98" s="29" t="inlineStr">
        <is>
          <t>EXPENSIVE</t>
        </is>
      </c>
      <c r="Q98" s="29" t="inlineStr">
        <is>
          <t>EXPENSIVE</t>
        </is>
      </c>
      <c r="R98" s="29" t="inlineStr">
        <is>
          <t>0.7518748972741711</t>
        </is>
      </c>
      <c r="S98" s="29" t="inlineStr">
        <is>
          <t>HIGH</t>
        </is>
      </c>
      <c r="T98" s="29" t="inlineStr">
        <is>
          <t>HIGH</t>
        </is>
      </c>
      <c r="U98" s="29" t="inlineStr">
        <is>
          <t>0.5</t>
        </is>
      </c>
      <c r="V98" s="29" t="inlineStr">
        <is>
          <t>HIGH_RISK</t>
        </is>
      </c>
      <c r="W98" s="29" t="inlineStr">
        <is>
          <t>고위험</t>
        </is>
      </c>
      <c r="X98" s="29" t="inlineStr">
        <is>
          <t>MEDIUM_RISK</t>
        </is>
      </c>
      <c r="Y98" s="29" t="inlineStr">
        <is>
          <t>0.4364687611213146</t>
        </is>
      </c>
      <c r="Z98" s="29" t="inlineStr">
        <is>
          <t>LOW</t>
        </is>
      </c>
      <c r="AA98" s="29" t="inlineStr">
        <is>
          <t>LOW</t>
        </is>
      </c>
      <c r="AB98" s="29" t="inlineStr">
        <is>
          <t>0.06817918975036392</t>
        </is>
      </c>
      <c r="AC98" s="29" t="inlineStr">
        <is>
          <t>False</t>
        </is>
      </c>
      <c r="AD98" s="29" t="inlineStr">
        <is>
          <t>True</t>
        </is>
      </c>
      <c r="AE98" s="29" t="inlineStr">
        <is>
          <t>valuation_credit_ml_overlay_candidate.csv</t>
        </is>
      </c>
      <c r="AF98" s="29" t="inlineStr">
        <is>
          <t>208개 반도체 reference universe. Valuation Agent가 자체 intake 폴더로 복제해 Peer/ML/대시보드 비교에 사용.</t>
        </is>
      </c>
    </row>
    <row r="99" ht="24" customHeight="1">
      <c r="A99" s="24" t="inlineStr">
        <is>
          <t>27</t>
        </is>
      </c>
      <c r="B99" s="24" t="inlineStr">
        <is>
          <t>해당 없음</t>
        </is>
      </c>
      <c r="C99" s="24" t="inlineStr">
        <is>
          <t>이미지스</t>
        </is>
      </c>
      <c r="D99" s="24" t="inlineStr">
        <is>
          <t>115610</t>
        </is>
      </c>
      <c r="E99" s="24" t="inlineStr">
        <is>
          <t>KOSDAQ</t>
        </is>
      </c>
      <c r="F99" s="24" t="inlineStr">
        <is>
          <t>IDM/제조/메모리</t>
        </is>
      </c>
      <c r="G99" s="24" t="inlineStr">
        <is>
          <t>IDM/제조/메모리</t>
        </is>
      </c>
      <c r="H99" s="24" t="inlineStr">
        <is>
          <t>False</t>
        </is>
      </c>
      <c r="I99" s="24" t="inlineStr">
        <is>
          <t>True</t>
        </is>
      </c>
      <c r="J99" s="24" t="inlineStr">
        <is>
          <t>OK</t>
        </is>
      </c>
      <c r="K99" s="24" t="inlineStr">
        <is>
          <t>데이터 사용 가능</t>
        </is>
      </c>
      <c r="L99" s="24" t="inlineStr">
        <is>
          <t>LOW</t>
        </is>
      </c>
      <c r="M99" s="24" t="inlineStr">
        <is>
          <t>LOW</t>
        </is>
      </c>
      <c r="N99" s="24" t="inlineStr">
        <is>
          <t>0.3633333333333334</t>
        </is>
      </c>
      <c r="O99" s="24" t="inlineStr">
        <is>
          <t>EXPENSIVE</t>
        </is>
      </c>
      <c r="P99" s="24" t="inlineStr">
        <is>
          <t>EXPENSIVE</t>
        </is>
      </c>
      <c r="Q99" s="24" t="inlineStr">
        <is>
          <t>EXPENSIVE</t>
        </is>
      </c>
      <c r="R99" s="24" t="inlineStr">
        <is>
          <t>0.7470098487547145</t>
        </is>
      </c>
      <c r="S99" s="24" t="inlineStr">
        <is>
          <t>HIGH</t>
        </is>
      </c>
      <c r="T99" s="24" t="inlineStr">
        <is>
          <t>HIGH</t>
        </is>
      </c>
      <c r="U99" s="24" t="inlineStr">
        <is>
          <t>0.6428571428571429</t>
        </is>
      </c>
      <c r="V99" s="24" t="inlineStr">
        <is>
          <t>HIGH_RISK</t>
        </is>
      </c>
      <c r="W99" s="24" t="inlineStr">
        <is>
          <t>고위험</t>
        </is>
      </c>
      <c r="X99" s="24" t="inlineStr">
        <is>
          <t>HIGH_RISK</t>
        </is>
      </c>
      <c r="Y99" s="24" t="inlineStr">
        <is>
          <t>0.935919815850912</t>
        </is>
      </c>
      <c r="Z99" s="24" t="inlineStr">
        <is>
          <t>HIGH</t>
        </is>
      </c>
      <c r="AA99" s="24" t="inlineStr">
        <is>
          <t>HIGH</t>
        </is>
      </c>
      <c r="AB99" s="24" t="inlineStr">
        <is>
          <t>0.1192433333650954</t>
        </is>
      </c>
      <c r="AC99" s="24" t="inlineStr">
        <is>
          <t>False</t>
        </is>
      </c>
      <c r="AD99" s="24" t="inlineStr">
        <is>
          <t>False</t>
        </is>
      </c>
      <c r="AE99" s="24" t="inlineStr">
        <is>
          <t>valuation_credit_ml_overlay_candidate.csv</t>
        </is>
      </c>
      <c r="AF99" s="24" t="inlineStr">
        <is>
          <t>208개 반도체 reference universe. Valuation Agent가 자체 intake 폴더로 복제해 Peer/ML/대시보드 비교에 사용.</t>
        </is>
      </c>
    </row>
    <row r="100" ht="24" customHeight="1">
      <c r="A100" s="29" t="inlineStr">
        <is>
          <t>15</t>
        </is>
      </c>
      <c r="B100" s="29" t="inlineStr">
        <is>
          <t>해당 없음</t>
        </is>
      </c>
      <c r="C100" s="29" t="inlineStr">
        <is>
          <t>시지트로닉스</t>
        </is>
      </c>
      <c r="D100" s="29" t="inlineStr">
        <is>
          <t>429270</t>
        </is>
      </c>
      <c r="E100" s="29" t="inlineStr">
        <is>
          <t>KOSDAQ</t>
        </is>
      </c>
      <c r="F100" s="29" t="inlineStr">
        <is>
          <t>IDM/제조/메모리</t>
        </is>
      </c>
      <c r="G100" s="29" t="inlineStr">
        <is>
          <t>IDM/제조/메모리</t>
        </is>
      </c>
      <c r="H100" s="29" t="inlineStr">
        <is>
          <t>False</t>
        </is>
      </c>
      <c r="I100" s="29" t="inlineStr">
        <is>
          <t>True</t>
        </is>
      </c>
      <c r="J100" s="29" t="inlineStr">
        <is>
          <t>OK_LIMITED_HISTORY_OR_GROWTH_NA</t>
        </is>
      </c>
      <c r="K100" s="29" t="inlineStr">
        <is>
          <t>데이터 사용 가능</t>
        </is>
      </c>
      <c r="L100" s="29" t="inlineStr">
        <is>
          <t>LOW</t>
        </is>
      </c>
      <c r="M100" s="29" t="inlineStr">
        <is>
          <t>LOW</t>
        </is>
      </c>
      <c r="N100" s="29" t="inlineStr">
        <is>
          <t>0.3513333333333333</t>
        </is>
      </c>
      <c r="O100" s="29" t="inlineStr">
        <is>
          <t>EXPENSIVE</t>
        </is>
      </c>
      <c r="P100" s="29" t="inlineStr">
        <is>
          <t>EXPENSIVE</t>
        </is>
      </c>
      <c r="Q100" s="29" t="inlineStr">
        <is>
          <t>EXPENSIVE</t>
        </is>
      </c>
      <c r="R100" s="29" t="inlineStr">
        <is>
          <t>0.8423539115807104</t>
        </is>
      </c>
      <c r="S100" s="29" t="inlineStr">
        <is>
          <t>HIGH</t>
        </is>
      </c>
      <c r="T100" s="29" t="inlineStr">
        <is>
          <t>HIGH</t>
        </is>
      </c>
      <c r="U100" s="29" t="inlineStr">
        <is>
          <t>0.7142857142857143</t>
        </is>
      </c>
      <c r="V100" s="29" t="inlineStr">
        <is>
          <t>HIGH_RISK</t>
        </is>
      </c>
      <c r="W100" s="29" t="inlineStr">
        <is>
          <t>고위험</t>
        </is>
      </c>
      <c r="X100" s="29" t="inlineStr">
        <is>
          <t>HIGH_RISK</t>
        </is>
      </c>
      <c r="Y100" s="29" t="inlineStr">
        <is>
          <t>0.981613431413146</t>
        </is>
      </c>
      <c r="Z100" s="29" t="inlineStr">
        <is>
          <t>HIGH</t>
        </is>
      </c>
      <c r="AA100" s="29" t="inlineStr">
        <is>
          <t>HIGH</t>
        </is>
      </c>
      <c r="AB100" s="29" t="inlineStr">
        <is>
          <t>0.19555712998632233</t>
        </is>
      </c>
      <c r="AC100" s="29" t="inlineStr">
        <is>
          <t>False</t>
        </is>
      </c>
      <c r="AD100" s="29" t="inlineStr">
        <is>
          <t>True</t>
        </is>
      </c>
      <c r="AE100" s="29" t="inlineStr">
        <is>
          <t>valuation_credit_ml_overlay_candidate.csv</t>
        </is>
      </c>
      <c r="AF100" s="29" t="inlineStr">
        <is>
          <t>208개 반도체 reference universe. Valuation Agent가 자체 intake 폴더로 복제해 Peer/ML/대시보드 비교에 사용.</t>
        </is>
      </c>
    </row>
    <row r="101" ht="24" customHeight="1">
      <c r="A101" s="24" t="inlineStr">
        <is>
          <t>30</t>
        </is>
      </c>
      <c r="B101" s="24" t="inlineStr">
        <is>
          <t>해당 없음</t>
        </is>
      </c>
      <c r="C101" s="24" t="inlineStr">
        <is>
          <t>지니틱스</t>
        </is>
      </c>
      <c r="D101" s="24" t="inlineStr">
        <is>
          <t>303030</t>
        </is>
      </c>
      <c r="E101" s="24" t="inlineStr">
        <is>
          <t>KOSDAQ</t>
        </is>
      </c>
      <c r="F101" s="24" t="inlineStr">
        <is>
          <t>IDM/제조/메모리</t>
        </is>
      </c>
      <c r="G101" s="24" t="inlineStr">
        <is>
          <t>IDM/제조/메모리</t>
        </is>
      </c>
      <c r="H101" s="24" t="inlineStr">
        <is>
          <t>False</t>
        </is>
      </c>
      <c r="I101" s="24" t="inlineStr">
        <is>
          <t>True</t>
        </is>
      </c>
      <c r="J101" s="24" t="inlineStr">
        <is>
          <t>OK</t>
        </is>
      </c>
      <c r="K101" s="24" t="inlineStr">
        <is>
          <t>데이터 사용 가능</t>
        </is>
      </c>
      <c r="L101" s="24" t="inlineStr">
        <is>
          <t>LOW</t>
        </is>
      </c>
      <c r="M101" s="24" t="inlineStr">
        <is>
          <t>LOW</t>
        </is>
      </c>
      <c r="N101" s="24" t="inlineStr">
        <is>
          <t>0.3293333333333333</t>
        </is>
      </c>
      <c r="O101" s="24" t="inlineStr">
        <is>
          <t>EXPENSIVE</t>
        </is>
      </c>
      <c r="P101" s="24" t="inlineStr">
        <is>
          <t>EXPENSIVE</t>
        </is>
      </c>
      <c r="Q101" s="24" t="inlineStr">
        <is>
          <t>EXPENSIVE</t>
        </is>
      </c>
      <c r="R101" s="24" t="inlineStr">
        <is>
          <t>0.6029464801919612</t>
        </is>
      </c>
      <c r="S101" s="24" t="inlineStr">
        <is>
          <t>MEDIUM</t>
        </is>
      </c>
      <c r="T101" s="24" t="inlineStr">
        <is>
          <t>MEDIUM</t>
        </is>
      </c>
      <c r="U101" s="24" t="inlineStr">
        <is>
          <t>0.7142857142857143</t>
        </is>
      </c>
      <c r="V101" s="24" t="inlineStr">
        <is>
          <t>HIGH_RISK</t>
        </is>
      </c>
      <c r="W101" s="24" t="inlineStr">
        <is>
          <t>고위험</t>
        </is>
      </c>
      <c r="X101" s="24" t="inlineStr">
        <is>
          <t>HIGH_RISK</t>
        </is>
      </c>
      <c r="Y101" s="24" t="inlineStr">
        <is>
          <t>0.9659545889371735</t>
        </is>
      </c>
      <c r="Z101" s="24" t="inlineStr">
        <is>
          <t>HIGH</t>
        </is>
      </c>
      <c r="AA101" s="24" t="inlineStr">
        <is>
          <t>HIGH</t>
        </is>
      </c>
      <c r="AB101" s="24" t="inlineStr">
        <is>
          <t>0.16363869698938038</t>
        </is>
      </c>
      <c r="AC101" s="24" t="inlineStr">
        <is>
          <t>False</t>
        </is>
      </c>
      <c r="AD101" s="24" t="inlineStr">
        <is>
          <t>False</t>
        </is>
      </c>
      <c r="AE101" s="24" t="inlineStr">
        <is>
          <t>valuation_credit_ml_overlay_candidate.csv</t>
        </is>
      </c>
      <c r="AF101" s="24" t="inlineStr">
        <is>
          <t>208개 반도체 reference universe. Valuation Agent가 자체 intake 폴더로 복제해 Peer/ML/대시보드 비교에 사용.</t>
        </is>
      </c>
    </row>
    <row r="102" ht="24" customHeight="1">
      <c r="A102" s="29" t="inlineStr">
        <is>
          <t>18</t>
        </is>
      </c>
      <c r="B102" s="29" t="inlineStr">
        <is>
          <t>해당 없음</t>
        </is>
      </c>
      <c r="C102" s="29" t="inlineStr">
        <is>
          <t>아이에스티이</t>
        </is>
      </c>
      <c r="D102" s="29" t="inlineStr">
        <is>
          <t>212710</t>
        </is>
      </c>
      <c r="E102" s="29" t="inlineStr">
        <is>
          <t>KOSDAQ</t>
        </is>
      </c>
      <c r="F102" s="29" t="inlineStr">
        <is>
          <t>IDM/제조/메모리</t>
        </is>
      </c>
      <c r="G102" s="29" t="inlineStr">
        <is>
          <t>IDM/제조/메모리</t>
        </is>
      </c>
      <c r="H102" s="29" t="inlineStr">
        <is>
          <t>False</t>
        </is>
      </c>
      <c r="I102" s="29" t="inlineStr">
        <is>
          <t>True</t>
        </is>
      </c>
      <c r="J102" s="29" t="inlineStr">
        <is>
          <t>OK_LIMITED_HISTORY_OR_GROWTH_NA</t>
        </is>
      </c>
      <c r="K102" s="29" t="inlineStr">
        <is>
          <t>데이터 사용 가능</t>
        </is>
      </c>
      <c r="L102" s="29" t="inlineStr">
        <is>
          <t>LOW</t>
        </is>
      </c>
      <c r="M102" s="29" t="inlineStr">
        <is>
          <t>LOW</t>
        </is>
      </c>
      <c r="N102" s="29" t="inlineStr">
        <is>
          <t>0.3126666666666666</t>
        </is>
      </c>
      <c r="O102" s="29" t="inlineStr">
        <is>
          <t>EXPENSIVE</t>
        </is>
      </c>
      <c r="P102" s="29" t="inlineStr">
        <is>
          <t>EXPENSIVE</t>
        </is>
      </c>
      <c r="Q102" s="29" t="inlineStr">
        <is>
          <t>EXPENSIVE</t>
        </is>
      </c>
      <c r="R102" s="29" t="inlineStr">
        <is>
          <t>0.6642993493743579</t>
        </is>
      </c>
      <c r="S102" s="29" t="inlineStr">
        <is>
          <t>MEDIUM</t>
        </is>
      </c>
      <c r="T102" s="29" t="inlineStr">
        <is>
          <t>MEDIUM</t>
        </is>
      </c>
      <c r="U102" s="29" t="inlineStr">
        <is>
          <t>0.7142857142857143</t>
        </is>
      </c>
      <c r="V102" s="29" t="inlineStr">
        <is>
          <t>HIGH_RISK</t>
        </is>
      </c>
      <c r="W102" s="29" t="inlineStr">
        <is>
          <t>고위험</t>
        </is>
      </c>
      <c r="X102" s="29" t="inlineStr">
        <is>
          <t>HIGH_RISK</t>
        </is>
      </c>
      <c r="Y102" s="29" t="inlineStr">
        <is>
          <t>0.7912115569930538</t>
        </is>
      </c>
      <c r="Z102" s="29" t="inlineStr">
        <is>
          <t>HIGH</t>
        </is>
      </c>
      <c r="AA102" s="29" t="inlineStr">
        <is>
          <t>HIGH</t>
        </is>
      </c>
      <c r="AB102" s="29" t="inlineStr">
        <is>
          <t>0.13664093420882184</t>
        </is>
      </c>
      <c r="AC102" s="29" t="inlineStr">
        <is>
          <t>False</t>
        </is>
      </c>
      <c r="AD102" s="29" t="inlineStr">
        <is>
          <t>True</t>
        </is>
      </c>
      <c r="AE102" s="29" t="inlineStr">
        <is>
          <t>valuation_credit_ml_overlay_candidate.csv</t>
        </is>
      </c>
      <c r="AF102" s="29" t="inlineStr">
        <is>
          <t>208개 반도체 reference universe. Valuation Agent가 자체 intake 폴더로 복제해 Peer/ML/대시보드 비교에 사용.</t>
        </is>
      </c>
    </row>
    <row r="103" ht="24" customHeight="1">
      <c r="A103" s="24" t="inlineStr">
        <is>
          <t>31</t>
        </is>
      </c>
      <c r="B103" s="24" t="inlineStr">
        <is>
          <t>해당 없음</t>
        </is>
      </c>
      <c r="C103" s="24" t="inlineStr">
        <is>
          <t>케이알엠</t>
        </is>
      </c>
      <c r="D103" s="24" t="inlineStr">
        <is>
          <t>093640</t>
        </is>
      </c>
      <c r="E103" s="24" t="inlineStr">
        <is>
          <t>KOSDAQ</t>
        </is>
      </c>
      <c r="F103" s="24" t="inlineStr">
        <is>
          <t>IDM/제조/메모리</t>
        </is>
      </c>
      <c r="G103" s="24" t="inlineStr">
        <is>
          <t>IDM/제조/메모리</t>
        </is>
      </c>
      <c r="H103" s="24" t="inlineStr">
        <is>
          <t>False</t>
        </is>
      </c>
      <c r="I103" s="24" t="inlineStr">
        <is>
          <t>True</t>
        </is>
      </c>
      <c r="J103" s="24" t="inlineStr">
        <is>
          <t>OK</t>
        </is>
      </c>
      <c r="K103" s="24" t="inlineStr">
        <is>
          <t>데이터 사용 가능</t>
        </is>
      </c>
      <c r="L103" s="24" t="inlineStr">
        <is>
          <t>LOW</t>
        </is>
      </c>
      <c r="M103" s="24" t="inlineStr">
        <is>
          <t>LOW</t>
        </is>
      </c>
      <c r="N103" s="24" t="inlineStr">
        <is>
          <t>0.301</t>
        </is>
      </c>
      <c r="O103" s="24" t="inlineStr">
        <is>
          <t>EXPENSIVE</t>
        </is>
      </c>
      <c r="P103" s="24" t="inlineStr">
        <is>
          <t>EXPENSIVE</t>
        </is>
      </c>
      <c r="Q103" s="24" t="inlineStr">
        <is>
          <t>EXPENSIVE</t>
        </is>
      </c>
      <c r="R103" s="24" t="inlineStr">
        <is>
          <t>0.7957205872008264</t>
        </is>
      </c>
      <c r="S103" s="24" t="inlineStr">
        <is>
          <t>HIGH</t>
        </is>
      </c>
      <c r="T103" s="24" t="inlineStr">
        <is>
          <t>HIGH</t>
        </is>
      </c>
      <c r="U103" s="24" t="inlineStr">
        <is>
          <t>0.4285714285714285</t>
        </is>
      </c>
      <c r="V103" s="24" t="inlineStr">
        <is>
          <t>HIGH_RISK</t>
        </is>
      </c>
      <c r="W103" s="24" t="inlineStr">
        <is>
          <t>고위험</t>
        </is>
      </c>
      <c r="X103" s="24" t="inlineStr">
        <is>
          <t>HIGH_RISK</t>
        </is>
      </c>
      <c r="Y103" s="24" t="inlineStr">
        <is>
          <t>0.9569765609780977</t>
        </is>
      </c>
      <c r="Z103" s="24" t="inlineStr">
        <is>
          <t>HIGH</t>
        </is>
      </c>
      <c r="AA103" s="24" t="inlineStr">
        <is>
          <t>HIGH</t>
        </is>
      </c>
      <c r="AB103" s="24" t="inlineStr">
        <is>
          <t>0.2926124347647049</t>
        </is>
      </c>
      <c r="AC103" s="24" t="inlineStr">
        <is>
          <t>True</t>
        </is>
      </c>
      <c r="AD103" s="24" t="inlineStr">
        <is>
          <t>True</t>
        </is>
      </c>
      <c r="AE103" s="24" t="inlineStr">
        <is>
          <t>valuation_credit_ml_overlay_candidate.csv</t>
        </is>
      </c>
      <c r="AF103" s="24" t="inlineStr">
        <is>
          <t>208개 반도체 reference universe. Valuation Agent가 자체 intake 폴더로 복제해 Peer/ML/대시보드 비교에 사용.</t>
        </is>
      </c>
    </row>
    <row r="104" ht="24" customHeight="1">
      <c r="A104" s="29" t="inlineStr">
        <is>
          <t>17</t>
        </is>
      </c>
      <c r="B104" s="29" t="inlineStr">
        <is>
          <t>해당 없음</t>
        </is>
      </c>
      <c r="C104" s="29" t="inlineStr">
        <is>
          <t>쏘닉스</t>
        </is>
      </c>
      <c r="D104" s="29" t="inlineStr">
        <is>
          <t>088280</t>
        </is>
      </c>
      <c r="E104" s="29" t="inlineStr">
        <is>
          <t>KOSDAQ</t>
        </is>
      </c>
      <c r="F104" s="29" t="inlineStr">
        <is>
          <t>IDM/제조/메모리</t>
        </is>
      </c>
      <c r="G104" s="29" t="inlineStr">
        <is>
          <t>IDM/제조/메모리</t>
        </is>
      </c>
      <c r="H104" s="29" t="inlineStr">
        <is>
          <t>False</t>
        </is>
      </c>
      <c r="I104" s="29" t="inlineStr">
        <is>
          <t>True</t>
        </is>
      </c>
      <c r="J104" s="29" t="inlineStr">
        <is>
          <t>OK_LIMITED_HISTORY_OR_GROWTH_NA</t>
        </is>
      </c>
      <c r="K104" s="29" t="inlineStr">
        <is>
          <t>데이터 사용 가능</t>
        </is>
      </c>
      <c r="L104" s="29" t="inlineStr">
        <is>
          <t>LOW</t>
        </is>
      </c>
      <c r="M104" s="29" t="inlineStr">
        <is>
          <t>LOW</t>
        </is>
      </c>
      <c r="N104" s="29" t="inlineStr">
        <is>
          <t>0.2925</t>
        </is>
      </c>
      <c r="O104" s="29" t="inlineStr">
        <is>
          <t>EXPENSIVE</t>
        </is>
      </c>
      <c r="P104" s="29" t="inlineStr">
        <is>
          <t>EXPENSIVE</t>
        </is>
      </c>
      <c r="Q104" s="29" t="inlineStr">
        <is>
          <t>EXPENSIVE</t>
        </is>
      </c>
      <c r="R104" s="29" t="inlineStr">
        <is>
          <t>0.9167677788852596</t>
        </is>
      </c>
      <c r="S104" s="29" t="inlineStr">
        <is>
          <t>HIGH</t>
        </is>
      </c>
      <c r="T104" s="29" t="inlineStr">
        <is>
          <t>HIGH</t>
        </is>
      </c>
      <c r="U104" s="29" t="inlineStr">
        <is>
          <t>0.5714285714285714</t>
        </is>
      </c>
      <c r="V104" s="29" t="inlineStr">
        <is>
          <t>HIGH_RISK</t>
        </is>
      </c>
      <c r="W104" s="29" t="inlineStr">
        <is>
          <t>고위험</t>
        </is>
      </c>
      <c r="X104" s="29" t="inlineStr">
        <is>
          <t>HIGH_RISK</t>
        </is>
      </c>
      <c r="Y104" s="29" t="inlineStr">
        <is>
          <t>0.9751947390683402</t>
        </is>
      </c>
      <c r="Z104" s="29" t="inlineStr">
        <is>
          <t>HIGH</t>
        </is>
      </c>
      <c r="AA104" s="29" t="inlineStr">
        <is>
          <t>HIGH</t>
        </is>
      </c>
      <c r="AB104" s="29" t="inlineStr">
        <is>
          <t>0.11312412490832129</t>
        </is>
      </c>
      <c r="AC104" s="29" t="inlineStr">
        <is>
          <t>False</t>
        </is>
      </c>
      <c r="AD104" s="29" t="inlineStr">
        <is>
          <t>True</t>
        </is>
      </c>
      <c r="AE104" s="29" t="inlineStr">
        <is>
          <t>valuation_credit_ml_overlay_candidate.csv</t>
        </is>
      </c>
      <c r="AF104" s="29" t="inlineStr">
        <is>
          <t>208개 반도체 reference universe. Valuation Agent가 자체 intake 폴더로 복제해 Peer/ML/대시보드 비교에 사용.</t>
        </is>
      </c>
    </row>
    <row r="105" ht="24" customHeight="1">
      <c r="A105" s="24" t="inlineStr">
        <is>
          <t>29</t>
        </is>
      </c>
      <c r="B105" s="24" t="inlineStr">
        <is>
          <t>해당 없음</t>
        </is>
      </c>
      <c r="C105" s="24" t="inlineStr">
        <is>
          <t>자람테크놀로지</t>
        </is>
      </c>
      <c r="D105" s="24" t="inlineStr">
        <is>
          <t>389020</t>
        </is>
      </c>
      <c r="E105" s="24" t="inlineStr">
        <is>
          <t>KOSDAQ</t>
        </is>
      </c>
      <c r="F105" s="24" t="inlineStr">
        <is>
          <t>IDM/제조/메모리</t>
        </is>
      </c>
      <c r="G105" s="24" t="inlineStr">
        <is>
          <t>IDM/제조/메모리</t>
        </is>
      </c>
      <c r="H105" s="24" t="inlineStr">
        <is>
          <t>False</t>
        </is>
      </c>
      <c r="I105" s="24" t="inlineStr">
        <is>
          <t>True</t>
        </is>
      </c>
      <c r="J105" s="24" t="inlineStr">
        <is>
          <t>OK</t>
        </is>
      </c>
      <c r="K105" s="24" t="inlineStr">
        <is>
          <t>데이터 사용 가능</t>
        </is>
      </c>
      <c r="L105" s="24" t="inlineStr">
        <is>
          <t>LOW</t>
        </is>
      </c>
      <c r="M105" s="24" t="inlineStr">
        <is>
          <t>LOW</t>
        </is>
      </c>
      <c r="N105" s="24" t="inlineStr">
        <is>
          <t>0.1995</t>
        </is>
      </c>
      <c r="O105" s="24" t="inlineStr">
        <is>
          <t>EXPENSIVE</t>
        </is>
      </c>
      <c r="P105" s="24" t="inlineStr">
        <is>
          <t>EXPENSIVE</t>
        </is>
      </c>
      <c r="Q105" s="24" t="inlineStr">
        <is>
          <t>EXPENSIVE</t>
        </is>
      </c>
      <c r="R105" s="24" t="inlineStr">
        <is>
          <t>0.6873284389381621</t>
        </is>
      </c>
      <c r="S105" s="24" t="inlineStr">
        <is>
          <t>MEDIUM</t>
        </is>
      </c>
      <c r="T105" s="24" t="inlineStr">
        <is>
          <t>MEDIUM</t>
        </is>
      </c>
      <c r="U105" s="24" t="inlineStr">
        <is>
          <t>0.2142857142857142</t>
        </is>
      </c>
      <c r="V105" s="24" t="inlineStr">
        <is>
          <t>MEDIUM_RISK</t>
        </is>
      </c>
      <c r="W105" s="24" t="inlineStr">
        <is>
          <t>중위험</t>
        </is>
      </c>
      <c r="X105" s="24" t="inlineStr">
        <is>
          <t>MEDIUM_RISK</t>
        </is>
      </c>
      <c r="Y105" s="24" t="inlineStr">
        <is>
          <t>0.7087592263635621</t>
        </is>
      </c>
      <c r="Z105" s="24" t="inlineStr">
        <is>
          <t>HIGH</t>
        </is>
      </c>
      <c r="AA105" s="24" t="inlineStr">
        <is>
          <t>HIGH</t>
        </is>
      </c>
      <c r="AB105" s="24" t="inlineStr">
        <is>
          <t>0.14222896108498048</t>
        </is>
      </c>
      <c r="AC105" s="24" t="inlineStr">
        <is>
          <t>False</t>
        </is>
      </c>
      <c r="AD105" s="24" t="inlineStr">
        <is>
          <t>False</t>
        </is>
      </c>
      <c r="AE105" s="24" t="inlineStr">
        <is>
          <t>valuation_credit_ml_overlay_candidate.csv</t>
        </is>
      </c>
      <c r="AF105" s="24" t="inlineStr">
        <is>
          <t>208개 반도체 reference universe. Valuation Agent가 자체 intake 폴더로 복제해 Peer/ML/대시보드 비교에 사용.</t>
        </is>
      </c>
    </row>
    <row r="106" ht="24" customHeight="1">
      <c r="A106" s="29" t="inlineStr">
        <is>
          <t>39</t>
        </is>
      </c>
      <c r="B106" s="29" t="inlineStr">
        <is>
          <t>해당 없음</t>
        </is>
      </c>
      <c r="C106" s="29" t="inlineStr">
        <is>
          <t>하이딥</t>
        </is>
      </c>
      <c r="D106" s="29" t="inlineStr">
        <is>
          <t>365590</t>
        </is>
      </c>
      <c r="E106" s="29" t="inlineStr">
        <is>
          <t>KOSDAQ</t>
        </is>
      </c>
      <c r="F106" s="29" t="inlineStr">
        <is>
          <t>IDM/제조/메모리</t>
        </is>
      </c>
      <c r="G106" s="29" t="inlineStr">
        <is>
          <t>IDM/제조/메모리</t>
        </is>
      </c>
      <c r="H106" s="29" t="inlineStr">
        <is>
          <t>False</t>
        </is>
      </c>
      <c r="I106" s="29" t="inlineStr">
        <is>
          <t>True</t>
        </is>
      </c>
      <c r="J106" s="29" t="inlineStr">
        <is>
          <t>OK</t>
        </is>
      </c>
      <c r="K106" s="29" t="inlineStr">
        <is>
          <t>데이터 사용 가능</t>
        </is>
      </c>
      <c r="L106" s="29" t="inlineStr">
        <is>
          <t>LOW</t>
        </is>
      </c>
      <c r="M106" s="29" t="inlineStr">
        <is>
          <t>LOW</t>
        </is>
      </c>
      <c r="N106" s="29" t="inlineStr">
        <is>
          <t>0.125</t>
        </is>
      </c>
      <c r="O106" s="29" t="inlineStr">
        <is>
          <t>EXPENSIVE</t>
        </is>
      </c>
      <c r="P106" s="29" t="inlineStr">
        <is>
          <t>EXPENSIVE</t>
        </is>
      </c>
      <c r="Q106" s="29" t="inlineStr">
        <is>
          <t>EXPENSIVE</t>
        </is>
      </c>
      <c r="R106" s="29" t="inlineStr">
        <is>
          <t>0.93355514861914</t>
        </is>
      </c>
      <c r="S106" s="29" t="inlineStr">
        <is>
          <t>HIGH</t>
        </is>
      </c>
      <c r="T106" s="29" t="inlineStr">
        <is>
          <t>HIGH</t>
        </is>
      </c>
      <c r="U106" s="29" t="inlineStr">
        <is>
          <t>0.8571428571428571</t>
        </is>
      </c>
      <c r="V106" s="29" t="inlineStr">
        <is>
          <t>HIGH_RISK</t>
        </is>
      </c>
      <c r="W106" s="29" t="inlineStr">
        <is>
          <t>고위험</t>
        </is>
      </c>
      <c r="X106" s="29" t="inlineStr">
        <is>
          <t>HIGH_RISK</t>
        </is>
      </c>
      <c r="Y106" s="29" t="inlineStr">
        <is>
          <t>0.9622719553866781</t>
        </is>
      </c>
      <c r="Z106" s="29" t="inlineStr">
        <is>
          <t>HIGH</t>
        </is>
      </c>
      <c r="AA106" s="29" t="inlineStr">
        <is>
          <t>HIGH</t>
        </is>
      </c>
      <c r="AB106" s="29" t="inlineStr">
        <is>
          <t>0.9999999977412558</t>
        </is>
      </c>
      <c r="AC106" s="29" t="inlineStr">
        <is>
          <t>True</t>
        </is>
      </c>
      <c r="AD106" s="29" t="inlineStr">
        <is>
          <t>True</t>
        </is>
      </c>
      <c r="AE106" s="29" t="inlineStr">
        <is>
          <t>valuation_credit_ml_overlay_candidate.csv</t>
        </is>
      </c>
      <c r="AF106" s="29" t="inlineStr">
        <is>
          <t>208개 반도체 reference universe. Valuation Agent가 자체 intake 폴더로 복제해 Peer/ML/대시보드 비교에 사용.</t>
        </is>
      </c>
    </row>
    <row r="107" ht="24" customHeight="1">
      <c r="A107" s="24" t="inlineStr">
        <is>
          <t>203</t>
        </is>
      </c>
      <c r="B107" s="24" t="inlineStr">
        <is>
          <t>해당 없음</t>
        </is>
      </c>
      <c r="C107" s="24" t="inlineStr">
        <is>
          <t>인터플렉스</t>
        </is>
      </c>
      <c r="D107" s="24" t="inlineStr">
        <is>
          <t>051370</t>
        </is>
      </c>
      <c r="E107" s="24" t="inlineStr">
        <is>
          <t>KOSDAQ</t>
        </is>
      </c>
      <c r="F107" s="24" t="inlineStr">
        <is>
          <t>부품/기판</t>
        </is>
      </c>
      <c r="G107" s="24" t="inlineStr">
        <is>
          <t>부품/기판</t>
        </is>
      </c>
      <c r="H107" s="24" t="inlineStr">
        <is>
          <t>False</t>
        </is>
      </c>
      <c r="I107" s="24" t="inlineStr">
        <is>
          <t>True</t>
        </is>
      </c>
      <c r="J107" s="24" t="inlineStr">
        <is>
          <t>OK</t>
        </is>
      </c>
      <c r="K107" s="24" t="inlineStr">
        <is>
          <t>데이터 사용 가능</t>
        </is>
      </c>
      <c r="L107" s="24" t="inlineStr">
        <is>
          <t>LOW</t>
        </is>
      </c>
      <c r="M107" s="24" t="inlineStr">
        <is>
          <t>LOW</t>
        </is>
      </c>
      <c r="N107" s="24" t="inlineStr">
        <is>
          <t>0.709047619047619</t>
        </is>
      </c>
      <c r="O107" s="24" t="inlineStr">
        <is>
          <t>FAIR</t>
        </is>
      </c>
      <c r="P107" s="24" t="inlineStr">
        <is>
          <t>FAIR</t>
        </is>
      </c>
      <c r="Q107" s="24" t="inlineStr">
        <is>
          <t>FAIR</t>
        </is>
      </c>
      <c r="R107" s="24" t="inlineStr">
        <is>
          <t>0.904555257888918</t>
        </is>
      </c>
      <c r="S107" s="24" t="inlineStr">
        <is>
          <t>HIGH</t>
        </is>
      </c>
      <c r="T107" s="24" t="inlineStr">
        <is>
          <t>HIGH</t>
        </is>
      </c>
      <c r="U107" s="24" t="inlineStr">
        <is>
          <t>0.0714285714285714</t>
        </is>
      </c>
      <c r="V107" s="24" t="inlineStr">
        <is>
          <t>LOW_RISK</t>
        </is>
      </c>
      <c r="W107" s="24" t="inlineStr">
        <is>
          <t>저위험</t>
        </is>
      </c>
      <c r="X107" s="24" t="inlineStr">
        <is>
          <t>LOW_RISK</t>
        </is>
      </c>
      <c r="Y107" s="24" t="inlineStr">
        <is>
          <t>0.8421993774288782</t>
        </is>
      </c>
      <c r="Z107" s="24" t="inlineStr">
        <is>
          <t>HIGH</t>
        </is>
      </c>
      <c r="AA107" s="24" t="inlineStr">
        <is>
          <t>HIGH</t>
        </is>
      </c>
      <c r="AB107" s="24" t="inlineStr">
        <is>
          <t>0.04875174090091772</t>
        </is>
      </c>
      <c r="AC107" s="24" t="inlineStr">
        <is>
          <t>False</t>
        </is>
      </c>
      <c r="AD107" s="24" t="inlineStr">
        <is>
          <t>False</t>
        </is>
      </c>
      <c r="AE107" s="24" t="inlineStr">
        <is>
          <t>valuation_credit_ml_overlay_candidate.csv</t>
        </is>
      </c>
      <c r="AF107" s="24" t="inlineStr">
        <is>
          <t>208개 반도체 reference universe. Valuation Agent가 자체 intake 폴더로 복제해 Peer/ML/대시보드 비교에 사용.</t>
        </is>
      </c>
    </row>
    <row r="108" ht="24" customHeight="1">
      <c r="A108" s="29" t="inlineStr">
        <is>
          <t>204</t>
        </is>
      </c>
      <c r="B108" s="29" t="inlineStr">
        <is>
          <t>해당 없음</t>
        </is>
      </c>
      <c r="C108" s="29" t="inlineStr">
        <is>
          <t>자화전자</t>
        </is>
      </c>
      <c r="D108" s="29" t="inlineStr">
        <is>
          <t>033240</t>
        </is>
      </c>
      <c r="E108" s="29" t="inlineStr">
        <is>
          <t>KOSPI</t>
        </is>
      </c>
      <c r="F108" s="29" t="inlineStr">
        <is>
          <t>부품/기판</t>
        </is>
      </c>
      <c r="G108" s="29" t="inlineStr">
        <is>
          <t>부품/기판</t>
        </is>
      </c>
      <c r="H108" s="29" t="inlineStr">
        <is>
          <t>False</t>
        </is>
      </c>
      <c r="I108" s="29" t="inlineStr">
        <is>
          <t>True</t>
        </is>
      </c>
      <c r="J108" s="29" t="inlineStr">
        <is>
          <t>OK</t>
        </is>
      </c>
      <c r="K108" s="29" t="inlineStr">
        <is>
          <t>데이터 사용 가능</t>
        </is>
      </c>
      <c r="L108" s="29" t="inlineStr">
        <is>
          <t>LOW</t>
        </is>
      </c>
      <c r="M108" s="29" t="inlineStr">
        <is>
          <t>LOW</t>
        </is>
      </c>
      <c r="N108" s="29" t="inlineStr">
        <is>
          <t>0.6647619047619049</t>
        </is>
      </c>
      <c r="O108" s="29" t="inlineStr">
        <is>
          <t>FAIR</t>
        </is>
      </c>
      <c r="P108" s="29" t="inlineStr">
        <is>
          <t>FAIR</t>
        </is>
      </c>
      <c r="Q108" s="29" t="inlineStr">
        <is>
          <t>FAIR</t>
        </is>
      </c>
      <c r="R108" s="29" t="inlineStr">
        <is>
          <t>0.9380223994723259</t>
        </is>
      </c>
      <c r="S108" s="29" t="inlineStr">
        <is>
          <t>HIGH</t>
        </is>
      </c>
      <c r="T108" s="29" t="inlineStr">
        <is>
          <t>HIGH</t>
        </is>
      </c>
      <c r="U108" s="29" t="inlineStr">
        <is>
          <t>0.0714285714285714</t>
        </is>
      </c>
      <c r="V108" s="29" t="inlineStr">
        <is>
          <t>LOW_RISK</t>
        </is>
      </c>
      <c r="W108" s="29" t="inlineStr">
        <is>
          <t>저위험</t>
        </is>
      </c>
      <c r="X108" s="29" t="inlineStr">
        <is>
          <t>LOW_RISK</t>
        </is>
      </c>
      <c r="Y108" s="29" t="inlineStr">
        <is>
          <t>0.7827117376718701</t>
        </is>
      </c>
      <c r="Z108" s="29" t="inlineStr">
        <is>
          <t>HIGH</t>
        </is>
      </c>
      <c r="AA108" s="29" t="inlineStr">
        <is>
          <t>HIGH</t>
        </is>
      </c>
      <c r="AB108" s="29" t="inlineStr">
        <is>
          <t>0.004560941446629287</t>
        </is>
      </c>
      <c r="AC108" s="29" t="inlineStr">
        <is>
          <t>False</t>
        </is>
      </c>
      <c r="AD108" s="29" t="inlineStr">
        <is>
          <t>False</t>
        </is>
      </c>
      <c r="AE108" s="29" t="inlineStr">
        <is>
          <t>valuation_credit_ml_overlay_candidate.csv</t>
        </is>
      </c>
      <c r="AF108" s="29" t="inlineStr">
        <is>
          <t>208개 반도체 reference universe. Valuation Agent가 자체 intake 폴더로 복제해 Peer/ML/대시보드 비교에 사용.</t>
        </is>
      </c>
    </row>
    <row r="109" ht="24" customHeight="1">
      <c r="A109" s="24" t="inlineStr">
        <is>
          <t>206</t>
        </is>
      </c>
      <c r="B109" s="24" t="inlineStr">
        <is>
          <t>해당 없음</t>
        </is>
      </c>
      <c r="C109" s="24" t="inlineStr">
        <is>
          <t>코미코</t>
        </is>
      </c>
      <c r="D109" s="24" t="inlineStr">
        <is>
          <t>183300</t>
        </is>
      </c>
      <c r="E109" s="24" t="inlineStr">
        <is>
          <t>KOSDAQ GLOBAL</t>
        </is>
      </c>
      <c r="F109" s="24" t="inlineStr">
        <is>
          <t>부품/기판</t>
        </is>
      </c>
      <c r="G109" s="24" t="inlineStr">
        <is>
          <t>부품/기판</t>
        </is>
      </c>
      <c r="H109" s="24" t="inlineStr">
        <is>
          <t>False</t>
        </is>
      </c>
      <c r="I109" s="24" t="inlineStr">
        <is>
          <t>True</t>
        </is>
      </c>
      <c r="J109" s="24" t="inlineStr">
        <is>
          <t>OK</t>
        </is>
      </c>
      <c r="K109" s="24" t="inlineStr">
        <is>
          <t>데이터 사용 가능</t>
        </is>
      </c>
      <c r="L109" s="24" t="inlineStr">
        <is>
          <t>LOW</t>
        </is>
      </c>
      <c r="M109" s="24" t="inlineStr">
        <is>
          <t>LOW</t>
        </is>
      </c>
      <c r="N109" s="24" t="inlineStr">
        <is>
          <t>0.6342857142857143</t>
        </is>
      </c>
      <c r="O109" s="24" t="inlineStr">
        <is>
          <t>FAIR</t>
        </is>
      </c>
      <c r="P109" s="24" t="inlineStr">
        <is>
          <t>FAIR</t>
        </is>
      </c>
      <c r="Q109" s="24" t="inlineStr">
        <is>
          <t>FAIR</t>
        </is>
      </c>
      <c r="R109" s="24" t="inlineStr">
        <is>
          <t>0.8305894153326006</t>
        </is>
      </c>
      <c r="S109" s="24" t="inlineStr">
        <is>
          <t>HIGH</t>
        </is>
      </c>
      <c r="T109" s="24" t="inlineStr">
        <is>
          <t>HIGH</t>
        </is>
      </c>
      <c r="U109" s="24" t="inlineStr">
        <is>
          <t>0.3571428571428571</t>
        </is>
      </c>
      <c r="V109" s="24" t="inlineStr">
        <is>
          <t>MEDIUM_RISK</t>
        </is>
      </c>
      <c r="W109" s="24" t="inlineStr">
        <is>
          <t>중위험</t>
        </is>
      </c>
      <c r="X109" s="24" t="inlineStr">
        <is>
          <t>MEDIUM_RISK</t>
        </is>
      </c>
      <c r="Y109" s="24" t="inlineStr">
        <is>
          <t>0.6510391794232897</t>
        </is>
      </c>
      <c r="Z109" s="24" t="inlineStr">
        <is>
          <t>MEDIUM</t>
        </is>
      </c>
      <c r="AA109" s="24" t="inlineStr">
        <is>
          <t>MEDIUM</t>
        </is>
      </c>
      <c r="AB109" s="24" t="inlineStr">
        <is>
          <t>0.08075637337557524</t>
        </is>
      </c>
      <c r="AC109" s="24" t="inlineStr">
        <is>
          <t>False</t>
        </is>
      </c>
      <c r="AD109" s="24" t="inlineStr">
        <is>
          <t>False</t>
        </is>
      </c>
      <c r="AE109" s="24" t="inlineStr">
        <is>
          <t>valuation_credit_ml_overlay_candidate.csv</t>
        </is>
      </c>
      <c r="AF109" s="24" t="inlineStr">
        <is>
          <t>208개 반도체 reference universe. Valuation Agent가 자체 intake 폴더로 복제해 Peer/ML/대시보드 비교에 사용.</t>
        </is>
      </c>
    </row>
    <row r="110" ht="24" customHeight="1">
      <c r="A110" s="29" t="inlineStr">
        <is>
          <t>196</t>
        </is>
      </c>
      <c r="B110" s="29" t="inlineStr">
        <is>
          <t>해당 없음</t>
        </is>
      </c>
      <c r="C110" s="29" t="inlineStr">
        <is>
          <t>비에이치</t>
        </is>
      </c>
      <c r="D110" s="29" t="inlineStr">
        <is>
          <t>090460</t>
        </is>
      </c>
      <c r="E110" s="29" t="inlineStr">
        <is>
          <t>KOSPI</t>
        </is>
      </c>
      <c r="F110" s="29" t="inlineStr">
        <is>
          <t>부품/기판</t>
        </is>
      </c>
      <c r="G110" s="29" t="inlineStr">
        <is>
          <t>부품/기판</t>
        </is>
      </c>
      <c r="H110" s="29" t="inlineStr">
        <is>
          <t>False</t>
        </is>
      </c>
      <c r="I110" s="29" t="inlineStr">
        <is>
          <t>True</t>
        </is>
      </c>
      <c r="J110" s="29" t="inlineStr">
        <is>
          <t>OK</t>
        </is>
      </c>
      <c r="K110" s="29" t="inlineStr">
        <is>
          <t>데이터 사용 가능</t>
        </is>
      </c>
      <c r="L110" s="29" t="inlineStr">
        <is>
          <t>LOW</t>
        </is>
      </c>
      <c r="M110" s="29" t="inlineStr">
        <is>
          <t>LOW</t>
        </is>
      </c>
      <c r="N110" s="29" t="inlineStr">
        <is>
          <t>0.5752380952380951</t>
        </is>
      </c>
      <c r="O110" s="29" t="inlineStr">
        <is>
          <t>FAIR</t>
        </is>
      </c>
      <c r="P110" s="29" t="inlineStr">
        <is>
          <t>FAIR</t>
        </is>
      </c>
      <c r="Q110" s="29" t="inlineStr">
        <is>
          <t>FAIR</t>
        </is>
      </c>
      <c r="R110" s="29" t="inlineStr">
        <is>
          <t>0.5078538652826</t>
        </is>
      </c>
      <c r="S110" s="29" t="inlineStr">
        <is>
          <t>MEDIUM</t>
        </is>
      </c>
      <c r="T110" s="29" t="inlineStr">
        <is>
          <t>MEDIUM</t>
        </is>
      </c>
      <c r="U110" s="29" t="inlineStr">
        <is>
          <t>0.0</t>
        </is>
      </c>
      <c r="V110" s="29" t="inlineStr">
        <is>
          <t>LOW_RISK</t>
        </is>
      </c>
      <c r="W110" s="29" t="inlineStr">
        <is>
          <t>저위험</t>
        </is>
      </c>
      <c r="X110" s="29" t="inlineStr">
        <is>
          <t>LOW_RISK</t>
        </is>
      </c>
      <c r="Y110" s="29" t="inlineStr">
        <is>
          <t>0.8498731799769995</t>
        </is>
      </c>
      <c r="Z110" s="29" t="inlineStr">
        <is>
          <t>HIGH</t>
        </is>
      </c>
      <c r="AA110" s="29" t="inlineStr">
        <is>
          <t>HIGH</t>
        </is>
      </c>
      <c r="AB110" s="29" t="inlineStr">
        <is>
          <t>0.004189789054000619</t>
        </is>
      </c>
      <c r="AC110" s="29" t="inlineStr">
        <is>
          <t>False</t>
        </is>
      </c>
      <c r="AD110" s="29" t="inlineStr">
        <is>
          <t>False</t>
        </is>
      </c>
      <c r="AE110" s="29" t="inlineStr">
        <is>
          <t>valuation_credit_ml_overlay_candidate.csv</t>
        </is>
      </c>
      <c r="AF110" s="29" t="inlineStr">
        <is>
          <t>208개 반도체 reference universe. Valuation Agent가 자체 intake 폴더로 복제해 Peer/ML/대시보드 비교에 사용.</t>
        </is>
      </c>
    </row>
    <row r="111" ht="24" customHeight="1">
      <c r="A111" s="24" t="inlineStr">
        <is>
          <t>198</t>
        </is>
      </c>
      <c r="B111" s="24" t="inlineStr">
        <is>
          <t>해당 없음</t>
        </is>
      </c>
      <c r="C111" s="24" t="inlineStr">
        <is>
          <t>심텍홀딩스</t>
        </is>
      </c>
      <c r="D111" s="24" t="inlineStr">
        <is>
          <t>036710</t>
        </is>
      </c>
      <c r="E111" s="24" t="inlineStr">
        <is>
          <t>KOSDAQ</t>
        </is>
      </c>
      <c r="F111" s="24" t="inlineStr">
        <is>
          <t>부품/기판</t>
        </is>
      </c>
      <c r="G111" s="24" t="inlineStr">
        <is>
          <t>부품/기판</t>
        </is>
      </c>
      <c r="H111" s="24" t="inlineStr">
        <is>
          <t>False</t>
        </is>
      </c>
      <c r="I111" s="24" t="inlineStr">
        <is>
          <t>True</t>
        </is>
      </c>
      <c r="J111" s="24" t="inlineStr">
        <is>
          <t>OK</t>
        </is>
      </c>
      <c r="K111" s="24" t="inlineStr">
        <is>
          <t>데이터 사용 가능</t>
        </is>
      </c>
      <c r="L111" s="24" t="inlineStr">
        <is>
          <t>LOW</t>
        </is>
      </c>
      <c r="M111" s="24" t="inlineStr">
        <is>
          <t>LOW</t>
        </is>
      </c>
      <c r="N111" s="24" t="inlineStr">
        <is>
          <t>0.5323809523809524</t>
        </is>
      </c>
      <c r="O111" s="24" t="inlineStr">
        <is>
          <t>FAIR</t>
        </is>
      </c>
      <c r="P111" s="24" t="inlineStr">
        <is>
          <t>FAIR</t>
        </is>
      </c>
      <c r="Q111" s="24" t="inlineStr">
        <is>
          <t>FAIR</t>
        </is>
      </c>
      <c r="R111" s="24" t="inlineStr">
        <is>
          <t>0.726519318190825</t>
        </is>
      </c>
      <c r="S111" s="24" t="inlineStr">
        <is>
          <t>HIGH</t>
        </is>
      </c>
      <c r="T111" s="24" t="inlineStr">
        <is>
          <t>HIGH</t>
        </is>
      </c>
      <c r="U111" s="24" t="inlineStr">
        <is>
          <t>0.7857142857142857</t>
        </is>
      </c>
      <c r="V111" s="24" t="inlineStr">
        <is>
          <t>HIGH_RISK</t>
        </is>
      </c>
      <c r="W111" s="24" t="inlineStr">
        <is>
          <t>고위험</t>
        </is>
      </c>
      <c r="X111" s="24" t="inlineStr">
        <is>
          <t>HIGH_RISK</t>
        </is>
      </c>
      <c r="Y111" s="24" t="inlineStr">
        <is>
          <t>0.9494990496511118</t>
        </is>
      </c>
      <c r="Z111" s="24" t="inlineStr">
        <is>
          <t>HIGH</t>
        </is>
      </c>
      <c r="AA111" s="24" t="inlineStr">
        <is>
          <t>HIGH</t>
        </is>
      </c>
      <c r="AB111" s="24" t="inlineStr">
        <is>
          <t>0.2133344405871512</t>
        </is>
      </c>
      <c r="AC111" s="24" t="inlineStr">
        <is>
          <t>False</t>
        </is>
      </c>
      <c r="AD111" s="24" t="inlineStr">
        <is>
          <t>False</t>
        </is>
      </c>
      <c r="AE111" s="24" t="inlineStr">
        <is>
          <t>valuation_credit_ml_overlay_candidate.csv</t>
        </is>
      </c>
      <c r="AF111" s="24" t="inlineStr">
        <is>
          <t>208개 반도체 reference universe. Valuation Agent가 자체 intake 폴더로 복제해 Peer/ML/대시보드 비교에 사용.</t>
        </is>
      </c>
    </row>
    <row r="112" ht="24" customHeight="1">
      <c r="A112" s="29" t="inlineStr">
        <is>
          <t>201</t>
        </is>
      </c>
      <c r="B112" s="29" t="inlineStr">
        <is>
          <t>해당 없음</t>
        </is>
      </c>
      <c r="C112" s="29" t="inlineStr">
        <is>
          <t>엠디바이스</t>
        </is>
      </c>
      <c r="D112" s="29" t="inlineStr">
        <is>
          <t>226590</t>
        </is>
      </c>
      <c r="E112" s="29" t="inlineStr">
        <is>
          <t>KOSDAQ</t>
        </is>
      </c>
      <c r="F112" s="29" t="inlineStr">
        <is>
          <t>부품/기판</t>
        </is>
      </c>
      <c r="G112" s="29" t="inlineStr">
        <is>
          <t>부품/기판</t>
        </is>
      </c>
      <c r="H112" s="29" t="inlineStr">
        <is>
          <t>False</t>
        </is>
      </c>
      <c r="I112" s="29" t="inlineStr">
        <is>
          <t>True</t>
        </is>
      </c>
      <c r="J112" s="29" t="inlineStr">
        <is>
          <t>OK_LIMITED_HISTORY_OR_GROWTH_NA</t>
        </is>
      </c>
      <c r="K112" s="29" t="inlineStr">
        <is>
          <t>데이터 사용 가능</t>
        </is>
      </c>
      <c r="L112" s="29" t="inlineStr">
        <is>
          <t>LOW</t>
        </is>
      </c>
      <c r="M112" s="29" t="inlineStr">
        <is>
          <t>LOW</t>
        </is>
      </c>
      <c r="N112" s="29" t="inlineStr">
        <is>
          <t>0.531904761904762</t>
        </is>
      </c>
      <c r="O112" s="29" t="inlineStr">
        <is>
          <t>FAIR</t>
        </is>
      </c>
      <c r="P112" s="29" t="inlineStr">
        <is>
          <t>FAIR</t>
        </is>
      </c>
      <c r="Q112" s="29" t="inlineStr">
        <is>
          <t>FAIR</t>
        </is>
      </c>
      <c r="R112" s="29" t="inlineStr">
        <is>
          <t>0.7655361666958056</t>
        </is>
      </c>
      <c r="S112" s="29" t="inlineStr">
        <is>
          <t>HIGH</t>
        </is>
      </c>
      <c r="T112" s="29" t="inlineStr">
        <is>
          <t>HIGH</t>
        </is>
      </c>
      <c r="U112" s="29" t="inlineStr">
        <is>
          <t>0.4285714285714285</t>
        </is>
      </c>
      <c r="V112" s="29" t="inlineStr">
        <is>
          <t>HIGH_RISK</t>
        </is>
      </c>
      <c r="W112" s="29" t="inlineStr">
        <is>
          <t>고위험</t>
        </is>
      </c>
      <c r="X112" s="29" t="inlineStr">
        <is>
          <t>HIGH_RISK</t>
        </is>
      </c>
      <c r="Y112" s="29" t="inlineStr">
        <is>
          <t>0.5435613311923726</t>
        </is>
      </c>
      <c r="Z112" s="29" t="inlineStr">
        <is>
          <t>MEDIUM</t>
        </is>
      </c>
      <c r="AA112" s="29" t="inlineStr">
        <is>
          <t>MEDIUM</t>
        </is>
      </c>
      <c r="AB112" s="29" t="inlineStr">
        <is>
          <t>0.09953338023728169</t>
        </is>
      </c>
      <c r="AC112" s="29" t="inlineStr">
        <is>
          <t>False</t>
        </is>
      </c>
      <c r="AD112" s="29" t="inlineStr">
        <is>
          <t>True</t>
        </is>
      </c>
      <c r="AE112" s="29" t="inlineStr">
        <is>
          <t>valuation_credit_ml_overlay_candidate.csv</t>
        </is>
      </c>
      <c r="AF112" s="29" t="inlineStr">
        <is>
          <t>208개 반도체 reference universe. Valuation Agent가 자체 intake 폴더로 복제해 Peer/ML/대시보드 비교에 사용.</t>
        </is>
      </c>
    </row>
    <row r="113" ht="24" customHeight="1">
      <c r="A113" s="24" t="inlineStr">
        <is>
          <t>207</t>
        </is>
      </c>
      <c r="B113" s="24" t="inlineStr">
        <is>
          <t>해당 없음</t>
        </is>
      </c>
      <c r="C113" s="24" t="inlineStr">
        <is>
          <t>타이거일렉</t>
        </is>
      </c>
      <c r="D113" s="24" t="inlineStr">
        <is>
          <t>219130</t>
        </is>
      </c>
      <c r="E113" s="24" t="inlineStr">
        <is>
          <t>KOSDAQ</t>
        </is>
      </c>
      <c r="F113" s="24" t="inlineStr">
        <is>
          <t>부품/기판</t>
        </is>
      </c>
      <c r="G113" s="24" t="inlineStr">
        <is>
          <t>부품/기판</t>
        </is>
      </c>
      <c r="H113" s="24" t="inlineStr">
        <is>
          <t>False</t>
        </is>
      </c>
      <c r="I113" s="24" t="inlineStr">
        <is>
          <t>True</t>
        </is>
      </c>
      <c r="J113" s="24" t="inlineStr">
        <is>
          <t>OK</t>
        </is>
      </c>
      <c r="K113" s="24" t="inlineStr">
        <is>
          <t>데이터 사용 가능</t>
        </is>
      </c>
      <c r="L113" s="24" t="inlineStr">
        <is>
          <t>LOW</t>
        </is>
      </c>
      <c r="M113" s="24" t="inlineStr">
        <is>
          <t>LOW</t>
        </is>
      </c>
      <c r="N113" s="24" t="inlineStr">
        <is>
          <t>0.5066666666666667</t>
        </is>
      </c>
      <c r="O113" s="24" t="inlineStr">
        <is>
          <t>FAIR</t>
        </is>
      </c>
      <c r="P113" s="24" t="inlineStr">
        <is>
          <t>FAIR</t>
        </is>
      </c>
      <c r="Q113" s="24" t="inlineStr">
        <is>
          <t>FAIR</t>
        </is>
      </c>
      <c r="R113" s="24" t="inlineStr">
        <is>
          <t>0.6463040733623892</t>
        </is>
      </c>
      <c r="S113" s="24" t="inlineStr">
        <is>
          <t>MEDIUM</t>
        </is>
      </c>
      <c r="T113" s="24" t="inlineStr">
        <is>
          <t>MEDIUM</t>
        </is>
      </c>
      <c r="U113" s="24" t="inlineStr">
        <is>
          <t>0.1428571428571428</t>
        </is>
      </c>
      <c r="V113" s="24" t="inlineStr">
        <is>
          <t>LOW_RISK</t>
        </is>
      </c>
      <c r="W113" s="24" t="inlineStr">
        <is>
          <t>저위험</t>
        </is>
      </c>
      <c r="X113" s="24" t="inlineStr">
        <is>
          <t>LOW_RISK</t>
        </is>
      </c>
      <c r="Y113" s="24" t="inlineStr">
        <is>
          <t>0.6693838501840603</t>
        </is>
      </c>
      <c r="Z113" s="24" t="inlineStr">
        <is>
          <t>MEDIUM</t>
        </is>
      </c>
      <c r="AA113" s="24" t="inlineStr">
        <is>
          <t>MEDIUM</t>
        </is>
      </c>
      <c r="AB113" s="24" t="inlineStr">
        <is>
          <t>0.019101509586453232</t>
        </is>
      </c>
      <c r="AC113" s="24" t="inlineStr">
        <is>
          <t>False</t>
        </is>
      </c>
      <c r="AD113" s="24" t="inlineStr">
        <is>
          <t>False</t>
        </is>
      </c>
      <c r="AE113" s="24" t="inlineStr">
        <is>
          <t>valuation_credit_ml_overlay_candidate.csv</t>
        </is>
      </c>
      <c r="AF113" s="24" t="inlineStr">
        <is>
          <t>208개 반도체 reference universe. Valuation Agent가 자체 intake 폴더로 복제해 Peer/ML/대시보드 비교에 사용.</t>
        </is>
      </c>
    </row>
    <row r="114" ht="24" customHeight="1">
      <c r="A114" s="29" t="inlineStr">
        <is>
          <t>202</t>
        </is>
      </c>
      <c r="B114" s="29" t="inlineStr">
        <is>
          <t>해당 없음</t>
        </is>
      </c>
      <c r="C114" s="29" t="inlineStr">
        <is>
          <t>이수페타시스</t>
        </is>
      </c>
      <c r="D114" s="29" t="inlineStr">
        <is>
          <t>007660</t>
        </is>
      </c>
      <c r="E114" s="29" t="inlineStr">
        <is>
          <t>KOSPI</t>
        </is>
      </c>
      <c r="F114" s="29" t="inlineStr">
        <is>
          <t>부품/기판</t>
        </is>
      </c>
      <c r="G114" s="29" t="inlineStr">
        <is>
          <t>부품/기판</t>
        </is>
      </c>
      <c r="H114" s="29" t="inlineStr">
        <is>
          <t>False</t>
        </is>
      </c>
      <c r="I114" s="29" t="inlineStr">
        <is>
          <t>True</t>
        </is>
      </c>
      <c r="J114" s="29" t="inlineStr">
        <is>
          <t>OK</t>
        </is>
      </c>
      <c r="K114" s="29" t="inlineStr">
        <is>
          <t>데이터 사용 가능</t>
        </is>
      </c>
      <c r="L114" s="29" t="inlineStr">
        <is>
          <t>LOW</t>
        </is>
      </c>
      <c r="M114" s="29" t="inlineStr">
        <is>
          <t>LOW</t>
        </is>
      </c>
      <c r="N114" s="29" t="inlineStr">
        <is>
          <t>0.5061904761904762</t>
        </is>
      </c>
      <c r="O114" s="29" t="inlineStr">
        <is>
          <t>FAIR</t>
        </is>
      </c>
      <c r="P114" s="29" t="inlineStr">
        <is>
          <t>FAIR</t>
        </is>
      </c>
      <c r="Q114" s="29" t="inlineStr">
        <is>
          <t>FAIR</t>
        </is>
      </c>
      <c r="R114" s="29" t="inlineStr">
        <is>
          <t>0.599589540069591</t>
        </is>
      </c>
      <c r="S114" s="29" t="inlineStr">
        <is>
          <t>MEDIUM</t>
        </is>
      </c>
      <c r="T114" s="29" t="inlineStr">
        <is>
          <t>MEDIUM</t>
        </is>
      </c>
      <c r="U114" s="29" t="inlineStr">
        <is>
          <t>0.0</t>
        </is>
      </c>
      <c r="V114" s="29" t="inlineStr">
        <is>
          <t>LOW_RISK</t>
        </is>
      </c>
      <c r="W114" s="29" t="inlineStr">
        <is>
          <t>저위험</t>
        </is>
      </c>
      <c r="X114" s="29" t="inlineStr">
        <is>
          <t>LOW_RISK</t>
        </is>
      </c>
      <c r="Y114" s="29" t="inlineStr">
        <is>
          <t>0.8732919913777979</t>
        </is>
      </c>
      <c r="Z114" s="29" t="inlineStr">
        <is>
          <t>HIGH</t>
        </is>
      </c>
      <c r="AA114" s="29" t="inlineStr">
        <is>
          <t>HIGH</t>
        </is>
      </c>
      <c r="AB114" s="29" t="inlineStr">
        <is>
          <t>0.038896158054804106</t>
        </is>
      </c>
      <c r="AC114" s="29" t="inlineStr">
        <is>
          <t>False</t>
        </is>
      </c>
      <c r="AD114" s="29" t="inlineStr">
        <is>
          <t>False</t>
        </is>
      </c>
      <c r="AE114" s="29" t="inlineStr">
        <is>
          <t>valuation_credit_ml_overlay_candidate.csv</t>
        </is>
      </c>
      <c r="AF114" s="29" t="inlineStr">
        <is>
          <t>208개 반도체 reference universe. Valuation Agent가 자체 intake 폴더로 복제해 Peer/ML/대시보드 비교에 사용.</t>
        </is>
      </c>
    </row>
    <row r="115" ht="24" customHeight="1">
      <c r="A115" s="24" t="inlineStr">
        <is>
          <t>205</t>
        </is>
      </c>
      <c r="B115" s="24" t="inlineStr">
        <is>
          <t>해당 없음</t>
        </is>
      </c>
      <c r="C115" s="24" t="inlineStr">
        <is>
          <t>코리아써키트</t>
        </is>
      </c>
      <c r="D115" s="24" t="inlineStr">
        <is>
          <t>007810</t>
        </is>
      </c>
      <c r="E115" s="24" t="inlineStr">
        <is>
          <t>KOSPI</t>
        </is>
      </c>
      <c r="F115" s="24" t="inlineStr">
        <is>
          <t>부품/기판</t>
        </is>
      </c>
      <c r="G115" s="24" t="inlineStr">
        <is>
          <t>부품/기판</t>
        </is>
      </c>
      <c r="H115" s="24" t="inlineStr">
        <is>
          <t>False</t>
        </is>
      </c>
      <c r="I115" s="24" t="inlineStr">
        <is>
          <t>True</t>
        </is>
      </c>
      <c r="J115" s="24" t="inlineStr">
        <is>
          <t>OK</t>
        </is>
      </c>
      <c r="K115" s="24" t="inlineStr">
        <is>
          <t>데이터 사용 가능</t>
        </is>
      </c>
      <c r="L115" s="24" t="inlineStr">
        <is>
          <t>LOW</t>
        </is>
      </c>
      <c r="M115" s="24" t="inlineStr">
        <is>
          <t>LOW</t>
        </is>
      </c>
      <c r="N115" s="24" t="inlineStr">
        <is>
          <t>0.4676190476190476</t>
        </is>
      </c>
      <c r="O115" s="24" t="inlineStr">
        <is>
          <t>FAIR</t>
        </is>
      </c>
      <c r="P115" s="24" t="inlineStr">
        <is>
          <t>FAIR</t>
        </is>
      </c>
      <c r="Q115" s="24" t="inlineStr">
        <is>
          <t>FAIR</t>
        </is>
      </c>
      <c r="R115" s="24" t="inlineStr">
        <is>
          <t>0.8409076697911426</t>
        </is>
      </c>
      <c r="S115" s="24" t="inlineStr">
        <is>
          <t>HIGH</t>
        </is>
      </c>
      <c r="T115" s="24" t="inlineStr">
        <is>
          <t>HIGH</t>
        </is>
      </c>
      <c r="U115" s="24" t="inlineStr">
        <is>
          <t>0.2857142857142857</t>
        </is>
      </c>
      <c r="V115" s="24" t="inlineStr">
        <is>
          <t>MEDIUM_RISK</t>
        </is>
      </c>
      <c r="W115" s="24" t="inlineStr">
        <is>
          <t>중위험</t>
        </is>
      </c>
      <c r="X115" s="24" t="inlineStr">
        <is>
          <t>LOW_RISK</t>
        </is>
      </c>
      <c r="Y115" s="24" t="inlineStr">
        <is>
          <t>0.5792263126697852</t>
        </is>
      </c>
      <c r="Z115" s="24" t="inlineStr">
        <is>
          <t>MEDIUM</t>
        </is>
      </c>
      <c r="AA115" s="24" t="inlineStr">
        <is>
          <t>MEDIUM</t>
        </is>
      </c>
      <c r="AB115" s="24" t="inlineStr">
        <is>
          <t>0.03298450854390864</t>
        </is>
      </c>
      <c r="AC115" s="24" t="inlineStr">
        <is>
          <t>False</t>
        </is>
      </c>
      <c r="AD115" s="24" t="inlineStr">
        <is>
          <t>False</t>
        </is>
      </c>
      <c r="AE115" s="24" t="inlineStr">
        <is>
          <t>valuation_credit_ml_overlay_candidate.csv</t>
        </is>
      </c>
      <c r="AF115" s="24" t="inlineStr">
        <is>
          <t>208개 반도체 reference universe. Valuation Agent가 자체 intake 폴더로 복제해 Peer/ML/대시보드 비교에 사용.</t>
        </is>
      </c>
    </row>
    <row r="116" ht="24" customHeight="1">
      <c r="A116" s="29" t="inlineStr">
        <is>
          <t>200</t>
        </is>
      </c>
      <c r="B116" s="29" t="inlineStr">
        <is>
          <t>해당 없음</t>
        </is>
      </c>
      <c r="C116" s="29" t="inlineStr">
        <is>
          <t>아이티엠반도체</t>
        </is>
      </c>
      <c r="D116" s="29" t="inlineStr">
        <is>
          <t>084850</t>
        </is>
      </c>
      <c r="E116" s="29" t="inlineStr">
        <is>
          <t>KOSDAQ GLOBAL</t>
        </is>
      </c>
      <c r="F116" s="29" t="inlineStr">
        <is>
          <t>부품/기판</t>
        </is>
      </c>
      <c r="G116" s="29" t="inlineStr">
        <is>
          <t>부품/기판</t>
        </is>
      </c>
      <c r="H116" s="29" t="inlineStr">
        <is>
          <t>False</t>
        </is>
      </c>
      <c r="I116" s="29" t="inlineStr">
        <is>
          <t>True</t>
        </is>
      </c>
      <c r="J116" s="29" t="inlineStr">
        <is>
          <t>OK</t>
        </is>
      </c>
      <c r="K116" s="29" t="inlineStr">
        <is>
          <t>데이터 사용 가능</t>
        </is>
      </c>
      <c r="L116" s="29" t="inlineStr">
        <is>
          <t>LOW</t>
        </is>
      </c>
      <c r="M116" s="29" t="inlineStr">
        <is>
          <t>LOW</t>
        </is>
      </c>
      <c r="N116" s="29" t="inlineStr">
        <is>
          <t>0.4123809523809524</t>
        </is>
      </c>
      <c r="O116" s="29" t="inlineStr">
        <is>
          <t>EXPENSIVE</t>
        </is>
      </c>
      <c r="P116" s="29" t="inlineStr">
        <is>
          <t>EXPENSIVE</t>
        </is>
      </c>
      <c r="Q116" s="29" t="inlineStr">
        <is>
          <t>EXPENSIVE</t>
        </is>
      </c>
      <c r="R116" s="29" t="inlineStr">
        <is>
          <t>0.599341656390115</t>
        </is>
      </c>
      <c r="S116" s="29" t="inlineStr">
        <is>
          <t>MEDIUM</t>
        </is>
      </c>
      <c r="T116" s="29" t="inlineStr">
        <is>
          <t>MEDIUM</t>
        </is>
      </c>
      <c r="U116" s="29" t="inlineStr">
        <is>
          <t>0.5</t>
        </is>
      </c>
      <c r="V116" s="29" t="inlineStr">
        <is>
          <t>HIGH_RISK</t>
        </is>
      </c>
      <c r="W116" s="29" t="inlineStr">
        <is>
          <t>고위험</t>
        </is>
      </c>
      <c r="X116" s="29" t="inlineStr">
        <is>
          <t>HIGH_RISK</t>
        </is>
      </c>
      <c r="Y116" s="29" t="inlineStr">
        <is>
          <t>0.5842218052758918</t>
        </is>
      </c>
      <c r="Z116" s="29" t="inlineStr">
        <is>
          <t>MEDIUM</t>
        </is>
      </c>
      <c r="AA116" s="29" t="inlineStr">
        <is>
          <t>MEDIUM</t>
        </is>
      </c>
      <c r="AB116" s="29" t="inlineStr">
        <is>
          <t>0.24031195088694401</t>
        </is>
      </c>
      <c r="AC116" s="29" t="inlineStr">
        <is>
          <t>True</t>
        </is>
      </c>
      <c r="AD116" s="29" t="inlineStr">
        <is>
          <t>True</t>
        </is>
      </c>
      <c r="AE116" s="29" t="inlineStr">
        <is>
          <t>valuation_credit_ml_overlay_candidate.csv</t>
        </is>
      </c>
      <c r="AF116" s="29" t="inlineStr">
        <is>
          <t>208개 반도체 reference universe. Valuation Agent가 자체 intake 폴더로 복제해 Peer/ML/대시보드 비교에 사용.</t>
        </is>
      </c>
    </row>
    <row r="117" ht="24" customHeight="1">
      <c r="A117" s="24" t="inlineStr">
        <is>
          <t>195</t>
        </is>
      </c>
      <c r="B117" s="24" t="inlineStr">
        <is>
          <t>해당 없음</t>
        </is>
      </c>
      <c r="C117" s="24" t="inlineStr">
        <is>
          <t>대덕전자</t>
        </is>
      </c>
      <c r="D117" s="24" t="inlineStr">
        <is>
          <t>353200</t>
        </is>
      </c>
      <c r="E117" s="24" t="inlineStr">
        <is>
          <t>KOSPI</t>
        </is>
      </c>
      <c r="F117" s="24" t="inlineStr">
        <is>
          <t>부품/기판</t>
        </is>
      </c>
      <c r="G117" s="24" t="inlineStr">
        <is>
          <t>부품/기판</t>
        </is>
      </c>
      <c r="H117" s="24" t="inlineStr">
        <is>
          <t>False</t>
        </is>
      </c>
      <c r="I117" s="24" t="inlineStr">
        <is>
          <t>True</t>
        </is>
      </c>
      <c r="J117" s="24" t="inlineStr">
        <is>
          <t>OK</t>
        </is>
      </c>
      <c r="K117" s="24" t="inlineStr">
        <is>
          <t>데이터 사용 가능</t>
        </is>
      </c>
      <c r="L117" s="24" t="inlineStr">
        <is>
          <t>LOW</t>
        </is>
      </c>
      <c r="M117" s="24" t="inlineStr">
        <is>
          <t>LOW</t>
        </is>
      </c>
      <c r="N117" s="24" t="inlineStr">
        <is>
          <t>0.3966666666666666</t>
        </is>
      </c>
      <c r="O117" s="24" t="inlineStr">
        <is>
          <t>EXPENSIVE</t>
        </is>
      </c>
      <c r="P117" s="24" t="inlineStr">
        <is>
          <t>EXPENSIVE</t>
        </is>
      </c>
      <c r="Q117" s="24" t="inlineStr">
        <is>
          <t>EXPENSIVE</t>
        </is>
      </c>
      <c r="R117" s="24" t="inlineStr">
        <is>
          <t>0.6645756407915718</t>
        </is>
      </c>
      <c r="S117" s="24" t="inlineStr">
        <is>
          <t>MEDIUM</t>
        </is>
      </c>
      <c r="T117" s="24" t="inlineStr">
        <is>
          <t>MEDIUM</t>
        </is>
      </c>
      <c r="U117" s="24" t="inlineStr">
        <is>
          <t>0.1428571428571428</t>
        </is>
      </c>
      <c r="V117" s="24" t="inlineStr">
        <is>
          <t>LOW_RISK</t>
        </is>
      </c>
      <c r="W117" s="24" t="inlineStr">
        <is>
          <t>저위험</t>
        </is>
      </c>
      <c r="X117" s="24" t="inlineStr">
        <is>
          <t>LOW_RISK</t>
        </is>
      </c>
      <c r="Y117" s="24" t="inlineStr">
        <is>
          <t>0.8790575945794377</t>
        </is>
      </c>
      <c r="Z117" s="24" t="inlineStr">
        <is>
          <t>HIGH</t>
        </is>
      </c>
      <c r="AA117" s="24" t="inlineStr">
        <is>
          <t>HIGH</t>
        </is>
      </c>
      <c r="AB117" s="24" t="inlineStr">
        <is>
          <t>0.04079572535822507</t>
        </is>
      </c>
      <c r="AC117" s="24" t="inlineStr">
        <is>
          <t>False</t>
        </is>
      </c>
      <c r="AD117" s="24" t="inlineStr">
        <is>
          <t>False</t>
        </is>
      </c>
      <c r="AE117" s="24" t="inlineStr">
        <is>
          <t>valuation_credit_ml_overlay_candidate.csv</t>
        </is>
      </c>
      <c r="AF117" s="24" t="inlineStr">
        <is>
          <t>208개 반도체 reference universe. Valuation Agent가 자체 intake 폴더로 복제해 Peer/ML/대시보드 비교에 사용.</t>
        </is>
      </c>
    </row>
    <row r="118" ht="24" customHeight="1">
      <c r="A118" s="29" t="inlineStr">
        <is>
          <t>197</t>
        </is>
      </c>
      <c r="B118" s="29" t="inlineStr">
        <is>
          <t>해당 없음</t>
        </is>
      </c>
      <c r="C118" s="29" t="inlineStr">
        <is>
          <t>심텍</t>
        </is>
      </c>
      <c r="D118" s="29" t="inlineStr">
        <is>
          <t>222800</t>
        </is>
      </c>
      <c r="E118" s="29" t="inlineStr">
        <is>
          <t>KOSDAQ GLOBAL</t>
        </is>
      </c>
      <c r="F118" s="29" t="inlineStr">
        <is>
          <t>부품/기판</t>
        </is>
      </c>
      <c r="G118" s="29" t="inlineStr">
        <is>
          <t>부품/기판</t>
        </is>
      </c>
      <c r="H118" s="29" t="inlineStr">
        <is>
          <t>False</t>
        </is>
      </c>
      <c r="I118" s="29" t="inlineStr">
        <is>
          <t>True</t>
        </is>
      </c>
      <c r="J118" s="29" t="inlineStr">
        <is>
          <t>OK</t>
        </is>
      </c>
      <c r="K118" s="29" t="inlineStr">
        <is>
          <t>데이터 사용 가능</t>
        </is>
      </c>
      <c r="L118" s="29" t="inlineStr">
        <is>
          <t>LOW</t>
        </is>
      </c>
      <c r="M118" s="29" t="inlineStr">
        <is>
          <t>LOW</t>
        </is>
      </c>
      <c r="N118" s="29" t="inlineStr">
        <is>
          <t>0.3776190476190476</t>
        </is>
      </c>
      <c r="O118" s="29" t="inlineStr">
        <is>
          <t>EXPENSIVE</t>
        </is>
      </c>
      <c r="P118" s="29" t="inlineStr">
        <is>
          <t>EXPENSIVE</t>
        </is>
      </c>
      <c r="Q118" s="29" t="inlineStr">
        <is>
          <t>EXPENSIVE</t>
        </is>
      </c>
      <c r="R118" s="29" t="inlineStr">
        <is>
          <t>0.5170784842162837</t>
        </is>
      </c>
      <c r="S118" s="29" t="inlineStr">
        <is>
          <t>MEDIUM</t>
        </is>
      </c>
      <c r="T118" s="29" t="inlineStr">
        <is>
          <t>MEDIUM</t>
        </is>
      </c>
      <c r="U118" s="29" t="inlineStr">
        <is>
          <t>0.5714285714285714</t>
        </is>
      </c>
      <c r="V118" s="29" t="inlineStr">
        <is>
          <t>HIGH_RISK</t>
        </is>
      </c>
      <c r="W118" s="29" t="inlineStr">
        <is>
          <t>고위험</t>
        </is>
      </c>
      <c r="X118" s="29" t="inlineStr">
        <is>
          <t>HIGH_RISK</t>
        </is>
      </c>
      <c r="Y118" s="29" t="inlineStr">
        <is>
          <t>0.8465973773812472</t>
        </is>
      </c>
      <c r="Z118" s="29" t="inlineStr">
        <is>
          <t>HIGH</t>
        </is>
      </c>
      <c r="AA118" s="29" t="inlineStr">
        <is>
          <t>HIGH</t>
        </is>
      </c>
      <c r="AB118" s="29" t="inlineStr">
        <is>
          <t>0.10596332114746113</t>
        </is>
      </c>
      <c r="AC118" s="29" t="inlineStr">
        <is>
          <t>False</t>
        </is>
      </c>
      <c r="AD118" s="29" t="inlineStr">
        <is>
          <t>False</t>
        </is>
      </c>
      <c r="AE118" s="29" t="inlineStr">
        <is>
          <t>valuation_credit_ml_overlay_candidate.csv</t>
        </is>
      </c>
      <c r="AF118" s="29" t="inlineStr">
        <is>
          <t>208개 반도체 reference universe. Valuation Agent가 자체 intake 폴더로 복제해 Peer/ML/대시보드 비교에 사용.</t>
        </is>
      </c>
    </row>
    <row r="119" ht="24" customHeight="1">
      <c r="A119" s="24" t="inlineStr">
        <is>
          <t>199</t>
        </is>
      </c>
      <c r="B119" s="24" t="inlineStr">
        <is>
          <t>해당 없음</t>
        </is>
      </c>
      <c r="C119" s="24" t="inlineStr">
        <is>
          <t>아이에이</t>
        </is>
      </c>
      <c r="D119" s="24" t="inlineStr">
        <is>
          <t>038880</t>
        </is>
      </c>
      <c r="E119" s="24" t="inlineStr">
        <is>
          <t>KOSDAQ</t>
        </is>
      </c>
      <c r="F119" s="24" t="inlineStr">
        <is>
          <t>부품/기판</t>
        </is>
      </c>
      <c r="G119" s="24" t="inlineStr">
        <is>
          <t>부품/기판</t>
        </is>
      </c>
      <c r="H119" s="24" t="inlineStr">
        <is>
          <t>False</t>
        </is>
      </c>
      <c r="I119" s="24" t="inlineStr">
        <is>
          <t>True</t>
        </is>
      </c>
      <c r="J119" s="24" t="inlineStr">
        <is>
          <t>OK</t>
        </is>
      </c>
      <c r="K119" s="24" t="inlineStr">
        <is>
          <t>데이터 사용 가능</t>
        </is>
      </c>
      <c r="L119" s="24" t="inlineStr">
        <is>
          <t>LOW</t>
        </is>
      </c>
      <c r="M119" s="24" t="inlineStr">
        <is>
          <t>LOW</t>
        </is>
      </c>
      <c r="N119" s="24" t="inlineStr">
        <is>
          <t>0.3776190476190476</t>
        </is>
      </c>
      <c r="O119" s="24" t="inlineStr">
        <is>
          <t>EXPENSIVE</t>
        </is>
      </c>
      <c r="P119" s="24" t="inlineStr">
        <is>
          <t>EXPENSIVE</t>
        </is>
      </c>
      <c r="Q119" s="24" t="inlineStr">
        <is>
          <t>EXPENSIVE</t>
        </is>
      </c>
      <c r="R119" s="24" t="inlineStr">
        <is>
          <t>0.7739089828714508</t>
        </is>
      </c>
      <c r="S119" s="24" t="inlineStr">
        <is>
          <t>HIGH</t>
        </is>
      </c>
      <c r="T119" s="24" t="inlineStr">
        <is>
          <t>HIGH</t>
        </is>
      </c>
      <c r="U119" s="24" t="inlineStr">
        <is>
          <t>0.7142857142857143</t>
        </is>
      </c>
      <c r="V119" s="24" t="inlineStr">
        <is>
          <t>HIGH_RISK</t>
        </is>
      </c>
      <c r="W119" s="24" t="inlineStr">
        <is>
          <t>고위험</t>
        </is>
      </c>
      <c r="X119" s="24" t="inlineStr">
        <is>
          <t>HIGH_RISK</t>
        </is>
      </c>
      <c r="Y119" s="24" t="inlineStr">
        <is>
          <t>0.9768034906818953</t>
        </is>
      </c>
      <c r="Z119" s="24" t="inlineStr">
        <is>
          <t>HIGH</t>
        </is>
      </c>
      <c r="AA119" s="24" t="inlineStr">
        <is>
          <t>HIGH</t>
        </is>
      </c>
      <c r="AB119" s="24" t="inlineStr">
        <is>
          <t>0.2681205370430481</t>
        </is>
      </c>
      <c r="AC119" s="24" t="inlineStr">
        <is>
          <t>True</t>
        </is>
      </c>
      <c r="AD119" s="24" t="inlineStr">
        <is>
          <t>True</t>
        </is>
      </c>
      <c r="AE119" s="24" t="inlineStr">
        <is>
          <t>valuation_credit_ml_overlay_candidate.csv</t>
        </is>
      </c>
      <c r="AF119" s="24" t="inlineStr">
        <is>
          <t>208개 반도체 reference universe. Valuation Agent가 자체 intake 폴더로 복제해 Peer/ML/대시보드 비교에 사용.</t>
        </is>
      </c>
    </row>
    <row r="120" ht="24" customHeight="1">
      <c r="A120" s="29" t="inlineStr">
        <is>
          <t>208</t>
        </is>
      </c>
      <c r="B120" s="29" t="inlineStr">
        <is>
          <t>해당 없음</t>
        </is>
      </c>
      <c r="C120" s="29" t="inlineStr">
        <is>
          <t>3S</t>
        </is>
      </c>
      <c r="D120" s="29" t="inlineStr">
        <is>
          <t>060310</t>
        </is>
      </c>
      <c r="E120" s="29" t="inlineStr">
        <is>
          <t>KOSDAQ</t>
        </is>
      </c>
      <c r="F120" s="29" t="inlineStr">
        <is>
          <t>부품/기판</t>
        </is>
      </c>
      <c r="G120" s="29" t="inlineStr">
        <is>
          <t>부품/웨이퍼캐리어</t>
        </is>
      </c>
      <c r="H120" s="29" t="inlineStr">
        <is>
          <t>False</t>
        </is>
      </c>
      <c r="I120" s="29" t="inlineStr">
        <is>
          <t>True</t>
        </is>
      </c>
      <c r="J120" s="29" t="inlineStr">
        <is>
          <t>OK</t>
        </is>
      </c>
      <c r="K120" s="29" t="inlineStr">
        <is>
          <t>데이터 사용 가능</t>
        </is>
      </c>
      <c r="L120" s="29" t="inlineStr">
        <is>
          <t>LOW</t>
        </is>
      </c>
      <c r="M120" s="29" t="inlineStr">
        <is>
          <t>LOW</t>
        </is>
      </c>
      <c r="N120" s="29" t="inlineStr">
        <is>
          <t>0.3409523809523809</t>
        </is>
      </c>
      <c r="O120" s="29" t="inlineStr">
        <is>
          <t>EXPENSIVE</t>
        </is>
      </c>
      <c r="P120" s="29" t="inlineStr">
        <is>
          <t>EXPENSIVE</t>
        </is>
      </c>
      <c r="Q120" s="29" t="inlineStr">
        <is>
          <t>EXPENSIVE</t>
        </is>
      </c>
      <c r="R120" s="29" t="inlineStr">
        <is>
          <t>0.8755971854841007</t>
        </is>
      </c>
      <c r="S120" s="29" t="inlineStr">
        <is>
          <t>HIGH</t>
        </is>
      </c>
      <c r="T120" s="29" t="inlineStr">
        <is>
          <t>HIGH</t>
        </is>
      </c>
      <c r="U120" s="29" t="inlineStr">
        <is>
          <t>0.5714285714285714</t>
        </is>
      </c>
      <c r="V120" s="29" t="inlineStr">
        <is>
          <t>HIGH_RISK</t>
        </is>
      </c>
      <c r="W120" s="29" t="inlineStr">
        <is>
          <t>고위험</t>
        </is>
      </c>
      <c r="X120" s="29" t="inlineStr">
        <is>
          <t>HIGH_RISK</t>
        </is>
      </c>
      <c r="Y120" s="29" t="inlineStr">
        <is>
          <t>0.9688627439088098</t>
        </is>
      </c>
      <c r="Z120" s="29" t="inlineStr">
        <is>
          <t>HIGH</t>
        </is>
      </c>
      <c r="AA120" s="29" t="inlineStr">
        <is>
          <t>HIGH</t>
        </is>
      </c>
      <c r="AB120" s="29" t="inlineStr">
        <is>
          <t>0.13174199880530135</t>
        </is>
      </c>
      <c r="AC120" s="29" t="inlineStr">
        <is>
          <t>False</t>
        </is>
      </c>
      <c r="AD120" s="29" t="inlineStr">
        <is>
          <t>False</t>
        </is>
      </c>
      <c r="AE120" s="29" t="inlineStr">
        <is>
          <t>valuation_credit_ml_overlay_candidate.csv</t>
        </is>
      </c>
      <c r="AF120" s="29" t="inlineStr">
        <is>
          <t>208개 반도체 reference universe. Valuation Agent가 자체 intake 폴더로 복제해 Peer/ML/대시보드 비교에 사용.</t>
        </is>
      </c>
    </row>
    <row r="121" ht="24" customHeight="1">
      <c r="A121" s="24" t="inlineStr">
        <is>
          <t>139</t>
        </is>
      </c>
      <c r="B121" s="24" t="inlineStr">
        <is>
          <t>해당 없음</t>
        </is>
      </c>
      <c r="C121" s="24" t="inlineStr">
        <is>
          <t>월덱스</t>
        </is>
      </c>
      <c r="D121" s="24" t="inlineStr">
        <is>
          <t>101160</t>
        </is>
      </c>
      <c r="E121" s="24" t="inlineStr">
        <is>
          <t>KOSDAQ</t>
        </is>
      </c>
      <c r="F121" s="24" t="inlineStr">
        <is>
          <t>소재</t>
        </is>
      </c>
      <c r="G121" s="24" t="inlineStr">
        <is>
          <t>소재</t>
        </is>
      </c>
      <c r="H121" s="24" t="inlineStr">
        <is>
          <t>False</t>
        </is>
      </c>
      <c r="I121" s="24" t="inlineStr">
        <is>
          <t>True</t>
        </is>
      </c>
      <c r="J121" s="24" t="inlineStr">
        <is>
          <t>OK</t>
        </is>
      </c>
      <c r="K121" s="24" t="inlineStr">
        <is>
          <t>데이터 사용 가능</t>
        </is>
      </c>
      <c r="L121" s="24" t="inlineStr">
        <is>
          <t>LOW</t>
        </is>
      </c>
      <c r="M121" s="24" t="inlineStr">
        <is>
          <t>LOW</t>
        </is>
      </c>
      <c r="N121" s="24" t="inlineStr">
        <is>
          <t>0.745897435897436</t>
        </is>
      </c>
      <c r="O121" s="24" t="inlineStr">
        <is>
          <t>ATTRACTIVE</t>
        </is>
      </c>
      <c r="P121" s="24" t="inlineStr">
        <is>
          <t>가치 매력</t>
        </is>
      </c>
      <c r="Q121" s="24" t="inlineStr">
        <is>
          <t>ATTRACTIVE</t>
        </is>
      </c>
      <c r="R121" s="24" t="inlineStr">
        <is>
          <t>0.9476922450763601</t>
        </is>
      </c>
      <c r="S121" s="24" t="inlineStr">
        <is>
          <t>HIGH</t>
        </is>
      </c>
      <c r="T121" s="24" t="inlineStr">
        <is>
          <t>HIGH</t>
        </is>
      </c>
      <c r="U121" s="24" t="inlineStr">
        <is>
          <t>0.0</t>
        </is>
      </c>
      <c r="V121" s="24" t="inlineStr">
        <is>
          <t>LOW_RISK</t>
        </is>
      </c>
      <c r="W121" s="24" t="inlineStr">
        <is>
          <t>저위험</t>
        </is>
      </c>
      <c r="X121" s="24" t="inlineStr">
        <is>
          <t>LOW_RISK</t>
        </is>
      </c>
      <c r="Y121" s="24" t="inlineStr">
        <is>
          <t>0.9681016473230849</t>
        </is>
      </c>
      <c r="Z121" s="24" t="inlineStr">
        <is>
          <t>HIGH</t>
        </is>
      </c>
      <c r="AA121" s="24" t="inlineStr">
        <is>
          <t>HIGH</t>
        </is>
      </c>
      <c r="AB121" s="24" t="inlineStr">
        <is>
          <t>0.15527064195126172</t>
        </is>
      </c>
      <c r="AC121" s="24" t="inlineStr">
        <is>
          <t>False</t>
        </is>
      </c>
      <c r="AD121" s="24" t="inlineStr">
        <is>
          <t>False</t>
        </is>
      </c>
      <c r="AE121" s="24" t="inlineStr">
        <is>
          <t>valuation_credit_ml_overlay_candidate.csv</t>
        </is>
      </c>
      <c r="AF121" s="24" t="inlineStr">
        <is>
          <t>208개 반도체 reference universe. Valuation Agent가 자체 intake 폴더로 복제해 Peer/ML/대시보드 비교에 사용.</t>
        </is>
      </c>
    </row>
    <row r="122" ht="24" customHeight="1">
      <c r="A122" s="29" t="inlineStr">
        <is>
          <t>147</t>
        </is>
      </c>
      <c r="B122" s="29" t="inlineStr">
        <is>
          <t>해당 없음</t>
        </is>
      </c>
      <c r="C122" s="29" t="inlineStr">
        <is>
          <t>퓨릿</t>
        </is>
      </c>
      <c r="D122" s="29" t="inlineStr">
        <is>
          <t>445180</t>
        </is>
      </c>
      <c r="E122" s="29" t="inlineStr">
        <is>
          <t>KOSDAQ</t>
        </is>
      </c>
      <c r="F122" s="29" t="inlineStr">
        <is>
          <t>소재</t>
        </is>
      </c>
      <c r="G122" s="29" t="inlineStr">
        <is>
          <t>소재</t>
        </is>
      </c>
      <c r="H122" s="29" t="inlineStr">
        <is>
          <t>False</t>
        </is>
      </c>
      <c r="I122" s="29" t="inlineStr">
        <is>
          <t>True</t>
        </is>
      </c>
      <c r="J122" s="29" t="inlineStr">
        <is>
          <t>OK_LIMITED_HISTORY_OR_GROWTH_NA</t>
        </is>
      </c>
      <c r="K122" s="29" t="inlineStr">
        <is>
          <t>데이터 사용 가능</t>
        </is>
      </c>
      <c r="L122" s="29" t="inlineStr">
        <is>
          <t>LOW</t>
        </is>
      </c>
      <c r="M122" s="29" t="inlineStr">
        <is>
          <t>LOW</t>
        </is>
      </c>
      <c r="N122" s="29" t="inlineStr">
        <is>
          <t>0.7448717948717948</t>
        </is>
      </c>
      <c r="O122" s="29" t="inlineStr">
        <is>
          <t>ATTRACTIVE</t>
        </is>
      </c>
      <c r="P122" s="29" t="inlineStr">
        <is>
          <t>가치 매력</t>
        </is>
      </c>
      <c r="Q122" s="29" t="inlineStr">
        <is>
          <t>ATTRACTIVE</t>
        </is>
      </c>
      <c r="R122" s="29" t="inlineStr">
        <is>
          <t>0.8817607106455689</t>
        </is>
      </c>
      <c r="S122" s="29" t="inlineStr">
        <is>
          <t>HIGH</t>
        </is>
      </c>
      <c r="T122" s="29" t="inlineStr">
        <is>
          <t>HIGH</t>
        </is>
      </c>
      <c r="U122" s="29" t="inlineStr">
        <is>
          <t>0.0714285714285714</t>
        </is>
      </c>
      <c r="V122" s="29" t="inlineStr">
        <is>
          <t>LOW_RISK</t>
        </is>
      </c>
      <c r="W122" s="29" t="inlineStr">
        <is>
          <t>저위험</t>
        </is>
      </c>
      <c r="X122" s="29" t="inlineStr">
        <is>
          <t>LOW_RISK</t>
        </is>
      </c>
      <c r="Y122" s="29" t="inlineStr">
        <is>
          <t>0.9587686707140917</t>
        </is>
      </c>
      <c r="Z122" s="29" t="inlineStr">
        <is>
          <t>HIGH</t>
        </is>
      </c>
      <c r="AA122" s="29" t="inlineStr">
        <is>
          <t>HIGH</t>
        </is>
      </c>
      <c r="AB122" s="29" t="inlineStr">
        <is>
          <t>0.09055441585311619</t>
        </is>
      </c>
      <c r="AC122" s="29" t="inlineStr">
        <is>
          <t>False</t>
        </is>
      </c>
      <c r="AD122" s="29" t="inlineStr">
        <is>
          <t>True</t>
        </is>
      </c>
      <c r="AE122" s="29" t="inlineStr">
        <is>
          <t>valuation_credit_ml_overlay_candidate.csv</t>
        </is>
      </c>
      <c r="AF122" s="29" t="inlineStr">
        <is>
          <t>208개 반도체 reference universe. Valuation Agent가 자체 intake 폴더로 복제해 Peer/ML/대시보드 비교에 사용.</t>
        </is>
      </c>
    </row>
    <row r="123" ht="24" customHeight="1">
      <c r="A123" s="24" t="inlineStr">
        <is>
          <t>141</t>
        </is>
      </c>
      <c r="B123" s="24" t="inlineStr">
        <is>
          <t>해당 없음</t>
        </is>
      </c>
      <c r="C123" s="24" t="inlineStr">
        <is>
          <t>이엔에프테크놀로지</t>
        </is>
      </c>
      <c r="D123" s="24" t="inlineStr">
        <is>
          <t>102710</t>
        </is>
      </c>
      <c r="E123" s="24" t="inlineStr">
        <is>
          <t>KOSDAQ</t>
        </is>
      </c>
      <c r="F123" s="24" t="inlineStr">
        <is>
          <t>소재</t>
        </is>
      </c>
      <c r="G123" s="24" t="inlineStr">
        <is>
          <t>소재</t>
        </is>
      </c>
      <c r="H123" s="24" t="inlineStr">
        <is>
          <t>False</t>
        </is>
      </c>
      <c r="I123" s="24" t="inlineStr">
        <is>
          <t>True</t>
        </is>
      </c>
      <c r="J123" s="24" t="inlineStr">
        <is>
          <t>OK</t>
        </is>
      </c>
      <c r="K123" s="24" t="inlineStr">
        <is>
          <t>데이터 사용 가능</t>
        </is>
      </c>
      <c r="L123" s="24" t="inlineStr">
        <is>
          <t>LOW</t>
        </is>
      </c>
      <c r="M123" s="24" t="inlineStr">
        <is>
          <t>LOW</t>
        </is>
      </c>
      <c r="N123" s="24" t="inlineStr">
        <is>
          <t>0.7061538461538462</t>
        </is>
      </c>
      <c r="O123" s="24" t="inlineStr">
        <is>
          <t>ATTRACTIVE</t>
        </is>
      </c>
      <c r="P123" s="24" t="inlineStr">
        <is>
          <t>가치 매력</t>
        </is>
      </c>
      <c r="Q123" s="24" t="inlineStr">
        <is>
          <t>ATTRACTIVE</t>
        </is>
      </c>
      <c r="R123" s="24" t="inlineStr">
        <is>
          <t>0.9371627732042065</t>
        </is>
      </c>
      <c r="S123" s="24" t="inlineStr">
        <is>
          <t>HIGH</t>
        </is>
      </c>
      <c r="T123" s="24" t="inlineStr">
        <is>
          <t>HIGH</t>
        </is>
      </c>
      <c r="U123" s="24" t="inlineStr">
        <is>
          <t>0.0</t>
        </is>
      </c>
      <c r="V123" s="24" t="inlineStr">
        <is>
          <t>LOW_RISK</t>
        </is>
      </c>
      <c r="W123" s="24" t="inlineStr">
        <is>
          <t>저위험</t>
        </is>
      </c>
      <c r="X123" s="24" t="inlineStr">
        <is>
          <t>LOW_RISK</t>
        </is>
      </c>
      <c r="Y123" s="24" t="inlineStr">
        <is>
          <t>0.8730332003988217</t>
        </is>
      </c>
      <c r="Z123" s="24" t="inlineStr">
        <is>
          <t>HIGH</t>
        </is>
      </c>
      <c r="AA123" s="24" t="inlineStr">
        <is>
          <t>HIGH</t>
        </is>
      </c>
      <c r="AB123" s="24" t="inlineStr">
        <is>
          <t>0.01762692878431683</t>
        </is>
      </c>
      <c r="AC123" s="24" t="inlineStr">
        <is>
          <t>False</t>
        </is>
      </c>
      <c r="AD123" s="24" t="inlineStr">
        <is>
          <t>False</t>
        </is>
      </c>
      <c r="AE123" s="24" t="inlineStr">
        <is>
          <t>valuation_credit_ml_overlay_candidate.csv</t>
        </is>
      </c>
      <c r="AF123" s="24" t="inlineStr">
        <is>
          <t>208개 반도체 reference universe. Valuation Agent가 자체 intake 폴더로 복제해 Peer/ML/대시보드 비교에 사용.</t>
        </is>
      </c>
    </row>
    <row r="124" ht="24" customHeight="1">
      <c r="A124" s="29" t="inlineStr">
        <is>
          <t>138</t>
        </is>
      </c>
      <c r="B124" s="29" t="inlineStr">
        <is>
          <t>해당 없음</t>
        </is>
      </c>
      <c r="C124" s="29" t="inlineStr">
        <is>
          <t>원익머트리얼즈</t>
        </is>
      </c>
      <c r="D124" s="29" t="inlineStr">
        <is>
          <t>104830</t>
        </is>
      </c>
      <c r="E124" s="29" t="inlineStr">
        <is>
          <t>KOSDAQ</t>
        </is>
      </c>
      <c r="F124" s="29" t="inlineStr">
        <is>
          <t>소재</t>
        </is>
      </c>
      <c r="G124" s="29" t="inlineStr">
        <is>
          <t>소재</t>
        </is>
      </c>
      <c r="H124" s="29" t="inlineStr">
        <is>
          <t>False</t>
        </is>
      </c>
      <c r="I124" s="29" t="inlineStr">
        <is>
          <t>True</t>
        </is>
      </c>
      <c r="J124" s="29" t="inlineStr">
        <is>
          <t>OK</t>
        </is>
      </c>
      <c r="K124" s="29" t="inlineStr">
        <is>
          <t>데이터 사용 가능</t>
        </is>
      </c>
      <c r="L124" s="29" t="inlineStr">
        <is>
          <t>LOW</t>
        </is>
      </c>
      <c r="M124" s="29" t="inlineStr">
        <is>
          <t>LOW</t>
        </is>
      </c>
      <c r="N124" s="29" t="inlineStr">
        <is>
          <t>0.6682051282051282</t>
        </is>
      </c>
      <c r="O124" s="29" t="inlineStr">
        <is>
          <t>FAIR</t>
        </is>
      </c>
      <c r="P124" s="29" t="inlineStr">
        <is>
          <t>FAIR</t>
        </is>
      </c>
      <c r="Q124" s="29" t="inlineStr">
        <is>
          <t>FAIR</t>
        </is>
      </c>
      <c r="R124" s="29" t="inlineStr">
        <is>
          <t>0.9160049727267536</t>
        </is>
      </c>
      <c r="S124" s="29" t="inlineStr">
        <is>
          <t>HIGH</t>
        </is>
      </c>
      <c r="T124" s="29" t="inlineStr">
        <is>
          <t>HIGH</t>
        </is>
      </c>
      <c r="U124" s="29" t="inlineStr">
        <is>
          <t>0.0714285714285714</t>
        </is>
      </c>
      <c r="V124" s="29" t="inlineStr">
        <is>
          <t>LOW_RISK</t>
        </is>
      </c>
      <c r="W124" s="29" t="inlineStr">
        <is>
          <t>저위험</t>
        </is>
      </c>
      <c r="X124" s="29" t="inlineStr">
        <is>
          <t>LOW_RISK</t>
        </is>
      </c>
      <c r="Y124" s="29" t="inlineStr">
        <is>
          <t>0.9269592012859288</t>
        </is>
      </c>
      <c r="Z124" s="29" t="inlineStr">
        <is>
          <t>HIGH</t>
        </is>
      </c>
      <c r="AA124" s="29" t="inlineStr">
        <is>
          <t>HIGH</t>
        </is>
      </c>
      <c r="AB124" s="29" t="inlineStr">
        <is>
          <t>0.08809933839296093</t>
        </is>
      </c>
      <c r="AC124" s="29" t="inlineStr">
        <is>
          <t>False</t>
        </is>
      </c>
      <c r="AD124" s="29" t="inlineStr">
        <is>
          <t>False</t>
        </is>
      </c>
      <c r="AE124" s="29" t="inlineStr">
        <is>
          <t>valuation_credit_ml_overlay_candidate.csv</t>
        </is>
      </c>
      <c r="AF124" s="29" t="inlineStr">
        <is>
          <t>208개 반도체 reference universe. Valuation Agent가 자체 intake 폴더로 복제해 Peer/ML/대시보드 비교에 사용.</t>
        </is>
      </c>
    </row>
    <row r="125" ht="24" customHeight="1">
      <c r="A125" s="24" t="inlineStr">
        <is>
          <t>130</t>
        </is>
      </c>
      <c r="B125" s="24" t="inlineStr">
        <is>
          <t>해당 없음</t>
        </is>
      </c>
      <c r="C125" s="24" t="inlineStr">
        <is>
          <t>솔브레인홀딩스</t>
        </is>
      </c>
      <c r="D125" s="24" t="inlineStr">
        <is>
          <t>036830</t>
        </is>
      </c>
      <c r="E125" s="24" t="inlineStr">
        <is>
          <t>KOSDAQ GLOBAL</t>
        </is>
      </c>
      <c r="F125" s="24" t="inlineStr">
        <is>
          <t>소재</t>
        </is>
      </c>
      <c r="G125" s="24" t="inlineStr">
        <is>
          <t>소재</t>
        </is>
      </c>
      <c r="H125" s="24" t="inlineStr">
        <is>
          <t>False</t>
        </is>
      </c>
      <c r="I125" s="24" t="inlineStr">
        <is>
          <t>True</t>
        </is>
      </c>
      <c r="J125" s="24" t="inlineStr">
        <is>
          <t>OK</t>
        </is>
      </c>
      <c r="K125" s="24" t="inlineStr">
        <is>
          <t>데이터 사용 가능</t>
        </is>
      </c>
      <c r="L125" s="24" t="inlineStr">
        <is>
          <t>LOW</t>
        </is>
      </c>
      <c r="M125" s="24" t="inlineStr">
        <is>
          <t>LOW</t>
        </is>
      </c>
      <c r="N125" s="24" t="inlineStr">
        <is>
          <t>0.6666666666666667</t>
        </is>
      </c>
      <c r="O125" s="24" t="inlineStr">
        <is>
          <t>ATTRACTIVE</t>
        </is>
      </c>
      <c r="P125" s="24" t="inlineStr">
        <is>
          <t>가치 매력</t>
        </is>
      </c>
      <c r="Q125" s="24" t="inlineStr">
        <is>
          <t>ATTRACTIVE</t>
        </is>
      </c>
      <c r="R125" s="24" t="inlineStr">
        <is>
          <t>0.5229115612060397</t>
        </is>
      </c>
      <c r="S125" s="24" t="inlineStr">
        <is>
          <t>MEDIUM</t>
        </is>
      </c>
      <c r="T125" s="24" t="inlineStr">
        <is>
          <t>MEDIUM</t>
        </is>
      </c>
      <c r="U125" s="24" t="inlineStr">
        <is>
          <t>0.0</t>
        </is>
      </c>
      <c r="V125" s="24" t="inlineStr">
        <is>
          <t>LOW_RISK</t>
        </is>
      </c>
      <c r="W125" s="24" t="inlineStr">
        <is>
          <t>저위험</t>
        </is>
      </c>
      <c r="X125" s="24" t="inlineStr">
        <is>
          <t>LOW_RISK</t>
        </is>
      </c>
      <c r="Y125" s="24" t="inlineStr">
        <is>
          <t>0.8942479649490351</t>
        </is>
      </c>
      <c r="Z125" s="24" t="inlineStr">
        <is>
          <t>HIGH</t>
        </is>
      </c>
      <c r="AA125" s="24" t="inlineStr">
        <is>
          <t>HIGH</t>
        </is>
      </c>
      <c r="AB125" s="24" t="inlineStr">
        <is>
          <t>0.13058276838656327</t>
        </is>
      </c>
      <c r="AC125" s="24" t="inlineStr">
        <is>
          <t>False</t>
        </is>
      </c>
      <c r="AD125" s="24" t="inlineStr">
        <is>
          <t>False</t>
        </is>
      </c>
      <c r="AE125" s="24" t="inlineStr">
        <is>
          <t>valuation_credit_ml_overlay_candidate.csv</t>
        </is>
      </c>
      <c r="AF125" s="24" t="inlineStr">
        <is>
          <t>208개 반도체 reference universe. Valuation Agent가 자체 intake 폴더로 복제해 Peer/ML/대시보드 비교에 사용.</t>
        </is>
      </c>
    </row>
    <row r="126" ht="24" customHeight="1">
      <c r="A126" s="29" t="inlineStr">
        <is>
          <t>148</t>
        </is>
      </c>
      <c r="B126" s="29" t="inlineStr">
        <is>
          <t>hansol</t>
        </is>
      </c>
      <c r="C126" s="29" t="inlineStr">
        <is>
          <t>한솔케미칼</t>
        </is>
      </c>
      <c r="D126" s="29" t="inlineStr">
        <is>
          <t>014680</t>
        </is>
      </c>
      <c r="E126" s="29" t="inlineStr">
        <is>
          <t>KOSPI</t>
        </is>
      </c>
      <c r="F126" s="29" t="inlineStr">
        <is>
          <t>소재</t>
        </is>
      </c>
      <c r="G126" s="29" t="inlineStr">
        <is>
          <t>소재</t>
        </is>
      </c>
      <c r="H126" s="29" t="inlineStr">
        <is>
          <t>True</t>
        </is>
      </c>
      <c r="I126" s="29" t="inlineStr">
        <is>
          <t>True</t>
        </is>
      </c>
      <c r="J126" s="29" t="inlineStr">
        <is>
          <t>OK</t>
        </is>
      </c>
      <c r="K126" s="29" t="inlineStr">
        <is>
          <t>데이터 사용 가능</t>
        </is>
      </c>
      <c r="L126" s="29" t="inlineStr">
        <is>
          <t>LOW</t>
        </is>
      </c>
      <c r="M126" s="29" t="inlineStr">
        <is>
          <t>LOW</t>
        </is>
      </c>
      <c r="N126" s="29" t="inlineStr">
        <is>
          <t>0.6330769230769231</t>
        </is>
      </c>
      <c r="O126" s="29" t="inlineStr">
        <is>
          <t>ATTRACTIVE</t>
        </is>
      </c>
      <c r="P126" s="29" t="inlineStr">
        <is>
          <t>가치 매력</t>
        </is>
      </c>
      <c r="Q126" s="29" t="inlineStr">
        <is>
          <t>ATTRACTIVE</t>
        </is>
      </c>
      <c r="R126" s="29" t="inlineStr">
        <is>
          <t>0.8364696976606926</t>
        </is>
      </c>
      <c r="S126" s="29" t="inlineStr">
        <is>
          <t>HIGH</t>
        </is>
      </c>
      <c r="T126" s="29" t="inlineStr">
        <is>
          <t>HIGH</t>
        </is>
      </c>
      <c r="U126" s="29" t="inlineStr">
        <is>
          <t>0.0</t>
        </is>
      </c>
      <c r="V126" s="29" t="inlineStr">
        <is>
          <t>LOW_RISK</t>
        </is>
      </c>
      <c r="W126" s="29" t="inlineStr">
        <is>
          <t>저위험</t>
        </is>
      </c>
      <c r="X126" s="29" t="inlineStr">
        <is>
          <t>LOW_RISK</t>
        </is>
      </c>
      <c r="Y126" s="29" t="inlineStr">
        <is>
          <t>0.9711543901439185</t>
        </is>
      </c>
      <c r="Z126" s="29" t="inlineStr">
        <is>
          <t>HIGH</t>
        </is>
      </c>
      <c r="AA126" s="29" t="inlineStr">
        <is>
          <t>HIGH</t>
        </is>
      </c>
      <c r="AB126" s="29" t="inlineStr">
        <is>
          <t>0.058190310497948615</t>
        </is>
      </c>
      <c r="AC126" s="29" t="inlineStr">
        <is>
          <t>False</t>
        </is>
      </c>
      <c r="AD126" s="29" t="inlineStr">
        <is>
          <t>False</t>
        </is>
      </c>
      <c r="AE126" s="29" t="inlineStr">
        <is>
          <t>valuation_credit_ml_overlay_candidate.csv</t>
        </is>
      </c>
      <c r="AF126" s="29" t="inlineStr">
        <is>
          <t>208개 반도체 reference universe. Valuation Agent가 자체 intake 폴더로 복제해 Peer/ML/대시보드 비교에 사용.</t>
        </is>
      </c>
    </row>
    <row r="127" ht="24" customHeight="1">
      <c r="A127" s="24" t="inlineStr">
        <is>
          <t>140</t>
        </is>
      </c>
      <c r="B127" s="24" t="inlineStr">
        <is>
          <t>해당 없음</t>
        </is>
      </c>
      <c r="C127" s="24" t="inlineStr">
        <is>
          <t>이녹스첨단소재</t>
        </is>
      </c>
      <c r="D127" s="24" t="inlineStr">
        <is>
          <t>272290</t>
        </is>
      </c>
      <c r="E127" s="24" t="inlineStr">
        <is>
          <t>KOSDAQ GLOBAL</t>
        </is>
      </c>
      <c r="F127" s="24" t="inlineStr">
        <is>
          <t>소재</t>
        </is>
      </c>
      <c r="G127" s="24" t="inlineStr">
        <is>
          <t>소재</t>
        </is>
      </c>
      <c r="H127" s="24" t="inlineStr">
        <is>
          <t>False</t>
        </is>
      </c>
      <c r="I127" s="24" t="inlineStr">
        <is>
          <t>True</t>
        </is>
      </c>
      <c r="J127" s="24" t="inlineStr">
        <is>
          <t>OK</t>
        </is>
      </c>
      <c r="K127" s="24" t="inlineStr">
        <is>
          <t>데이터 사용 가능</t>
        </is>
      </c>
      <c r="L127" s="24" t="inlineStr">
        <is>
          <t>LOW</t>
        </is>
      </c>
      <c r="M127" s="24" t="inlineStr">
        <is>
          <t>LOW</t>
        </is>
      </c>
      <c r="N127" s="24" t="inlineStr">
        <is>
          <t>0.6312820512820514</t>
        </is>
      </c>
      <c r="O127" s="24" t="inlineStr">
        <is>
          <t>FAIR</t>
        </is>
      </c>
      <c r="P127" s="24" t="inlineStr">
        <is>
          <t>FAIR</t>
        </is>
      </c>
      <c r="Q127" s="24" t="inlineStr">
        <is>
          <t>FAIR</t>
        </is>
      </c>
      <c r="R127" s="24" t="inlineStr">
        <is>
          <t>0.900184891106931</t>
        </is>
      </c>
      <c r="S127" s="24" t="inlineStr">
        <is>
          <t>HIGH</t>
        </is>
      </c>
      <c r="T127" s="24" t="inlineStr">
        <is>
          <t>HIGH</t>
        </is>
      </c>
      <c r="U127" s="24" t="inlineStr">
        <is>
          <t>0.0714285714285714</t>
        </is>
      </c>
      <c r="V127" s="24" t="inlineStr">
        <is>
          <t>LOW_RISK</t>
        </is>
      </c>
      <c r="W127" s="24" t="inlineStr">
        <is>
          <t>저위험</t>
        </is>
      </c>
      <c r="X127" s="24" t="inlineStr">
        <is>
          <t>LOW_RISK</t>
        </is>
      </c>
      <c r="Y127" s="24" t="inlineStr">
        <is>
          <t>0.7417939360948919</t>
        </is>
      </c>
      <c r="Z127" s="24" t="inlineStr">
        <is>
          <t>HIGH</t>
        </is>
      </c>
      <c r="AA127" s="24" t="inlineStr">
        <is>
          <t>HIGH</t>
        </is>
      </c>
      <c r="AB127" s="24" t="inlineStr">
        <is>
          <t>0.06763542968359648</t>
        </is>
      </c>
      <c r="AC127" s="24" t="inlineStr">
        <is>
          <t>False</t>
        </is>
      </c>
      <c r="AD127" s="24" t="inlineStr">
        <is>
          <t>False</t>
        </is>
      </c>
      <c r="AE127" s="24" t="inlineStr">
        <is>
          <t>valuation_credit_ml_overlay_candidate.csv</t>
        </is>
      </c>
      <c r="AF127" s="24" t="inlineStr">
        <is>
          <t>208개 반도체 reference universe. Valuation Agent가 자체 intake 폴더로 복제해 Peer/ML/대시보드 비교에 사용.</t>
        </is>
      </c>
    </row>
    <row r="128" ht="24" customHeight="1">
      <c r="A128" s="29" t="inlineStr">
        <is>
          <t>133</t>
        </is>
      </c>
      <c r="B128" s="29" t="inlineStr">
        <is>
          <t>ltc</t>
        </is>
      </c>
      <c r="C128" s="29" t="inlineStr">
        <is>
          <t>엘티씨</t>
        </is>
      </c>
      <c r="D128" s="29" t="inlineStr">
        <is>
          <t>170920</t>
        </is>
      </c>
      <c r="E128" s="29" t="inlineStr">
        <is>
          <t>KOSDAQ</t>
        </is>
      </c>
      <c r="F128" s="29" t="inlineStr">
        <is>
          <t>소재</t>
        </is>
      </c>
      <c r="G128" s="29" t="inlineStr">
        <is>
          <t>소재</t>
        </is>
      </c>
      <c r="H128" s="29" t="inlineStr">
        <is>
          <t>True</t>
        </is>
      </c>
      <c r="I128" s="29" t="inlineStr">
        <is>
          <t>True</t>
        </is>
      </c>
      <c r="J128" s="29" t="inlineStr">
        <is>
          <t>OK</t>
        </is>
      </c>
      <c r="K128" s="29" t="inlineStr">
        <is>
          <t>데이터 사용 가능</t>
        </is>
      </c>
      <c r="L128" s="29" t="inlineStr">
        <is>
          <t>LOW</t>
        </is>
      </c>
      <c r="M128" s="29" t="inlineStr">
        <is>
          <t>LOW</t>
        </is>
      </c>
      <c r="N128" s="29" t="inlineStr">
        <is>
          <t>0.5838461538461538</t>
        </is>
      </c>
      <c r="O128" s="29" t="inlineStr">
        <is>
          <t>FAIR</t>
        </is>
      </c>
      <c r="P128" s="29" t="inlineStr">
        <is>
          <t>FAIR</t>
        </is>
      </c>
      <c r="Q128" s="29" t="inlineStr">
        <is>
          <t>ATTRACTIVE</t>
        </is>
      </c>
      <c r="R128" s="29" t="inlineStr">
        <is>
          <t>0.6353016273848794</t>
        </is>
      </c>
      <c r="S128" s="29" t="inlineStr">
        <is>
          <t>MEDIUM</t>
        </is>
      </c>
      <c r="T128" s="29" t="inlineStr">
        <is>
          <t>MEDIUM</t>
        </is>
      </c>
      <c r="U128" s="29" t="inlineStr">
        <is>
          <t>0.0</t>
        </is>
      </c>
      <c r="V128" s="29" t="inlineStr">
        <is>
          <t>LOW_RISK</t>
        </is>
      </c>
      <c r="W128" s="29" t="inlineStr">
        <is>
          <t>저위험</t>
        </is>
      </c>
      <c r="X128" s="29" t="inlineStr">
        <is>
          <t>LOW_RISK</t>
        </is>
      </c>
      <c r="Y128" s="29" t="inlineStr">
        <is>
          <t>0.9205018564538214</t>
        </is>
      </c>
      <c r="Z128" s="29" t="inlineStr">
        <is>
          <t>HIGH</t>
        </is>
      </c>
      <c r="AA128" s="29" t="inlineStr">
        <is>
          <t>HIGH</t>
        </is>
      </c>
      <c r="AB128" s="29" t="inlineStr">
        <is>
          <t>0.0038993876391341673</t>
        </is>
      </c>
      <c r="AC128" s="29" t="inlineStr">
        <is>
          <t>False</t>
        </is>
      </c>
      <c r="AD128" s="29" t="inlineStr">
        <is>
          <t>False</t>
        </is>
      </c>
      <c r="AE128" s="29" t="inlineStr">
        <is>
          <t>valuation_credit_ml_overlay_candidate.csv</t>
        </is>
      </c>
      <c r="AF128" s="29" t="inlineStr">
        <is>
          <t>208개 반도체 reference universe. Valuation Agent가 자체 intake 폴더로 복제해 Peer/ML/대시보드 비교에 사용.</t>
        </is>
      </c>
    </row>
    <row r="129" ht="24" customHeight="1">
      <c r="A129" s="24" t="inlineStr">
        <is>
          <t>146</t>
        </is>
      </c>
      <c r="B129" s="24" t="inlineStr">
        <is>
          <t>해당 없음</t>
        </is>
      </c>
      <c r="C129" s="24" t="inlineStr">
        <is>
          <t>티이엠씨</t>
        </is>
      </c>
      <c r="D129" s="24" t="inlineStr">
        <is>
          <t>425040</t>
        </is>
      </c>
      <c r="E129" s="24" t="inlineStr">
        <is>
          <t>KOSDAQ</t>
        </is>
      </c>
      <c r="F129" s="24" t="inlineStr">
        <is>
          <t>소재</t>
        </is>
      </c>
      <c r="G129" s="24" t="inlineStr">
        <is>
          <t>소재</t>
        </is>
      </c>
      <c r="H129" s="24" t="inlineStr">
        <is>
          <t>False</t>
        </is>
      </c>
      <c r="I129" s="24" t="inlineStr">
        <is>
          <t>True</t>
        </is>
      </c>
      <c r="J129" s="24" t="inlineStr">
        <is>
          <t>OK</t>
        </is>
      </c>
      <c r="K129" s="24" t="inlineStr">
        <is>
          <t>데이터 사용 가능</t>
        </is>
      </c>
      <c r="L129" s="24" t="inlineStr">
        <is>
          <t>LOW</t>
        </is>
      </c>
      <c r="M129" s="24" t="inlineStr">
        <is>
          <t>LOW</t>
        </is>
      </c>
      <c r="N129" s="24" t="inlineStr">
        <is>
          <t>0.5666666666666668</t>
        </is>
      </c>
      <c r="O129" s="24" t="inlineStr">
        <is>
          <t>FAIR</t>
        </is>
      </c>
      <c r="P129" s="24" t="inlineStr">
        <is>
          <t>FAIR</t>
        </is>
      </c>
      <c r="Q129" s="24" t="inlineStr">
        <is>
          <t>FAIR</t>
        </is>
      </c>
      <c r="R129" s="24" t="inlineStr">
        <is>
          <t>0.8720430887980049</t>
        </is>
      </c>
      <c r="S129" s="24" t="inlineStr">
        <is>
          <t>HIGH</t>
        </is>
      </c>
      <c r="T129" s="24" t="inlineStr">
        <is>
          <t>HIGH</t>
        </is>
      </c>
      <c r="U129" s="24" t="inlineStr">
        <is>
          <t>0.0714285714285714</t>
        </is>
      </c>
      <c r="V129" s="24" t="inlineStr">
        <is>
          <t>LOW_RISK</t>
        </is>
      </c>
      <c r="W129" s="24" t="inlineStr">
        <is>
          <t>저위험</t>
        </is>
      </c>
      <c r="X129" s="24" t="inlineStr">
        <is>
          <t>LOW_RISK</t>
        </is>
      </c>
      <c r="Y129" s="24" t="inlineStr">
        <is>
          <t>0.7252297088077002</t>
        </is>
      </c>
      <c r="Z129" s="24" t="inlineStr">
        <is>
          <t>HIGH</t>
        </is>
      </c>
      <c r="AA129" s="24" t="inlineStr">
        <is>
          <t>HIGH</t>
        </is>
      </c>
      <c r="AB129" s="24" t="inlineStr">
        <is>
          <t>0.006424650558916757</t>
        </is>
      </c>
      <c r="AC129" s="24" t="inlineStr">
        <is>
          <t>False</t>
        </is>
      </c>
      <c r="AD129" s="24" t="inlineStr">
        <is>
          <t>False</t>
        </is>
      </c>
      <c r="AE129" s="24" t="inlineStr">
        <is>
          <t>valuation_credit_ml_overlay_candidate.csv</t>
        </is>
      </c>
      <c r="AF129" s="24" t="inlineStr">
        <is>
          <t>208개 반도체 reference universe. Valuation Agent가 자체 intake 폴더로 복제해 Peer/ML/대시보드 비교에 사용.</t>
        </is>
      </c>
    </row>
    <row r="130" ht="24" customHeight="1">
      <c r="A130" s="29" t="inlineStr">
        <is>
          <t>131</t>
        </is>
      </c>
      <c r="B130" s="29" t="inlineStr">
        <is>
          <t>해당 없음</t>
        </is>
      </c>
      <c r="C130" s="29" t="inlineStr">
        <is>
          <t>에스앤에스텍</t>
        </is>
      </c>
      <c r="D130" s="29" t="inlineStr">
        <is>
          <t>101490</t>
        </is>
      </c>
      <c r="E130" s="29" t="inlineStr">
        <is>
          <t>KOSDAQ</t>
        </is>
      </c>
      <c r="F130" s="29" t="inlineStr">
        <is>
          <t>소재</t>
        </is>
      </c>
      <c r="G130" s="29" t="inlineStr">
        <is>
          <t>소재</t>
        </is>
      </c>
      <c r="H130" s="29" t="inlineStr">
        <is>
          <t>False</t>
        </is>
      </c>
      <c r="I130" s="29" t="inlineStr">
        <is>
          <t>True</t>
        </is>
      </c>
      <c r="J130" s="29" t="inlineStr">
        <is>
          <t>OK</t>
        </is>
      </c>
      <c r="K130" s="29" t="inlineStr">
        <is>
          <t>데이터 사용 가능</t>
        </is>
      </c>
      <c r="L130" s="29" t="inlineStr">
        <is>
          <t>LOW</t>
        </is>
      </c>
      <c r="M130" s="29" t="inlineStr">
        <is>
          <t>LOW</t>
        </is>
      </c>
      <c r="N130" s="29" t="inlineStr">
        <is>
          <t>0.5653846153846155</t>
        </is>
      </c>
      <c r="O130" s="29" t="inlineStr">
        <is>
          <t>FAIR</t>
        </is>
      </c>
      <c r="P130" s="29" t="inlineStr">
        <is>
          <t>FAIR</t>
        </is>
      </c>
      <c r="Q130" s="29" t="inlineStr">
        <is>
          <t>FAIR</t>
        </is>
      </c>
      <c r="R130" s="29" t="inlineStr">
        <is>
          <t>0.7907123507381016</t>
        </is>
      </c>
      <c r="S130" s="29" t="inlineStr">
        <is>
          <t>HIGH</t>
        </is>
      </c>
      <c r="T130" s="29" t="inlineStr">
        <is>
          <t>HIGH</t>
        </is>
      </c>
      <c r="U130" s="29" t="inlineStr">
        <is>
          <t>0.0714285714285714</t>
        </is>
      </c>
      <c r="V130" s="29" t="inlineStr">
        <is>
          <t>LOW_RISK</t>
        </is>
      </c>
      <c r="W130" s="29" t="inlineStr">
        <is>
          <t>저위험</t>
        </is>
      </c>
      <c r="X130" s="29" t="inlineStr">
        <is>
          <t>LOW_RISK</t>
        </is>
      </c>
      <c r="Y130" s="29" t="inlineStr">
        <is>
          <t>0.877704032267338</t>
        </is>
      </c>
      <c r="Z130" s="29" t="inlineStr">
        <is>
          <t>HIGH</t>
        </is>
      </c>
      <c r="AA130" s="29" t="inlineStr">
        <is>
          <t>HIGH</t>
        </is>
      </c>
      <c r="AB130" s="29" t="inlineStr">
        <is>
          <t>0.05130595484789171</t>
        </is>
      </c>
      <c r="AC130" s="29" t="inlineStr">
        <is>
          <t>False</t>
        </is>
      </c>
      <c r="AD130" s="29" t="inlineStr">
        <is>
          <t>False</t>
        </is>
      </c>
      <c r="AE130" s="29" t="inlineStr">
        <is>
          <t>valuation_credit_ml_overlay_candidate.csv</t>
        </is>
      </c>
      <c r="AF130" s="29" t="inlineStr">
        <is>
          <t>208개 반도체 reference universe. Valuation Agent가 자체 intake 폴더로 복제해 Peer/ML/대시보드 비교에 사용.</t>
        </is>
      </c>
    </row>
    <row r="131" ht="24" customHeight="1">
      <c r="A131" s="24" t="inlineStr">
        <is>
          <t>142</t>
        </is>
      </c>
      <c r="B131" s="24" t="inlineStr">
        <is>
          <t>해당 없음</t>
        </is>
      </c>
      <c r="C131" s="24" t="inlineStr">
        <is>
          <t>제이아이테크</t>
        </is>
      </c>
      <c r="D131" s="24" t="inlineStr">
        <is>
          <t>417500</t>
        </is>
      </c>
      <c r="E131" s="24" t="inlineStr">
        <is>
          <t>KOSDAQ</t>
        </is>
      </c>
      <c r="F131" s="24" t="inlineStr">
        <is>
          <t>소재</t>
        </is>
      </c>
      <c r="G131" s="24" t="inlineStr">
        <is>
          <t>소재</t>
        </is>
      </c>
      <c r="H131" s="24" t="inlineStr">
        <is>
          <t>False</t>
        </is>
      </c>
      <c r="I131" s="24" t="inlineStr">
        <is>
          <t>True</t>
        </is>
      </c>
      <c r="J131" s="24" t="inlineStr">
        <is>
          <t>OK</t>
        </is>
      </c>
      <c r="K131" s="24" t="inlineStr">
        <is>
          <t>데이터 사용 가능</t>
        </is>
      </c>
      <c r="L131" s="24" t="inlineStr">
        <is>
          <t>LOW</t>
        </is>
      </c>
      <c r="M131" s="24" t="inlineStr">
        <is>
          <t>LOW</t>
        </is>
      </c>
      <c r="N131" s="24" t="inlineStr">
        <is>
          <t>0.5264102564102564</t>
        </is>
      </c>
      <c r="O131" s="24" t="inlineStr">
        <is>
          <t>FAIR</t>
        </is>
      </c>
      <c r="P131" s="24" t="inlineStr">
        <is>
          <t>FAIR</t>
        </is>
      </c>
      <c r="Q131" s="24" t="inlineStr">
        <is>
          <t>FAIR</t>
        </is>
      </c>
      <c r="R131" s="24" t="inlineStr">
        <is>
          <t>0.8525733569966568</t>
        </is>
      </c>
      <c r="S131" s="24" t="inlineStr">
        <is>
          <t>HIGH</t>
        </is>
      </c>
      <c r="T131" s="24" t="inlineStr">
        <is>
          <t>HIGH</t>
        </is>
      </c>
      <c r="U131" s="24" t="inlineStr">
        <is>
          <t>0.0714285714285714</t>
        </is>
      </c>
      <c r="V131" s="24" t="inlineStr">
        <is>
          <t>LOW_RISK</t>
        </is>
      </c>
      <c r="W131" s="24" t="inlineStr">
        <is>
          <t>저위험</t>
        </is>
      </c>
      <c r="X131" s="24" t="inlineStr">
        <is>
          <t>LOW_RISK</t>
        </is>
      </c>
      <c r="Y131" s="24" t="inlineStr">
        <is>
          <t>0.7562204122456074</t>
        </is>
      </c>
      <c r="Z131" s="24" t="inlineStr">
        <is>
          <t>HIGH</t>
        </is>
      </c>
      <c r="AA131" s="24" t="inlineStr">
        <is>
          <t>HIGH</t>
        </is>
      </c>
      <c r="AB131" s="24" t="inlineStr">
        <is>
          <t>0.026961826720125225</t>
        </is>
      </c>
      <c r="AC131" s="24" t="inlineStr">
        <is>
          <t>False</t>
        </is>
      </c>
      <c r="AD131" s="24" t="inlineStr">
        <is>
          <t>False</t>
        </is>
      </c>
      <c r="AE131" s="24" t="inlineStr">
        <is>
          <t>valuation_credit_ml_overlay_candidate.csv</t>
        </is>
      </c>
      <c r="AF131" s="24" t="inlineStr">
        <is>
          <t>208개 반도체 reference universe. Valuation Agent가 자체 intake 폴더로 복제해 Peer/ML/대시보드 비교에 사용.</t>
        </is>
      </c>
    </row>
    <row r="132" ht="24" customHeight="1">
      <c r="A132" s="29" t="inlineStr">
        <is>
          <t>137</t>
        </is>
      </c>
      <c r="B132" s="29" t="inlineStr">
        <is>
          <t>해당 없음</t>
        </is>
      </c>
      <c r="C132" s="29" t="inlineStr">
        <is>
          <t>원익QnC</t>
        </is>
      </c>
      <c r="D132" s="29" t="inlineStr">
        <is>
          <t>074600</t>
        </is>
      </c>
      <c r="E132" s="29" t="inlineStr">
        <is>
          <t>KOSDAQ GLOBAL</t>
        </is>
      </c>
      <c r="F132" s="29" t="inlineStr">
        <is>
          <t>소재</t>
        </is>
      </c>
      <c r="G132" s="29" t="inlineStr">
        <is>
          <t>소재</t>
        </is>
      </c>
      <c r="H132" s="29" t="inlineStr">
        <is>
          <t>False</t>
        </is>
      </c>
      <c r="I132" s="29" t="inlineStr">
        <is>
          <t>True</t>
        </is>
      </c>
      <c r="J132" s="29" t="inlineStr">
        <is>
          <t>OK</t>
        </is>
      </c>
      <c r="K132" s="29" t="inlineStr">
        <is>
          <t>데이터 사용 가능</t>
        </is>
      </c>
      <c r="L132" s="29" t="inlineStr">
        <is>
          <t>LOW</t>
        </is>
      </c>
      <c r="M132" s="29" t="inlineStr">
        <is>
          <t>LOW</t>
        </is>
      </c>
      <c r="N132" s="29" t="inlineStr">
        <is>
          <t>0.5156410256410257</t>
        </is>
      </c>
      <c r="O132" s="29" t="inlineStr">
        <is>
          <t>FAIR</t>
        </is>
      </c>
      <c r="P132" s="29" t="inlineStr">
        <is>
          <t>FAIR</t>
        </is>
      </c>
      <c r="Q132" s="29" t="inlineStr">
        <is>
          <t>ATTRACTIVE</t>
        </is>
      </c>
      <c r="R132" s="29" t="inlineStr">
        <is>
          <t>0.4211836082778998</t>
        </is>
      </c>
      <c r="S132" s="29" t="inlineStr">
        <is>
          <t>LOW</t>
        </is>
      </c>
      <c r="T132" s="29" t="inlineStr">
        <is>
          <t>LOW</t>
        </is>
      </c>
      <c r="U132" s="29" t="inlineStr">
        <is>
          <t>0.2857142857142857</t>
        </is>
      </c>
      <c r="V132" s="29" t="inlineStr">
        <is>
          <t>MEDIUM_RISK</t>
        </is>
      </c>
      <c r="W132" s="29" t="inlineStr">
        <is>
          <t>중위험</t>
        </is>
      </c>
      <c r="X132" s="29" t="inlineStr">
        <is>
          <t>MEDIUM_RISK</t>
        </is>
      </c>
      <c r="Y132" s="29" t="inlineStr">
        <is>
          <t>0.6182675579184692</t>
        </is>
      </c>
      <c r="Z132" s="29" t="inlineStr">
        <is>
          <t>MEDIUM</t>
        </is>
      </c>
      <c r="AA132" s="29" t="inlineStr">
        <is>
          <t>MEDIUM</t>
        </is>
      </c>
      <c r="AB132" s="29" t="inlineStr">
        <is>
          <t>0.07153695388648715</t>
        </is>
      </c>
      <c r="AC132" s="29" t="inlineStr">
        <is>
          <t>False</t>
        </is>
      </c>
      <c r="AD132" s="29" t="inlineStr">
        <is>
          <t>True</t>
        </is>
      </c>
      <c r="AE132" s="29" t="inlineStr">
        <is>
          <t>valuation_credit_ml_overlay_candidate.csv</t>
        </is>
      </c>
      <c r="AF132" s="29" t="inlineStr">
        <is>
          <t>208개 반도체 reference universe. Valuation Agent가 자체 intake 폴더로 복제해 Peer/ML/대시보드 비교에 사용.</t>
        </is>
      </c>
    </row>
    <row r="133" ht="24" customHeight="1">
      <c r="A133" s="24" t="inlineStr">
        <is>
          <t>134</t>
        </is>
      </c>
      <c r="B133" s="24" t="inlineStr">
        <is>
          <t>해당 없음</t>
        </is>
      </c>
      <c r="C133" s="24" t="inlineStr">
        <is>
          <t>엠케이전자</t>
        </is>
      </c>
      <c r="D133" s="24" t="inlineStr">
        <is>
          <t>033160</t>
        </is>
      </c>
      <c r="E133" s="24" t="inlineStr">
        <is>
          <t>KOSDAQ</t>
        </is>
      </c>
      <c r="F133" s="24" t="inlineStr">
        <is>
          <t>소재</t>
        </is>
      </c>
      <c r="G133" s="24" t="inlineStr">
        <is>
          <t>소재</t>
        </is>
      </c>
      <c r="H133" s="24" t="inlineStr">
        <is>
          <t>False</t>
        </is>
      </c>
      <c r="I133" s="24" t="inlineStr">
        <is>
          <t>True</t>
        </is>
      </c>
      <c r="J133" s="24" t="inlineStr">
        <is>
          <t>OK</t>
        </is>
      </c>
      <c r="K133" s="24" t="inlineStr">
        <is>
          <t>데이터 사용 가능</t>
        </is>
      </c>
      <c r="L133" s="24" t="inlineStr">
        <is>
          <t>LOW</t>
        </is>
      </c>
      <c r="M133" s="24" t="inlineStr">
        <is>
          <t>LOW</t>
        </is>
      </c>
      <c r="N133" s="24" t="inlineStr">
        <is>
          <t>0.5105128205128205</t>
        </is>
      </c>
      <c r="O133" s="24" t="inlineStr">
        <is>
          <t>FAIR</t>
        </is>
      </c>
      <c r="P133" s="24" t="inlineStr">
        <is>
          <t>FAIR</t>
        </is>
      </c>
      <c r="Q133" s="24" t="inlineStr">
        <is>
          <t>FAIR</t>
        </is>
      </c>
      <c r="R133" s="24" t="inlineStr">
        <is>
          <t>0.801168459079624</t>
        </is>
      </c>
      <c r="S133" s="24" t="inlineStr">
        <is>
          <t>HIGH</t>
        </is>
      </c>
      <c r="T133" s="24" t="inlineStr">
        <is>
          <t>HIGH</t>
        </is>
      </c>
      <c r="U133" s="24" t="inlineStr">
        <is>
          <t>0.5714285714285714</t>
        </is>
      </c>
      <c r="V133" s="24" t="inlineStr">
        <is>
          <t>HIGH_RISK</t>
        </is>
      </c>
      <c r="W133" s="24" t="inlineStr">
        <is>
          <t>고위험</t>
        </is>
      </c>
      <c r="X133" s="24" t="inlineStr">
        <is>
          <t>HIGH_RISK</t>
        </is>
      </c>
      <c r="Y133" s="24" t="inlineStr">
        <is>
          <t>0.6458821552404778</t>
        </is>
      </c>
      <c r="Z133" s="24" t="inlineStr">
        <is>
          <t>MEDIUM</t>
        </is>
      </c>
      <c r="AA133" s="24" t="inlineStr">
        <is>
          <t>MEDIUM</t>
        </is>
      </c>
      <c r="AB133" s="24" t="inlineStr">
        <is>
          <t>0.06935231891152775</t>
        </is>
      </c>
      <c r="AC133" s="24" t="inlineStr">
        <is>
          <t>False</t>
        </is>
      </c>
      <c r="AD133" s="24" t="inlineStr">
        <is>
          <t>False</t>
        </is>
      </c>
      <c r="AE133" s="24" t="inlineStr">
        <is>
          <t>valuation_credit_ml_overlay_candidate.csv</t>
        </is>
      </c>
      <c r="AF133" s="24" t="inlineStr">
        <is>
          <t>208개 반도체 reference universe. Valuation Agent가 자체 intake 폴더로 복제해 Peer/ML/대시보드 비교에 사용.</t>
        </is>
      </c>
    </row>
    <row r="134" ht="24" customHeight="1">
      <c r="A134" s="29" t="inlineStr">
        <is>
          <t>136</t>
        </is>
      </c>
      <c r="B134" s="29" t="inlineStr">
        <is>
          <t>해당 없음</t>
        </is>
      </c>
      <c r="C134" s="29" t="inlineStr">
        <is>
          <t>와이엠티</t>
        </is>
      </c>
      <c r="D134" s="29" t="inlineStr">
        <is>
          <t>251370</t>
        </is>
      </c>
      <c r="E134" s="29" t="inlineStr">
        <is>
          <t>KOSDAQ</t>
        </is>
      </c>
      <c r="F134" s="29" t="inlineStr">
        <is>
          <t>소재</t>
        </is>
      </c>
      <c r="G134" s="29" t="inlineStr">
        <is>
          <t>소재</t>
        </is>
      </c>
      <c r="H134" s="29" t="inlineStr">
        <is>
          <t>False</t>
        </is>
      </c>
      <c r="I134" s="29" t="inlineStr">
        <is>
          <t>True</t>
        </is>
      </c>
      <c r="J134" s="29" t="inlineStr">
        <is>
          <t>OK</t>
        </is>
      </c>
      <c r="K134" s="29" t="inlineStr">
        <is>
          <t>데이터 사용 가능</t>
        </is>
      </c>
      <c r="L134" s="29" t="inlineStr">
        <is>
          <t>LOW</t>
        </is>
      </c>
      <c r="M134" s="29" t="inlineStr">
        <is>
          <t>LOW</t>
        </is>
      </c>
      <c r="N134" s="29" t="inlineStr">
        <is>
          <t>0.4989743589743589</t>
        </is>
      </c>
      <c r="O134" s="29" t="inlineStr">
        <is>
          <t>FAIR</t>
        </is>
      </c>
      <c r="P134" s="29" t="inlineStr">
        <is>
          <t>FAIR</t>
        </is>
      </c>
      <c r="Q134" s="29" t="inlineStr">
        <is>
          <t>FAIR</t>
        </is>
      </c>
      <c r="R134" s="29" t="inlineStr">
        <is>
          <t>0.730943868859095</t>
        </is>
      </c>
      <c r="S134" s="29" t="inlineStr">
        <is>
          <t>HIGH</t>
        </is>
      </c>
      <c r="T134" s="29" t="inlineStr">
        <is>
          <t>HIGH</t>
        </is>
      </c>
      <c r="U134" s="29" t="inlineStr">
        <is>
          <t>0.2142857142857142</t>
        </is>
      </c>
      <c r="V134" s="29" t="inlineStr">
        <is>
          <t>MEDIUM_RISK</t>
        </is>
      </c>
      <c r="W134" s="29" t="inlineStr">
        <is>
          <t>중위험</t>
        </is>
      </c>
      <c r="X134" s="29" t="inlineStr">
        <is>
          <t>MEDIUM_RISK</t>
        </is>
      </c>
      <c r="Y134" s="29" t="inlineStr">
        <is>
          <t>0.4510396871808976</t>
        </is>
      </c>
      <c r="Z134" s="29" t="inlineStr">
        <is>
          <t>LOW</t>
        </is>
      </c>
      <c r="AA134" s="29" t="inlineStr">
        <is>
          <t>LOW</t>
        </is>
      </c>
      <c r="AB134" s="29" t="inlineStr">
        <is>
          <t>0.021802364937517606</t>
        </is>
      </c>
      <c r="AC134" s="29" t="inlineStr">
        <is>
          <t>False</t>
        </is>
      </c>
      <c r="AD134" s="29" t="inlineStr">
        <is>
          <t>True</t>
        </is>
      </c>
      <c r="AE134" s="29" t="inlineStr">
        <is>
          <t>valuation_credit_ml_overlay_candidate.csv</t>
        </is>
      </c>
      <c r="AF134" s="29" t="inlineStr">
        <is>
          <t>208개 반도체 reference universe. Valuation Agent가 자체 intake 폴더로 복제해 Peer/ML/대시보드 비교에 사용.</t>
        </is>
      </c>
    </row>
    <row r="135" ht="24" customHeight="1">
      <c r="A135" s="24" t="inlineStr">
        <is>
          <t>145</t>
        </is>
      </c>
      <c r="B135" s="24" t="inlineStr">
        <is>
          <t>해당 없음</t>
        </is>
      </c>
      <c r="C135" s="24" t="inlineStr">
        <is>
          <t>티씨케이</t>
        </is>
      </c>
      <c r="D135" s="24" t="inlineStr">
        <is>
          <t>064760</t>
        </is>
      </c>
      <c r="E135" s="24" t="inlineStr">
        <is>
          <t>KOSDAQ GLOBAL</t>
        </is>
      </c>
      <c r="F135" s="24" t="inlineStr">
        <is>
          <t>소재</t>
        </is>
      </c>
      <c r="G135" s="24" t="inlineStr">
        <is>
          <t>소재</t>
        </is>
      </c>
      <c r="H135" s="24" t="inlineStr">
        <is>
          <t>False</t>
        </is>
      </c>
      <c r="I135" s="24" t="inlineStr">
        <is>
          <t>True</t>
        </is>
      </c>
      <c r="J135" s="24" t="inlineStr">
        <is>
          <t>OK</t>
        </is>
      </c>
      <c r="K135" s="24" t="inlineStr">
        <is>
          <t>데이터 사용 가능</t>
        </is>
      </c>
      <c r="L135" s="24" t="inlineStr">
        <is>
          <t>LOW</t>
        </is>
      </c>
      <c r="M135" s="24" t="inlineStr">
        <is>
          <t>LOW</t>
        </is>
      </c>
      <c r="N135" s="24" t="inlineStr">
        <is>
          <t>0.4956410256410256</t>
        </is>
      </c>
      <c r="O135" s="24" t="inlineStr">
        <is>
          <t>FAIR</t>
        </is>
      </c>
      <c r="P135" s="24" t="inlineStr">
        <is>
          <t>FAIR</t>
        </is>
      </c>
      <c r="Q135" s="24" t="inlineStr">
        <is>
          <t>FAIR</t>
        </is>
      </c>
      <c r="R135" s="24" t="inlineStr">
        <is>
          <t>0.6535546916238612</t>
        </is>
      </c>
      <c r="S135" s="24" t="inlineStr">
        <is>
          <t>MEDIUM</t>
        </is>
      </c>
      <c r="T135" s="24" t="inlineStr">
        <is>
          <t>MEDIUM</t>
        </is>
      </c>
      <c r="U135" s="24" t="inlineStr">
        <is>
          <t>0.0</t>
        </is>
      </c>
      <c r="V135" s="24" t="inlineStr">
        <is>
          <t>LOW_RISK</t>
        </is>
      </c>
      <c r="W135" s="24" t="inlineStr">
        <is>
          <t>저위험</t>
        </is>
      </c>
      <c r="X135" s="24" t="inlineStr">
        <is>
          <t>LOW_RISK</t>
        </is>
      </c>
      <c r="Y135" s="24" t="inlineStr">
        <is>
          <t>0.7960429313317705</t>
        </is>
      </c>
      <c r="Z135" s="24" t="inlineStr">
        <is>
          <t>HIGH</t>
        </is>
      </c>
      <c r="AA135" s="24" t="inlineStr">
        <is>
          <t>HIGH</t>
        </is>
      </c>
      <c r="AB135" s="24" t="inlineStr">
        <is>
          <t>0.151556576218825</t>
        </is>
      </c>
      <c r="AC135" s="24" t="inlineStr">
        <is>
          <t>False</t>
        </is>
      </c>
      <c r="AD135" s="24" t="inlineStr">
        <is>
          <t>False</t>
        </is>
      </c>
      <c r="AE135" s="24" t="inlineStr">
        <is>
          <t>valuation_credit_ml_overlay_candidate.csv</t>
        </is>
      </c>
      <c r="AF135" s="24" t="inlineStr">
        <is>
          <t>208개 반도체 reference universe. Valuation Agent가 자체 intake 폴더로 복제해 Peer/ML/대시보드 비교에 사용.</t>
        </is>
      </c>
    </row>
    <row r="136" ht="24" customHeight="1">
      <c r="A136" s="29" t="inlineStr">
        <is>
          <t>126</t>
        </is>
      </c>
      <c r="B136" s="29" t="inlineStr">
        <is>
          <t>해당 없음</t>
        </is>
      </c>
      <c r="C136" s="29" t="inlineStr">
        <is>
          <t>동진쎄미켐</t>
        </is>
      </c>
      <c r="D136" s="29" t="inlineStr">
        <is>
          <t>005290</t>
        </is>
      </c>
      <c r="E136" s="29" t="inlineStr">
        <is>
          <t>KOSDAQ</t>
        </is>
      </c>
      <c r="F136" s="29" t="inlineStr">
        <is>
          <t>소재</t>
        </is>
      </c>
      <c r="G136" s="29" t="inlineStr">
        <is>
          <t>소재</t>
        </is>
      </c>
      <c r="H136" s="29" t="inlineStr">
        <is>
          <t>False</t>
        </is>
      </c>
      <c r="I136" s="29" t="inlineStr">
        <is>
          <t>True</t>
        </is>
      </c>
      <c r="J136" s="29" t="inlineStr">
        <is>
          <t>OK</t>
        </is>
      </c>
      <c r="K136" s="29" t="inlineStr">
        <is>
          <t>데이터 사용 가능</t>
        </is>
      </c>
      <c r="L136" s="29" t="inlineStr">
        <is>
          <t>LOW</t>
        </is>
      </c>
      <c r="M136" s="29" t="inlineStr">
        <is>
          <t>LOW</t>
        </is>
      </c>
      <c r="N136" s="29" t="inlineStr">
        <is>
          <t>0.4702564102564102</t>
        </is>
      </c>
      <c r="O136" s="29" t="inlineStr">
        <is>
          <t>FAIR</t>
        </is>
      </c>
      <c r="P136" s="29" t="inlineStr">
        <is>
          <t>FAIR</t>
        </is>
      </c>
      <c r="Q136" s="29" t="inlineStr">
        <is>
          <t>ATTRACTIVE</t>
        </is>
      </c>
      <c r="R136" s="29" t="inlineStr">
        <is>
          <t>0.48929755601795294</t>
        </is>
      </c>
      <c r="S136" s="29" t="inlineStr">
        <is>
          <t>LOW</t>
        </is>
      </c>
      <c r="T136" s="29" t="inlineStr">
        <is>
          <t>LOW</t>
        </is>
      </c>
      <c r="U136" s="29" t="inlineStr">
        <is>
          <t>0.0</t>
        </is>
      </c>
      <c r="V136" s="29" t="inlineStr">
        <is>
          <t>LOW_RISK</t>
        </is>
      </c>
      <c r="W136" s="29" t="inlineStr">
        <is>
          <t>저위험</t>
        </is>
      </c>
      <c r="X136" s="29" t="inlineStr">
        <is>
          <t>LOW_RISK</t>
        </is>
      </c>
      <c r="Y136" s="29" t="inlineStr">
        <is>
          <t>0.9474461757717627</t>
        </is>
      </c>
      <c r="Z136" s="29" t="inlineStr">
        <is>
          <t>HIGH</t>
        </is>
      </c>
      <c r="AA136" s="29" t="inlineStr">
        <is>
          <t>HIGH</t>
        </is>
      </c>
      <c r="AB136" s="29" t="inlineStr">
        <is>
          <t>0.021813937556984325</t>
        </is>
      </c>
      <c r="AC136" s="29" t="inlineStr">
        <is>
          <t>False</t>
        </is>
      </c>
      <c r="AD136" s="29" t="inlineStr">
        <is>
          <t>True</t>
        </is>
      </c>
      <c r="AE136" s="29" t="inlineStr">
        <is>
          <t>valuation_credit_ml_overlay_candidate.csv</t>
        </is>
      </c>
      <c r="AF136" s="29" t="inlineStr">
        <is>
          <t>208개 반도체 reference universe. Valuation Agent가 자체 intake 폴더로 복제해 Peer/ML/대시보드 비교에 사용.</t>
        </is>
      </c>
    </row>
    <row r="137" ht="24" customHeight="1">
      <c r="A137" s="24" t="inlineStr">
        <is>
          <t>144</t>
        </is>
      </c>
      <c r="B137" s="24" t="inlineStr">
        <is>
          <t>해당 없음</t>
        </is>
      </c>
      <c r="C137" s="24" t="inlineStr">
        <is>
          <t>켐트로닉스</t>
        </is>
      </c>
      <c r="D137" s="24" t="inlineStr">
        <is>
          <t>089010</t>
        </is>
      </c>
      <c r="E137" s="24" t="inlineStr">
        <is>
          <t>KOSDAQ</t>
        </is>
      </c>
      <c r="F137" s="24" t="inlineStr">
        <is>
          <t>소재</t>
        </is>
      </c>
      <c r="G137" s="24" t="inlineStr">
        <is>
          <t>소재</t>
        </is>
      </c>
      <c r="H137" s="24" t="inlineStr">
        <is>
          <t>False</t>
        </is>
      </c>
      <c r="I137" s="24" t="inlineStr">
        <is>
          <t>True</t>
        </is>
      </c>
      <c r="J137" s="24" t="inlineStr">
        <is>
          <t>OK</t>
        </is>
      </c>
      <c r="K137" s="24" t="inlineStr">
        <is>
          <t>데이터 사용 가능</t>
        </is>
      </c>
      <c r="L137" s="24" t="inlineStr">
        <is>
          <t>LOW</t>
        </is>
      </c>
      <c r="M137" s="24" t="inlineStr">
        <is>
          <t>LOW</t>
        </is>
      </c>
      <c r="N137" s="24" t="inlineStr">
        <is>
          <t>0.4412820512820513</t>
        </is>
      </c>
      <c r="O137" s="24" t="inlineStr">
        <is>
          <t>FAIR</t>
        </is>
      </c>
      <c r="P137" s="24" t="inlineStr">
        <is>
          <t>FAIR</t>
        </is>
      </c>
      <c r="Q137" s="24" t="inlineStr">
        <is>
          <t>FAIR</t>
        </is>
      </c>
      <c r="R137" s="24" t="inlineStr">
        <is>
          <t>0.7697961799623572</t>
        </is>
      </c>
      <c r="S137" s="24" t="inlineStr">
        <is>
          <t>HIGH</t>
        </is>
      </c>
      <c r="T137" s="24" t="inlineStr">
        <is>
          <t>HIGH</t>
        </is>
      </c>
      <c r="U137" s="24" t="inlineStr">
        <is>
          <t>0.3571428571428571</t>
        </is>
      </c>
      <c r="V137" s="24" t="inlineStr">
        <is>
          <t>MEDIUM_RISK</t>
        </is>
      </c>
      <c r="W137" s="24" t="inlineStr">
        <is>
          <t>중위험</t>
        </is>
      </c>
      <c r="X137" s="24" t="inlineStr">
        <is>
          <t>MEDIUM_RISK</t>
        </is>
      </c>
      <c r="Y137" s="24" t="inlineStr">
        <is>
          <t>0.46850853772952833</t>
        </is>
      </c>
      <c r="Z137" s="24" t="inlineStr">
        <is>
          <t>LOW</t>
        </is>
      </c>
      <c r="AA137" s="24" t="inlineStr">
        <is>
          <t>LOW</t>
        </is>
      </c>
      <c r="AB137" s="24" t="inlineStr">
        <is>
          <t>0.08001716573230905</t>
        </is>
      </c>
      <c r="AC137" s="24" t="inlineStr">
        <is>
          <t>False</t>
        </is>
      </c>
      <c r="AD137" s="24" t="inlineStr">
        <is>
          <t>True</t>
        </is>
      </c>
      <c r="AE137" s="24" t="inlineStr">
        <is>
          <t>valuation_credit_ml_overlay_candidate.csv</t>
        </is>
      </c>
      <c r="AF137" s="24" t="inlineStr">
        <is>
          <t>208개 반도체 reference universe. Valuation Agent가 자체 intake 폴더로 복제해 Peer/ML/대시보드 비교에 사용.</t>
        </is>
      </c>
    </row>
    <row r="138" ht="24" customHeight="1">
      <c r="A138" s="29" t="inlineStr">
        <is>
          <t>129</t>
        </is>
      </c>
      <c r="B138" s="29" t="inlineStr">
        <is>
          <t>해당 없음</t>
        </is>
      </c>
      <c r="C138" s="29" t="inlineStr">
        <is>
          <t>솔브레인</t>
        </is>
      </c>
      <c r="D138" s="29" t="inlineStr">
        <is>
          <t>357780</t>
        </is>
      </c>
      <c r="E138" s="29" t="inlineStr">
        <is>
          <t>KOSDAQ GLOBAL</t>
        </is>
      </c>
      <c r="F138" s="29" t="inlineStr">
        <is>
          <t>소재</t>
        </is>
      </c>
      <c r="G138" s="29" t="inlineStr">
        <is>
          <t>소재</t>
        </is>
      </c>
      <c r="H138" s="29" t="inlineStr">
        <is>
          <t>False</t>
        </is>
      </c>
      <c r="I138" s="29" t="inlineStr">
        <is>
          <t>True</t>
        </is>
      </c>
      <c r="J138" s="29" t="inlineStr">
        <is>
          <t>OK</t>
        </is>
      </c>
      <c r="K138" s="29" t="inlineStr">
        <is>
          <t>데이터 사용 가능</t>
        </is>
      </c>
      <c r="L138" s="29" t="inlineStr">
        <is>
          <t>LOW</t>
        </is>
      </c>
      <c r="M138" s="29" t="inlineStr">
        <is>
          <t>LOW</t>
        </is>
      </c>
      <c r="N138" s="29" t="inlineStr">
        <is>
          <t>0.4330769230769231</t>
        </is>
      </c>
      <c r="O138" s="29" t="inlineStr">
        <is>
          <t>FAIR</t>
        </is>
      </c>
      <c r="P138" s="29" t="inlineStr">
        <is>
          <t>FAIR</t>
        </is>
      </c>
      <c r="Q138" s="29" t="inlineStr">
        <is>
          <t>FAIR</t>
        </is>
      </c>
      <c r="R138" s="29" t="inlineStr">
        <is>
          <t>0.6367158518654258</t>
        </is>
      </c>
      <c r="S138" s="29" t="inlineStr">
        <is>
          <t>MEDIUM</t>
        </is>
      </c>
      <c r="T138" s="29" t="inlineStr">
        <is>
          <t>MEDIUM</t>
        </is>
      </c>
      <c r="U138" s="29" t="inlineStr">
        <is>
          <t>0.0</t>
        </is>
      </c>
      <c r="V138" s="29" t="inlineStr">
        <is>
          <t>LOW_RISK</t>
        </is>
      </c>
      <c r="W138" s="29" t="inlineStr">
        <is>
          <t>저위험</t>
        </is>
      </c>
      <c r="X138" s="29" t="inlineStr">
        <is>
          <t>LOW_RISK</t>
        </is>
      </c>
      <c r="Y138" s="29" t="inlineStr">
        <is>
          <t>0.9460528189989016</t>
        </is>
      </c>
      <c r="Z138" s="29" t="inlineStr">
        <is>
          <t>HIGH</t>
        </is>
      </c>
      <c r="AA138" s="29" t="inlineStr">
        <is>
          <t>HIGH</t>
        </is>
      </c>
      <c r="AB138" s="29" t="inlineStr">
        <is>
          <t>0.0320761550307272</t>
        </is>
      </c>
      <c r="AC138" s="29" t="inlineStr">
        <is>
          <t>False</t>
        </is>
      </c>
      <c r="AD138" s="29" t="inlineStr">
        <is>
          <t>False</t>
        </is>
      </c>
      <c r="AE138" s="29" t="inlineStr">
        <is>
          <t>valuation_credit_ml_overlay_candidate.csv</t>
        </is>
      </c>
      <c r="AF138" s="29" t="inlineStr">
        <is>
          <t>208개 반도체 reference universe. Valuation Agent가 자체 intake 폴더로 복제해 Peer/ML/대시보드 비교에 사용.</t>
        </is>
      </c>
    </row>
    <row r="139" ht="24" customHeight="1">
      <c r="A139" s="24" t="inlineStr">
        <is>
          <t>127</t>
        </is>
      </c>
      <c r="B139" s="24" t="inlineStr">
        <is>
          <t>해당 없음</t>
        </is>
      </c>
      <c r="C139" s="24" t="inlineStr">
        <is>
          <t>디엔에프</t>
        </is>
      </c>
      <c r="D139" s="24" t="inlineStr">
        <is>
          <t>092070</t>
        </is>
      </c>
      <c r="E139" s="24" t="inlineStr">
        <is>
          <t>KOSDAQ</t>
        </is>
      </c>
      <c r="F139" s="24" t="inlineStr">
        <is>
          <t>소재</t>
        </is>
      </c>
      <c r="G139" s="24" t="inlineStr">
        <is>
          <t>소재</t>
        </is>
      </c>
      <c r="H139" s="24" t="inlineStr">
        <is>
          <t>False</t>
        </is>
      </c>
      <c r="I139" s="24" t="inlineStr">
        <is>
          <t>True</t>
        </is>
      </c>
      <c r="J139" s="24" t="inlineStr">
        <is>
          <t>OK</t>
        </is>
      </c>
      <c r="K139" s="24" t="inlineStr">
        <is>
          <t>데이터 사용 가능</t>
        </is>
      </c>
      <c r="L139" s="24" t="inlineStr">
        <is>
          <t>LOW</t>
        </is>
      </c>
      <c r="M139" s="24" t="inlineStr">
        <is>
          <t>LOW</t>
        </is>
      </c>
      <c r="N139" s="24" t="inlineStr">
        <is>
          <t>0.4041025641025642</t>
        </is>
      </c>
      <c r="O139" s="24" t="inlineStr">
        <is>
          <t>EXPENSIVE</t>
        </is>
      </c>
      <c r="P139" s="24" t="inlineStr">
        <is>
          <t>EXPENSIVE</t>
        </is>
      </c>
      <c r="Q139" s="24" t="inlineStr">
        <is>
          <t>EXPENSIVE</t>
        </is>
      </c>
      <c r="R139" s="24" t="inlineStr">
        <is>
          <t>0.6833535693717029</t>
        </is>
      </c>
      <c r="S139" s="24" t="inlineStr">
        <is>
          <t>MEDIUM</t>
        </is>
      </c>
      <c r="T139" s="24" t="inlineStr">
        <is>
          <t>MEDIUM</t>
        </is>
      </c>
      <c r="U139" s="24" t="inlineStr">
        <is>
          <t>0.1428571428571428</t>
        </is>
      </c>
      <c r="V139" s="24" t="inlineStr">
        <is>
          <t>LOW_RISK</t>
        </is>
      </c>
      <c r="W139" s="24" t="inlineStr">
        <is>
          <t>저위험</t>
        </is>
      </c>
      <c r="X139" s="24" t="inlineStr">
        <is>
          <t>LOW_RISK</t>
        </is>
      </c>
      <c r="Y139" s="24" t="inlineStr">
        <is>
          <t>0.5929893794662974</t>
        </is>
      </c>
      <c r="Z139" s="24" t="inlineStr">
        <is>
          <t>MEDIUM</t>
        </is>
      </c>
      <c r="AA139" s="24" t="inlineStr">
        <is>
          <t>MEDIUM</t>
        </is>
      </c>
      <c r="AB139" s="24" t="inlineStr">
        <is>
          <t>0.12453521172683771</t>
        </is>
      </c>
      <c r="AC139" s="24" t="inlineStr">
        <is>
          <t>False</t>
        </is>
      </c>
      <c r="AD139" s="24" t="inlineStr">
        <is>
          <t>False</t>
        </is>
      </c>
      <c r="AE139" s="24" t="inlineStr">
        <is>
          <t>valuation_credit_ml_overlay_candidate.csv</t>
        </is>
      </c>
      <c r="AF139" s="24" t="inlineStr">
        <is>
          <t>208개 반도체 reference universe. Valuation Agent가 자체 intake 폴더로 복제해 Peer/ML/대시보드 비교에 사용.</t>
        </is>
      </c>
    </row>
    <row r="140" ht="24" customHeight="1">
      <c r="A140" s="29" t="inlineStr">
        <is>
          <t>135</t>
        </is>
      </c>
      <c r="B140" s="29" t="inlineStr">
        <is>
          <t>해당 없음</t>
        </is>
      </c>
      <c r="C140" s="29" t="inlineStr">
        <is>
          <t>와이씨켐</t>
        </is>
      </c>
      <c r="D140" s="29" t="inlineStr">
        <is>
          <t>112290</t>
        </is>
      </c>
      <c r="E140" s="29" t="inlineStr">
        <is>
          <t>KOSDAQ</t>
        </is>
      </c>
      <c r="F140" s="29" t="inlineStr">
        <is>
          <t>소재</t>
        </is>
      </c>
      <c r="G140" s="29" t="inlineStr">
        <is>
          <t>소재</t>
        </is>
      </c>
      <c r="H140" s="29" t="inlineStr">
        <is>
          <t>False</t>
        </is>
      </c>
      <c r="I140" s="29" t="inlineStr">
        <is>
          <t>True</t>
        </is>
      </c>
      <c r="J140" s="29" t="inlineStr">
        <is>
          <t>OK</t>
        </is>
      </c>
      <c r="K140" s="29" t="inlineStr">
        <is>
          <t>데이터 사용 가능</t>
        </is>
      </c>
      <c r="L140" s="29" t="inlineStr">
        <is>
          <t>LOW</t>
        </is>
      </c>
      <c r="M140" s="29" t="inlineStr">
        <is>
          <t>LOW</t>
        </is>
      </c>
      <c r="N140" s="29" t="inlineStr">
        <is>
          <t>0.3835897435897436</t>
        </is>
      </c>
      <c r="O140" s="29" t="inlineStr">
        <is>
          <t>EXPENSIVE</t>
        </is>
      </c>
      <c r="P140" s="29" t="inlineStr">
        <is>
          <t>EXPENSIVE</t>
        </is>
      </c>
      <c r="Q140" s="29" t="inlineStr">
        <is>
          <t>EXPENSIVE</t>
        </is>
      </c>
      <c r="R140" s="29" t="inlineStr">
        <is>
          <t>0.7576999610053956</t>
        </is>
      </c>
      <c r="S140" s="29" t="inlineStr">
        <is>
          <t>HIGH</t>
        </is>
      </c>
      <c r="T140" s="29" t="inlineStr">
        <is>
          <t>HIGH</t>
        </is>
      </c>
      <c r="U140" s="29" t="inlineStr">
        <is>
          <t>0.5</t>
        </is>
      </c>
      <c r="V140" s="29" t="inlineStr">
        <is>
          <t>HIGH_RISK</t>
        </is>
      </c>
      <c r="W140" s="29" t="inlineStr">
        <is>
          <t>고위험</t>
        </is>
      </c>
      <c r="X140" s="29" t="inlineStr">
        <is>
          <t>HIGH_RISK</t>
        </is>
      </c>
      <c r="Y140" s="29" t="inlineStr">
        <is>
          <t>0.5943318096005836</t>
        </is>
      </c>
      <c r="Z140" s="29" t="inlineStr">
        <is>
          <t>MEDIUM</t>
        </is>
      </c>
      <c r="AA140" s="29" t="inlineStr">
        <is>
          <t>MEDIUM</t>
        </is>
      </c>
      <c r="AB140" s="29" t="inlineStr">
        <is>
          <t>0.09923299749910795</t>
        </is>
      </c>
      <c r="AC140" s="29" t="inlineStr">
        <is>
          <t>False</t>
        </is>
      </c>
      <c r="AD140" s="29" t="inlineStr">
        <is>
          <t>False</t>
        </is>
      </c>
      <c r="AE140" s="29" t="inlineStr">
        <is>
          <t>valuation_credit_ml_overlay_candidate.csv</t>
        </is>
      </c>
      <c r="AF140" s="29" t="inlineStr">
        <is>
          <t>208개 반도체 reference universe. Valuation Agent가 자체 intake 폴더로 복제해 Peer/ML/대시보드 비교에 사용.</t>
        </is>
      </c>
    </row>
    <row r="141" ht="24" customHeight="1">
      <c r="A141" s="24" t="inlineStr">
        <is>
          <t>143</t>
        </is>
      </c>
      <c r="B141" s="24" t="inlineStr">
        <is>
          <t>해당 없음</t>
        </is>
      </c>
      <c r="C141" s="24" t="inlineStr">
        <is>
          <t>천보</t>
        </is>
      </c>
      <c r="D141" s="24" t="inlineStr">
        <is>
          <t>278280</t>
        </is>
      </c>
      <c r="E141" s="24" t="inlineStr">
        <is>
          <t>KOSDAQ</t>
        </is>
      </c>
      <c r="F141" s="24" t="inlineStr">
        <is>
          <t>소재</t>
        </is>
      </c>
      <c r="G141" s="24" t="inlineStr">
        <is>
          <t>소재</t>
        </is>
      </c>
      <c r="H141" s="24" t="inlineStr">
        <is>
          <t>False</t>
        </is>
      </c>
      <c r="I141" s="24" t="inlineStr">
        <is>
          <t>True</t>
        </is>
      </c>
      <c r="J141" s="24" t="inlineStr">
        <is>
          <t>OK</t>
        </is>
      </c>
      <c r="K141" s="24" t="inlineStr">
        <is>
          <t>데이터 사용 가능</t>
        </is>
      </c>
      <c r="L141" s="24" t="inlineStr">
        <is>
          <t>LOW</t>
        </is>
      </c>
      <c r="M141" s="24" t="inlineStr">
        <is>
          <t>LOW</t>
        </is>
      </c>
      <c r="N141" s="24" t="inlineStr">
        <is>
          <t>0.3387179487179487</t>
        </is>
      </c>
      <c r="O141" s="24" t="inlineStr">
        <is>
          <t>EXPENSIVE</t>
        </is>
      </c>
      <c r="P141" s="24" t="inlineStr">
        <is>
          <t>EXPENSIVE</t>
        </is>
      </c>
      <c r="Q141" s="24" t="inlineStr">
        <is>
          <t>EXPENSIVE</t>
        </is>
      </c>
      <c r="R141" s="24" t="inlineStr">
        <is>
          <t>0.5721835844163214</t>
        </is>
      </c>
      <c r="S141" s="24" t="inlineStr">
        <is>
          <t>MEDIUM</t>
        </is>
      </c>
      <c r="T141" s="24" t="inlineStr">
        <is>
          <t>MEDIUM</t>
        </is>
      </c>
      <c r="U141" s="24" t="inlineStr">
        <is>
          <t>0.3571428571428571</t>
        </is>
      </c>
      <c r="V141" s="24" t="inlineStr">
        <is>
          <t>MEDIUM_RISK</t>
        </is>
      </c>
      <c r="W141" s="24" t="inlineStr">
        <is>
          <t>중위험</t>
        </is>
      </c>
      <c r="X141" s="24" t="inlineStr">
        <is>
          <t>MEDIUM_RISK</t>
        </is>
      </c>
      <c r="Y141" s="24" t="inlineStr">
        <is>
          <t>0.6610625585827647</t>
        </is>
      </c>
      <c r="Z141" s="24" t="inlineStr">
        <is>
          <t>MEDIUM</t>
        </is>
      </c>
      <c r="AA141" s="24" t="inlineStr">
        <is>
          <t>MEDIUM</t>
        </is>
      </c>
      <c r="AB141" s="24" t="inlineStr">
        <is>
          <t>0.09911108426869078</t>
        </is>
      </c>
      <c r="AC141" s="24" t="inlineStr">
        <is>
          <t>False</t>
        </is>
      </c>
      <c r="AD141" s="24" t="inlineStr">
        <is>
          <t>False</t>
        </is>
      </c>
      <c r="AE141" s="24" t="inlineStr">
        <is>
          <t>valuation_credit_ml_overlay_candidate.csv</t>
        </is>
      </c>
      <c r="AF141" s="24" t="inlineStr">
        <is>
          <t>208개 반도체 reference universe. Valuation Agent가 자체 intake 폴더로 복제해 Peer/ML/대시보드 비교에 사용.</t>
        </is>
      </c>
    </row>
    <row r="142" ht="24" customHeight="1">
      <c r="A142" s="29" t="inlineStr">
        <is>
          <t>149</t>
        </is>
      </c>
      <c r="B142" s="29" t="inlineStr">
        <is>
          <t>해당 없음</t>
        </is>
      </c>
      <c r="C142" s="29" t="inlineStr">
        <is>
          <t>후성</t>
        </is>
      </c>
      <c r="D142" s="29" t="inlineStr">
        <is>
          <t>093370</t>
        </is>
      </c>
      <c r="E142" s="29" t="inlineStr">
        <is>
          <t>KOSPI</t>
        </is>
      </c>
      <c r="F142" s="29" t="inlineStr">
        <is>
          <t>소재</t>
        </is>
      </c>
      <c r="G142" s="29" t="inlineStr">
        <is>
          <t>소재</t>
        </is>
      </c>
      <c r="H142" s="29" t="inlineStr">
        <is>
          <t>False</t>
        </is>
      </c>
      <c r="I142" s="29" t="inlineStr">
        <is>
          <t>True</t>
        </is>
      </c>
      <c r="J142" s="29" t="inlineStr">
        <is>
          <t>OK</t>
        </is>
      </c>
      <c r="K142" s="29" t="inlineStr">
        <is>
          <t>데이터 사용 가능</t>
        </is>
      </c>
      <c r="L142" s="29" t="inlineStr">
        <is>
          <t>LOW</t>
        </is>
      </c>
      <c r="M142" s="29" t="inlineStr">
        <is>
          <t>LOW</t>
        </is>
      </c>
      <c r="N142" s="29" t="inlineStr">
        <is>
          <t>0.3387179487179487</t>
        </is>
      </c>
      <c r="O142" s="29" t="inlineStr">
        <is>
          <t>EXPENSIVE</t>
        </is>
      </c>
      <c r="P142" s="29" t="inlineStr">
        <is>
          <t>EXPENSIVE</t>
        </is>
      </c>
      <c r="Q142" s="29" t="inlineStr">
        <is>
          <t>EXPENSIVE</t>
        </is>
      </c>
      <c r="R142" s="29" t="inlineStr">
        <is>
          <t>0.7388215177779633</t>
        </is>
      </c>
      <c r="S142" s="29" t="inlineStr">
        <is>
          <t>HIGH</t>
        </is>
      </c>
      <c r="T142" s="29" t="inlineStr">
        <is>
          <t>HIGH</t>
        </is>
      </c>
      <c r="U142" s="29" t="inlineStr">
        <is>
          <t>0.1428571428571428</t>
        </is>
      </c>
      <c r="V142" s="29" t="inlineStr">
        <is>
          <t>LOW_RISK</t>
        </is>
      </c>
      <c r="W142" s="29" t="inlineStr">
        <is>
          <t>저위험</t>
        </is>
      </c>
      <c r="X142" s="29" t="inlineStr">
        <is>
          <t>LOW_RISK</t>
        </is>
      </c>
      <c r="Y142" s="29" t="inlineStr">
        <is>
          <t>0.6020102100460379</t>
        </is>
      </c>
      <c r="Z142" s="29" t="inlineStr">
        <is>
          <t>MEDIUM</t>
        </is>
      </c>
      <c r="AA142" s="29" t="inlineStr">
        <is>
          <t>MEDIUM</t>
        </is>
      </c>
      <c r="AB142" s="29" t="inlineStr">
        <is>
          <t>0.03702349009826696</t>
        </is>
      </c>
      <c r="AC142" s="29" t="inlineStr">
        <is>
          <t>False</t>
        </is>
      </c>
      <c r="AD142" s="29" t="inlineStr">
        <is>
          <t>False</t>
        </is>
      </c>
      <c r="AE142" s="29" t="inlineStr">
        <is>
          <t>valuation_credit_ml_overlay_candidate.csv</t>
        </is>
      </c>
      <c r="AF142" s="29" t="inlineStr">
        <is>
          <t>208개 반도체 reference universe. Valuation Agent가 자체 intake 폴더로 복제해 Peer/ML/대시보드 비교에 사용.</t>
        </is>
      </c>
    </row>
    <row r="143" ht="24" customHeight="1">
      <c r="A143" s="24" t="inlineStr">
        <is>
          <t>132</t>
        </is>
      </c>
      <c r="B143" s="24" t="inlineStr">
        <is>
          <t>해당 없음</t>
        </is>
      </c>
      <c r="C143" s="24" t="inlineStr">
        <is>
          <t>엘케이켐</t>
        </is>
      </c>
      <c r="D143" s="24" t="inlineStr">
        <is>
          <t>489500</t>
        </is>
      </c>
      <c r="E143" s="24" t="inlineStr">
        <is>
          <t>KOSDAQ</t>
        </is>
      </c>
      <c r="F143" s="24" t="inlineStr">
        <is>
          <t>소재</t>
        </is>
      </c>
      <c r="G143" s="24" t="inlineStr">
        <is>
          <t>소재</t>
        </is>
      </c>
      <c r="H143" s="24" t="inlineStr">
        <is>
          <t>False</t>
        </is>
      </c>
      <c r="I143" s="24" t="inlineStr">
        <is>
          <t>True</t>
        </is>
      </c>
      <c r="J143" s="24" t="inlineStr">
        <is>
          <t>OK_LIMITED_HISTORY_OR_GROWTH_NA</t>
        </is>
      </c>
      <c r="K143" s="24" t="inlineStr">
        <is>
          <t>데이터 사용 가능</t>
        </is>
      </c>
      <c r="L143" s="24" t="inlineStr">
        <is>
          <t>LOW</t>
        </is>
      </c>
      <c r="M143" s="24" t="inlineStr">
        <is>
          <t>LOW</t>
        </is>
      </c>
      <c r="N143" s="24" t="inlineStr">
        <is>
          <t>0.3238461538461538</t>
        </is>
      </c>
      <c r="O143" s="24" t="inlineStr">
        <is>
          <t>EXPENSIVE</t>
        </is>
      </c>
      <c r="P143" s="24" t="inlineStr">
        <is>
          <t>EXPENSIVE</t>
        </is>
      </c>
      <c r="Q143" s="24" t="inlineStr">
        <is>
          <t>EXPENSIVE</t>
        </is>
      </c>
      <c r="R143" s="24" t="inlineStr">
        <is>
          <t>0.702794478496214</t>
        </is>
      </c>
      <c r="S143" s="24" t="inlineStr">
        <is>
          <t>HIGH</t>
        </is>
      </c>
      <c r="T143" s="24" t="inlineStr">
        <is>
          <t>HIGH</t>
        </is>
      </c>
      <c r="U143" s="24" t="inlineStr">
        <is>
          <t>0.2857142857142857</t>
        </is>
      </c>
      <c r="V143" s="24" t="inlineStr">
        <is>
          <t>MEDIUM_RISK</t>
        </is>
      </c>
      <c r="W143" s="24" t="inlineStr">
        <is>
          <t>중위험</t>
        </is>
      </c>
      <c r="X143" s="24" t="inlineStr">
        <is>
          <t>MEDIUM_RISK</t>
        </is>
      </c>
      <c r="Y143" s="24" t="inlineStr">
        <is>
          <t>0.5536965458646373</t>
        </is>
      </c>
      <c r="Z143" s="24" t="inlineStr">
        <is>
          <t>MEDIUM</t>
        </is>
      </c>
      <c r="AA143" s="24" t="inlineStr">
        <is>
          <t>MEDIUM</t>
        </is>
      </c>
      <c r="AB143" s="24" t="inlineStr">
        <is>
          <t>0.25181847400004714</t>
        </is>
      </c>
      <c r="AC143" s="24" t="inlineStr">
        <is>
          <t>True</t>
        </is>
      </c>
      <c r="AD143" s="24" t="inlineStr">
        <is>
          <t>True</t>
        </is>
      </c>
      <c r="AE143" s="24" t="inlineStr">
        <is>
          <t>valuation_credit_ml_overlay_candidate.csv</t>
        </is>
      </c>
      <c r="AF143" s="24" t="inlineStr">
        <is>
          <t>208개 반도체 reference universe. Valuation Agent가 자체 intake 폴더로 복제해 Peer/ML/대시보드 비교에 사용.</t>
        </is>
      </c>
    </row>
    <row r="144" ht="24" customHeight="1">
      <c r="A144" s="29" t="inlineStr">
        <is>
          <t>124</t>
        </is>
      </c>
      <c r="B144" s="29" t="inlineStr">
        <is>
          <t>해당 없음</t>
        </is>
      </c>
      <c r="C144" s="29" t="inlineStr">
        <is>
          <t>SKC</t>
        </is>
      </c>
      <c r="D144" s="29" t="inlineStr">
        <is>
          <t>011790</t>
        </is>
      </c>
      <c r="E144" s="29" t="inlineStr">
        <is>
          <t>KOSPI</t>
        </is>
      </c>
      <c r="F144" s="29" t="inlineStr">
        <is>
          <t>소재</t>
        </is>
      </c>
      <c r="G144" s="29" t="inlineStr">
        <is>
          <t>소재</t>
        </is>
      </c>
      <c r="H144" s="29" t="inlineStr">
        <is>
          <t>False</t>
        </is>
      </c>
      <c r="I144" s="29" t="inlineStr">
        <is>
          <t>True</t>
        </is>
      </c>
      <c r="J144" s="29" t="inlineStr">
        <is>
          <t>OK</t>
        </is>
      </c>
      <c r="K144" s="29" t="inlineStr">
        <is>
          <t>데이터 사용 가능</t>
        </is>
      </c>
      <c r="L144" s="29" t="inlineStr">
        <is>
          <t>LOW</t>
        </is>
      </c>
      <c r="M144" s="29" t="inlineStr">
        <is>
          <t>LOW</t>
        </is>
      </c>
      <c r="N144" s="29" t="inlineStr">
        <is>
          <t>0.3217948717948718</t>
        </is>
      </c>
      <c r="O144" s="29" t="inlineStr">
        <is>
          <t>EXPENSIVE</t>
        </is>
      </c>
      <c r="P144" s="29" t="inlineStr">
        <is>
          <t>EXPENSIVE</t>
        </is>
      </c>
      <c r="Q144" s="29" t="inlineStr">
        <is>
          <t>EXPENSIVE</t>
        </is>
      </c>
      <c r="R144" s="29" t="inlineStr">
        <is>
          <t>0.865330691240198</t>
        </is>
      </c>
      <c r="S144" s="29" t="inlineStr">
        <is>
          <t>HIGH</t>
        </is>
      </c>
      <c r="T144" s="29" t="inlineStr">
        <is>
          <t>HIGH</t>
        </is>
      </c>
      <c r="U144" s="29" t="inlineStr">
        <is>
          <t>0.7142857142857143</t>
        </is>
      </c>
      <c r="V144" s="29" t="inlineStr">
        <is>
          <t>HIGH_RISK</t>
        </is>
      </c>
      <c r="W144" s="29" t="inlineStr">
        <is>
          <t>고위험</t>
        </is>
      </c>
      <c r="X144" s="29" t="inlineStr">
        <is>
          <t>HIGH_RISK</t>
        </is>
      </c>
      <c r="Y144" s="29" t="inlineStr">
        <is>
          <t>0.9272418560336225</t>
        </is>
      </c>
      <c r="Z144" s="29" t="inlineStr">
        <is>
          <t>HIGH</t>
        </is>
      </c>
      <c r="AA144" s="29" t="inlineStr">
        <is>
          <t>HIGH</t>
        </is>
      </c>
      <c r="AB144" s="29" t="inlineStr">
        <is>
          <t>0.23200310396853355</t>
        </is>
      </c>
      <c r="AC144" s="29" t="inlineStr">
        <is>
          <t>False</t>
        </is>
      </c>
      <c r="AD144" s="29" t="inlineStr">
        <is>
          <t>False</t>
        </is>
      </c>
      <c r="AE144" s="29" t="inlineStr">
        <is>
          <t>valuation_credit_ml_overlay_candidate.csv</t>
        </is>
      </c>
      <c r="AF144" s="29" t="inlineStr">
        <is>
          <t>208개 반도체 reference universe. Valuation Agent가 자체 intake 폴더로 복제해 Peer/ML/대시보드 비교에 사용.</t>
        </is>
      </c>
    </row>
    <row r="145" ht="24" customHeight="1">
      <c r="A145" s="24" t="inlineStr">
        <is>
          <t>128</t>
        </is>
      </c>
      <c r="B145" s="24" t="inlineStr">
        <is>
          <t>해당 없음</t>
        </is>
      </c>
      <c r="C145" s="24" t="inlineStr">
        <is>
          <t>레이크머티리얼즈</t>
        </is>
      </c>
      <c r="D145" s="24" t="inlineStr">
        <is>
          <t>281740</t>
        </is>
      </c>
      <c r="E145" s="24" t="inlineStr">
        <is>
          <t>KOSDAQ</t>
        </is>
      </c>
      <c r="F145" s="24" t="inlineStr">
        <is>
          <t>소재</t>
        </is>
      </c>
      <c r="G145" s="24" t="inlineStr">
        <is>
          <t>소재</t>
        </is>
      </c>
      <c r="H145" s="24" t="inlineStr">
        <is>
          <t>False</t>
        </is>
      </c>
      <c r="I145" s="24" t="inlineStr">
        <is>
          <t>True</t>
        </is>
      </c>
      <c r="J145" s="24" t="inlineStr">
        <is>
          <t>OK</t>
        </is>
      </c>
      <c r="K145" s="24" t="inlineStr">
        <is>
          <t>데이터 사용 가능</t>
        </is>
      </c>
      <c r="L145" s="24" t="inlineStr">
        <is>
          <t>LOW</t>
        </is>
      </c>
      <c r="M145" s="24" t="inlineStr">
        <is>
          <t>LOW</t>
        </is>
      </c>
      <c r="N145" s="24" t="inlineStr">
        <is>
          <t>0.2676923076923077</t>
        </is>
      </c>
      <c r="O145" s="24" t="inlineStr">
        <is>
          <t>EXPENSIVE</t>
        </is>
      </c>
      <c r="P145" s="24" t="inlineStr">
        <is>
          <t>EXPENSIVE</t>
        </is>
      </c>
      <c r="Q145" s="24" t="inlineStr">
        <is>
          <t>EXPENSIVE</t>
        </is>
      </c>
      <c r="R145" s="24" t="inlineStr">
        <is>
          <t>0.7822727417954645</t>
        </is>
      </c>
      <c r="S145" s="24" t="inlineStr">
        <is>
          <t>HIGH</t>
        </is>
      </c>
      <c r="T145" s="24" t="inlineStr">
        <is>
          <t>HIGH</t>
        </is>
      </c>
      <c r="U145" s="24" t="inlineStr">
        <is>
          <t>0.2857142857142857</t>
        </is>
      </c>
      <c r="V145" s="24" t="inlineStr">
        <is>
          <t>MEDIUM_RISK</t>
        </is>
      </c>
      <c r="W145" s="24" t="inlineStr">
        <is>
          <t>중위험</t>
        </is>
      </c>
      <c r="X145" s="24" t="inlineStr">
        <is>
          <t>LOW_RISK</t>
        </is>
      </c>
      <c r="Y145" s="24" t="inlineStr">
        <is>
          <t>0.44190315892256776</t>
        </is>
      </c>
      <c r="Z145" s="24" t="inlineStr">
        <is>
          <t>LOW</t>
        </is>
      </c>
      <c r="AA145" s="24" t="inlineStr">
        <is>
          <t>LOW</t>
        </is>
      </c>
      <c r="AB145" s="24" t="inlineStr">
        <is>
          <t>0.0525163305941587</t>
        </is>
      </c>
      <c r="AC145" s="24" t="inlineStr">
        <is>
          <t>False</t>
        </is>
      </c>
      <c r="AD145" s="24" t="inlineStr">
        <is>
          <t>True</t>
        </is>
      </c>
      <c r="AE145" s="24" t="inlineStr">
        <is>
          <t>valuation_credit_ml_overlay_candidate.csv</t>
        </is>
      </c>
      <c r="AF145" s="24" t="inlineStr">
        <is>
          <t>208개 반도체 reference universe. Valuation Agent가 자체 intake 폴더로 복제해 Peer/ML/대시보드 비교에 사용.</t>
        </is>
      </c>
    </row>
    <row r="146" ht="24" customHeight="1">
      <c r="A146" s="29" t="inlineStr">
        <is>
          <t>125</t>
        </is>
      </c>
      <c r="B146" s="29" t="inlineStr">
        <is>
          <t>duksan</t>
        </is>
      </c>
      <c r="C146" s="29" t="inlineStr">
        <is>
          <t>덕산테코피아</t>
        </is>
      </c>
      <c r="D146" s="29" t="inlineStr">
        <is>
          <t>317330</t>
        </is>
      </c>
      <c r="E146" s="29" t="inlineStr">
        <is>
          <t>KOSDAQ</t>
        </is>
      </c>
      <c r="F146" s="29" t="inlineStr">
        <is>
          <t>소재</t>
        </is>
      </c>
      <c r="G146" s="29" t="inlineStr">
        <is>
          <t>소재</t>
        </is>
      </c>
      <c r="H146" s="29" t="inlineStr">
        <is>
          <t>True</t>
        </is>
      </c>
      <c r="I146" s="29" t="inlineStr">
        <is>
          <t>True</t>
        </is>
      </c>
      <c r="J146" s="29" t="inlineStr">
        <is>
          <t>OK</t>
        </is>
      </c>
      <c r="K146" s="29" t="inlineStr">
        <is>
          <t>데이터 사용 가능</t>
        </is>
      </c>
      <c r="L146" s="29" t="inlineStr">
        <is>
          <t>LOW</t>
        </is>
      </c>
      <c r="M146" s="29" t="inlineStr">
        <is>
          <t>LOW</t>
        </is>
      </c>
      <c r="N146" s="29" t="inlineStr">
        <is>
          <t>0.251025641025641</t>
        </is>
      </c>
      <c r="O146" s="29" t="inlineStr">
        <is>
          <t>EXPENSIVE</t>
        </is>
      </c>
      <c r="P146" s="29" t="inlineStr">
        <is>
          <t>EXPENSIVE</t>
        </is>
      </c>
      <c r="Q146" s="29" t="inlineStr">
        <is>
          <t>EXPENSIVE</t>
        </is>
      </c>
      <c r="R146" s="29" t="inlineStr">
        <is>
          <t>0.9683283970250778</t>
        </is>
      </c>
      <c r="S146" s="29" t="inlineStr">
        <is>
          <t>HIGH</t>
        </is>
      </c>
      <c r="T146" s="29" t="inlineStr">
        <is>
          <t>HIGH</t>
        </is>
      </c>
      <c r="U146" s="29" t="inlineStr">
        <is>
          <t>0.7142857142857143</t>
        </is>
      </c>
      <c r="V146" s="29" t="inlineStr">
        <is>
          <t>HIGH_RISK</t>
        </is>
      </c>
      <c r="W146" s="29" t="inlineStr">
        <is>
          <t>고위험</t>
        </is>
      </c>
      <c r="X146" s="29" t="inlineStr">
        <is>
          <t>HIGH_RISK</t>
        </is>
      </c>
      <c r="Y146" s="29" t="inlineStr">
        <is>
          <t>0.9663044353705786</t>
        </is>
      </c>
      <c r="Z146" s="29" t="inlineStr">
        <is>
          <t>HIGH</t>
        </is>
      </c>
      <c r="AA146" s="29" t="inlineStr">
        <is>
          <t>HIGH</t>
        </is>
      </c>
      <c r="AB146" s="29" t="inlineStr">
        <is>
          <t>0.3843555232614074</t>
        </is>
      </c>
      <c r="AC146" s="29" t="inlineStr">
        <is>
          <t>True</t>
        </is>
      </c>
      <c r="AD146" s="29" t="inlineStr">
        <is>
          <t>True</t>
        </is>
      </c>
      <c r="AE146" s="29" t="inlineStr">
        <is>
          <t>valuation_credit_ml_overlay_candidate.csv</t>
        </is>
      </c>
      <c r="AF146" s="29" t="inlineStr">
        <is>
          <t>208개 반도체 reference universe. Valuation Agent가 자체 intake 폴더로 복제해 Peer/ML/대시보드 비교에 사용.</t>
        </is>
      </c>
    </row>
    <row r="147" ht="24" customHeight="1">
      <c r="A147" s="24" t="inlineStr">
        <is>
          <t>99</t>
        </is>
      </c>
      <c r="B147" s="24" t="inlineStr">
        <is>
          <t>해당 없음</t>
        </is>
      </c>
      <c r="C147" s="24" t="inlineStr">
        <is>
          <t>엔투텍</t>
        </is>
      </c>
      <c r="D147" s="24" t="inlineStr">
        <is>
          <t>227950</t>
        </is>
      </c>
      <c r="E147" s="24" t="inlineStr">
        <is>
          <t>KOSDAQ</t>
        </is>
      </c>
      <c r="F147" s="24" t="inlineStr">
        <is>
          <t>장비</t>
        </is>
      </c>
      <c r="G147" s="24" t="inlineStr">
        <is>
          <t>장비</t>
        </is>
      </c>
      <c r="H147" s="24" t="inlineStr">
        <is>
          <t>False</t>
        </is>
      </c>
      <c r="I147" s="24" t="inlineStr">
        <is>
          <t>True</t>
        </is>
      </c>
      <c r="J147" s="24" t="inlineStr">
        <is>
          <t>OK</t>
        </is>
      </c>
      <c r="K147" s="24" t="inlineStr">
        <is>
          <t>데이터 사용 가능</t>
        </is>
      </c>
      <c r="L147" s="24" t="inlineStr">
        <is>
          <t>LOW</t>
        </is>
      </c>
      <c r="M147" s="24" t="inlineStr">
        <is>
          <t>LOW</t>
        </is>
      </c>
      <c r="N147" s="24" t="inlineStr">
        <is>
          <t>0.8128666666666667</t>
        </is>
      </c>
      <c r="O147" s="24" t="inlineStr">
        <is>
          <t>ATTRACTIVE</t>
        </is>
      </c>
      <c r="P147" s="24" t="inlineStr">
        <is>
          <t>가치 매력</t>
        </is>
      </c>
      <c r="Q147" s="24" t="inlineStr">
        <is>
          <t>ATTRACTIVE</t>
        </is>
      </c>
      <c r="R147" s="24" t="inlineStr">
        <is>
          <t>0.8347222629406851</t>
        </is>
      </c>
      <c r="S147" s="24" t="inlineStr">
        <is>
          <t>HIGH</t>
        </is>
      </c>
      <c r="T147" s="24" t="inlineStr">
        <is>
          <t>HIGH</t>
        </is>
      </c>
      <c r="U147" s="24" t="inlineStr">
        <is>
          <t>0.2142857142857142</t>
        </is>
      </c>
      <c r="V147" s="24" t="inlineStr">
        <is>
          <t>MEDIUM_RISK</t>
        </is>
      </c>
      <c r="W147" s="24" t="inlineStr">
        <is>
          <t>중위험</t>
        </is>
      </c>
      <c r="X147" s="24" t="inlineStr">
        <is>
          <t>MEDIUM_RISK</t>
        </is>
      </c>
      <c r="Y147" s="24" t="inlineStr">
        <is>
          <t>0.5142933547274794</t>
        </is>
      </c>
      <c r="Z147" s="24" t="inlineStr">
        <is>
          <t>MEDIUM</t>
        </is>
      </c>
      <c r="AA147" s="24" t="inlineStr">
        <is>
          <t>MEDIUM</t>
        </is>
      </c>
      <c r="AB147" s="24" t="inlineStr">
        <is>
          <t>0.21193857896314997</t>
        </is>
      </c>
      <c r="AC147" s="24" t="inlineStr">
        <is>
          <t>False</t>
        </is>
      </c>
      <c r="AD147" s="24" t="inlineStr">
        <is>
          <t>False</t>
        </is>
      </c>
      <c r="AE147" s="24" t="inlineStr">
        <is>
          <t>valuation_credit_ml_overlay_candidate.csv</t>
        </is>
      </c>
      <c r="AF147" s="24" t="inlineStr">
        <is>
          <t>208개 반도체 reference universe. Valuation Agent가 자체 intake 폴더로 복제해 Peer/ML/대시보드 비교에 사용.</t>
        </is>
      </c>
    </row>
    <row r="148" ht="24" customHeight="1">
      <c r="A148" s="29" t="inlineStr">
        <is>
          <t>88</t>
        </is>
      </c>
      <c r="B148" s="29" t="inlineStr">
        <is>
          <t>해당 없음</t>
        </is>
      </c>
      <c r="C148" s="29" t="inlineStr">
        <is>
          <t>비아트론</t>
        </is>
      </c>
      <c r="D148" s="29" t="inlineStr">
        <is>
          <t>141000</t>
        </is>
      </c>
      <c r="E148" s="29" t="inlineStr">
        <is>
          <t>KOSDAQ</t>
        </is>
      </c>
      <c r="F148" s="29" t="inlineStr">
        <is>
          <t>장비</t>
        </is>
      </c>
      <c r="G148" s="29" t="inlineStr">
        <is>
          <t>장비</t>
        </is>
      </c>
      <c r="H148" s="29" t="inlineStr">
        <is>
          <t>False</t>
        </is>
      </c>
      <c r="I148" s="29" t="inlineStr">
        <is>
          <t>True</t>
        </is>
      </c>
      <c r="J148" s="29" t="inlineStr">
        <is>
          <t>OK</t>
        </is>
      </c>
      <c r="K148" s="29" t="inlineStr">
        <is>
          <t>데이터 사용 가능</t>
        </is>
      </c>
      <c r="L148" s="29" t="inlineStr">
        <is>
          <t>LOW</t>
        </is>
      </c>
      <c r="M148" s="29" t="inlineStr">
        <is>
          <t>LOW</t>
        </is>
      </c>
      <c r="N148" s="29" t="inlineStr">
        <is>
          <t>0.7105333333333335</t>
        </is>
      </c>
      <c r="O148" s="29" t="inlineStr">
        <is>
          <t>ATTRACTIVE</t>
        </is>
      </c>
      <c r="P148" s="29" t="inlineStr">
        <is>
          <t>가치 매력</t>
        </is>
      </c>
      <c r="Q148" s="29" t="inlineStr">
        <is>
          <t>ATTRACTIVE</t>
        </is>
      </c>
      <c r="R148" s="29" t="inlineStr">
        <is>
          <t>0.934708213344448</t>
        </is>
      </c>
      <c r="S148" s="29" t="inlineStr">
        <is>
          <t>HIGH</t>
        </is>
      </c>
      <c r="T148" s="29" t="inlineStr">
        <is>
          <t>HIGH</t>
        </is>
      </c>
      <c r="U148" s="29" t="inlineStr">
        <is>
          <t>0.0</t>
        </is>
      </c>
      <c r="V148" s="29" t="inlineStr">
        <is>
          <t>LOW_RISK</t>
        </is>
      </c>
      <c r="W148" s="29" t="inlineStr">
        <is>
          <t>저위험</t>
        </is>
      </c>
      <c r="X148" s="29" t="inlineStr">
        <is>
          <t>LOW_RISK</t>
        </is>
      </c>
      <c r="Y148" s="29" t="inlineStr">
        <is>
          <t>0.9411184099481913</t>
        </is>
      </c>
      <c r="Z148" s="29" t="inlineStr">
        <is>
          <t>HIGH</t>
        </is>
      </c>
      <c r="AA148" s="29" t="inlineStr">
        <is>
          <t>HIGH</t>
        </is>
      </c>
      <c r="AB148" s="29" t="inlineStr">
        <is>
          <t>0.11715633071246634</t>
        </is>
      </c>
      <c r="AC148" s="29" t="inlineStr">
        <is>
          <t>False</t>
        </is>
      </c>
      <c r="AD148" s="29" t="inlineStr">
        <is>
          <t>False</t>
        </is>
      </c>
      <c r="AE148" s="29" t="inlineStr">
        <is>
          <t>valuation_credit_ml_overlay_candidate.csv</t>
        </is>
      </c>
      <c r="AF148" s="29" t="inlineStr">
        <is>
          <t>208개 반도체 reference universe. Valuation Agent가 자체 intake 폴더로 복제해 Peer/ML/대시보드 비교에 사용.</t>
        </is>
      </c>
    </row>
    <row r="149" ht="24" customHeight="1">
      <c r="A149" s="24" t="inlineStr">
        <is>
          <t>112</t>
        </is>
      </c>
      <c r="B149" s="24" t="inlineStr">
        <is>
          <t>해당 없음</t>
        </is>
      </c>
      <c r="C149" s="24" t="inlineStr">
        <is>
          <t>케이씨</t>
        </is>
      </c>
      <c r="D149" s="24" t="inlineStr">
        <is>
          <t>029460</t>
        </is>
      </c>
      <c r="E149" s="24" t="inlineStr">
        <is>
          <t>KOSPI</t>
        </is>
      </c>
      <c r="F149" s="24" t="inlineStr">
        <is>
          <t>장비</t>
        </is>
      </c>
      <c r="G149" s="24" t="inlineStr">
        <is>
          <t>장비</t>
        </is>
      </c>
      <c r="H149" s="24" t="inlineStr">
        <is>
          <t>False</t>
        </is>
      </c>
      <c r="I149" s="24" t="inlineStr">
        <is>
          <t>True</t>
        </is>
      </c>
      <c r="J149" s="24" t="inlineStr">
        <is>
          <t>OK</t>
        </is>
      </c>
      <c r="K149" s="24" t="inlineStr">
        <is>
          <t>데이터 사용 가능</t>
        </is>
      </c>
      <c r="L149" s="24" t="inlineStr">
        <is>
          <t>LOW</t>
        </is>
      </c>
      <c r="M149" s="24" t="inlineStr">
        <is>
          <t>LOW</t>
        </is>
      </c>
      <c r="N149" s="24" t="inlineStr">
        <is>
          <t>0.7065333333333332</t>
        </is>
      </c>
      <c r="O149" s="24" t="inlineStr">
        <is>
          <t>ATTRACTIVE</t>
        </is>
      </c>
      <c r="P149" s="24" t="inlineStr">
        <is>
          <t>가치 매력</t>
        </is>
      </c>
      <c r="Q149" s="24" t="inlineStr">
        <is>
          <t>ATTRACTIVE</t>
        </is>
      </c>
      <c r="R149" s="24" t="inlineStr">
        <is>
          <t>0.9151708177015135</t>
        </is>
      </c>
      <c r="S149" s="24" t="inlineStr">
        <is>
          <t>HIGH</t>
        </is>
      </c>
      <c r="T149" s="24" t="inlineStr">
        <is>
          <t>HIGH</t>
        </is>
      </c>
      <c r="U149" s="24" t="inlineStr">
        <is>
          <t>0.0</t>
        </is>
      </c>
      <c r="V149" s="24" t="inlineStr">
        <is>
          <t>LOW_RISK</t>
        </is>
      </c>
      <c r="W149" s="24" t="inlineStr">
        <is>
          <t>저위험</t>
        </is>
      </c>
      <c r="X149" s="24" t="inlineStr">
        <is>
          <t>LOW_RISK</t>
        </is>
      </c>
      <c r="Y149" s="24" t="inlineStr">
        <is>
          <t>0.883115363364621</t>
        </is>
      </c>
      <c r="Z149" s="24" t="inlineStr">
        <is>
          <t>HIGH</t>
        </is>
      </c>
      <c r="AA149" s="24" t="inlineStr">
        <is>
          <t>HIGH</t>
        </is>
      </c>
      <c r="AB149" s="24" t="inlineStr">
        <is>
          <t>0.07036651203602409</t>
        </is>
      </c>
      <c r="AC149" s="24" t="inlineStr">
        <is>
          <t>False</t>
        </is>
      </c>
      <c r="AD149" s="24" t="inlineStr">
        <is>
          <t>False</t>
        </is>
      </c>
      <c r="AE149" s="24" t="inlineStr">
        <is>
          <t>valuation_credit_ml_overlay_candidate.csv</t>
        </is>
      </c>
      <c r="AF149" s="24" t="inlineStr">
        <is>
          <t>208개 반도체 reference universe. Valuation Agent가 자체 intake 폴더로 복제해 Peer/ML/대시보드 비교에 사용.</t>
        </is>
      </c>
    </row>
    <row r="150" ht="24" customHeight="1">
      <c r="A150" s="29" t="inlineStr">
        <is>
          <t>81</t>
        </is>
      </c>
      <c r="B150" s="29" t="inlineStr">
        <is>
          <t>해당 없음</t>
        </is>
      </c>
      <c r="C150" s="29" t="inlineStr">
        <is>
          <t>더코디</t>
        </is>
      </c>
      <c r="D150" s="29" t="inlineStr">
        <is>
          <t>224060</t>
        </is>
      </c>
      <c r="E150" s="29" t="inlineStr">
        <is>
          <t>KOSDAQ</t>
        </is>
      </c>
      <c r="F150" s="29" t="inlineStr">
        <is>
          <t>장비</t>
        </is>
      </c>
      <c r="G150" s="29" t="inlineStr">
        <is>
          <t>장비</t>
        </is>
      </c>
      <c r="H150" s="29" t="inlineStr">
        <is>
          <t>False</t>
        </is>
      </c>
      <c r="I150" s="29" t="inlineStr">
        <is>
          <t>True</t>
        </is>
      </c>
      <c r="J150" s="29" t="inlineStr">
        <is>
          <t>OK</t>
        </is>
      </c>
      <c r="K150" s="29" t="inlineStr">
        <is>
          <t>데이터 사용 가능</t>
        </is>
      </c>
      <c r="L150" s="29" t="inlineStr">
        <is>
          <t>LOW</t>
        </is>
      </c>
      <c r="M150" s="29" t="inlineStr">
        <is>
          <t>LOW</t>
        </is>
      </c>
      <c r="N150" s="29" t="inlineStr">
        <is>
          <t>0.6908666666666667</t>
        </is>
      </c>
      <c r="O150" s="29" t="inlineStr">
        <is>
          <t>FAIR</t>
        </is>
      </c>
      <c r="P150" s="29" t="inlineStr">
        <is>
          <t>FAIR</t>
        </is>
      </c>
      <c r="Q150" s="29" t="inlineStr">
        <is>
          <t>FAIR</t>
        </is>
      </c>
      <c r="R150" s="29" t="inlineStr">
        <is>
          <t>0.6613330626239345</t>
        </is>
      </c>
      <c r="S150" s="29" t="inlineStr">
        <is>
          <t>MEDIUM</t>
        </is>
      </c>
      <c r="T150" s="29" t="inlineStr">
        <is>
          <t>MEDIUM</t>
        </is>
      </c>
      <c r="U150" s="29" t="inlineStr">
        <is>
          <t>0.8571428571428571</t>
        </is>
      </c>
      <c r="V150" s="29" t="inlineStr">
        <is>
          <t>HIGH_RISK</t>
        </is>
      </c>
      <c r="W150" s="29" t="inlineStr">
        <is>
          <t>고위험</t>
        </is>
      </c>
      <c r="X150" s="29" t="inlineStr">
        <is>
          <t>HIGH_RISK</t>
        </is>
      </c>
      <c r="Y150" s="29" t="inlineStr">
        <is>
          <t>0.5690179270143122</t>
        </is>
      </c>
      <c r="Z150" s="29" t="inlineStr">
        <is>
          <t>MEDIUM</t>
        </is>
      </c>
      <c r="AA150" s="29" t="inlineStr">
        <is>
          <t>MEDIUM</t>
        </is>
      </c>
      <c r="AB150" s="29" t="inlineStr">
        <is>
          <t>0.3728446721783581</t>
        </is>
      </c>
      <c r="AC150" s="29" t="inlineStr">
        <is>
          <t>True</t>
        </is>
      </c>
      <c r="AD150" s="29" t="inlineStr">
        <is>
          <t>True</t>
        </is>
      </c>
      <c r="AE150" s="29" t="inlineStr">
        <is>
          <t>valuation_credit_ml_overlay_candidate.csv</t>
        </is>
      </c>
      <c r="AF150" s="29" t="inlineStr">
        <is>
          <t>208개 반도체 reference universe. Valuation Agent가 자체 intake 폴더로 복제해 Peer/ML/대시보드 비교에 사용.</t>
        </is>
      </c>
    </row>
    <row r="151" ht="24" customHeight="1">
      <c r="A151" s="24" t="inlineStr">
        <is>
          <t>76</t>
        </is>
      </c>
      <c r="B151" s="24" t="inlineStr">
        <is>
          <t>해당 없음</t>
        </is>
      </c>
      <c r="C151" s="24" t="inlineStr">
        <is>
          <t>KPX케미칼</t>
        </is>
      </c>
      <c r="D151" s="24" t="inlineStr">
        <is>
          <t>025000</t>
        </is>
      </c>
      <c r="E151" s="24" t="inlineStr">
        <is>
          <t>KOSPI</t>
        </is>
      </c>
      <c r="F151" s="24" t="inlineStr">
        <is>
          <t>장비</t>
        </is>
      </c>
      <c r="G151" s="24" t="inlineStr">
        <is>
          <t>장비</t>
        </is>
      </c>
      <c r="H151" s="24" t="inlineStr">
        <is>
          <t>False</t>
        </is>
      </c>
      <c r="I151" s="24" t="inlineStr">
        <is>
          <t>True</t>
        </is>
      </c>
      <c r="J151" s="24" t="inlineStr">
        <is>
          <t>OK</t>
        </is>
      </c>
      <c r="K151" s="24" t="inlineStr">
        <is>
          <t>데이터 사용 가능</t>
        </is>
      </c>
      <c r="L151" s="24" t="inlineStr">
        <is>
          <t>LOW</t>
        </is>
      </c>
      <c r="M151" s="24" t="inlineStr">
        <is>
          <t>LOW</t>
        </is>
      </c>
      <c r="N151" s="24" t="inlineStr">
        <is>
          <t>0.6876</t>
        </is>
      </c>
      <c r="O151" s="24" t="inlineStr">
        <is>
          <t>ATTRACTIVE</t>
        </is>
      </c>
      <c r="P151" s="24" t="inlineStr">
        <is>
          <t>가치 매력</t>
        </is>
      </c>
      <c r="Q151" s="24" t="inlineStr">
        <is>
          <t>ATTRACTIVE</t>
        </is>
      </c>
      <c r="R151" s="24" t="inlineStr">
        <is>
          <t>0.9091955435785402</t>
        </is>
      </c>
      <c r="S151" s="24" t="inlineStr">
        <is>
          <t>HIGH</t>
        </is>
      </c>
      <c r="T151" s="24" t="inlineStr">
        <is>
          <t>HIGH</t>
        </is>
      </c>
      <c r="U151" s="24" t="inlineStr">
        <is>
          <t>0.0</t>
        </is>
      </c>
      <c r="V151" s="24" t="inlineStr">
        <is>
          <t>LOW_RISK</t>
        </is>
      </c>
      <c r="W151" s="24" t="inlineStr">
        <is>
          <t>저위험</t>
        </is>
      </c>
      <c r="X151" s="24" t="inlineStr">
        <is>
          <t>LOW_RISK</t>
        </is>
      </c>
      <c r="Y151" s="24" t="inlineStr">
        <is>
          <t>0.9222174142026104</t>
        </is>
      </c>
      <c r="Z151" s="24" t="inlineStr">
        <is>
          <t>HIGH</t>
        </is>
      </c>
      <c r="AA151" s="24" t="inlineStr">
        <is>
          <t>HIGH</t>
        </is>
      </c>
      <c r="AB151" s="24" t="inlineStr">
        <is>
          <t>0.13901835477996793</t>
        </is>
      </c>
      <c r="AC151" s="24" t="inlineStr">
        <is>
          <t>False</t>
        </is>
      </c>
      <c r="AD151" s="24" t="inlineStr">
        <is>
          <t>False</t>
        </is>
      </c>
      <c r="AE151" s="24" t="inlineStr">
        <is>
          <t>valuation_credit_ml_overlay_candidate.csv</t>
        </is>
      </c>
      <c r="AF151" s="24" t="inlineStr">
        <is>
          <t>208개 반도체 reference universe. Valuation Agent가 자체 intake 폴더로 복제해 Peer/ML/대시보드 비교에 사용.</t>
        </is>
      </c>
    </row>
    <row r="152" ht="24" customHeight="1">
      <c r="A152" s="29" t="inlineStr">
        <is>
          <t>91</t>
        </is>
      </c>
      <c r="B152" s="29" t="inlineStr">
        <is>
          <t>해당 없음</t>
        </is>
      </c>
      <c r="C152" s="29" t="inlineStr">
        <is>
          <t>성도이엔지</t>
        </is>
      </c>
      <c r="D152" s="29" t="inlineStr">
        <is>
          <t>037350</t>
        </is>
      </c>
      <c r="E152" s="29" t="inlineStr">
        <is>
          <t>KOSDAQ</t>
        </is>
      </c>
      <c r="F152" s="29" t="inlineStr">
        <is>
          <t>장비</t>
        </is>
      </c>
      <c r="G152" s="29" t="inlineStr">
        <is>
          <t>장비</t>
        </is>
      </c>
      <c r="H152" s="29" t="inlineStr">
        <is>
          <t>False</t>
        </is>
      </c>
      <c r="I152" s="29" t="inlineStr">
        <is>
          <t>True</t>
        </is>
      </c>
      <c r="J152" s="29" t="inlineStr">
        <is>
          <t>OK</t>
        </is>
      </c>
      <c r="K152" s="29" t="inlineStr">
        <is>
          <t>데이터 사용 가능</t>
        </is>
      </c>
      <c r="L152" s="29" t="inlineStr">
        <is>
          <t>LOW</t>
        </is>
      </c>
      <c r="M152" s="29" t="inlineStr">
        <is>
          <t>LOW</t>
        </is>
      </c>
      <c r="N152" s="29" t="inlineStr">
        <is>
          <t>0.6874666666666667</t>
        </is>
      </c>
      <c r="O152" s="29" t="inlineStr">
        <is>
          <t>ATTRACTIVE</t>
        </is>
      </c>
      <c r="P152" s="29" t="inlineStr">
        <is>
          <t>가치 매력</t>
        </is>
      </c>
      <c r="Q152" s="29" t="inlineStr">
        <is>
          <t>ATTRACTIVE</t>
        </is>
      </c>
      <c r="R152" s="29" t="inlineStr">
        <is>
          <t>0.9250659167833418</t>
        </is>
      </c>
      <c r="S152" s="29" t="inlineStr">
        <is>
          <t>HIGH</t>
        </is>
      </c>
      <c r="T152" s="29" t="inlineStr">
        <is>
          <t>HIGH</t>
        </is>
      </c>
      <c r="U152" s="29" t="inlineStr">
        <is>
          <t>0.0</t>
        </is>
      </c>
      <c r="V152" s="29" t="inlineStr">
        <is>
          <t>LOW_RISK</t>
        </is>
      </c>
      <c r="W152" s="29" t="inlineStr">
        <is>
          <t>저위험</t>
        </is>
      </c>
      <c r="X152" s="29" t="inlineStr">
        <is>
          <t>LOW_RISK</t>
        </is>
      </c>
      <c r="Y152" s="29" t="inlineStr">
        <is>
          <t>0.7848826000183735</t>
        </is>
      </c>
      <c r="Z152" s="29" t="inlineStr">
        <is>
          <t>HIGH</t>
        </is>
      </c>
      <c r="AA152" s="29" t="inlineStr">
        <is>
          <t>HIGH</t>
        </is>
      </c>
      <c r="AB152" s="29" t="inlineStr">
        <is>
          <t>0.02320770424808947</t>
        </is>
      </c>
      <c r="AC152" s="29" t="inlineStr">
        <is>
          <t>False</t>
        </is>
      </c>
      <c r="AD152" s="29" t="inlineStr">
        <is>
          <t>False</t>
        </is>
      </c>
      <c r="AE152" s="29" t="inlineStr">
        <is>
          <t>valuation_credit_ml_overlay_candidate.csv</t>
        </is>
      </c>
      <c r="AF152" s="29" t="inlineStr">
        <is>
          <t>208개 반도체 reference universe. Valuation Agent가 자체 intake 폴더로 복제해 Peer/ML/대시보드 비교에 사용.</t>
        </is>
      </c>
    </row>
    <row r="153" ht="24" customHeight="1">
      <c r="A153" s="24" t="inlineStr">
        <is>
          <t>105</t>
        </is>
      </c>
      <c r="B153" s="24" t="inlineStr">
        <is>
          <t>해당 없음</t>
        </is>
      </c>
      <c r="C153" s="24" t="inlineStr">
        <is>
          <t>유니퀘스트</t>
        </is>
      </c>
      <c r="D153" s="24" t="inlineStr">
        <is>
          <t>077500</t>
        </is>
      </c>
      <c r="E153" s="24" t="inlineStr">
        <is>
          <t>KOSPI</t>
        </is>
      </c>
      <c r="F153" s="24" t="inlineStr">
        <is>
          <t>장비</t>
        </is>
      </c>
      <c r="G153" s="24" t="inlineStr">
        <is>
          <t>장비</t>
        </is>
      </c>
      <c r="H153" s="24" t="inlineStr">
        <is>
          <t>False</t>
        </is>
      </c>
      <c r="I153" s="24" t="inlineStr">
        <is>
          <t>True</t>
        </is>
      </c>
      <c r="J153" s="24" t="inlineStr">
        <is>
          <t>OK</t>
        </is>
      </c>
      <c r="K153" s="24" t="inlineStr">
        <is>
          <t>데이터 사용 가능</t>
        </is>
      </c>
      <c r="L153" s="24" t="inlineStr">
        <is>
          <t>LOW</t>
        </is>
      </c>
      <c r="M153" s="24" t="inlineStr">
        <is>
          <t>LOW</t>
        </is>
      </c>
      <c r="N153" s="24" t="inlineStr">
        <is>
          <t>0.6784</t>
        </is>
      </c>
      <c r="O153" s="24" t="inlineStr">
        <is>
          <t>ATTRACTIVE</t>
        </is>
      </c>
      <c r="P153" s="24" t="inlineStr">
        <is>
          <t>가치 매력</t>
        </is>
      </c>
      <c r="Q153" s="24" t="inlineStr">
        <is>
          <t>ATTRACTIVE</t>
        </is>
      </c>
      <c r="R153" s="24" t="inlineStr">
        <is>
          <t>0.8881603628406226</t>
        </is>
      </c>
      <c r="S153" s="24" t="inlineStr">
        <is>
          <t>HIGH</t>
        </is>
      </c>
      <c r="T153" s="24" t="inlineStr">
        <is>
          <t>HIGH</t>
        </is>
      </c>
      <c r="U153" s="24" t="inlineStr">
        <is>
          <t>0.0</t>
        </is>
      </c>
      <c r="V153" s="24" t="inlineStr">
        <is>
          <t>LOW_RISK</t>
        </is>
      </c>
      <c r="W153" s="24" t="inlineStr">
        <is>
          <t>저위험</t>
        </is>
      </c>
      <c r="X153" s="24" t="inlineStr">
        <is>
          <t>LOW_RISK</t>
        </is>
      </c>
      <c r="Y153" s="24" t="inlineStr">
        <is>
          <t>0.8138676885332061</t>
        </is>
      </c>
      <c r="Z153" s="24" t="inlineStr">
        <is>
          <t>HIGH</t>
        </is>
      </c>
      <c r="AA153" s="24" t="inlineStr">
        <is>
          <t>HIGH</t>
        </is>
      </c>
      <c r="AB153" s="24" t="inlineStr">
        <is>
          <t>0.042139285734196785</t>
        </is>
      </c>
      <c r="AC153" s="24" t="inlineStr">
        <is>
          <t>False</t>
        </is>
      </c>
      <c r="AD153" s="24" t="inlineStr">
        <is>
          <t>False</t>
        </is>
      </c>
      <c r="AE153" s="24" t="inlineStr">
        <is>
          <t>valuation_credit_ml_overlay_candidate.csv</t>
        </is>
      </c>
      <c r="AF153" s="24" t="inlineStr">
        <is>
          <t>208개 반도체 reference universe. Valuation Agent가 자체 intake 폴더로 복제해 Peer/ML/대시보드 비교에 사용.</t>
        </is>
      </c>
    </row>
    <row r="154" ht="24" customHeight="1">
      <c r="A154" s="29" t="inlineStr">
        <is>
          <t>123</t>
        </is>
      </c>
      <c r="B154" s="29" t="inlineStr">
        <is>
          <t>해당 없음</t>
        </is>
      </c>
      <c r="C154" s="29" t="inlineStr">
        <is>
          <t>한솔아이원스</t>
        </is>
      </c>
      <c r="D154" s="29" t="inlineStr">
        <is>
          <t>114810</t>
        </is>
      </c>
      <c r="E154" s="29" t="inlineStr">
        <is>
          <t>KOSDAQ</t>
        </is>
      </c>
      <c r="F154" s="29" t="inlineStr">
        <is>
          <t>장비</t>
        </is>
      </c>
      <c r="G154" s="29" t="inlineStr">
        <is>
          <t>장비</t>
        </is>
      </c>
      <c r="H154" s="29" t="inlineStr">
        <is>
          <t>False</t>
        </is>
      </c>
      <c r="I154" s="29" t="inlineStr">
        <is>
          <t>True</t>
        </is>
      </c>
      <c r="J154" s="29" t="inlineStr">
        <is>
          <t>OK</t>
        </is>
      </c>
      <c r="K154" s="29" t="inlineStr">
        <is>
          <t>데이터 사용 가능</t>
        </is>
      </c>
      <c r="L154" s="29" t="inlineStr">
        <is>
          <t>LOW</t>
        </is>
      </c>
      <c r="M154" s="29" t="inlineStr">
        <is>
          <t>LOW</t>
        </is>
      </c>
      <c r="N154" s="29" t="inlineStr">
        <is>
          <t>0.6648</t>
        </is>
      </c>
      <c r="O154" s="29" t="inlineStr">
        <is>
          <t>ATTRACTIVE</t>
        </is>
      </c>
      <c r="P154" s="29" t="inlineStr">
        <is>
          <t>가치 매력</t>
        </is>
      </c>
      <c r="Q154" s="29" t="inlineStr">
        <is>
          <t>ATTRACTIVE</t>
        </is>
      </c>
      <c r="R154" s="29" t="inlineStr">
        <is>
          <t>0.9031428820161691</t>
        </is>
      </c>
      <c r="S154" s="29" t="inlineStr">
        <is>
          <t>HIGH</t>
        </is>
      </c>
      <c r="T154" s="29" t="inlineStr">
        <is>
          <t>HIGH</t>
        </is>
      </c>
      <c r="U154" s="29" t="inlineStr">
        <is>
          <t>0.1428571428571428</t>
        </is>
      </c>
      <c r="V154" s="29" t="inlineStr">
        <is>
          <t>LOW_RISK</t>
        </is>
      </c>
      <c r="W154" s="29" t="inlineStr">
        <is>
          <t>저위험</t>
        </is>
      </c>
      <c r="X154" s="29" t="inlineStr">
        <is>
          <t>LOW_RISK</t>
        </is>
      </c>
      <c r="Y154" s="29" t="inlineStr">
        <is>
          <t>0.8626763542915618</t>
        </is>
      </c>
      <c r="Z154" s="29" t="inlineStr">
        <is>
          <t>HIGH</t>
        </is>
      </c>
      <c r="AA154" s="29" t="inlineStr">
        <is>
          <t>HIGH</t>
        </is>
      </c>
      <c r="AB154" s="29" t="inlineStr">
        <is>
          <t>0.040357003305963514</t>
        </is>
      </c>
      <c r="AC154" s="29" t="inlineStr">
        <is>
          <t>False</t>
        </is>
      </c>
      <c r="AD154" s="29" t="inlineStr">
        <is>
          <t>False</t>
        </is>
      </c>
      <c r="AE154" s="29" t="inlineStr">
        <is>
          <t>valuation_credit_ml_overlay_candidate.csv</t>
        </is>
      </c>
      <c r="AF154" s="29" t="inlineStr">
        <is>
          <t>208개 반도체 reference universe. Valuation Agent가 자체 intake 폴더로 복제해 Peer/ML/대시보드 비교에 사용.</t>
        </is>
      </c>
    </row>
    <row r="155" ht="24" customHeight="1">
      <c r="A155" s="24" t="inlineStr">
        <is>
          <t>74</t>
        </is>
      </c>
      <c r="B155" s="24" t="inlineStr">
        <is>
          <t>해당 없음</t>
        </is>
      </c>
      <c r="C155" s="24" t="inlineStr">
        <is>
          <t>GST</t>
        </is>
      </c>
      <c r="D155" s="24" t="inlineStr">
        <is>
          <t>083450</t>
        </is>
      </c>
      <c r="E155" s="24" t="inlineStr">
        <is>
          <t>KOSDAQ</t>
        </is>
      </c>
      <c r="F155" s="24" t="inlineStr">
        <is>
          <t>장비</t>
        </is>
      </c>
      <c r="G155" s="24" t="inlineStr">
        <is>
          <t>장비</t>
        </is>
      </c>
      <c r="H155" s="24" t="inlineStr">
        <is>
          <t>False</t>
        </is>
      </c>
      <c r="I155" s="24" t="inlineStr">
        <is>
          <t>True</t>
        </is>
      </c>
      <c r="J155" s="24" t="inlineStr">
        <is>
          <t>OK</t>
        </is>
      </c>
      <c r="K155" s="24" t="inlineStr">
        <is>
          <t>데이터 사용 가능</t>
        </is>
      </c>
      <c r="L155" s="24" t="inlineStr">
        <is>
          <t>LOW</t>
        </is>
      </c>
      <c r="M155" s="24" t="inlineStr">
        <is>
          <t>LOW</t>
        </is>
      </c>
      <c r="N155" s="24" t="inlineStr">
        <is>
          <t>0.6474666666666666</t>
        </is>
      </c>
      <c r="O155" s="24" t="inlineStr">
        <is>
          <t>ATTRACTIVE</t>
        </is>
      </c>
      <c r="P155" s="24" t="inlineStr">
        <is>
          <t>가치 매력</t>
        </is>
      </c>
      <c r="Q155" s="24" t="inlineStr">
        <is>
          <t>ATTRACTIVE</t>
        </is>
      </c>
      <c r="R155" s="24" t="inlineStr">
        <is>
          <t>0.900491542853433</t>
        </is>
      </c>
      <c r="S155" s="24" t="inlineStr">
        <is>
          <t>HIGH</t>
        </is>
      </c>
      <c r="T155" s="24" t="inlineStr">
        <is>
          <t>HIGH</t>
        </is>
      </c>
      <c r="U155" s="24" t="inlineStr">
        <is>
          <t>0.0</t>
        </is>
      </c>
      <c r="V155" s="24" t="inlineStr">
        <is>
          <t>LOW_RISK</t>
        </is>
      </c>
      <c r="W155" s="24" t="inlineStr">
        <is>
          <t>저위험</t>
        </is>
      </c>
      <c r="X155" s="24" t="inlineStr">
        <is>
          <t>LOW_RISK</t>
        </is>
      </c>
      <c r="Y155" s="24" t="inlineStr">
        <is>
          <t>0.9914514013000448</t>
        </is>
      </c>
      <c r="Z155" s="24" t="inlineStr">
        <is>
          <t>HIGH</t>
        </is>
      </c>
      <c r="AA155" s="24" t="inlineStr">
        <is>
          <t>HIGH</t>
        </is>
      </c>
      <c r="AB155" s="24" t="inlineStr">
        <is>
          <t>0.030956097033645616</t>
        </is>
      </c>
      <c r="AC155" s="24" t="inlineStr">
        <is>
          <t>False</t>
        </is>
      </c>
      <c r="AD155" s="24" t="inlineStr">
        <is>
          <t>False</t>
        </is>
      </c>
      <c r="AE155" s="24" t="inlineStr">
        <is>
          <t>valuation_credit_ml_overlay_candidate.csv</t>
        </is>
      </c>
      <c r="AF155" s="24" t="inlineStr">
        <is>
          <t>208개 반도체 reference universe. Valuation Agent가 자체 intake 폴더로 복제해 Peer/ML/대시보드 비교에 사용.</t>
        </is>
      </c>
    </row>
    <row r="156" ht="24" customHeight="1">
      <c r="A156" s="29" t="inlineStr">
        <is>
          <t>117</t>
        </is>
      </c>
      <c r="B156" s="29" t="inlineStr">
        <is>
          <t>해당 없음</t>
        </is>
      </c>
      <c r="C156" s="29" t="inlineStr">
        <is>
          <t>티이엠씨씨엔에스</t>
        </is>
      </c>
      <c r="D156" s="29" t="inlineStr">
        <is>
          <t>241790</t>
        </is>
      </c>
      <c r="E156" s="29" t="inlineStr">
        <is>
          <t>KOSDAQ</t>
        </is>
      </c>
      <c r="F156" s="29" t="inlineStr">
        <is>
          <t>장비</t>
        </is>
      </c>
      <c r="G156" s="29" t="inlineStr">
        <is>
          <t>장비</t>
        </is>
      </c>
      <c r="H156" s="29" t="inlineStr">
        <is>
          <t>False</t>
        </is>
      </c>
      <c r="I156" s="29" t="inlineStr">
        <is>
          <t>True</t>
        </is>
      </c>
      <c r="J156" s="29" t="inlineStr">
        <is>
          <t>OK</t>
        </is>
      </c>
      <c r="K156" s="29" t="inlineStr">
        <is>
          <t>데이터 사용 가능</t>
        </is>
      </c>
      <c r="L156" s="29" t="inlineStr">
        <is>
          <t>LOW</t>
        </is>
      </c>
      <c r="M156" s="29" t="inlineStr">
        <is>
          <t>LOW</t>
        </is>
      </c>
      <c r="N156" s="29" t="inlineStr">
        <is>
          <t>0.6393333333333333</t>
        </is>
      </c>
      <c r="O156" s="29" t="inlineStr">
        <is>
          <t>ATTRACTIVE</t>
        </is>
      </c>
      <c r="P156" s="29" t="inlineStr">
        <is>
          <t>가치 매력</t>
        </is>
      </c>
      <c r="Q156" s="29" t="inlineStr">
        <is>
          <t>ATTRACTIVE</t>
        </is>
      </c>
      <c r="R156" s="29" t="inlineStr">
        <is>
          <t>0.8915695356337118</t>
        </is>
      </c>
      <c r="S156" s="29" t="inlineStr">
        <is>
          <t>HIGH</t>
        </is>
      </c>
      <c r="T156" s="29" t="inlineStr">
        <is>
          <t>HIGH</t>
        </is>
      </c>
      <c r="U156" s="29" t="inlineStr">
        <is>
          <t>0.0714285714285714</t>
        </is>
      </c>
      <c r="V156" s="29" t="inlineStr">
        <is>
          <t>LOW_RISK</t>
        </is>
      </c>
      <c r="W156" s="29" t="inlineStr">
        <is>
          <t>저위험</t>
        </is>
      </c>
      <c r="X156" s="29" t="inlineStr">
        <is>
          <t>LOW_RISK</t>
        </is>
      </c>
      <c r="Y156" s="29" t="inlineStr">
        <is>
          <t>0.8390932561788113</t>
        </is>
      </c>
      <c r="Z156" s="29" t="inlineStr">
        <is>
          <t>HIGH</t>
        </is>
      </c>
      <c r="AA156" s="29" t="inlineStr">
        <is>
          <t>HIGH</t>
        </is>
      </c>
      <c r="AB156" s="29" t="inlineStr">
        <is>
          <t>0.02833353868990863</t>
        </is>
      </c>
      <c r="AC156" s="29" t="inlineStr">
        <is>
          <t>False</t>
        </is>
      </c>
      <c r="AD156" s="29" t="inlineStr">
        <is>
          <t>False</t>
        </is>
      </c>
      <c r="AE156" s="29" t="inlineStr">
        <is>
          <t>valuation_credit_ml_overlay_candidate.csv</t>
        </is>
      </c>
      <c r="AF156" s="29" t="inlineStr">
        <is>
          <t>208개 반도체 reference universe. Valuation Agent가 자체 intake 폴더로 복제해 Peer/ML/대시보드 비교에 사용.</t>
        </is>
      </c>
    </row>
    <row r="157" ht="24" customHeight="1">
      <c r="A157" s="24" t="inlineStr">
        <is>
          <t>82</t>
        </is>
      </c>
      <c r="B157" s="24" t="inlineStr">
        <is>
          <t>해당 없음</t>
        </is>
      </c>
      <c r="C157" s="24" t="inlineStr">
        <is>
          <t>디아이티</t>
        </is>
      </c>
      <c r="D157" s="24" t="inlineStr">
        <is>
          <t>110990</t>
        </is>
      </c>
      <c r="E157" s="24" t="inlineStr">
        <is>
          <t>KOSDAQ</t>
        </is>
      </c>
      <c r="F157" s="24" t="inlineStr">
        <is>
          <t>장비</t>
        </is>
      </c>
      <c r="G157" s="24" t="inlineStr">
        <is>
          <t>장비</t>
        </is>
      </c>
      <c r="H157" s="24" t="inlineStr">
        <is>
          <t>False</t>
        </is>
      </c>
      <c r="I157" s="24" t="inlineStr">
        <is>
          <t>True</t>
        </is>
      </c>
      <c r="J157" s="24" t="inlineStr">
        <is>
          <t>OK</t>
        </is>
      </c>
      <c r="K157" s="24" t="inlineStr">
        <is>
          <t>데이터 사용 가능</t>
        </is>
      </c>
      <c r="L157" s="24" t="inlineStr">
        <is>
          <t>LOW</t>
        </is>
      </c>
      <c r="M157" s="24" t="inlineStr">
        <is>
          <t>LOW</t>
        </is>
      </c>
      <c r="N157" s="24" t="inlineStr">
        <is>
          <t>0.6341333333333333</t>
        </is>
      </c>
      <c r="O157" s="24" t="inlineStr">
        <is>
          <t>ATTRACTIVE</t>
        </is>
      </c>
      <c r="P157" s="24" t="inlineStr">
        <is>
          <t>가치 매력</t>
        </is>
      </c>
      <c r="Q157" s="24" t="inlineStr">
        <is>
          <t>ATTRACTIVE</t>
        </is>
      </c>
      <c r="R157" s="24" t="inlineStr">
        <is>
          <t>0.8847780199048246</t>
        </is>
      </c>
      <c r="S157" s="24" t="inlineStr">
        <is>
          <t>HIGH</t>
        </is>
      </c>
      <c r="T157" s="24" t="inlineStr">
        <is>
          <t>HIGH</t>
        </is>
      </c>
      <c r="U157" s="24" t="inlineStr">
        <is>
          <t>0.0</t>
        </is>
      </c>
      <c r="V157" s="24" t="inlineStr">
        <is>
          <t>LOW_RISK</t>
        </is>
      </c>
      <c r="W157" s="24" t="inlineStr">
        <is>
          <t>저위험</t>
        </is>
      </c>
      <c r="X157" s="24" t="inlineStr">
        <is>
          <t>LOW_RISK</t>
        </is>
      </c>
      <c r="Y157" s="24" t="inlineStr">
        <is>
          <t>0.9680387620928</t>
        </is>
      </c>
      <c r="Z157" s="24" t="inlineStr">
        <is>
          <t>HIGH</t>
        </is>
      </c>
      <c r="AA157" s="24" t="inlineStr">
        <is>
          <t>HIGH</t>
        </is>
      </c>
      <c r="AB157" s="24" t="inlineStr">
        <is>
          <t>0.10339551954594055</t>
        </is>
      </c>
      <c r="AC157" s="24" t="inlineStr">
        <is>
          <t>False</t>
        </is>
      </c>
      <c r="AD157" s="24" t="inlineStr">
        <is>
          <t>False</t>
        </is>
      </c>
      <c r="AE157" s="24" t="inlineStr">
        <is>
          <t>valuation_credit_ml_overlay_candidate.csv</t>
        </is>
      </c>
      <c r="AF157" s="24" t="inlineStr">
        <is>
          <t>208개 반도체 reference universe. Valuation Agent가 자체 intake 폴더로 복제해 Peer/ML/대시보드 비교에 사용.</t>
        </is>
      </c>
    </row>
    <row r="158" ht="24" customHeight="1">
      <c r="A158" s="29" t="inlineStr">
        <is>
          <t>113</t>
        </is>
      </c>
      <c r="B158" s="29" t="inlineStr">
        <is>
          <t>해당 없음</t>
        </is>
      </c>
      <c r="C158" s="29" t="inlineStr">
        <is>
          <t>케이씨텍</t>
        </is>
      </c>
      <c r="D158" s="29" t="inlineStr">
        <is>
          <t>281820</t>
        </is>
      </c>
      <c r="E158" s="29" t="inlineStr">
        <is>
          <t>KOSPI</t>
        </is>
      </c>
      <c r="F158" s="29" t="inlineStr">
        <is>
          <t>장비</t>
        </is>
      </c>
      <c r="G158" s="29" t="inlineStr">
        <is>
          <t>장비</t>
        </is>
      </c>
      <c r="H158" s="29" t="inlineStr">
        <is>
          <t>False</t>
        </is>
      </c>
      <c r="I158" s="29" t="inlineStr">
        <is>
          <t>True</t>
        </is>
      </c>
      <c r="J158" s="29" t="inlineStr">
        <is>
          <t>OK</t>
        </is>
      </c>
      <c r="K158" s="29" t="inlineStr">
        <is>
          <t>데이터 사용 가능</t>
        </is>
      </c>
      <c r="L158" s="29" t="inlineStr">
        <is>
          <t>LOW</t>
        </is>
      </c>
      <c r="M158" s="29" t="inlineStr">
        <is>
          <t>LOW</t>
        </is>
      </c>
      <c r="N158" s="29" t="inlineStr">
        <is>
          <t>0.6314666666666666</t>
        </is>
      </c>
      <c r="O158" s="29" t="inlineStr">
        <is>
          <t>ATTRACTIVE</t>
        </is>
      </c>
      <c r="P158" s="29" t="inlineStr">
        <is>
          <t>가치 매력</t>
        </is>
      </c>
      <c r="Q158" s="29" t="inlineStr">
        <is>
          <t>ATTRACTIVE</t>
        </is>
      </c>
      <c r="R158" s="29" t="inlineStr">
        <is>
          <t>0.8895261430914092</t>
        </is>
      </c>
      <c r="S158" s="29" t="inlineStr">
        <is>
          <t>HIGH</t>
        </is>
      </c>
      <c r="T158" s="29" t="inlineStr">
        <is>
          <t>HIGH</t>
        </is>
      </c>
      <c r="U158" s="29" t="inlineStr">
        <is>
          <t>0.0</t>
        </is>
      </c>
      <c r="V158" s="29" t="inlineStr">
        <is>
          <t>LOW_RISK</t>
        </is>
      </c>
      <c r="W158" s="29" t="inlineStr">
        <is>
          <t>저위험</t>
        </is>
      </c>
      <c r="X158" s="29" t="inlineStr">
        <is>
          <t>LOW_RISK</t>
        </is>
      </c>
      <c r="Y158" s="29" t="inlineStr">
        <is>
          <t>0.9840164809601727</t>
        </is>
      </c>
      <c r="Z158" s="29" t="inlineStr">
        <is>
          <t>HIGH</t>
        </is>
      </c>
      <c r="AA158" s="29" t="inlineStr">
        <is>
          <t>HIGH</t>
        </is>
      </c>
      <c r="AB158" s="29" t="inlineStr">
        <is>
          <t>0.08604596455969397</t>
        </is>
      </c>
      <c r="AC158" s="29" t="inlineStr">
        <is>
          <t>False</t>
        </is>
      </c>
      <c r="AD158" s="29" t="inlineStr">
        <is>
          <t>False</t>
        </is>
      </c>
      <c r="AE158" s="29" t="inlineStr">
        <is>
          <t>valuation_credit_ml_overlay_candidate.csv</t>
        </is>
      </c>
      <c r="AF158" s="29" t="inlineStr">
        <is>
          <t>208개 반도체 reference universe. Valuation Agent가 자체 intake 폴더로 복제해 Peer/ML/대시보드 비교에 사용.</t>
        </is>
      </c>
    </row>
    <row r="159" ht="24" customHeight="1">
      <c r="A159" s="24" t="inlineStr">
        <is>
          <t>85</t>
        </is>
      </c>
      <c r="B159" s="24" t="inlineStr">
        <is>
          <t>해당 없음</t>
        </is>
      </c>
      <c r="C159" s="24" t="inlineStr">
        <is>
          <t>로체시스템즈</t>
        </is>
      </c>
      <c r="D159" s="24" t="inlineStr">
        <is>
          <t>071280</t>
        </is>
      </c>
      <c r="E159" s="24" t="inlineStr">
        <is>
          <t>KOSDAQ</t>
        </is>
      </c>
      <c r="F159" s="24" t="inlineStr">
        <is>
          <t>장비</t>
        </is>
      </c>
      <c r="G159" s="24" t="inlineStr">
        <is>
          <t>장비</t>
        </is>
      </c>
      <c r="H159" s="24" t="inlineStr">
        <is>
          <t>False</t>
        </is>
      </c>
      <c r="I159" s="24" t="inlineStr">
        <is>
          <t>True</t>
        </is>
      </c>
      <c r="J159" s="24" t="inlineStr">
        <is>
          <t>OK</t>
        </is>
      </c>
      <c r="K159" s="24" t="inlineStr">
        <is>
          <t>데이터 사용 가능</t>
        </is>
      </c>
      <c r="L159" s="24" t="inlineStr">
        <is>
          <t>LOW</t>
        </is>
      </c>
      <c r="M159" s="24" t="inlineStr">
        <is>
          <t>LOW</t>
        </is>
      </c>
      <c r="N159" s="24" t="inlineStr">
        <is>
          <t>0.6258666666666667</t>
        </is>
      </c>
      <c r="O159" s="24" t="inlineStr">
        <is>
          <t>ATTRACTIVE</t>
        </is>
      </c>
      <c r="P159" s="24" t="inlineStr">
        <is>
          <t>가치 매력</t>
        </is>
      </c>
      <c r="Q159" s="24" t="inlineStr">
        <is>
          <t>ATTRACTIVE</t>
        </is>
      </c>
      <c r="R159" s="24" t="inlineStr">
        <is>
          <t>0.9642438845844894</t>
        </is>
      </c>
      <c r="S159" s="24" t="inlineStr">
        <is>
          <t>HIGH</t>
        </is>
      </c>
      <c r="T159" s="24" t="inlineStr">
        <is>
          <t>HIGH</t>
        </is>
      </c>
      <c r="U159" s="24" t="inlineStr">
        <is>
          <t>0.0714285714285714</t>
        </is>
      </c>
      <c r="V159" s="24" t="inlineStr">
        <is>
          <t>LOW_RISK</t>
        </is>
      </c>
      <c r="W159" s="24" t="inlineStr">
        <is>
          <t>저위험</t>
        </is>
      </c>
      <c r="X159" s="24" t="inlineStr">
        <is>
          <t>LOW_RISK</t>
        </is>
      </c>
      <c r="Y159" s="24" t="inlineStr">
        <is>
          <t>0.865361141095959</t>
        </is>
      </c>
      <c r="Z159" s="24" t="inlineStr">
        <is>
          <t>HIGH</t>
        </is>
      </c>
      <c r="AA159" s="24" t="inlineStr">
        <is>
          <t>HIGH</t>
        </is>
      </c>
      <c r="AB159" s="24" t="inlineStr">
        <is>
          <t>0.12835380231692475</t>
        </is>
      </c>
      <c r="AC159" s="24" t="inlineStr">
        <is>
          <t>False</t>
        </is>
      </c>
      <c r="AD159" s="24" t="inlineStr">
        <is>
          <t>False</t>
        </is>
      </c>
      <c r="AE159" s="24" t="inlineStr">
        <is>
          <t>valuation_credit_ml_overlay_candidate.csv</t>
        </is>
      </c>
      <c r="AF159" s="24" t="inlineStr">
        <is>
          <t>208개 반도체 reference universe. Valuation Agent가 자체 intake 폴더로 복제해 Peer/ML/대시보드 비교에 사용.</t>
        </is>
      </c>
    </row>
    <row r="160" ht="24" customHeight="1">
      <c r="A160" s="29" t="inlineStr">
        <is>
          <t>95</t>
        </is>
      </c>
      <c r="B160" s="29" t="inlineStr">
        <is>
          <t>해당 없음</t>
        </is>
      </c>
      <c r="C160" s="29" t="inlineStr">
        <is>
          <t>아이씨디</t>
        </is>
      </c>
      <c r="D160" s="29" t="inlineStr">
        <is>
          <t>040910</t>
        </is>
      </c>
      <c r="E160" s="29" t="inlineStr">
        <is>
          <t>KOSDAQ</t>
        </is>
      </c>
      <c r="F160" s="29" t="inlineStr">
        <is>
          <t>장비</t>
        </is>
      </c>
      <c r="G160" s="29" t="inlineStr">
        <is>
          <t>장비</t>
        </is>
      </c>
      <c r="H160" s="29" t="inlineStr">
        <is>
          <t>False</t>
        </is>
      </c>
      <c r="I160" s="29" t="inlineStr">
        <is>
          <t>True</t>
        </is>
      </c>
      <c r="J160" s="29" t="inlineStr">
        <is>
          <t>OK</t>
        </is>
      </c>
      <c r="K160" s="29" t="inlineStr">
        <is>
          <t>데이터 사용 가능</t>
        </is>
      </c>
      <c r="L160" s="29" t="inlineStr">
        <is>
          <t>LOW</t>
        </is>
      </c>
      <c r="M160" s="29" t="inlineStr">
        <is>
          <t>LOW</t>
        </is>
      </c>
      <c r="N160" s="29" t="inlineStr">
        <is>
          <t>0.6158666666666667</t>
        </is>
      </c>
      <c r="O160" s="29" t="inlineStr">
        <is>
          <t>FAIR</t>
        </is>
      </c>
      <c r="P160" s="29" t="inlineStr">
        <is>
          <t>FAIR</t>
        </is>
      </c>
      <c r="Q160" s="29" t="inlineStr">
        <is>
          <t>FAIR</t>
        </is>
      </c>
      <c r="R160" s="29" t="inlineStr">
        <is>
          <t>0.692546582663732</t>
        </is>
      </c>
      <c r="S160" s="29" t="inlineStr">
        <is>
          <t>MEDIUM</t>
        </is>
      </c>
      <c r="T160" s="29" t="inlineStr">
        <is>
          <t>MEDIUM</t>
        </is>
      </c>
      <c r="U160" s="29" t="inlineStr">
        <is>
          <t>0.0714285714285714</t>
        </is>
      </c>
      <c r="V160" s="29" t="inlineStr">
        <is>
          <t>LOW_RISK</t>
        </is>
      </c>
      <c r="W160" s="29" t="inlineStr">
        <is>
          <t>저위험</t>
        </is>
      </c>
      <c r="X160" s="29" t="inlineStr">
        <is>
          <t>LOW_RISK</t>
        </is>
      </c>
      <c r="Y160" s="29" t="inlineStr">
        <is>
          <t>0.44849044524296083</t>
        </is>
      </c>
      <c r="Z160" s="29" t="inlineStr">
        <is>
          <t>LOW</t>
        </is>
      </c>
      <c r="AA160" s="29" t="inlineStr">
        <is>
          <t>LOW</t>
        </is>
      </c>
      <c r="AB160" s="29" t="inlineStr">
        <is>
          <t>0.036739402266510075</t>
        </is>
      </c>
      <c r="AC160" s="29" t="inlineStr">
        <is>
          <t>False</t>
        </is>
      </c>
      <c r="AD160" s="29" t="inlineStr">
        <is>
          <t>True</t>
        </is>
      </c>
      <c r="AE160" s="29" t="inlineStr">
        <is>
          <t>valuation_credit_ml_overlay_candidate.csv</t>
        </is>
      </c>
      <c r="AF160" s="29" t="inlineStr">
        <is>
          <t>208개 반도체 reference universe. Valuation Agent가 자체 intake 폴더로 복제해 Peer/ML/대시보드 비교에 사용.</t>
        </is>
      </c>
    </row>
    <row r="161" ht="24" customHeight="1">
      <c r="A161" s="24" t="inlineStr">
        <is>
          <t>96</t>
        </is>
      </c>
      <c r="B161" s="24" t="inlineStr">
        <is>
          <t>해당 없음</t>
        </is>
      </c>
      <c r="C161" s="24" t="inlineStr">
        <is>
          <t>에스에프에이</t>
        </is>
      </c>
      <c r="D161" s="24" t="inlineStr">
        <is>
          <t>056190</t>
        </is>
      </c>
      <c r="E161" s="24" t="inlineStr">
        <is>
          <t>KOSDAQ GLOBAL</t>
        </is>
      </c>
      <c r="F161" s="24" t="inlineStr">
        <is>
          <t>장비</t>
        </is>
      </c>
      <c r="G161" s="24" t="inlineStr">
        <is>
          <t>장비</t>
        </is>
      </c>
      <c r="H161" s="24" t="inlineStr">
        <is>
          <t>False</t>
        </is>
      </c>
      <c r="I161" s="24" t="inlineStr">
        <is>
          <t>True</t>
        </is>
      </c>
      <c r="J161" s="24" t="inlineStr">
        <is>
          <t>OK</t>
        </is>
      </c>
      <c r="K161" s="24" t="inlineStr">
        <is>
          <t>데이터 사용 가능</t>
        </is>
      </c>
      <c r="L161" s="24" t="inlineStr">
        <is>
          <t>LOW</t>
        </is>
      </c>
      <c r="M161" s="24" t="inlineStr">
        <is>
          <t>LOW</t>
        </is>
      </c>
      <c r="N161" s="24" t="inlineStr">
        <is>
          <t>0.6098666666666667</t>
        </is>
      </c>
      <c r="O161" s="24" t="inlineStr">
        <is>
          <t>ATTRACTIVE</t>
        </is>
      </c>
      <c r="P161" s="24" t="inlineStr">
        <is>
          <t>가치 매력</t>
        </is>
      </c>
      <c r="Q161" s="24" t="inlineStr">
        <is>
          <t>ATTRACTIVE</t>
        </is>
      </c>
      <c r="R161" s="24" t="inlineStr">
        <is>
          <t>0.8690882589557657</t>
        </is>
      </c>
      <c r="S161" s="24" t="inlineStr">
        <is>
          <t>HIGH</t>
        </is>
      </c>
      <c r="T161" s="24" t="inlineStr">
        <is>
          <t>HIGH</t>
        </is>
      </c>
      <c r="U161" s="24" t="inlineStr">
        <is>
          <t>0.0</t>
        </is>
      </c>
      <c r="V161" s="24" t="inlineStr">
        <is>
          <t>LOW_RISK</t>
        </is>
      </c>
      <c r="W161" s="24" t="inlineStr">
        <is>
          <t>저위험</t>
        </is>
      </c>
      <c r="X161" s="24" t="inlineStr">
        <is>
          <t>LOW_RISK</t>
        </is>
      </c>
      <c r="Y161" s="24" t="inlineStr">
        <is>
          <t>0.9436125736629892</t>
        </is>
      </c>
      <c r="Z161" s="24" t="inlineStr">
        <is>
          <t>HIGH</t>
        </is>
      </c>
      <c r="AA161" s="24" t="inlineStr">
        <is>
          <t>HIGH</t>
        </is>
      </c>
      <c r="AB161" s="24" t="inlineStr">
        <is>
          <t>0.014784178233183152</t>
        </is>
      </c>
      <c r="AC161" s="24" t="inlineStr">
        <is>
          <t>False</t>
        </is>
      </c>
      <c r="AD161" s="24" t="inlineStr">
        <is>
          <t>False</t>
        </is>
      </c>
      <c r="AE161" s="24" t="inlineStr">
        <is>
          <t>valuation_credit_ml_overlay_candidate.csv</t>
        </is>
      </c>
      <c r="AF161" s="24" t="inlineStr">
        <is>
          <t>208개 반도체 reference universe. Valuation Agent가 자체 intake 폴더로 복제해 Peer/ML/대시보드 비교에 사용.</t>
        </is>
      </c>
    </row>
    <row r="162" ht="24" customHeight="1">
      <c r="A162" s="29" t="inlineStr">
        <is>
          <t>89</t>
        </is>
      </c>
      <c r="B162" s="29" t="inlineStr">
        <is>
          <t>해당 없음</t>
        </is>
      </c>
      <c r="C162" s="29" t="inlineStr">
        <is>
          <t>삼양엔씨켐</t>
        </is>
      </c>
      <c r="D162" s="29" t="inlineStr">
        <is>
          <t>482630</t>
        </is>
      </c>
      <c r="E162" s="29" t="inlineStr">
        <is>
          <t>KOSDAQ</t>
        </is>
      </c>
      <c r="F162" s="29" t="inlineStr">
        <is>
          <t>장비</t>
        </is>
      </c>
      <c r="G162" s="29" t="inlineStr">
        <is>
          <t>장비</t>
        </is>
      </c>
      <c r="H162" s="29" t="inlineStr">
        <is>
          <t>False</t>
        </is>
      </c>
      <c r="I162" s="29" t="inlineStr">
        <is>
          <t>True</t>
        </is>
      </c>
      <c r="J162" s="29" t="inlineStr">
        <is>
          <t>OK_LIMITED_HISTORY_OR_GROWTH_NA</t>
        </is>
      </c>
      <c r="K162" s="29" t="inlineStr">
        <is>
          <t>데이터 사용 가능</t>
        </is>
      </c>
      <c r="L162" s="29" t="inlineStr">
        <is>
          <t>LOW</t>
        </is>
      </c>
      <c r="M162" s="29" t="inlineStr">
        <is>
          <t>LOW</t>
        </is>
      </c>
      <c r="N162" s="29" t="inlineStr">
        <is>
          <t>0.5993333333333333</t>
        </is>
      </c>
      <c r="O162" s="29" t="inlineStr">
        <is>
          <t>ATTRACTIVE</t>
        </is>
      </c>
      <c r="P162" s="29" t="inlineStr">
        <is>
          <t>가치 매력</t>
        </is>
      </c>
      <c r="Q162" s="29" t="inlineStr">
        <is>
          <t>ATTRACTIVE</t>
        </is>
      </c>
      <c r="R162" s="29" t="inlineStr">
        <is>
          <t>0.6408467710997098</t>
        </is>
      </c>
      <c r="S162" s="29" t="inlineStr">
        <is>
          <t>MEDIUM</t>
        </is>
      </c>
      <c r="T162" s="29" t="inlineStr">
        <is>
          <t>MEDIUM</t>
        </is>
      </c>
      <c r="U162" s="29" t="inlineStr">
        <is>
          <t>0.0714285714285714</t>
        </is>
      </c>
      <c r="V162" s="29" t="inlineStr">
        <is>
          <t>LOW_RISK</t>
        </is>
      </c>
      <c r="W162" s="29" t="inlineStr">
        <is>
          <t>저위험</t>
        </is>
      </c>
      <c r="X162" s="29" t="inlineStr">
        <is>
          <t>LOW_RISK</t>
        </is>
      </c>
      <c r="Y162" s="29" t="inlineStr">
        <is>
          <t>0.9401160844253347</t>
        </is>
      </c>
      <c r="Z162" s="29" t="inlineStr">
        <is>
          <t>HIGH</t>
        </is>
      </c>
      <c r="AA162" s="29" t="inlineStr">
        <is>
          <t>HIGH</t>
        </is>
      </c>
      <c r="AB162" s="29" t="inlineStr">
        <is>
          <t>0.028901776832829695</t>
        </is>
      </c>
      <c r="AC162" s="29" t="inlineStr">
        <is>
          <t>False</t>
        </is>
      </c>
      <c r="AD162" s="29" t="inlineStr">
        <is>
          <t>True</t>
        </is>
      </c>
      <c r="AE162" s="29" t="inlineStr">
        <is>
          <t>valuation_credit_ml_overlay_candidate.csv</t>
        </is>
      </c>
      <c r="AF162" s="29" t="inlineStr">
        <is>
          <t>208개 반도체 reference universe. Valuation Agent가 자체 intake 폴더로 복제해 Peer/ML/대시보드 비교에 사용.</t>
        </is>
      </c>
    </row>
    <row r="163" ht="24" customHeight="1">
      <c r="A163" s="24" t="inlineStr">
        <is>
          <t>92</t>
        </is>
      </c>
      <c r="B163" s="24" t="inlineStr">
        <is>
          <t>해당 없음</t>
        </is>
      </c>
      <c r="C163" s="24" t="inlineStr">
        <is>
          <t>싸이맥스</t>
        </is>
      </c>
      <c r="D163" s="24" t="inlineStr">
        <is>
          <t>160980</t>
        </is>
      </c>
      <c r="E163" s="24" t="inlineStr">
        <is>
          <t>KOSDAQ</t>
        </is>
      </c>
      <c r="F163" s="24" t="inlineStr">
        <is>
          <t>장비</t>
        </is>
      </c>
      <c r="G163" s="24" t="inlineStr">
        <is>
          <t>장비</t>
        </is>
      </c>
      <c r="H163" s="24" t="inlineStr">
        <is>
          <t>False</t>
        </is>
      </c>
      <c r="I163" s="24" t="inlineStr">
        <is>
          <t>True</t>
        </is>
      </c>
      <c r="J163" s="24" t="inlineStr">
        <is>
          <t>OK</t>
        </is>
      </c>
      <c r="K163" s="24" t="inlineStr">
        <is>
          <t>데이터 사용 가능</t>
        </is>
      </c>
      <c r="L163" s="24" t="inlineStr">
        <is>
          <t>LOW</t>
        </is>
      </c>
      <c r="M163" s="24" t="inlineStr">
        <is>
          <t>LOW</t>
        </is>
      </c>
      <c r="N163" s="24" t="inlineStr">
        <is>
          <t>0.5961333333333334</t>
        </is>
      </c>
      <c r="O163" s="24" t="inlineStr">
        <is>
          <t>ATTRACTIVE</t>
        </is>
      </c>
      <c r="P163" s="24" t="inlineStr">
        <is>
          <t>가치 매력</t>
        </is>
      </c>
      <c r="Q163" s="24" t="inlineStr">
        <is>
          <t>ATTRACTIVE</t>
        </is>
      </c>
      <c r="R163" s="24" t="inlineStr">
        <is>
          <t>0.8128181122496774</t>
        </is>
      </c>
      <c r="S163" s="24" t="inlineStr">
        <is>
          <t>HIGH</t>
        </is>
      </c>
      <c r="T163" s="24" t="inlineStr">
        <is>
          <t>HIGH</t>
        </is>
      </c>
      <c r="U163" s="24" t="inlineStr">
        <is>
          <t>0.0</t>
        </is>
      </c>
      <c r="V163" s="24" t="inlineStr">
        <is>
          <t>LOW_RISK</t>
        </is>
      </c>
      <c r="W163" s="24" t="inlineStr">
        <is>
          <t>저위험</t>
        </is>
      </c>
      <c r="X163" s="24" t="inlineStr">
        <is>
          <t>LOW_RISK</t>
        </is>
      </c>
      <c r="Y163" s="24" t="inlineStr">
        <is>
          <t>0.9687749577011366</t>
        </is>
      </c>
      <c r="Z163" s="24" t="inlineStr">
        <is>
          <t>HIGH</t>
        </is>
      </c>
      <c r="AA163" s="24" t="inlineStr">
        <is>
          <t>HIGH</t>
        </is>
      </c>
      <c r="AB163" s="24" t="inlineStr">
        <is>
          <t>0.14360930410301745</t>
        </is>
      </c>
      <c r="AC163" s="24" t="inlineStr">
        <is>
          <t>False</t>
        </is>
      </c>
      <c r="AD163" s="24" t="inlineStr">
        <is>
          <t>False</t>
        </is>
      </c>
      <c r="AE163" s="24" t="inlineStr">
        <is>
          <t>valuation_credit_ml_overlay_candidate.csv</t>
        </is>
      </c>
      <c r="AF163" s="24" t="inlineStr">
        <is>
          <t>208개 반도체 reference universe. Valuation Agent가 자체 intake 폴더로 복제해 Peer/ML/대시보드 비교에 사용.</t>
        </is>
      </c>
    </row>
    <row r="164" ht="24" customHeight="1">
      <c r="A164" s="29" t="inlineStr">
        <is>
          <t>80</t>
        </is>
      </c>
      <c r="B164" s="29" t="inlineStr">
        <is>
          <t>해당 없음</t>
        </is>
      </c>
      <c r="C164" s="29" t="inlineStr">
        <is>
          <t>뉴파워프라즈마</t>
        </is>
      </c>
      <c r="D164" s="29" t="inlineStr">
        <is>
          <t>144960</t>
        </is>
      </c>
      <c r="E164" s="29" t="inlineStr">
        <is>
          <t>KOSDAQ</t>
        </is>
      </c>
      <c r="F164" s="29" t="inlineStr">
        <is>
          <t>장비</t>
        </is>
      </c>
      <c r="G164" s="29" t="inlineStr">
        <is>
          <t>장비</t>
        </is>
      </c>
      <c r="H164" s="29" t="inlineStr">
        <is>
          <t>False</t>
        </is>
      </c>
      <c r="I164" s="29" t="inlineStr">
        <is>
          <t>True</t>
        </is>
      </c>
      <c r="J164" s="29" t="inlineStr">
        <is>
          <t>OK</t>
        </is>
      </c>
      <c r="K164" s="29" t="inlineStr">
        <is>
          <t>데이터 사용 가능</t>
        </is>
      </c>
      <c r="L164" s="29" t="inlineStr">
        <is>
          <t>LOW</t>
        </is>
      </c>
      <c r="M164" s="29" t="inlineStr">
        <is>
          <t>LOW</t>
        </is>
      </c>
      <c r="N164" s="29" t="inlineStr">
        <is>
          <t>0.5749333333333334</t>
        </is>
      </c>
      <c r="O164" s="29" t="inlineStr">
        <is>
          <t>FAIR</t>
        </is>
      </c>
      <c r="P164" s="29" t="inlineStr">
        <is>
          <t>FAIR</t>
        </is>
      </c>
      <c r="Q164" s="29" t="inlineStr">
        <is>
          <t>FAIR</t>
        </is>
      </c>
      <c r="R164" s="29" t="inlineStr">
        <is>
          <t>0.868464354966477</t>
        </is>
      </c>
      <c r="S164" s="29" t="inlineStr">
        <is>
          <t>HIGH</t>
        </is>
      </c>
      <c r="T164" s="29" t="inlineStr">
        <is>
          <t>HIGH</t>
        </is>
      </c>
      <c r="U164" s="29" t="inlineStr">
        <is>
          <t>0.2142857142857142</t>
        </is>
      </c>
      <c r="V164" s="29" t="inlineStr">
        <is>
          <t>MEDIUM_RISK</t>
        </is>
      </c>
      <c r="W164" s="29" t="inlineStr">
        <is>
          <t>중위험</t>
        </is>
      </c>
      <c r="X164" s="29" t="inlineStr">
        <is>
          <t>MEDIUM_RISK</t>
        </is>
      </c>
      <c r="Y164" s="29" t="inlineStr">
        <is>
          <t>0.7046290499893975</t>
        </is>
      </c>
      <c r="Z164" s="29" t="inlineStr">
        <is>
          <t>HIGH</t>
        </is>
      </c>
      <c r="AA164" s="29" t="inlineStr">
        <is>
          <t>HIGH</t>
        </is>
      </c>
      <c r="AB164" s="29" t="inlineStr">
        <is>
          <t>0.04196333332906741</t>
        </is>
      </c>
      <c r="AC164" s="29" t="inlineStr">
        <is>
          <t>False</t>
        </is>
      </c>
      <c r="AD164" s="29" t="inlineStr">
        <is>
          <t>False</t>
        </is>
      </c>
      <c r="AE164" s="29" t="inlineStr">
        <is>
          <t>valuation_credit_ml_overlay_candidate.csv</t>
        </is>
      </c>
      <c r="AF164" s="29" t="inlineStr">
        <is>
          <t>208개 반도체 reference universe. Valuation Agent가 자체 intake 폴더로 복제해 Peer/ML/대시보드 비교에 사용.</t>
        </is>
      </c>
    </row>
    <row r="165" ht="24" customHeight="1">
      <c r="A165" s="24" t="inlineStr">
        <is>
          <t>107</t>
        </is>
      </c>
      <c r="B165" s="24" t="inlineStr">
        <is>
          <t>해당 없음</t>
        </is>
      </c>
      <c r="C165" s="24" t="inlineStr">
        <is>
          <t>이엘씨</t>
        </is>
      </c>
      <c r="D165" s="24" t="inlineStr">
        <is>
          <t>041520</t>
        </is>
      </c>
      <c r="E165" s="24" t="inlineStr">
        <is>
          <t>KOSDAQ</t>
        </is>
      </c>
      <c r="F165" s="24" t="inlineStr">
        <is>
          <t>장비</t>
        </is>
      </c>
      <c r="G165" s="24" t="inlineStr">
        <is>
          <t>장비</t>
        </is>
      </c>
      <c r="H165" s="24" t="inlineStr">
        <is>
          <t>False</t>
        </is>
      </c>
      <c r="I165" s="24" t="inlineStr">
        <is>
          <t>True</t>
        </is>
      </c>
      <c r="J165" s="24" t="inlineStr">
        <is>
          <t>OK</t>
        </is>
      </c>
      <c r="K165" s="24" t="inlineStr">
        <is>
          <t>데이터 사용 가능</t>
        </is>
      </c>
      <c r="L165" s="24" t="inlineStr">
        <is>
          <t>LOW</t>
        </is>
      </c>
      <c r="M165" s="24" t="inlineStr">
        <is>
          <t>LOW</t>
        </is>
      </c>
      <c r="N165" s="24" t="inlineStr">
        <is>
          <t>0.5722</t>
        </is>
      </c>
      <c r="O165" s="24" t="inlineStr">
        <is>
          <t>FAIR</t>
        </is>
      </c>
      <c r="P165" s="24" t="inlineStr">
        <is>
          <t>FAIR</t>
        </is>
      </c>
      <c r="Q165" s="24" t="inlineStr">
        <is>
          <t>FAIR</t>
        </is>
      </c>
      <c r="R165" s="24" t="inlineStr">
        <is>
          <t>0.7059172837936919</t>
        </is>
      </c>
      <c r="S165" s="24" t="inlineStr">
        <is>
          <t>HIGH</t>
        </is>
      </c>
      <c r="T165" s="24" t="inlineStr">
        <is>
          <t>HIGH</t>
        </is>
      </c>
      <c r="U165" s="24" t="inlineStr">
        <is>
          <t>0.3571428571428571</t>
        </is>
      </c>
      <c r="V165" s="24" t="inlineStr">
        <is>
          <t>MEDIUM_RISK</t>
        </is>
      </c>
      <c r="W165" s="24" t="inlineStr">
        <is>
          <t>중위험</t>
        </is>
      </c>
      <c r="X165" s="24" t="inlineStr">
        <is>
          <t>MEDIUM_RISK</t>
        </is>
      </c>
      <c r="Y165" s="24" t="inlineStr">
        <is>
          <t>0.6140431256310129</t>
        </is>
      </c>
      <c r="Z165" s="24" t="inlineStr">
        <is>
          <t>MEDIUM</t>
        </is>
      </c>
      <c r="AA165" s="24" t="inlineStr">
        <is>
          <t>MEDIUM</t>
        </is>
      </c>
      <c r="AB165" s="24" t="inlineStr">
        <is>
          <t>0.48123065048868763</t>
        </is>
      </c>
      <c r="AC165" s="24" t="inlineStr">
        <is>
          <t>True</t>
        </is>
      </c>
      <c r="AD165" s="24" t="inlineStr">
        <is>
          <t>True</t>
        </is>
      </c>
      <c r="AE165" s="24" t="inlineStr">
        <is>
          <t>valuation_credit_ml_overlay_candidate.csv</t>
        </is>
      </c>
      <c r="AF165" s="24" t="inlineStr">
        <is>
          <t>208개 반도체 reference universe. Valuation Agent가 자체 intake 폴더로 복제해 Peer/ML/대시보드 비교에 사용.</t>
        </is>
      </c>
    </row>
    <row r="166" ht="24" customHeight="1">
      <c r="A166" s="29" t="inlineStr">
        <is>
          <t>119</t>
        </is>
      </c>
      <c r="B166" s="29" t="inlineStr">
        <is>
          <t>해당 없음</t>
        </is>
      </c>
      <c r="C166" s="29" t="inlineStr">
        <is>
          <t>포인트엔지니어링</t>
        </is>
      </c>
      <c r="D166" s="29" t="inlineStr">
        <is>
          <t>256630</t>
        </is>
      </c>
      <c r="E166" s="29" t="inlineStr">
        <is>
          <t>KOSDAQ</t>
        </is>
      </c>
      <c r="F166" s="29" t="inlineStr">
        <is>
          <t>장비</t>
        </is>
      </c>
      <c r="G166" s="29" t="inlineStr">
        <is>
          <t>장비</t>
        </is>
      </c>
      <c r="H166" s="29" t="inlineStr">
        <is>
          <t>False</t>
        </is>
      </c>
      <c r="I166" s="29" t="inlineStr">
        <is>
          <t>True</t>
        </is>
      </c>
      <c r="J166" s="29" t="inlineStr">
        <is>
          <t>OK</t>
        </is>
      </c>
      <c r="K166" s="29" t="inlineStr">
        <is>
          <t>데이터 사용 가능</t>
        </is>
      </c>
      <c r="L166" s="29" t="inlineStr">
        <is>
          <t>LOW</t>
        </is>
      </c>
      <c r="M166" s="29" t="inlineStr">
        <is>
          <t>LOW</t>
        </is>
      </c>
      <c r="N166" s="29" t="inlineStr">
        <is>
          <t>0.5648666666666666</t>
        </is>
      </c>
      <c r="O166" s="29" t="inlineStr">
        <is>
          <t>FAIR</t>
        </is>
      </c>
      <c r="P166" s="29" t="inlineStr">
        <is>
          <t>FAIR</t>
        </is>
      </c>
      <c r="Q166" s="29" t="inlineStr">
        <is>
          <t>FAIR</t>
        </is>
      </c>
      <c r="R166" s="29" t="inlineStr">
        <is>
          <t>0.735270480034121</t>
        </is>
      </c>
      <c r="S166" s="29" t="inlineStr">
        <is>
          <t>HIGH</t>
        </is>
      </c>
      <c r="T166" s="29" t="inlineStr">
        <is>
          <t>HIGH</t>
        </is>
      </c>
      <c r="U166" s="29" t="inlineStr">
        <is>
          <t>0.1428571428571428</t>
        </is>
      </c>
      <c r="V166" s="29" t="inlineStr">
        <is>
          <t>LOW_RISK</t>
        </is>
      </c>
      <c r="W166" s="29" t="inlineStr">
        <is>
          <t>저위험</t>
        </is>
      </c>
      <c r="X166" s="29" t="inlineStr">
        <is>
          <t>LOW_RISK</t>
        </is>
      </c>
      <c r="Y166" s="29" t="inlineStr">
        <is>
          <t>0.46973098100913</t>
        </is>
      </c>
      <c r="Z166" s="29" t="inlineStr">
        <is>
          <t>LOW</t>
        </is>
      </c>
      <c r="AA166" s="29" t="inlineStr">
        <is>
          <t>LOW</t>
        </is>
      </c>
      <c r="AB166" s="29" t="inlineStr">
        <is>
          <t>0.13639895278143657</t>
        </is>
      </c>
      <c r="AC166" s="29" t="inlineStr">
        <is>
          <t>False</t>
        </is>
      </c>
      <c r="AD166" s="29" t="inlineStr">
        <is>
          <t>True</t>
        </is>
      </c>
      <c r="AE166" s="29" t="inlineStr">
        <is>
          <t>valuation_credit_ml_overlay_candidate.csv</t>
        </is>
      </c>
      <c r="AF166" s="29" t="inlineStr">
        <is>
          <t>208개 반도체 reference universe. Valuation Agent가 자체 intake 폴더로 복제해 Peer/ML/대시보드 비교에 사용.</t>
        </is>
      </c>
    </row>
    <row r="167" ht="24" customHeight="1">
      <c r="A167" s="24" t="inlineStr">
        <is>
          <t>116</t>
        </is>
      </c>
      <c r="B167" s="24" t="inlineStr">
        <is>
          <t>해당 없음</t>
        </is>
      </c>
      <c r="C167" s="24" t="inlineStr">
        <is>
          <t>테스</t>
        </is>
      </c>
      <c r="D167" s="24" t="inlineStr">
        <is>
          <t>095610</t>
        </is>
      </c>
      <c r="E167" s="24" t="inlineStr">
        <is>
          <t>KOSDAQ</t>
        </is>
      </c>
      <c r="F167" s="24" t="inlineStr">
        <is>
          <t>장비</t>
        </is>
      </c>
      <c r="G167" s="24" t="inlineStr">
        <is>
          <t>장비</t>
        </is>
      </c>
      <c r="H167" s="24" t="inlineStr">
        <is>
          <t>False</t>
        </is>
      </c>
      <c r="I167" s="24" t="inlineStr">
        <is>
          <t>True</t>
        </is>
      </c>
      <c r="J167" s="24" t="inlineStr">
        <is>
          <t>OK</t>
        </is>
      </c>
      <c r="K167" s="24" t="inlineStr">
        <is>
          <t>데이터 사용 가능</t>
        </is>
      </c>
      <c r="L167" s="24" t="inlineStr">
        <is>
          <t>LOW</t>
        </is>
      </c>
      <c r="M167" s="24" t="inlineStr">
        <is>
          <t>LOW</t>
        </is>
      </c>
      <c r="N167" s="24" t="inlineStr">
        <is>
          <t>0.5640000000000001</t>
        </is>
      </c>
      <c r="O167" s="24" t="inlineStr">
        <is>
          <t>FAIR</t>
        </is>
      </c>
      <c r="P167" s="24" t="inlineStr">
        <is>
          <t>FAIR</t>
        </is>
      </c>
      <c r="Q167" s="24" t="inlineStr">
        <is>
          <t>FAIR</t>
        </is>
      </c>
      <c r="R167" s="24" t="inlineStr">
        <is>
          <t>0.5083695341145091</t>
        </is>
      </c>
      <c r="S167" s="24" t="inlineStr">
        <is>
          <t>MEDIUM</t>
        </is>
      </c>
      <c r="T167" s="24" t="inlineStr">
        <is>
          <t>MEDIUM</t>
        </is>
      </c>
      <c r="U167" s="24" t="inlineStr">
        <is>
          <t>0.1428571428571428</t>
        </is>
      </c>
      <c r="V167" s="24" t="inlineStr">
        <is>
          <t>LOW_RISK</t>
        </is>
      </c>
      <c r="W167" s="24" t="inlineStr">
        <is>
          <t>저위험</t>
        </is>
      </c>
      <c r="X167" s="24" t="inlineStr">
        <is>
          <t>LOW_RISK</t>
        </is>
      </c>
      <c r="Y167" s="24" t="inlineStr">
        <is>
          <t>0.8915902677510841</t>
        </is>
      </c>
      <c r="Z167" s="24" t="inlineStr">
        <is>
          <t>HIGH</t>
        </is>
      </c>
      <c r="AA167" s="24" t="inlineStr">
        <is>
          <t>HIGH</t>
        </is>
      </c>
      <c r="AB167" s="24" t="inlineStr">
        <is>
          <t>0.04910195891941634</t>
        </is>
      </c>
      <c r="AC167" s="24" t="inlineStr">
        <is>
          <t>False</t>
        </is>
      </c>
      <c r="AD167" s="24" t="inlineStr">
        <is>
          <t>False</t>
        </is>
      </c>
      <c r="AE167" s="24" t="inlineStr">
        <is>
          <t>valuation_credit_ml_overlay_candidate.csv</t>
        </is>
      </c>
      <c r="AF167" s="24" t="inlineStr">
        <is>
          <t>208개 반도체 reference universe. Valuation Agent가 자체 intake 폴더로 복제해 Peer/ML/대시보드 비교에 사용.</t>
        </is>
      </c>
    </row>
    <row r="168" ht="24" customHeight="1">
      <c r="A168" s="29" t="inlineStr">
        <is>
          <t>104</t>
        </is>
      </c>
      <c r="B168" s="29" t="inlineStr">
        <is>
          <t>해당 없음</t>
        </is>
      </c>
      <c r="C168" s="29" t="inlineStr">
        <is>
          <t>유니셈</t>
        </is>
      </c>
      <c r="D168" s="29" t="inlineStr">
        <is>
          <t>036200</t>
        </is>
      </c>
      <c r="E168" s="29" t="inlineStr">
        <is>
          <t>KOSDAQ</t>
        </is>
      </c>
      <c r="F168" s="29" t="inlineStr">
        <is>
          <t>장비</t>
        </is>
      </c>
      <c r="G168" s="29" t="inlineStr">
        <is>
          <t>장비</t>
        </is>
      </c>
      <c r="H168" s="29" t="inlineStr">
        <is>
          <t>False</t>
        </is>
      </c>
      <c r="I168" s="29" t="inlineStr">
        <is>
          <t>True</t>
        </is>
      </c>
      <c r="J168" s="29" t="inlineStr">
        <is>
          <t>OK</t>
        </is>
      </c>
      <c r="K168" s="29" t="inlineStr">
        <is>
          <t>데이터 사용 가능</t>
        </is>
      </c>
      <c r="L168" s="29" t="inlineStr">
        <is>
          <t>LOW</t>
        </is>
      </c>
      <c r="M168" s="29" t="inlineStr">
        <is>
          <t>LOW</t>
        </is>
      </c>
      <c r="N168" s="29" t="inlineStr">
        <is>
          <t>0.5409333333333334</t>
        </is>
      </c>
      <c r="O168" s="29" t="inlineStr">
        <is>
          <t>FAIR</t>
        </is>
      </c>
      <c r="P168" s="29" t="inlineStr">
        <is>
          <t>FAIR</t>
        </is>
      </c>
      <c r="Q168" s="29" t="inlineStr">
        <is>
          <t>FAIR</t>
        </is>
      </c>
      <c r="R168" s="29" t="inlineStr">
        <is>
          <t>0.751305499027411</t>
        </is>
      </c>
      <c r="S168" s="29" t="inlineStr">
        <is>
          <t>HIGH</t>
        </is>
      </c>
      <c r="T168" s="29" t="inlineStr">
        <is>
          <t>HIGH</t>
        </is>
      </c>
      <c r="U168" s="29" t="inlineStr">
        <is>
          <t>0.2142857142857142</t>
        </is>
      </c>
      <c r="V168" s="29" t="inlineStr">
        <is>
          <t>MEDIUM_RISK</t>
        </is>
      </c>
      <c r="W168" s="29" t="inlineStr">
        <is>
          <t>중위험</t>
        </is>
      </c>
      <c r="X168" s="29" t="inlineStr">
        <is>
          <t>MEDIUM_RISK</t>
        </is>
      </c>
      <c r="Y168" s="29" t="inlineStr">
        <is>
          <t>0.7587275691055257</t>
        </is>
      </c>
      <c r="Z168" s="29" t="inlineStr">
        <is>
          <t>HIGH</t>
        </is>
      </c>
      <c r="AA168" s="29" t="inlineStr">
        <is>
          <t>HIGH</t>
        </is>
      </c>
      <c r="AB168" s="29" t="inlineStr">
        <is>
          <t>0.05351211711100475</t>
        </is>
      </c>
      <c r="AC168" s="29" t="inlineStr">
        <is>
          <t>False</t>
        </is>
      </c>
      <c r="AD168" s="29" t="inlineStr">
        <is>
          <t>False</t>
        </is>
      </c>
      <c r="AE168" s="29" t="inlineStr">
        <is>
          <t>valuation_credit_ml_overlay_candidate.csv</t>
        </is>
      </c>
      <c r="AF168" s="29" t="inlineStr">
        <is>
          <t>208개 반도체 reference universe. Valuation Agent가 자체 intake 폴더로 복제해 Peer/ML/대시보드 비교에 사용.</t>
        </is>
      </c>
    </row>
    <row r="169" ht="24" customHeight="1">
      <c r="A169" s="24" t="inlineStr">
        <is>
          <t>121</t>
        </is>
      </c>
      <c r="B169" s="24" t="inlineStr">
        <is>
          <t>해당 없음</t>
        </is>
      </c>
      <c r="C169" s="24" t="inlineStr">
        <is>
          <t>피에스케이홀딩스</t>
        </is>
      </c>
      <c r="D169" s="24" t="inlineStr">
        <is>
          <t>031980</t>
        </is>
      </c>
      <c r="E169" s="24" t="inlineStr">
        <is>
          <t>KOSDAQ</t>
        </is>
      </c>
      <c r="F169" s="24" t="inlineStr">
        <is>
          <t>장비</t>
        </is>
      </c>
      <c r="G169" s="24" t="inlineStr">
        <is>
          <t>장비</t>
        </is>
      </c>
      <c r="H169" s="24" t="inlineStr">
        <is>
          <t>False</t>
        </is>
      </c>
      <c r="I169" s="24" t="inlineStr">
        <is>
          <t>True</t>
        </is>
      </c>
      <c r="J169" s="24" t="inlineStr">
        <is>
          <t>OK</t>
        </is>
      </c>
      <c r="K169" s="24" t="inlineStr">
        <is>
          <t>데이터 사용 가능</t>
        </is>
      </c>
      <c r="L169" s="24" t="inlineStr">
        <is>
          <t>LOW</t>
        </is>
      </c>
      <c r="M169" s="24" t="inlineStr">
        <is>
          <t>LOW</t>
        </is>
      </c>
      <c r="N169" s="24" t="inlineStr">
        <is>
          <t>0.5385333333333334</t>
        </is>
      </c>
      <c r="O169" s="24" t="inlineStr">
        <is>
          <t>FAIR</t>
        </is>
      </c>
      <c r="P169" s="24" t="inlineStr">
        <is>
          <t>FAIR</t>
        </is>
      </c>
      <c r="Q169" s="24" t="inlineStr">
        <is>
          <t>FAIR</t>
        </is>
      </c>
      <c r="R169" s="24" t="inlineStr">
        <is>
          <t>0.7521125976897308</t>
        </is>
      </c>
      <c r="S169" s="24" t="inlineStr">
        <is>
          <t>HIGH</t>
        </is>
      </c>
      <c r="T169" s="24" t="inlineStr">
        <is>
          <t>HIGH</t>
        </is>
      </c>
      <c r="U169" s="24" t="inlineStr">
        <is>
          <t>0.0</t>
        </is>
      </c>
      <c r="V169" s="24" t="inlineStr">
        <is>
          <t>LOW_RISK</t>
        </is>
      </c>
      <c r="W169" s="24" t="inlineStr">
        <is>
          <t>저위험</t>
        </is>
      </c>
      <c r="X169" s="24" t="inlineStr">
        <is>
          <t>LOW_RISK</t>
        </is>
      </c>
      <c r="Y169" s="24" t="inlineStr">
        <is>
          <t>0.936112522374784</t>
        </is>
      </c>
      <c r="Z169" s="24" t="inlineStr">
        <is>
          <t>HIGH</t>
        </is>
      </c>
      <c r="AA169" s="24" t="inlineStr">
        <is>
          <t>HIGH</t>
        </is>
      </c>
      <c r="AB169" s="24" t="inlineStr">
        <is>
          <t>0.21000654030466528</t>
        </is>
      </c>
      <c r="AC169" s="24" t="inlineStr">
        <is>
          <t>False</t>
        </is>
      </c>
      <c r="AD169" s="24" t="inlineStr">
        <is>
          <t>False</t>
        </is>
      </c>
      <c r="AE169" s="24" t="inlineStr">
        <is>
          <t>valuation_credit_ml_overlay_candidate.csv</t>
        </is>
      </c>
      <c r="AF169" s="24" t="inlineStr">
        <is>
          <t>208개 반도체 reference universe. Valuation Agent가 자체 intake 폴더로 복제해 Peer/ML/대시보드 비교에 사용.</t>
        </is>
      </c>
    </row>
    <row r="170" ht="24" customHeight="1">
      <c r="A170" s="29" t="inlineStr">
        <is>
          <t>102</t>
        </is>
      </c>
      <c r="B170" s="29" t="inlineStr">
        <is>
          <t>해당 없음</t>
        </is>
      </c>
      <c r="C170" s="29" t="inlineStr">
        <is>
          <t>워트</t>
        </is>
      </c>
      <c r="D170" s="29" t="inlineStr">
        <is>
          <t>396470</t>
        </is>
      </c>
      <c r="E170" s="29" t="inlineStr">
        <is>
          <t>KOSDAQ</t>
        </is>
      </c>
      <c r="F170" s="29" t="inlineStr">
        <is>
          <t>장비</t>
        </is>
      </c>
      <c r="G170" s="29" t="inlineStr">
        <is>
          <t>장비</t>
        </is>
      </c>
      <c r="H170" s="29" t="inlineStr">
        <is>
          <t>False</t>
        </is>
      </c>
      <c r="I170" s="29" t="inlineStr">
        <is>
          <t>True</t>
        </is>
      </c>
      <c r="J170" s="29" t="inlineStr">
        <is>
          <t>OK_LIMITED_HISTORY_OR_GROWTH_NA</t>
        </is>
      </c>
      <c r="K170" s="29" t="inlineStr">
        <is>
          <t>데이터 사용 가능</t>
        </is>
      </c>
      <c r="L170" s="29" t="inlineStr">
        <is>
          <t>LOW</t>
        </is>
      </c>
      <c r="M170" s="29" t="inlineStr">
        <is>
          <t>LOW</t>
        </is>
      </c>
      <c r="N170" s="29" t="inlineStr">
        <is>
          <t>0.5384000000000001</t>
        </is>
      </c>
      <c r="O170" s="29" t="inlineStr">
        <is>
          <t>FAIR</t>
        </is>
      </c>
      <c r="P170" s="29" t="inlineStr">
        <is>
          <t>FAIR</t>
        </is>
      </c>
      <c r="Q170" s="29" t="inlineStr">
        <is>
          <t>FAIR</t>
        </is>
      </c>
      <c r="R170" s="29" t="inlineStr">
        <is>
          <t>0.6073344328439819</t>
        </is>
      </c>
      <c r="S170" s="29" t="inlineStr">
        <is>
          <t>MEDIUM</t>
        </is>
      </c>
      <c r="T170" s="29" t="inlineStr">
        <is>
          <t>MEDIUM</t>
        </is>
      </c>
      <c r="U170" s="29" t="inlineStr">
        <is>
          <t>0.0714285714285714</t>
        </is>
      </c>
      <c r="V170" s="29" t="inlineStr">
        <is>
          <t>LOW_RISK</t>
        </is>
      </c>
      <c r="W170" s="29" t="inlineStr">
        <is>
          <t>저위험</t>
        </is>
      </c>
      <c r="X170" s="29" t="inlineStr">
        <is>
          <t>LOW_RISK</t>
        </is>
      </c>
      <c r="Y170" s="29" t="inlineStr">
        <is>
          <t>0.8767524187887936</t>
        </is>
      </c>
      <c r="Z170" s="29" t="inlineStr">
        <is>
          <t>HIGH</t>
        </is>
      </c>
      <c r="AA170" s="29" t="inlineStr">
        <is>
          <t>HIGH</t>
        </is>
      </c>
      <c r="AB170" s="29" t="inlineStr">
        <is>
          <t>0.4537372664198796</t>
        </is>
      </c>
      <c r="AC170" s="29" t="inlineStr">
        <is>
          <t>True</t>
        </is>
      </c>
      <c r="AD170" s="29" t="inlineStr">
        <is>
          <t>True</t>
        </is>
      </c>
      <c r="AE170" s="29" t="inlineStr">
        <is>
          <t>valuation_credit_ml_overlay_candidate.csv</t>
        </is>
      </c>
      <c r="AF170" s="29" t="inlineStr">
        <is>
          <t>208개 반도체 reference universe. Valuation Agent가 자체 intake 폴더로 복제해 Peer/ML/대시보드 비교에 사용.</t>
        </is>
      </c>
    </row>
    <row r="171" ht="24" customHeight="1">
      <c r="A171" s="24" t="inlineStr">
        <is>
          <t>120</t>
        </is>
      </c>
      <c r="B171" s="24" t="inlineStr">
        <is>
          <t>해당 없음</t>
        </is>
      </c>
      <c r="C171" s="24" t="inlineStr">
        <is>
          <t>피에스케이</t>
        </is>
      </c>
      <c r="D171" s="24" t="inlineStr">
        <is>
          <t>319660</t>
        </is>
      </c>
      <c r="E171" s="24" t="inlineStr">
        <is>
          <t>KOSDAQ GLOBAL</t>
        </is>
      </c>
      <c r="F171" s="24" t="inlineStr">
        <is>
          <t>장비</t>
        </is>
      </c>
      <c r="G171" s="24" t="inlineStr">
        <is>
          <t>장비</t>
        </is>
      </c>
      <c r="H171" s="24" t="inlineStr">
        <is>
          <t>False</t>
        </is>
      </c>
      <c r="I171" s="24" t="inlineStr">
        <is>
          <t>True</t>
        </is>
      </c>
      <c r="J171" s="24" t="inlineStr">
        <is>
          <t>OK</t>
        </is>
      </c>
      <c r="K171" s="24" t="inlineStr">
        <is>
          <t>데이터 사용 가능</t>
        </is>
      </c>
      <c r="L171" s="24" t="inlineStr">
        <is>
          <t>LOW</t>
        </is>
      </c>
      <c r="M171" s="24" t="inlineStr">
        <is>
          <t>LOW</t>
        </is>
      </c>
      <c r="N171" s="24" t="inlineStr">
        <is>
          <t>0.5357333333333333</t>
        </is>
      </c>
      <c r="O171" s="24" t="inlineStr">
        <is>
          <t>FAIR</t>
        </is>
      </c>
      <c r="P171" s="24" t="inlineStr">
        <is>
          <t>FAIR</t>
        </is>
      </c>
      <c r="Q171" s="24" t="inlineStr">
        <is>
          <t>FAIR</t>
        </is>
      </c>
      <c r="R171" s="24" t="inlineStr">
        <is>
          <t>0.7072072873445469</t>
        </is>
      </c>
      <c r="S171" s="24" t="inlineStr">
        <is>
          <t>HIGH</t>
        </is>
      </c>
      <c r="T171" s="24" t="inlineStr">
        <is>
          <t>HIGH</t>
        </is>
      </c>
      <c r="U171" s="24" t="inlineStr">
        <is>
          <t>0.0</t>
        </is>
      </c>
      <c r="V171" s="24" t="inlineStr">
        <is>
          <t>LOW_RISK</t>
        </is>
      </c>
      <c r="W171" s="24" t="inlineStr">
        <is>
          <t>저위험</t>
        </is>
      </c>
      <c r="X171" s="24" t="inlineStr">
        <is>
          <t>LOW_RISK</t>
        </is>
      </c>
      <c r="Y171" s="24" t="inlineStr">
        <is>
          <t>0.9811059783961981</t>
        </is>
      </c>
      <c r="Z171" s="24" t="inlineStr">
        <is>
          <t>HIGH</t>
        </is>
      </c>
      <c r="AA171" s="24" t="inlineStr">
        <is>
          <t>HIGH</t>
        </is>
      </c>
      <c r="AB171" s="24" t="inlineStr">
        <is>
          <t>0.06486271422414225</t>
        </is>
      </c>
      <c r="AC171" s="24" t="inlineStr">
        <is>
          <t>False</t>
        </is>
      </c>
      <c r="AD171" s="24" t="inlineStr">
        <is>
          <t>False</t>
        </is>
      </c>
      <c r="AE171" s="24" t="inlineStr">
        <is>
          <t>valuation_credit_ml_overlay_candidate.csv</t>
        </is>
      </c>
      <c r="AF171" s="24" t="inlineStr">
        <is>
          <t>208개 반도체 reference universe. Valuation Agent가 자체 intake 폴더로 복제해 Peer/ML/대시보드 비교에 사용.</t>
        </is>
      </c>
    </row>
    <row r="172" ht="24" customHeight="1">
      <c r="A172" s="29" t="inlineStr">
        <is>
          <t>87</t>
        </is>
      </c>
      <c r="B172" s="29" t="inlineStr">
        <is>
          <t>해당 없음</t>
        </is>
      </c>
      <c r="C172" s="29" t="inlineStr">
        <is>
          <t>브이엠</t>
        </is>
      </c>
      <c r="D172" s="29" t="inlineStr">
        <is>
          <t>089970</t>
        </is>
      </c>
      <c r="E172" s="29" t="inlineStr">
        <is>
          <t>KOSDAQ</t>
        </is>
      </c>
      <c r="F172" s="29" t="inlineStr">
        <is>
          <t>장비</t>
        </is>
      </c>
      <c r="G172" s="29" t="inlineStr">
        <is>
          <t>장비</t>
        </is>
      </c>
      <c r="H172" s="29" t="inlineStr">
        <is>
          <t>False</t>
        </is>
      </c>
      <c r="I172" s="29" t="inlineStr">
        <is>
          <t>True</t>
        </is>
      </c>
      <c r="J172" s="29" t="inlineStr">
        <is>
          <t>OK</t>
        </is>
      </c>
      <c r="K172" s="29" t="inlineStr">
        <is>
          <t>데이터 사용 가능</t>
        </is>
      </c>
      <c r="L172" s="29" t="inlineStr">
        <is>
          <t>LOW</t>
        </is>
      </c>
      <c r="M172" s="29" t="inlineStr">
        <is>
          <t>LOW</t>
        </is>
      </c>
      <c r="N172" s="29" t="inlineStr">
        <is>
          <t>0.5204000000000001</t>
        </is>
      </c>
      <c r="O172" s="29" t="inlineStr">
        <is>
          <t>FAIR</t>
        </is>
      </c>
      <c r="P172" s="29" t="inlineStr">
        <is>
          <t>FAIR</t>
        </is>
      </c>
      <c r="Q172" s="29" t="inlineStr">
        <is>
          <t>FAIR</t>
        </is>
      </c>
      <c r="R172" s="29" t="inlineStr">
        <is>
          <t>0.737579554357605</t>
        </is>
      </c>
      <c r="S172" s="29" t="inlineStr">
        <is>
          <t>HIGH</t>
        </is>
      </c>
      <c r="T172" s="29" t="inlineStr">
        <is>
          <t>HIGH</t>
        </is>
      </c>
      <c r="U172" s="29" t="inlineStr">
        <is>
          <t>0.0</t>
        </is>
      </c>
      <c r="V172" s="29" t="inlineStr">
        <is>
          <t>LOW_RISK</t>
        </is>
      </c>
      <c r="W172" s="29" t="inlineStr">
        <is>
          <t>저위험</t>
        </is>
      </c>
      <c r="X172" s="29" t="inlineStr">
        <is>
          <t>LOW_RISK</t>
        </is>
      </c>
      <c r="Y172" s="29" t="inlineStr">
        <is>
          <t>0.9262131686985617</t>
        </is>
      </c>
      <c r="Z172" s="29" t="inlineStr">
        <is>
          <t>HIGH</t>
        </is>
      </c>
      <c r="AA172" s="29" t="inlineStr">
        <is>
          <t>HIGH</t>
        </is>
      </c>
      <c r="AB172" s="29" t="inlineStr">
        <is>
          <t>0.095895233286532</t>
        </is>
      </c>
      <c r="AC172" s="29" t="inlineStr">
        <is>
          <t>False</t>
        </is>
      </c>
      <c r="AD172" s="29" t="inlineStr">
        <is>
          <t>False</t>
        </is>
      </c>
      <c r="AE172" s="29" t="inlineStr">
        <is>
          <t>valuation_credit_ml_overlay_candidate.csv</t>
        </is>
      </c>
      <c r="AF172" s="29" t="inlineStr">
        <is>
          <t>208개 반도체 reference universe. Valuation Agent가 자체 intake 폴더로 복제해 Peer/ML/대시보드 비교에 사용.</t>
        </is>
      </c>
    </row>
    <row r="173" ht="24" customHeight="1">
      <c r="A173" s="24" t="inlineStr">
        <is>
          <t>114</t>
        </is>
      </c>
      <c r="B173" s="24" t="inlineStr">
        <is>
          <t>해당 없음</t>
        </is>
      </c>
      <c r="C173" s="24" t="inlineStr">
        <is>
          <t>코세스</t>
        </is>
      </c>
      <c r="D173" s="24" t="inlineStr">
        <is>
          <t>089890</t>
        </is>
      </c>
      <c r="E173" s="24" t="inlineStr">
        <is>
          <t>KOSDAQ</t>
        </is>
      </c>
      <c r="F173" s="24" t="inlineStr">
        <is>
          <t>장비</t>
        </is>
      </c>
      <c r="G173" s="24" t="inlineStr">
        <is>
          <t>장비</t>
        </is>
      </c>
      <c r="H173" s="24" t="inlineStr">
        <is>
          <t>False</t>
        </is>
      </c>
      <c r="I173" s="24" t="inlineStr">
        <is>
          <t>True</t>
        </is>
      </c>
      <c r="J173" s="24" t="inlineStr">
        <is>
          <t>OK</t>
        </is>
      </c>
      <c r="K173" s="24" t="inlineStr">
        <is>
          <t>데이터 사용 가능</t>
        </is>
      </c>
      <c r="L173" s="24" t="inlineStr">
        <is>
          <t>LOW</t>
        </is>
      </c>
      <c r="M173" s="24" t="inlineStr">
        <is>
          <t>LOW</t>
        </is>
      </c>
      <c r="N173" s="24" t="inlineStr">
        <is>
          <t>0.4978666666666667</t>
        </is>
      </c>
      <c r="O173" s="24" t="inlineStr">
        <is>
          <t>FAIR</t>
        </is>
      </c>
      <c r="P173" s="24" t="inlineStr">
        <is>
          <t>FAIR</t>
        </is>
      </c>
      <c r="Q173" s="24" t="inlineStr">
        <is>
          <t>FAIR</t>
        </is>
      </c>
      <c r="R173" s="24" t="inlineStr">
        <is>
          <t>0.7228094449358575</t>
        </is>
      </c>
      <c r="S173" s="24" t="inlineStr">
        <is>
          <t>HIGH</t>
        </is>
      </c>
      <c r="T173" s="24" t="inlineStr">
        <is>
          <t>HIGH</t>
        </is>
      </c>
      <c r="U173" s="24" t="inlineStr">
        <is>
          <t>0.0714285714285714</t>
        </is>
      </c>
      <c r="V173" s="24" t="inlineStr">
        <is>
          <t>LOW_RISK</t>
        </is>
      </c>
      <c r="W173" s="24" t="inlineStr">
        <is>
          <t>저위험</t>
        </is>
      </c>
      <c r="X173" s="24" t="inlineStr">
        <is>
          <t>LOW_RISK</t>
        </is>
      </c>
      <c r="Y173" s="24" t="inlineStr">
        <is>
          <t>0.7776657060311913</t>
        </is>
      </c>
      <c r="Z173" s="24" t="inlineStr">
        <is>
          <t>HIGH</t>
        </is>
      </c>
      <c r="AA173" s="24" t="inlineStr">
        <is>
          <t>HIGH</t>
        </is>
      </c>
      <c r="AB173" s="24" t="inlineStr">
        <is>
          <t>0.08712413247882898</t>
        </is>
      </c>
      <c r="AC173" s="24" t="inlineStr">
        <is>
          <t>False</t>
        </is>
      </c>
      <c r="AD173" s="24" t="inlineStr">
        <is>
          <t>False</t>
        </is>
      </c>
      <c r="AE173" s="24" t="inlineStr">
        <is>
          <t>valuation_credit_ml_overlay_candidate.csv</t>
        </is>
      </c>
      <c r="AF173" s="24" t="inlineStr">
        <is>
          <t>208개 반도체 reference universe. Valuation Agent가 자체 intake 폴더로 복제해 Peer/ML/대시보드 비교에 사용.</t>
        </is>
      </c>
    </row>
    <row r="174" ht="24" customHeight="1">
      <c r="A174" s="29" t="inlineStr">
        <is>
          <t>115</t>
        </is>
      </c>
      <c r="B174" s="29" t="inlineStr">
        <is>
          <t>해당 없음</t>
        </is>
      </c>
      <c r="C174" s="29" t="inlineStr">
        <is>
          <t>코스텍시스템</t>
        </is>
      </c>
      <c r="D174" s="29" t="inlineStr">
        <is>
          <t>169670</t>
        </is>
      </c>
      <c r="E174" s="29" t="inlineStr">
        <is>
          <t>KONEX</t>
        </is>
      </c>
      <c r="F174" s="29" t="inlineStr">
        <is>
          <t>장비</t>
        </is>
      </c>
      <c r="G174" s="29" t="inlineStr">
        <is>
          <t>장비</t>
        </is>
      </c>
      <c r="H174" s="29" t="inlineStr">
        <is>
          <t>False</t>
        </is>
      </c>
      <c r="I174" s="29" t="inlineStr">
        <is>
          <t>True</t>
        </is>
      </c>
      <c r="J174" s="29" t="inlineStr">
        <is>
          <t>NO_DART_FINANCIAL_DATA</t>
        </is>
      </c>
      <c r="K174" s="29" t="inlineStr">
        <is>
          <t>데이터 사용 가능</t>
        </is>
      </c>
      <c r="L174" s="29" t="inlineStr">
        <is>
          <t>HIGH</t>
        </is>
      </c>
      <c r="M174" s="29" t="inlineStr">
        <is>
          <t>HIGH</t>
        </is>
      </c>
      <c r="N174" s="29" t="inlineStr">
        <is>
          <t>0.4959999999999999</t>
        </is>
      </c>
      <c r="O174" s="29" t="inlineStr">
        <is>
          <t>FAIR</t>
        </is>
      </c>
      <c r="P174" s="29" t="inlineStr">
        <is>
          <t>FAIR</t>
        </is>
      </c>
      <c r="Q174" s="29" t="inlineStr">
        <is>
          <t>FAIR</t>
        </is>
      </c>
      <c r="R174" s="29" t="inlineStr">
        <is>
          <t>0.9640840061970892</t>
        </is>
      </c>
      <c r="S174" s="29" t="inlineStr">
        <is>
          <t>HIGH</t>
        </is>
      </c>
      <c r="T174" s="29" t="inlineStr">
        <is>
          <t>HIGH</t>
        </is>
      </c>
      <c r="U174" s="29" t="inlineStr">
        <is>
          <t>0.2142857142857142</t>
        </is>
      </c>
      <c r="V174" s="29" t="inlineStr">
        <is>
          <t>MEDIUM_RISK</t>
        </is>
      </c>
      <c r="W174" s="29" t="inlineStr">
        <is>
          <t>중위험</t>
        </is>
      </c>
      <c r="X174" s="29" t="inlineStr">
        <is>
          <t>MEDIUM_RISK</t>
        </is>
      </c>
      <c r="Y174" s="29" t="inlineStr">
        <is>
          <t>0.7627943410657042</t>
        </is>
      </c>
      <c r="Z174" s="29" t="inlineStr">
        <is>
          <t>HIGH</t>
        </is>
      </c>
      <c r="AA174" s="29" t="inlineStr">
        <is>
          <t>HIGH</t>
        </is>
      </c>
      <c r="AB174" s="29" t="inlineStr">
        <is>
          <t>0.1642174593956627</t>
        </is>
      </c>
      <c r="AC174" s="29" t="inlineStr">
        <is>
          <t>False</t>
        </is>
      </c>
      <c r="AD174" s="29" t="inlineStr">
        <is>
          <t>True</t>
        </is>
      </c>
      <c r="AE174" s="29" t="inlineStr">
        <is>
          <t>valuation_credit_ml_overlay_candidate.csv</t>
        </is>
      </c>
      <c r="AF174" s="29" t="inlineStr">
        <is>
          <t>208개 반도체 reference universe. Valuation Agent가 자체 intake 폴더로 복제해 Peer/ML/대시보드 비교에 사용.</t>
        </is>
      </c>
    </row>
    <row r="175" ht="24" customHeight="1">
      <c r="A175" s="24" t="inlineStr">
        <is>
          <t>75</t>
        </is>
      </c>
      <c r="B175" s="24" t="inlineStr">
        <is>
          <t>해당 없음</t>
        </is>
      </c>
      <c r="C175" s="24" t="inlineStr">
        <is>
          <t>HPSP</t>
        </is>
      </c>
      <c r="D175" s="24" t="inlineStr">
        <is>
          <t>403870</t>
        </is>
      </c>
      <c r="E175" s="24" t="inlineStr">
        <is>
          <t>KOSDAQ GLOBAL</t>
        </is>
      </c>
      <c r="F175" s="24" t="inlineStr">
        <is>
          <t>장비</t>
        </is>
      </c>
      <c r="G175" s="24" t="inlineStr">
        <is>
          <t>장비</t>
        </is>
      </c>
      <c r="H175" s="24" t="inlineStr">
        <is>
          <t>False</t>
        </is>
      </c>
      <c r="I175" s="24" t="inlineStr">
        <is>
          <t>True</t>
        </is>
      </c>
      <c r="J175" s="24" t="inlineStr">
        <is>
          <t>OK</t>
        </is>
      </c>
      <c r="K175" s="24" t="inlineStr">
        <is>
          <t>데이터 사용 가능</t>
        </is>
      </c>
      <c r="L175" s="24" t="inlineStr">
        <is>
          <t>LOW</t>
        </is>
      </c>
      <c r="M175" s="24" t="inlineStr">
        <is>
          <t>LOW</t>
        </is>
      </c>
      <c r="N175" s="24" t="inlineStr">
        <is>
          <t>0.4751999999999999</t>
        </is>
      </c>
      <c r="O175" s="24" t="inlineStr">
        <is>
          <t>FAIR</t>
        </is>
      </c>
      <c r="P175" s="24" t="inlineStr">
        <is>
          <t>FAIR</t>
        </is>
      </c>
      <c r="Q175" s="24" t="inlineStr">
        <is>
          <t>FAIR</t>
        </is>
      </c>
      <c r="R175" s="24" t="inlineStr">
        <is>
          <t>0.7108284021978194</t>
        </is>
      </c>
      <c r="S175" s="24" t="inlineStr">
        <is>
          <t>HIGH</t>
        </is>
      </c>
      <c r="T175" s="24" t="inlineStr">
        <is>
          <t>HIGH</t>
        </is>
      </c>
      <c r="U175" s="24" t="inlineStr">
        <is>
          <t>0.0</t>
        </is>
      </c>
      <c r="V175" s="24" t="inlineStr">
        <is>
          <t>LOW_RISK</t>
        </is>
      </c>
      <c r="W175" s="24" t="inlineStr">
        <is>
          <t>저위험</t>
        </is>
      </c>
      <c r="X175" s="24" t="inlineStr">
        <is>
          <t>LOW_RISK</t>
        </is>
      </c>
      <c r="Y175" s="24" t="inlineStr">
        <is>
          <t>0.9192147630692069</t>
        </is>
      </c>
      <c r="Z175" s="24" t="inlineStr">
        <is>
          <t>HIGH</t>
        </is>
      </c>
      <c r="AA175" s="24" t="inlineStr">
        <is>
          <t>HIGH</t>
        </is>
      </c>
      <c r="AB175" s="24" t="inlineStr">
        <is>
          <t>0.3306557234104388</t>
        </is>
      </c>
      <c r="AC175" s="24" t="inlineStr">
        <is>
          <t>True</t>
        </is>
      </c>
      <c r="AD175" s="24" t="inlineStr">
        <is>
          <t>True</t>
        </is>
      </c>
      <c r="AE175" s="24" t="inlineStr">
        <is>
          <t>valuation_credit_ml_overlay_candidate.csv</t>
        </is>
      </c>
      <c r="AF175" s="24" t="inlineStr">
        <is>
          <t>208개 반도체 reference universe. Valuation Agent가 자체 intake 폴더로 복제해 Peer/ML/대시보드 비교에 사용.</t>
        </is>
      </c>
    </row>
    <row r="176" ht="24" customHeight="1">
      <c r="A176" s="29" t="inlineStr">
        <is>
          <t>103</t>
        </is>
      </c>
      <c r="B176" s="29" t="inlineStr">
        <is>
          <t>해당 없음</t>
        </is>
      </c>
      <c r="C176" s="29" t="inlineStr">
        <is>
          <t>원익IPS</t>
        </is>
      </c>
      <c r="D176" s="29" t="inlineStr">
        <is>
          <t>240810</t>
        </is>
      </c>
      <c r="E176" s="29" t="inlineStr">
        <is>
          <t>KOSDAQ GLOBAL</t>
        </is>
      </c>
      <c r="F176" s="29" t="inlineStr">
        <is>
          <t>장비</t>
        </is>
      </c>
      <c r="G176" s="29" t="inlineStr">
        <is>
          <t>장비</t>
        </is>
      </c>
      <c r="H176" s="29" t="inlineStr">
        <is>
          <t>False</t>
        </is>
      </c>
      <c r="I176" s="29" t="inlineStr">
        <is>
          <t>True</t>
        </is>
      </c>
      <c r="J176" s="29" t="inlineStr">
        <is>
          <t>OK</t>
        </is>
      </c>
      <c r="K176" s="29" t="inlineStr">
        <is>
          <t>데이터 사용 가능</t>
        </is>
      </c>
      <c r="L176" s="29" t="inlineStr">
        <is>
          <t>LOW</t>
        </is>
      </c>
      <c r="M176" s="29" t="inlineStr">
        <is>
          <t>LOW</t>
        </is>
      </c>
      <c r="N176" s="29" t="inlineStr">
        <is>
          <t>0.4634666666666667</t>
        </is>
      </c>
      <c r="O176" s="29" t="inlineStr">
        <is>
          <t>FAIR</t>
        </is>
      </c>
      <c r="P176" s="29" t="inlineStr">
        <is>
          <t>FAIR</t>
        </is>
      </c>
      <c r="Q176" s="29" t="inlineStr">
        <is>
          <t>FAIR</t>
        </is>
      </c>
      <c r="R176" s="29" t="inlineStr">
        <is>
          <t>0.5727476694226805</t>
        </is>
      </c>
      <c r="S176" s="29" t="inlineStr">
        <is>
          <t>MEDIUM</t>
        </is>
      </c>
      <c r="T176" s="29" t="inlineStr">
        <is>
          <t>MEDIUM</t>
        </is>
      </c>
      <c r="U176" s="29" t="inlineStr">
        <is>
          <t>0.0714285714285714</t>
        </is>
      </c>
      <c r="V176" s="29" t="inlineStr">
        <is>
          <t>LOW_RISK</t>
        </is>
      </c>
      <c r="W176" s="29" t="inlineStr">
        <is>
          <t>저위험</t>
        </is>
      </c>
      <c r="X176" s="29" t="inlineStr">
        <is>
          <t>LOW_RISK</t>
        </is>
      </c>
      <c r="Y176" s="29" t="inlineStr">
        <is>
          <t>0.9598478437041975</t>
        </is>
      </c>
      <c r="Z176" s="29" t="inlineStr">
        <is>
          <t>HIGH</t>
        </is>
      </c>
      <c r="AA176" s="29" t="inlineStr">
        <is>
          <t>HIGH</t>
        </is>
      </c>
      <c r="AB176" s="29" t="inlineStr">
        <is>
          <t>0.08568837626660758</t>
        </is>
      </c>
      <c r="AC176" s="29" t="inlineStr">
        <is>
          <t>False</t>
        </is>
      </c>
      <c r="AD176" s="29" t="inlineStr">
        <is>
          <t>False</t>
        </is>
      </c>
      <c r="AE176" s="29" t="inlineStr">
        <is>
          <t>valuation_credit_ml_overlay_candidate.csv</t>
        </is>
      </c>
      <c r="AF176" s="29" t="inlineStr">
        <is>
          <t>208개 반도체 reference universe. Valuation Agent가 자체 intake 폴더로 복제해 Peer/ML/대시보드 비교에 사용.</t>
        </is>
      </c>
    </row>
    <row r="177" ht="24" customHeight="1">
      <c r="A177" s="24" t="inlineStr">
        <is>
          <t>118</t>
        </is>
      </c>
      <c r="B177" s="24" t="inlineStr">
        <is>
          <t>해당 없음</t>
        </is>
      </c>
      <c r="C177" s="24" t="inlineStr">
        <is>
          <t>파크시스템스</t>
        </is>
      </c>
      <c r="D177" s="24" t="inlineStr">
        <is>
          <t>140860</t>
        </is>
      </c>
      <c r="E177" s="24" t="inlineStr">
        <is>
          <t>KOSDAQ GLOBAL</t>
        </is>
      </c>
      <c r="F177" s="24" t="inlineStr">
        <is>
          <t>장비</t>
        </is>
      </c>
      <c r="G177" s="24" t="inlineStr">
        <is>
          <t>장비</t>
        </is>
      </c>
      <c r="H177" s="24" t="inlineStr">
        <is>
          <t>False</t>
        </is>
      </c>
      <c r="I177" s="24" t="inlineStr">
        <is>
          <t>True</t>
        </is>
      </c>
      <c r="J177" s="24" t="inlineStr">
        <is>
          <t>OK</t>
        </is>
      </c>
      <c r="K177" s="24" t="inlineStr">
        <is>
          <t>데이터 사용 가능</t>
        </is>
      </c>
      <c r="L177" s="24" t="inlineStr">
        <is>
          <t>LOW</t>
        </is>
      </c>
      <c r="M177" s="24" t="inlineStr">
        <is>
          <t>LOW</t>
        </is>
      </c>
      <c r="N177" s="24" t="inlineStr">
        <is>
          <t>0.4611999999999999</t>
        </is>
      </c>
      <c r="O177" s="24" t="inlineStr">
        <is>
          <t>FAIR</t>
        </is>
      </c>
      <c r="P177" s="24" t="inlineStr">
        <is>
          <t>FAIR</t>
        </is>
      </c>
      <c r="Q177" s="24" t="inlineStr">
        <is>
          <t>FAIR</t>
        </is>
      </c>
      <c r="R177" s="24" t="inlineStr">
        <is>
          <t>0.7158734205313764</t>
        </is>
      </c>
      <c r="S177" s="24" t="inlineStr">
        <is>
          <t>HIGH</t>
        </is>
      </c>
      <c r="T177" s="24" t="inlineStr">
        <is>
          <t>HIGH</t>
        </is>
      </c>
      <c r="U177" s="24" t="inlineStr">
        <is>
          <t>0.0714285714285714</t>
        </is>
      </c>
      <c r="V177" s="24" t="inlineStr">
        <is>
          <t>LOW_RISK</t>
        </is>
      </c>
      <c r="W177" s="24" t="inlineStr">
        <is>
          <t>저위험</t>
        </is>
      </c>
      <c r="X177" s="24" t="inlineStr">
        <is>
          <t>LOW_RISK</t>
        </is>
      </c>
      <c r="Y177" s="24" t="inlineStr">
        <is>
          <t>0.8562648725642331</t>
        </is>
      </c>
      <c r="Z177" s="24" t="inlineStr">
        <is>
          <t>HIGH</t>
        </is>
      </c>
      <c r="AA177" s="24" t="inlineStr">
        <is>
          <t>HIGH</t>
        </is>
      </c>
      <c r="AB177" s="24" t="inlineStr">
        <is>
          <t>0.038412769981702295</t>
        </is>
      </c>
      <c r="AC177" s="24" t="inlineStr">
        <is>
          <t>False</t>
        </is>
      </c>
      <c r="AD177" s="24" t="inlineStr">
        <is>
          <t>False</t>
        </is>
      </c>
      <c r="AE177" s="24" t="inlineStr">
        <is>
          <t>valuation_credit_ml_overlay_candidate.csv</t>
        </is>
      </c>
      <c r="AF177" s="24" t="inlineStr">
        <is>
          <t>208개 반도체 reference universe. Valuation Agent가 자체 intake 폴더로 복제해 Peer/ML/대시보드 비교에 사용.</t>
        </is>
      </c>
    </row>
    <row r="178" ht="24" customHeight="1">
      <c r="A178" s="29" t="inlineStr">
        <is>
          <t>90</t>
        </is>
      </c>
      <c r="B178" s="29" t="inlineStr">
        <is>
          <t>해당 없음</t>
        </is>
      </c>
      <c r="C178" s="29" t="inlineStr">
        <is>
          <t>서플러스글로벌</t>
        </is>
      </c>
      <c r="D178" s="29" t="inlineStr">
        <is>
          <t>140070</t>
        </is>
      </c>
      <c r="E178" s="29" t="inlineStr">
        <is>
          <t>KOSDAQ</t>
        </is>
      </c>
      <c r="F178" s="29" t="inlineStr">
        <is>
          <t>장비</t>
        </is>
      </c>
      <c r="G178" s="29" t="inlineStr">
        <is>
          <t>장비</t>
        </is>
      </c>
      <c r="H178" s="29" t="inlineStr">
        <is>
          <t>False</t>
        </is>
      </c>
      <c r="I178" s="29" t="inlineStr">
        <is>
          <t>True</t>
        </is>
      </c>
      <c r="J178" s="29" t="inlineStr">
        <is>
          <t>OK</t>
        </is>
      </c>
      <c r="K178" s="29" t="inlineStr">
        <is>
          <t>데이터 사용 가능</t>
        </is>
      </c>
      <c r="L178" s="29" t="inlineStr">
        <is>
          <t>LOW</t>
        </is>
      </c>
      <c r="M178" s="29" t="inlineStr">
        <is>
          <t>LOW</t>
        </is>
      </c>
      <c r="N178" s="29" t="inlineStr">
        <is>
          <t>0.4594666666666667</t>
        </is>
      </c>
      <c r="O178" s="29" t="inlineStr">
        <is>
          <t>FAIR</t>
        </is>
      </c>
      <c r="P178" s="29" t="inlineStr">
        <is>
          <t>FAIR</t>
        </is>
      </c>
      <c r="Q178" s="29" t="inlineStr">
        <is>
          <t>FAIR</t>
        </is>
      </c>
      <c r="R178" s="29" t="inlineStr">
        <is>
          <t>0.6515364241286621</t>
        </is>
      </c>
      <c r="S178" s="29" t="inlineStr">
        <is>
          <t>MEDIUM</t>
        </is>
      </c>
      <c r="T178" s="29" t="inlineStr">
        <is>
          <t>MEDIUM</t>
        </is>
      </c>
      <c r="U178" s="29" t="inlineStr">
        <is>
          <t>0.7142857142857143</t>
        </is>
      </c>
      <c r="V178" s="29" t="inlineStr">
        <is>
          <t>HIGH_RISK</t>
        </is>
      </c>
      <c r="W178" s="29" t="inlineStr">
        <is>
          <t>고위험</t>
        </is>
      </c>
      <c r="X178" s="29" t="inlineStr">
        <is>
          <t>HIGH_RISK</t>
        </is>
      </c>
      <c r="Y178" s="29" t="inlineStr">
        <is>
          <t>0.9338637410254204</t>
        </is>
      </c>
      <c r="Z178" s="29" t="inlineStr">
        <is>
          <t>HIGH</t>
        </is>
      </c>
      <c r="AA178" s="29" t="inlineStr">
        <is>
          <t>HIGH</t>
        </is>
      </c>
      <c r="AB178" s="29" t="inlineStr">
        <is>
          <t>0.11246105889395507</t>
        </is>
      </c>
      <c r="AC178" s="29" t="inlineStr">
        <is>
          <t>False</t>
        </is>
      </c>
      <c r="AD178" s="29" t="inlineStr">
        <is>
          <t>False</t>
        </is>
      </c>
      <c r="AE178" s="29" t="inlineStr">
        <is>
          <t>valuation_credit_ml_overlay_candidate.csv</t>
        </is>
      </c>
      <c r="AF178" s="29" t="inlineStr">
        <is>
          <t>208개 반도체 reference universe. Valuation Agent가 자체 intake 폴더로 복제해 Peer/ML/대시보드 비교에 사용.</t>
        </is>
      </c>
    </row>
    <row r="179" ht="24" customHeight="1">
      <c r="A179" s="24" t="inlineStr">
        <is>
          <t>97</t>
        </is>
      </c>
      <c r="B179" s="24" t="inlineStr">
        <is>
          <t>해당 없음</t>
        </is>
      </c>
      <c r="C179" s="24" t="inlineStr">
        <is>
          <t>에스티아이</t>
        </is>
      </c>
      <c r="D179" s="24" t="inlineStr">
        <is>
          <t>039440</t>
        </is>
      </c>
      <c r="E179" s="24" t="inlineStr">
        <is>
          <t>KOSDAQ</t>
        </is>
      </c>
      <c r="F179" s="24" t="inlineStr">
        <is>
          <t>장비</t>
        </is>
      </c>
      <c r="G179" s="24" t="inlineStr">
        <is>
          <t>장비</t>
        </is>
      </c>
      <c r="H179" s="24" t="inlineStr">
        <is>
          <t>False</t>
        </is>
      </c>
      <c r="I179" s="24" t="inlineStr">
        <is>
          <t>True</t>
        </is>
      </c>
      <c r="J179" s="24" t="inlineStr">
        <is>
          <t>OK</t>
        </is>
      </c>
      <c r="K179" s="24" t="inlineStr">
        <is>
          <t>데이터 사용 가능</t>
        </is>
      </c>
      <c r="L179" s="24" t="inlineStr">
        <is>
          <t>LOW</t>
        </is>
      </c>
      <c r="M179" s="24" t="inlineStr">
        <is>
          <t>LOW</t>
        </is>
      </c>
      <c r="N179" s="24" t="inlineStr">
        <is>
          <t>0.4549999999999999</t>
        </is>
      </c>
      <c r="O179" s="24" t="inlineStr">
        <is>
          <t>FAIR</t>
        </is>
      </c>
      <c r="P179" s="24" t="inlineStr">
        <is>
          <t>FAIR</t>
        </is>
      </c>
      <c r="Q179" s="24" t="inlineStr">
        <is>
          <t>FAIR</t>
        </is>
      </c>
      <c r="R179" s="24" t="inlineStr">
        <is>
          <t>0.53270990340385</t>
        </is>
      </c>
      <c r="S179" s="24" t="inlineStr">
        <is>
          <t>MEDIUM</t>
        </is>
      </c>
      <c r="T179" s="24" t="inlineStr">
        <is>
          <t>MEDIUM</t>
        </is>
      </c>
      <c r="U179" s="24" t="inlineStr">
        <is>
          <t>0.0</t>
        </is>
      </c>
      <c r="V179" s="24" t="inlineStr">
        <is>
          <t>LOW_RISK</t>
        </is>
      </c>
      <c r="W179" s="24" t="inlineStr">
        <is>
          <t>저위험</t>
        </is>
      </c>
      <c r="X179" s="24" t="inlineStr">
        <is>
          <t>LOW_RISK</t>
        </is>
      </c>
      <c r="Y179" s="24" t="inlineStr">
        <is>
          <t>0.911990788525375</t>
        </is>
      </c>
      <c r="Z179" s="24" t="inlineStr">
        <is>
          <t>HIGH</t>
        </is>
      </c>
      <c r="AA179" s="24" t="inlineStr">
        <is>
          <t>HIGH</t>
        </is>
      </c>
      <c r="AB179" s="24" t="inlineStr">
        <is>
          <t>0.012946139293246964</t>
        </is>
      </c>
      <c r="AC179" s="24" t="inlineStr">
        <is>
          <t>False</t>
        </is>
      </c>
      <c r="AD179" s="24" t="inlineStr">
        <is>
          <t>False</t>
        </is>
      </c>
      <c r="AE179" s="24" t="inlineStr">
        <is>
          <t>valuation_credit_ml_overlay_candidate.csv</t>
        </is>
      </c>
      <c r="AF179" s="24" t="inlineStr">
        <is>
          <t>208개 반도체 reference universe. Valuation Agent가 자체 intake 폴더로 복제해 Peer/ML/대시보드 비교에 사용.</t>
        </is>
      </c>
    </row>
    <row r="180" ht="24" customHeight="1">
      <c r="A180" s="29" t="inlineStr">
        <is>
          <t>106</t>
        </is>
      </c>
      <c r="B180" s="29" t="inlineStr">
        <is>
          <t>해당 없음</t>
        </is>
      </c>
      <c r="C180" s="29" t="inlineStr">
        <is>
          <t>유진테크</t>
        </is>
      </c>
      <c r="D180" s="29" t="inlineStr">
        <is>
          <t>084370</t>
        </is>
      </c>
      <c r="E180" s="29" t="inlineStr">
        <is>
          <t>KOSDAQ</t>
        </is>
      </c>
      <c r="F180" s="29" t="inlineStr">
        <is>
          <t>장비</t>
        </is>
      </c>
      <c r="G180" s="29" t="inlineStr">
        <is>
          <t>장비</t>
        </is>
      </c>
      <c r="H180" s="29" t="inlineStr">
        <is>
          <t>False</t>
        </is>
      </c>
      <c r="I180" s="29" t="inlineStr">
        <is>
          <t>True</t>
        </is>
      </c>
      <c r="J180" s="29" t="inlineStr">
        <is>
          <t>OK</t>
        </is>
      </c>
      <c r="K180" s="29" t="inlineStr">
        <is>
          <t>데이터 사용 가능</t>
        </is>
      </c>
      <c r="L180" s="29" t="inlineStr">
        <is>
          <t>LOW</t>
        </is>
      </c>
      <c r="M180" s="29" t="inlineStr">
        <is>
          <t>LOW</t>
        </is>
      </c>
      <c r="N180" s="29" t="inlineStr">
        <is>
          <t>0.4335999999999999</t>
        </is>
      </c>
      <c r="O180" s="29" t="inlineStr">
        <is>
          <t>FAIR</t>
        </is>
      </c>
      <c r="P180" s="29" t="inlineStr">
        <is>
          <t>FAIR</t>
        </is>
      </c>
      <c r="Q180" s="29" t="inlineStr">
        <is>
          <t>FAIR</t>
        </is>
      </c>
      <c r="R180" s="29" t="inlineStr">
        <is>
          <t>0.7415227894291446</t>
        </is>
      </c>
      <c r="S180" s="29" t="inlineStr">
        <is>
          <t>HIGH</t>
        </is>
      </c>
      <c r="T180" s="29" t="inlineStr">
        <is>
          <t>HIGH</t>
        </is>
      </c>
      <c r="U180" s="29" t="inlineStr">
        <is>
          <t>0.0</t>
        </is>
      </c>
      <c r="V180" s="29" t="inlineStr">
        <is>
          <t>LOW_RISK</t>
        </is>
      </c>
      <c r="W180" s="29" t="inlineStr">
        <is>
          <t>저위험</t>
        </is>
      </c>
      <c r="X180" s="29" t="inlineStr">
        <is>
          <t>LOW_RISK</t>
        </is>
      </c>
      <c r="Y180" s="29" t="inlineStr">
        <is>
          <t>0.972105078189685</t>
        </is>
      </c>
      <c r="Z180" s="29" t="inlineStr">
        <is>
          <t>HIGH</t>
        </is>
      </c>
      <c r="AA180" s="29" t="inlineStr">
        <is>
          <t>HIGH</t>
        </is>
      </c>
      <c r="AB180" s="29" t="inlineStr">
        <is>
          <t>0.06698695126425369</t>
        </is>
      </c>
      <c r="AC180" s="29" t="inlineStr">
        <is>
          <t>False</t>
        </is>
      </c>
      <c r="AD180" s="29" t="inlineStr">
        <is>
          <t>False</t>
        </is>
      </c>
      <c r="AE180" s="29" t="inlineStr">
        <is>
          <t>valuation_credit_ml_overlay_candidate.csv</t>
        </is>
      </c>
      <c r="AF180" s="29" t="inlineStr">
        <is>
          <t>208개 반도체 reference universe. Valuation Agent가 자체 intake 폴더로 복제해 Peer/ML/대시보드 비교에 사용.</t>
        </is>
      </c>
    </row>
    <row r="181" ht="24" customHeight="1">
      <c r="A181" s="24" t="inlineStr">
        <is>
          <t>109</t>
        </is>
      </c>
      <c r="B181" s="24" t="inlineStr">
        <is>
          <t>해당 없음</t>
        </is>
      </c>
      <c r="C181" s="24" t="inlineStr">
        <is>
          <t>제우스</t>
        </is>
      </c>
      <c r="D181" s="24" t="inlineStr">
        <is>
          <t>079370</t>
        </is>
      </c>
      <c r="E181" s="24" t="inlineStr">
        <is>
          <t>KOSDAQ</t>
        </is>
      </c>
      <c r="F181" s="24" t="inlineStr">
        <is>
          <t>장비</t>
        </is>
      </c>
      <c r="G181" s="24" t="inlineStr">
        <is>
          <t>장비</t>
        </is>
      </c>
      <c r="H181" s="24" t="inlineStr">
        <is>
          <t>False</t>
        </is>
      </c>
      <c r="I181" s="24" t="inlineStr">
        <is>
          <t>True</t>
        </is>
      </c>
      <c r="J181" s="24" t="inlineStr">
        <is>
          <t>OK</t>
        </is>
      </c>
      <c r="K181" s="24" t="inlineStr">
        <is>
          <t>데이터 사용 가능</t>
        </is>
      </c>
      <c r="L181" s="24" t="inlineStr">
        <is>
          <t>LOW</t>
        </is>
      </c>
      <c r="M181" s="24" t="inlineStr">
        <is>
          <t>LOW</t>
        </is>
      </c>
      <c r="N181" s="24" t="inlineStr">
        <is>
          <t>0.4258666666666666</t>
        </is>
      </c>
      <c r="O181" s="24" t="inlineStr">
        <is>
          <t>FAIR</t>
        </is>
      </c>
      <c r="P181" s="24" t="inlineStr">
        <is>
          <t>FAIR</t>
        </is>
      </c>
      <c r="Q181" s="24" t="inlineStr">
        <is>
          <t>FAIR</t>
        </is>
      </c>
      <c r="R181" s="24" t="inlineStr">
        <is>
          <t>0.7744454918412472</t>
        </is>
      </c>
      <c r="S181" s="24" t="inlineStr">
        <is>
          <t>HIGH</t>
        </is>
      </c>
      <c r="T181" s="24" t="inlineStr">
        <is>
          <t>HIGH</t>
        </is>
      </c>
      <c r="U181" s="24" t="inlineStr">
        <is>
          <t>0.2142857142857142</t>
        </is>
      </c>
      <c r="V181" s="24" t="inlineStr">
        <is>
          <t>MEDIUM_RISK</t>
        </is>
      </c>
      <c r="W181" s="24" t="inlineStr">
        <is>
          <t>중위험</t>
        </is>
      </c>
      <c r="X181" s="24" t="inlineStr">
        <is>
          <t>MEDIUM_RISK</t>
        </is>
      </c>
      <c r="Y181" s="24" t="inlineStr">
        <is>
          <t>0.7526716293270965</t>
        </is>
      </c>
      <c r="Z181" s="24" t="inlineStr">
        <is>
          <t>HIGH</t>
        </is>
      </c>
      <c r="AA181" s="24" t="inlineStr">
        <is>
          <t>HIGH</t>
        </is>
      </c>
      <c r="AB181" s="24" t="inlineStr">
        <is>
          <t>0.011543006177035572</t>
        </is>
      </c>
      <c r="AC181" s="24" t="inlineStr">
        <is>
          <t>False</t>
        </is>
      </c>
      <c r="AD181" s="24" t="inlineStr">
        <is>
          <t>False</t>
        </is>
      </c>
      <c r="AE181" s="24" t="inlineStr">
        <is>
          <t>valuation_credit_ml_overlay_candidate.csv</t>
        </is>
      </c>
      <c r="AF181" s="24" t="inlineStr">
        <is>
          <t>208개 반도체 reference universe. Valuation Agent가 자체 intake 폴더로 복제해 Peer/ML/대시보드 비교에 사용.</t>
        </is>
      </c>
    </row>
    <row r="182" ht="24" customHeight="1">
      <c r="A182" s="29" t="inlineStr">
        <is>
          <t>83</t>
        </is>
      </c>
      <c r="B182" s="29" t="inlineStr">
        <is>
          <t>해당 없음</t>
        </is>
      </c>
      <c r="C182" s="29" t="inlineStr">
        <is>
          <t>램테크놀러지</t>
        </is>
      </c>
      <c r="D182" s="29" t="inlineStr">
        <is>
          <t>171010</t>
        </is>
      </c>
      <c r="E182" s="29" t="inlineStr">
        <is>
          <t>KOSDAQ</t>
        </is>
      </c>
      <c r="F182" s="29" t="inlineStr">
        <is>
          <t>장비</t>
        </is>
      </c>
      <c r="G182" s="29" t="inlineStr">
        <is>
          <t>장비</t>
        </is>
      </c>
      <c r="H182" s="29" t="inlineStr">
        <is>
          <t>False</t>
        </is>
      </c>
      <c r="I182" s="29" t="inlineStr">
        <is>
          <t>True</t>
        </is>
      </c>
      <c r="J182" s="29" t="inlineStr">
        <is>
          <t>OK</t>
        </is>
      </c>
      <c r="K182" s="29" t="inlineStr">
        <is>
          <t>데이터 사용 가능</t>
        </is>
      </c>
      <c r="L182" s="29" t="inlineStr">
        <is>
          <t>LOW</t>
        </is>
      </c>
      <c r="M182" s="29" t="inlineStr">
        <is>
          <t>LOW</t>
        </is>
      </c>
      <c r="N182" s="29" t="inlineStr">
        <is>
          <t>0.4097333333333334</t>
        </is>
      </c>
      <c r="O182" s="29" t="inlineStr">
        <is>
          <t>EXPENSIVE</t>
        </is>
      </c>
      <c r="P182" s="29" t="inlineStr">
        <is>
          <t>EXPENSIVE</t>
        </is>
      </c>
      <c r="Q182" s="29" t="inlineStr">
        <is>
          <t>FAIR</t>
        </is>
      </c>
      <c r="R182" s="29" t="inlineStr">
        <is>
          <t>0.500591784236833</t>
        </is>
      </c>
      <c r="S182" s="29" t="inlineStr">
        <is>
          <t>MEDIUM</t>
        </is>
      </c>
      <c r="T182" s="29" t="inlineStr">
        <is>
          <t>MEDIUM</t>
        </is>
      </c>
      <c r="U182" s="29" t="inlineStr">
        <is>
          <t>0.6428571428571429</t>
        </is>
      </c>
      <c r="V182" s="29" t="inlineStr">
        <is>
          <t>HIGH_RISK</t>
        </is>
      </c>
      <c r="W182" s="29" t="inlineStr">
        <is>
          <t>고위험</t>
        </is>
      </c>
      <c r="X182" s="29" t="inlineStr">
        <is>
          <t>HIGH_RISK</t>
        </is>
      </c>
      <c r="Y182" s="29" t="inlineStr">
        <is>
          <t>0.7085071659992903</t>
        </is>
      </c>
      <c r="Z182" s="29" t="inlineStr">
        <is>
          <t>HIGH</t>
        </is>
      </c>
      <c r="AA182" s="29" t="inlineStr">
        <is>
          <t>HIGH</t>
        </is>
      </c>
      <c r="AB182" s="29" t="inlineStr">
        <is>
          <t>0.08748635209855961</t>
        </is>
      </c>
      <c r="AC182" s="29" t="inlineStr">
        <is>
          <t>False</t>
        </is>
      </c>
      <c r="AD182" s="29" t="inlineStr">
        <is>
          <t>False</t>
        </is>
      </c>
      <c r="AE182" s="29" t="inlineStr">
        <is>
          <t>valuation_credit_ml_overlay_candidate.csv</t>
        </is>
      </c>
      <c r="AF182" s="29" t="inlineStr">
        <is>
          <t>208개 반도체 reference universe. Valuation Agent가 자체 intake 폴더로 복제해 Peer/ML/대시보드 비교에 사용.</t>
        </is>
      </c>
    </row>
    <row r="183" ht="24" customHeight="1">
      <c r="A183" s="24" t="inlineStr">
        <is>
          <t>108</t>
        </is>
      </c>
      <c r="B183" s="24" t="inlineStr">
        <is>
          <t>해당 없음</t>
        </is>
      </c>
      <c r="C183" s="24" t="inlineStr">
        <is>
          <t>저스템</t>
        </is>
      </c>
      <c r="D183" s="24" t="inlineStr">
        <is>
          <t>417840</t>
        </is>
      </c>
      <c r="E183" s="24" t="inlineStr">
        <is>
          <t>KOSDAQ</t>
        </is>
      </c>
      <c r="F183" s="24" t="inlineStr">
        <is>
          <t>장비</t>
        </is>
      </c>
      <c r="G183" s="24" t="inlineStr">
        <is>
          <t>장비</t>
        </is>
      </c>
      <c r="H183" s="24" t="inlineStr">
        <is>
          <t>False</t>
        </is>
      </c>
      <c r="I183" s="24" t="inlineStr">
        <is>
          <t>True</t>
        </is>
      </c>
      <c r="J183" s="24" t="inlineStr">
        <is>
          <t>OK</t>
        </is>
      </c>
      <c r="K183" s="24" t="inlineStr">
        <is>
          <t>데이터 사용 가능</t>
        </is>
      </c>
      <c r="L183" s="24" t="inlineStr">
        <is>
          <t>LOW</t>
        </is>
      </c>
      <c r="M183" s="24" t="inlineStr">
        <is>
          <t>LOW</t>
        </is>
      </c>
      <c r="N183" s="24" t="inlineStr">
        <is>
          <t>0.4036</t>
        </is>
      </c>
      <c r="O183" s="24" t="inlineStr">
        <is>
          <t>EXPENSIVE</t>
        </is>
      </c>
      <c r="P183" s="24" t="inlineStr">
        <is>
          <t>EXPENSIVE</t>
        </is>
      </c>
      <c r="Q183" s="24" t="inlineStr">
        <is>
          <t>EXPENSIVE</t>
        </is>
      </c>
      <c r="R183" s="24" t="inlineStr">
        <is>
          <t>0.7213257522774291</t>
        </is>
      </c>
      <c r="S183" s="24" t="inlineStr">
        <is>
          <t>HIGH</t>
        </is>
      </c>
      <c r="T183" s="24" t="inlineStr">
        <is>
          <t>HIGH</t>
        </is>
      </c>
      <c r="U183" s="24" t="inlineStr">
        <is>
          <t>0.2857142857142857</t>
        </is>
      </c>
      <c r="V183" s="24" t="inlineStr">
        <is>
          <t>MEDIUM_RISK</t>
        </is>
      </c>
      <c r="W183" s="24" t="inlineStr">
        <is>
          <t>중위험</t>
        </is>
      </c>
      <c r="X183" s="24" t="inlineStr">
        <is>
          <t>MEDIUM_RISK</t>
        </is>
      </c>
      <c r="Y183" s="24" t="inlineStr">
        <is>
          <t>0.6200895030304687</t>
        </is>
      </c>
      <c r="Z183" s="24" t="inlineStr">
        <is>
          <t>MEDIUM</t>
        </is>
      </c>
      <c r="AA183" s="24" t="inlineStr">
        <is>
          <t>MEDIUM</t>
        </is>
      </c>
      <c r="AB183" s="24" t="inlineStr">
        <is>
          <t>0.06530461326030516</t>
        </is>
      </c>
      <c r="AC183" s="24" t="inlineStr">
        <is>
          <t>False</t>
        </is>
      </c>
      <c r="AD183" s="24" t="inlineStr">
        <is>
          <t>False</t>
        </is>
      </c>
      <c r="AE183" s="24" t="inlineStr">
        <is>
          <t>valuation_credit_ml_overlay_candidate.csv</t>
        </is>
      </c>
      <c r="AF183" s="24" t="inlineStr">
        <is>
          <t>208개 반도체 reference universe. Valuation Agent가 자체 intake 폴더로 복제해 Peer/ML/대시보드 비교에 사용.</t>
        </is>
      </c>
    </row>
    <row r="184" ht="24" customHeight="1">
      <c r="A184" s="29" t="inlineStr">
        <is>
          <t>111</t>
        </is>
      </c>
      <c r="B184" s="29" t="inlineStr">
        <is>
          <t>해당 없음</t>
        </is>
      </c>
      <c r="C184" s="29" t="inlineStr">
        <is>
          <t>지아이에스</t>
        </is>
      </c>
      <c r="D184" s="29" t="inlineStr">
        <is>
          <t>306620</t>
        </is>
      </c>
      <c r="E184" s="29" t="inlineStr">
        <is>
          <t>KOSDAQ</t>
        </is>
      </c>
      <c r="F184" s="29" t="inlineStr">
        <is>
          <t>장비</t>
        </is>
      </c>
      <c r="G184" s="29" t="inlineStr">
        <is>
          <t>장비</t>
        </is>
      </c>
      <c r="H184" s="29" t="inlineStr">
        <is>
          <t>False</t>
        </is>
      </c>
      <c r="I184" s="29" t="inlineStr">
        <is>
          <t>True</t>
        </is>
      </c>
      <c r="J184" s="29" t="inlineStr">
        <is>
          <t>OK</t>
        </is>
      </c>
      <c r="K184" s="29" t="inlineStr">
        <is>
          <t>데이터 사용 가능</t>
        </is>
      </c>
      <c r="L184" s="29" t="inlineStr">
        <is>
          <t>LOW</t>
        </is>
      </c>
      <c r="M184" s="29" t="inlineStr">
        <is>
          <t>LOW</t>
        </is>
      </c>
      <c r="N184" s="29" t="inlineStr">
        <is>
          <t>0.4014666666666666</t>
        </is>
      </c>
      <c r="O184" s="29" t="inlineStr">
        <is>
          <t>EXPENSIVE</t>
        </is>
      </c>
      <c r="P184" s="29" t="inlineStr">
        <is>
          <t>EXPENSIVE</t>
        </is>
      </c>
      <c r="Q184" s="29" t="inlineStr">
        <is>
          <t>EXPENSIVE</t>
        </is>
      </c>
      <c r="R184" s="29" t="inlineStr">
        <is>
          <t>0.745903271306321</t>
        </is>
      </c>
      <c r="S184" s="29" t="inlineStr">
        <is>
          <t>HIGH</t>
        </is>
      </c>
      <c r="T184" s="29" t="inlineStr">
        <is>
          <t>HIGH</t>
        </is>
      </c>
      <c r="U184" s="29" t="inlineStr">
        <is>
          <t>0.5714285714285714</t>
        </is>
      </c>
      <c r="V184" s="29" t="inlineStr">
        <is>
          <t>HIGH_RISK</t>
        </is>
      </c>
      <c r="W184" s="29" t="inlineStr">
        <is>
          <t>고위험</t>
        </is>
      </c>
      <c r="X184" s="29" t="inlineStr">
        <is>
          <t>HIGH_RISK</t>
        </is>
      </c>
      <c r="Y184" s="29" t="inlineStr">
        <is>
          <t>0.7985810664806972</t>
        </is>
      </c>
      <c r="Z184" s="29" t="inlineStr">
        <is>
          <t>HIGH</t>
        </is>
      </c>
      <c r="AA184" s="29" t="inlineStr">
        <is>
          <t>HIGH</t>
        </is>
      </c>
      <c r="AB184" s="29" t="inlineStr">
        <is>
          <t>0.10027107402555603</t>
        </is>
      </c>
      <c r="AC184" s="29" t="inlineStr">
        <is>
          <t>False</t>
        </is>
      </c>
      <c r="AD184" s="29" t="inlineStr">
        <is>
          <t>False</t>
        </is>
      </c>
      <c r="AE184" s="29" t="inlineStr">
        <is>
          <t>valuation_credit_ml_overlay_candidate.csv</t>
        </is>
      </c>
      <c r="AF184" s="29" t="inlineStr">
        <is>
          <t>208개 반도체 reference universe. Valuation Agent가 자체 intake 폴더로 복제해 Peer/ML/대시보드 비교에 사용.</t>
        </is>
      </c>
    </row>
    <row r="185" ht="24" customHeight="1">
      <c r="A185" s="24" t="inlineStr">
        <is>
          <t>98</t>
        </is>
      </c>
      <c r="B185" s="24" t="inlineStr">
        <is>
          <t>해당 없음</t>
        </is>
      </c>
      <c r="C185" s="24" t="inlineStr">
        <is>
          <t>에프에스티</t>
        </is>
      </c>
      <c r="D185" s="24" t="inlineStr">
        <is>
          <t>036810</t>
        </is>
      </c>
      <c r="E185" s="24" t="inlineStr">
        <is>
          <t>KOSDAQ</t>
        </is>
      </c>
      <c r="F185" s="24" t="inlineStr">
        <is>
          <t>장비</t>
        </is>
      </c>
      <c r="G185" s="24" t="inlineStr">
        <is>
          <t>장비</t>
        </is>
      </c>
      <c r="H185" s="24" t="inlineStr">
        <is>
          <t>False</t>
        </is>
      </c>
      <c r="I185" s="24" t="inlineStr">
        <is>
          <t>True</t>
        </is>
      </c>
      <c r="J185" s="24" t="inlineStr">
        <is>
          <t>OK</t>
        </is>
      </c>
      <c r="K185" s="24" t="inlineStr">
        <is>
          <t>데이터 사용 가능</t>
        </is>
      </c>
      <c r="L185" s="24" t="inlineStr">
        <is>
          <t>LOW</t>
        </is>
      </c>
      <c r="M185" s="24" t="inlineStr">
        <is>
          <t>LOW</t>
        </is>
      </c>
      <c r="N185" s="24" t="inlineStr">
        <is>
          <t>0.3826666666666666</t>
        </is>
      </c>
      <c r="O185" s="24" t="inlineStr">
        <is>
          <t>EXPENSIVE</t>
        </is>
      </c>
      <c r="P185" s="24" t="inlineStr">
        <is>
          <t>EXPENSIVE</t>
        </is>
      </c>
      <c r="Q185" s="24" t="inlineStr">
        <is>
          <t>EXPENSIVE</t>
        </is>
      </c>
      <c r="R185" s="24" t="inlineStr">
        <is>
          <t>0.8925631629286743</t>
        </is>
      </c>
      <c r="S185" s="24" t="inlineStr">
        <is>
          <t>HIGH</t>
        </is>
      </c>
      <c r="T185" s="24" t="inlineStr">
        <is>
          <t>HIGH</t>
        </is>
      </c>
      <c r="U185" s="24" t="inlineStr">
        <is>
          <t>0.5</t>
        </is>
      </c>
      <c r="V185" s="24" t="inlineStr">
        <is>
          <t>HIGH_RISK</t>
        </is>
      </c>
      <c r="W185" s="24" t="inlineStr">
        <is>
          <t>고위험</t>
        </is>
      </c>
      <c r="X185" s="24" t="inlineStr">
        <is>
          <t>HIGH_RISK</t>
        </is>
      </c>
      <c r="Y185" s="24" t="inlineStr">
        <is>
          <t>0.6842794288306946</t>
        </is>
      </c>
      <c r="Z185" s="24" t="inlineStr">
        <is>
          <t>MEDIUM</t>
        </is>
      </c>
      <c r="AA185" s="24" t="inlineStr">
        <is>
          <t>MEDIUM</t>
        </is>
      </c>
      <c r="AB185" s="24" t="inlineStr">
        <is>
          <t>0.03870825972114044</t>
        </is>
      </c>
      <c r="AC185" s="24" t="inlineStr">
        <is>
          <t>False</t>
        </is>
      </c>
      <c r="AD185" s="24" t="inlineStr">
        <is>
          <t>False</t>
        </is>
      </c>
      <c r="AE185" s="24" t="inlineStr">
        <is>
          <t>valuation_credit_ml_overlay_candidate.csv</t>
        </is>
      </c>
      <c r="AF185" s="24" t="inlineStr">
        <is>
          <t>208개 반도체 reference universe. Valuation Agent가 자체 intake 폴더로 복제해 Peer/ML/대시보드 비교에 사용.</t>
        </is>
      </c>
    </row>
    <row r="186" ht="24" customHeight="1">
      <c r="A186" s="29" t="inlineStr">
        <is>
          <t>78</t>
        </is>
      </c>
      <c r="B186" s="29" t="inlineStr">
        <is>
          <t>해당 없음</t>
        </is>
      </c>
      <c r="C186" s="29" t="inlineStr">
        <is>
          <t>나노신소재</t>
        </is>
      </c>
      <c r="D186" s="29" t="inlineStr">
        <is>
          <t>121600</t>
        </is>
      </c>
      <c r="E186" s="29" t="inlineStr">
        <is>
          <t>KOSDAQ</t>
        </is>
      </c>
      <c r="F186" s="29" t="inlineStr">
        <is>
          <t>장비</t>
        </is>
      </c>
      <c r="G186" s="29" t="inlineStr">
        <is>
          <t>장비</t>
        </is>
      </c>
      <c r="H186" s="29" t="inlineStr">
        <is>
          <t>False</t>
        </is>
      </c>
      <c r="I186" s="29" t="inlineStr">
        <is>
          <t>True</t>
        </is>
      </c>
      <c r="J186" s="29" t="inlineStr">
        <is>
          <t>OK</t>
        </is>
      </c>
      <c r="K186" s="29" t="inlineStr">
        <is>
          <t>데이터 사용 가능</t>
        </is>
      </c>
      <c r="L186" s="29" t="inlineStr">
        <is>
          <t>LOW</t>
        </is>
      </c>
      <c r="M186" s="29" t="inlineStr">
        <is>
          <t>LOW</t>
        </is>
      </c>
      <c r="N186" s="29" t="inlineStr">
        <is>
          <t>0.3822666666666666</t>
        </is>
      </c>
      <c r="O186" s="29" t="inlineStr">
        <is>
          <t>EXPENSIVE</t>
        </is>
      </c>
      <c r="P186" s="29" t="inlineStr">
        <is>
          <t>EXPENSIVE</t>
        </is>
      </c>
      <c r="Q186" s="29" t="inlineStr">
        <is>
          <t>EXPENSIVE</t>
        </is>
      </c>
      <c r="R186" s="29" t="inlineStr">
        <is>
          <t>0.7555342246021253</t>
        </is>
      </c>
      <c r="S186" s="29" t="inlineStr">
        <is>
          <t>HIGH</t>
        </is>
      </c>
      <c r="T186" s="29" t="inlineStr">
        <is>
          <t>HIGH</t>
        </is>
      </c>
      <c r="U186" s="29" t="inlineStr">
        <is>
          <t>0.0</t>
        </is>
      </c>
      <c r="V186" s="29" t="inlineStr">
        <is>
          <t>LOW_RISK</t>
        </is>
      </c>
      <c r="W186" s="29" t="inlineStr">
        <is>
          <t>저위험</t>
        </is>
      </c>
      <c r="X186" s="29" t="inlineStr">
        <is>
          <t>LOW_RISK</t>
        </is>
      </c>
      <c r="Y186" s="29" t="inlineStr">
        <is>
          <t>0.6225133085657061</t>
        </is>
      </c>
      <c r="Z186" s="29" t="inlineStr">
        <is>
          <t>MEDIUM</t>
        </is>
      </c>
      <c r="AA186" s="29" t="inlineStr">
        <is>
          <t>MEDIUM</t>
        </is>
      </c>
      <c r="AB186" s="29" t="inlineStr">
        <is>
          <t>0.006422827813209868</t>
        </is>
      </c>
      <c r="AC186" s="29" t="inlineStr">
        <is>
          <t>False</t>
        </is>
      </c>
      <c r="AD186" s="29" t="inlineStr">
        <is>
          <t>False</t>
        </is>
      </c>
      <c r="AE186" s="29" t="inlineStr">
        <is>
          <t>valuation_credit_ml_overlay_candidate.csv</t>
        </is>
      </c>
      <c r="AF186" s="29" t="inlineStr">
        <is>
          <t>208개 반도체 reference universe. Valuation Agent가 자체 intake 폴더로 복제해 Peer/ML/대시보드 비교에 사용.</t>
        </is>
      </c>
    </row>
    <row r="187" ht="24" customHeight="1">
      <c r="A187" s="24" t="inlineStr">
        <is>
          <t>93</t>
        </is>
      </c>
      <c r="B187" s="24" t="inlineStr">
        <is>
          <t>해당 없음</t>
        </is>
      </c>
      <c r="C187" s="24" t="inlineStr">
        <is>
          <t>씨엠티엑스</t>
        </is>
      </c>
      <c r="D187" s="24" t="inlineStr">
        <is>
          <t>388210</t>
        </is>
      </c>
      <c r="E187" s="24" t="inlineStr">
        <is>
          <t>KOSDAQ</t>
        </is>
      </c>
      <c r="F187" s="24" t="inlineStr">
        <is>
          <t>장비</t>
        </is>
      </c>
      <c r="G187" s="24" t="inlineStr">
        <is>
          <t>장비</t>
        </is>
      </c>
      <c r="H187" s="24" t="inlineStr">
        <is>
          <t>False</t>
        </is>
      </c>
      <c r="I187" s="24" t="inlineStr">
        <is>
          <t>True</t>
        </is>
      </c>
      <c r="J187" s="24" t="inlineStr">
        <is>
          <t>OK_LIMITED_HISTORY_OR_GROWTH_NA</t>
        </is>
      </c>
      <c r="K187" s="24" t="inlineStr">
        <is>
          <t>데이터 사용 가능</t>
        </is>
      </c>
      <c r="L187" s="24" t="inlineStr">
        <is>
          <t>LOW</t>
        </is>
      </c>
      <c r="M187" s="24" t="inlineStr">
        <is>
          <t>LOW</t>
        </is>
      </c>
      <c r="N187" s="24" t="inlineStr">
        <is>
          <t>0.3652666666666667</t>
        </is>
      </c>
      <c r="O187" s="24" t="inlineStr">
        <is>
          <t>EXPENSIVE</t>
        </is>
      </c>
      <c r="P187" s="24" t="inlineStr">
        <is>
          <t>EXPENSIVE</t>
        </is>
      </c>
      <c r="Q187" s="24" t="inlineStr">
        <is>
          <t>EXPENSIVE</t>
        </is>
      </c>
      <c r="R187" s="24" t="inlineStr">
        <is>
          <t>0.7157707609420977</t>
        </is>
      </c>
      <c r="S187" s="24" t="inlineStr">
        <is>
          <t>HIGH</t>
        </is>
      </c>
      <c r="T187" s="24" t="inlineStr">
        <is>
          <t>HIGH</t>
        </is>
      </c>
      <c r="U187" s="24" t="inlineStr">
        <is>
          <t>0.2142857142857142</t>
        </is>
      </c>
      <c r="V187" s="24" t="inlineStr">
        <is>
          <t>MEDIUM_RISK</t>
        </is>
      </c>
      <c r="W187" s="24" t="inlineStr">
        <is>
          <t>중위험</t>
        </is>
      </c>
      <c r="X187" s="24" t="inlineStr">
        <is>
          <t>MEDIUM_RISK</t>
        </is>
      </c>
      <c r="Y187" s="24" t="inlineStr">
        <is>
          <t>0.6836967884951827</t>
        </is>
      </c>
      <c r="Z187" s="24" t="inlineStr">
        <is>
          <t>MEDIUM</t>
        </is>
      </c>
      <c r="AA187" s="24" t="inlineStr">
        <is>
          <t>MEDIUM</t>
        </is>
      </c>
      <c r="AB187" s="24" t="inlineStr">
        <is>
          <t>0.10495929656754996</t>
        </is>
      </c>
      <c r="AC187" s="24" t="inlineStr">
        <is>
          <t>False</t>
        </is>
      </c>
      <c r="AD187" s="24" t="inlineStr">
        <is>
          <t>True</t>
        </is>
      </c>
      <c r="AE187" s="24" t="inlineStr">
        <is>
          <t>valuation_credit_ml_overlay_candidate.csv</t>
        </is>
      </c>
      <c r="AF187" s="24" t="inlineStr">
        <is>
          <t>208개 반도체 reference universe. Valuation Agent가 자체 intake 폴더로 복제해 Peer/ML/대시보드 비교에 사용.</t>
        </is>
      </c>
    </row>
    <row r="188" ht="24" customHeight="1">
      <c r="A188" s="29" t="inlineStr">
        <is>
          <t>94</t>
        </is>
      </c>
      <c r="B188" s="29" t="inlineStr">
        <is>
          <t>해당 없음</t>
        </is>
      </c>
      <c r="C188" s="29" t="inlineStr">
        <is>
          <t>아스플로</t>
        </is>
      </c>
      <c r="D188" s="29" t="inlineStr">
        <is>
          <t>159010</t>
        </is>
      </c>
      <c r="E188" s="29" t="inlineStr">
        <is>
          <t>KOSDAQ</t>
        </is>
      </c>
      <c r="F188" s="29" t="inlineStr">
        <is>
          <t>장비</t>
        </is>
      </c>
      <c r="G188" s="29" t="inlineStr">
        <is>
          <t>장비</t>
        </is>
      </c>
      <c r="H188" s="29" t="inlineStr">
        <is>
          <t>False</t>
        </is>
      </c>
      <c r="I188" s="29" t="inlineStr">
        <is>
          <t>True</t>
        </is>
      </c>
      <c r="J188" s="29" t="inlineStr">
        <is>
          <t>OK</t>
        </is>
      </c>
      <c r="K188" s="29" t="inlineStr">
        <is>
          <t>데이터 사용 가능</t>
        </is>
      </c>
      <c r="L188" s="29" t="inlineStr">
        <is>
          <t>LOW</t>
        </is>
      </c>
      <c r="M188" s="29" t="inlineStr">
        <is>
          <t>LOW</t>
        </is>
      </c>
      <c r="N188" s="29" t="inlineStr">
        <is>
          <t>0.3025333333333333</t>
        </is>
      </c>
      <c r="O188" s="29" t="inlineStr">
        <is>
          <t>EXPENSIVE</t>
        </is>
      </c>
      <c r="P188" s="29" t="inlineStr">
        <is>
          <t>EXPENSIVE</t>
        </is>
      </c>
      <c r="Q188" s="29" t="inlineStr">
        <is>
          <t>EXPENSIVE</t>
        </is>
      </c>
      <c r="R188" s="29" t="inlineStr">
        <is>
          <t>0.8970141905473263</t>
        </is>
      </c>
      <c r="S188" s="29" t="inlineStr">
        <is>
          <t>HIGH</t>
        </is>
      </c>
      <c r="T188" s="29" t="inlineStr">
        <is>
          <t>HIGH</t>
        </is>
      </c>
      <c r="U188" s="29" t="inlineStr">
        <is>
          <t>0.5714285714285714</t>
        </is>
      </c>
      <c r="V188" s="29" t="inlineStr">
        <is>
          <t>HIGH_RISK</t>
        </is>
      </c>
      <c r="W188" s="29" t="inlineStr">
        <is>
          <t>고위험</t>
        </is>
      </c>
      <c r="X188" s="29" t="inlineStr">
        <is>
          <t>HIGH_RISK</t>
        </is>
      </c>
      <c r="Y188" s="29" t="inlineStr">
        <is>
          <t>0.9808254047374049</t>
        </is>
      </c>
      <c r="Z188" s="29" t="inlineStr">
        <is>
          <t>HIGH</t>
        </is>
      </c>
      <c r="AA188" s="29" t="inlineStr">
        <is>
          <t>HIGH</t>
        </is>
      </c>
      <c r="AB188" s="29" t="inlineStr">
        <is>
          <t>0.04621877213272216</t>
        </is>
      </c>
      <c r="AC188" s="29" t="inlineStr">
        <is>
          <t>False</t>
        </is>
      </c>
      <c r="AD188" s="29" t="inlineStr">
        <is>
          <t>False</t>
        </is>
      </c>
      <c r="AE188" s="29" t="inlineStr">
        <is>
          <t>valuation_credit_ml_overlay_candidate.csv</t>
        </is>
      </c>
      <c r="AF188" s="29" t="inlineStr">
        <is>
          <t>208개 반도체 reference universe. Valuation Agent가 자체 intake 폴더로 복제해 Peer/ML/대시보드 비교에 사용.</t>
        </is>
      </c>
    </row>
    <row r="189" ht="24" customHeight="1">
      <c r="A189" s="24" t="inlineStr">
        <is>
          <t>101</t>
        </is>
      </c>
      <c r="B189" s="24" t="inlineStr">
        <is>
          <t>해당 없음</t>
        </is>
      </c>
      <c r="C189" s="24" t="inlineStr">
        <is>
          <t>오로스테크놀로지</t>
        </is>
      </c>
      <c r="D189" s="24" t="inlineStr">
        <is>
          <t>322310</t>
        </is>
      </c>
      <c r="E189" s="24" t="inlineStr">
        <is>
          <t>KOSDAQ</t>
        </is>
      </c>
      <c r="F189" s="24" t="inlineStr">
        <is>
          <t>장비</t>
        </is>
      </c>
      <c r="G189" s="24" t="inlineStr">
        <is>
          <t>장비</t>
        </is>
      </c>
      <c r="H189" s="24" t="inlineStr">
        <is>
          <t>False</t>
        </is>
      </c>
      <c r="I189" s="24" t="inlineStr">
        <is>
          <t>True</t>
        </is>
      </c>
      <c r="J189" s="24" t="inlineStr">
        <is>
          <t>OK</t>
        </is>
      </c>
      <c r="K189" s="24" t="inlineStr">
        <is>
          <t>데이터 사용 가능</t>
        </is>
      </c>
      <c r="L189" s="24" t="inlineStr">
        <is>
          <t>LOW</t>
        </is>
      </c>
      <c r="M189" s="24" t="inlineStr">
        <is>
          <t>LOW</t>
        </is>
      </c>
      <c r="N189" s="24" t="inlineStr">
        <is>
          <t>0.2969333333333333</t>
        </is>
      </c>
      <c r="O189" s="24" t="inlineStr">
        <is>
          <t>EXPENSIVE</t>
        </is>
      </c>
      <c r="P189" s="24" t="inlineStr">
        <is>
          <t>EXPENSIVE</t>
        </is>
      </c>
      <c r="Q189" s="24" t="inlineStr">
        <is>
          <t>EXPENSIVE</t>
        </is>
      </c>
      <c r="R189" s="24" t="inlineStr">
        <is>
          <t>0.9263479879516093</t>
        </is>
      </c>
      <c r="S189" s="24" t="inlineStr">
        <is>
          <t>HIGH</t>
        </is>
      </c>
      <c r="T189" s="24" t="inlineStr">
        <is>
          <t>HIGH</t>
        </is>
      </c>
      <c r="U189" s="24" t="inlineStr">
        <is>
          <t>0.2857142857142857</t>
        </is>
      </c>
      <c r="V189" s="24" t="inlineStr">
        <is>
          <t>MEDIUM_RISK</t>
        </is>
      </c>
      <c r="W189" s="24" t="inlineStr">
        <is>
          <t>중위험</t>
        </is>
      </c>
      <c r="X189" s="24" t="inlineStr">
        <is>
          <t>HIGH_RISK</t>
        </is>
      </c>
      <c r="Y189" s="24" t="inlineStr">
        <is>
          <t>0.5823799649469713</t>
        </is>
      </c>
      <c r="Z189" s="24" t="inlineStr">
        <is>
          <t>MEDIUM</t>
        </is>
      </c>
      <c r="AA189" s="24" t="inlineStr">
        <is>
          <t>MEDIUM</t>
        </is>
      </c>
      <c r="AB189" s="24" t="inlineStr">
        <is>
          <t>0.025687830037607388</t>
        </is>
      </c>
      <c r="AC189" s="24" t="inlineStr">
        <is>
          <t>False</t>
        </is>
      </c>
      <c r="AD189" s="24" t="inlineStr">
        <is>
          <t>False</t>
        </is>
      </c>
      <c r="AE189" s="24" t="inlineStr">
        <is>
          <t>valuation_credit_ml_overlay_candidate.csv</t>
        </is>
      </c>
      <c r="AF189" s="24" t="inlineStr">
        <is>
          <t>208개 반도체 reference universe. Valuation Agent가 자체 intake 폴더로 복제해 Peer/ML/대시보드 비교에 사용.</t>
        </is>
      </c>
    </row>
    <row r="190" ht="24" customHeight="1">
      <c r="A190" s="29" t="inlineStr">
        <is>
          <t>84</t>
        </is>
      </c>
      <c r="B190" s="29" t="inlineStr">
        <is>
          <t>해당 없음</t>
        </is>
      </c>
      <c r="C190" s="29" t="inlineStr">
        <is>
          <t>러셀</t>
        </is>
      </c>
      <c r="D190" s="29" t="inlineStr">
        <is>
          <t>217500</t>
        </is>
      </c>
      <c r="E190" s="29" t="inlineStr">
        <is>
          <t>KOSDAQ</t>
        </is>
      </c>
      <c r="F190" s="29" t="inlineStr">
        <is>
          <t>장비</t>
        </is>
      </c>
      <c r="G190" s="29" t="inlineStr">
        <is>
          <t>장비</t>
        </is>
      </c>
      <c r="H190" s="29" t="inlineStr">
        <is>
          <t>False</t>
        </is>
      </c>
      <c r="I190" s="29" t="inlineStr">
        <is>
          <t>True</t>
        </is>
      </c>
      <c r="J190" s="29" t="inlineStr">
        <is>
          <t>OK</t>
        </is>
      </c>
      <c r="K190" s="29" t="inlineStr">
        <is>
          <t>데이터 사용 가능</t>
        </is>
      </c>
      <c r="L190" s="29" t="inlineStr">
        <is>
          <t>LOW</t>
        </is>
      </c>
      <c r="M190" s="29" t="inlineStr">
        <is>
          <t>LOW</t>
        </is>
      </c>
      <c r="N190" s="29" t="inlineStr">
        <is>
          <t>0.2889333333333334</t>
        </is>
      </c>
      <c r="O190" s="29" t="inlineStr">
        <is>
          <t>EXPENSIVE</t>
        </is>
      </c>
      <c r="P190" s="29" t="inlineStr">
        <is>
          <t>EXPENSIVE</t>
        </is>
      </c>
      <c r="Q190" s="29" t="inlineStr">
        <is>
          <t>EXPENSIVE</t>
        </is>
      </c>
      <c r="R190" s="29" t="inlineStr">
        <is>
          <t>0.873177337125051</t>
        </is>
      </c>
      <c r="S190" s="29" t="inlineStr">
        <is>
          <t>HIGH</t>
        </is>
      </c>
      <c r="T190" s="29" t="inlineStr">
        <is>
          <t>HIGH</t>
        </is>
      </c>
      <c r="U190" s="29" t="inlineStr">
        <is>
          <t>0.5714285714285714</t>
        </is>
      </c>
      <c r="V190" s="29" t="inlineStr">
        <is>
          <t>HIGH_RISK</t>
        </is>
      </c>
      <c r="W190" s="29" t="inlineStr">
        <is>
          <t>고위험</t>
        </is>
      </c>
      <c r="X190" s="29" t="inlineStr">
        <is>
          <t>HIGH_RISK</t>
        </is>
      </c>
      <c r="Y190" s="29" t="inlineStr">
        <is>
          <t>0.9431199578760465</t>
        </is>
      </c>
      <c r="Z190" s="29" t="inlineStr">
        <is>
          <t>HIGH</t>
        </is>
      </c>
      <c r="AA190" s="29" t="inlineStr">
        <is>
          <t>HIGH</t>
        </is>
      </c>
      <c r="AB190" s="29" t="inlineStr">
        <is>
          <t>0.17682420550247213</t>
        </is>
      </c>
      <c r="AC190" s="29" t="inlineStr">
        <is>
          <t>False</t>
        </is>
      </c>
      <c r="AD190" s="29" t="inlineStr">
        <is>
          <t>False</t>
        </is>
      </c>
      <c r="AE190" s="29" t="inlineStr">
        <is>
          <t>valuation_credit_ml_overlay_candidate.csv</t>
        </is>
      </c>
      <c r="AF190" s="29" t="inlineStr">
        <is>
          <t>208개 반도체 reference universe. Valuation Agent가 자체 intake 폴더로 복제해 Peer/ML/대시보드 비교에 사용.</t>
        </is>
      </c>
    </row>
    <row r="191" ht="24" customHeight="1">
      <c r="A191" s="24" t="inlineStr">
        <is>
          <t>86</t>
        </is>
      </c>
      <c r="B191" s="24" t="inlineStr">
        <is>
          <t>해당 없음</t>
        </is>
      </c>
      <c r="C191" s="24" t="inlineStr">
        <is>
          <t>미래컴퍼니</t>
        </is>
      </c>
      <c r="D191" s="24" t="inlineStr">
        <is>
          <t>049950</t>
        </is>
      </c>
      <c r="E191" s="24" t="inlineStr">
        <is>
          <t>KOSDAQ</t>
        </is>
      </c>
      <c r="F191" s="24" t="inlineStr">
        <is>
          <t>장비</t>
        </is>
      </c>
      <c r="G191" s="24" t="inlineStr">
        <is>
          <t>장비</t>
        </is>
      </c>
      <c r="H191" s="24" t="inlineStr">
        <is>
          <t>False</t>
        </is>
      </c>
      <c r="I191" s="24" t="inlineStr">
        <is>
          <t>True</t>
        </is>
      </c>
      <c r="J191" s="24" t="inlineStr">
        <is>
          <t>OK</t>
        </is>
      </c>
      <c r="K191" s="24" t="inlineStr">
        <is>
          <t>데이터 사용 가능</t>
        </is>
      </c>
      <c r="L191" s="24" t="inlineStr">
        <is>
          <t>LOW</t>
        </is>
      </c>
      <c r="M191" s="24" t="inlineStr">
        <is>
          <t>LOW</t>
        </is>
      </c>
      <c r="N191" s="24" t="inlineStr">
        <is>
          <t>0.2874666666666666</t>
        </is>
      </c>
      <c r="O191" s="24" t="inlineStr">
        <is>
          <t>EXPENSIVE</t>
        </is>
      </c>
      <c r="P191" s="24" t="inlineStr">
        <is>
          <t>EXPENSIVE</t>
        </is>
      </c>
      <c r="Q191" s="24" t="inlineStr">
        <is>
          <t>EXPENSIVE</t>
        </is>
      </c>
      <c r="R191" s="24" t="inlineStr">
        <is>
          <t>0.8354805452058427</t>
        </is>
      </c>
      <c r="S191" s="24" t="inlineStr">
        <is>
          <t>HIGH</t>
        </is>
      </c>
      <c r="T191" s="24" t="inlineStr">
        <is>
          <t>HIGH</t>
        </is>
      </c>
      <c r="U191" s="24" t="inlineStr">
        <is>
          <t>0.4285714285714285</t>
        </is>
      </c>
      <c r="V191" s="24" t="inlineStr">
        <is>
          <t>HIGH_RISK</t>
        </is>
      </c>
      <c r="W191" s="24" t="inlineStr">
        <is>
          <t>고위험</t>
        </is>
      </c>
      <c r="X191" s="24" t="inlineStr">
        <is>
          <t>HIGH_RISK</t>
        </is>
      </c>
      <c r="Y191" s="24" t="inlineStr">
        <is>
          <t>0.8989374267322742</t>
        </is>
      </c>
      <c r="Z191" s="24" t="inlineStr">
        <is>
          <t>HIGH</t>
        </is>
      </c>
      <c r="AA191" s="24" t="inlineStr">
        <is>
          <t>HIGH</t>
        </is>
      </c>
      <c r="AB191" s="24" t="inlineStr">
        <is>
          <t>0.23454395430777328</t>
        </is>
      </c>
      <c r="AC191" s="24" t="inlineStr">
        <is>
          <t>True</t>
        </is>
      </c>
      <c r="AD191" s="24" t="inlineStr">
        <is>
          <t>True</t>
        </is>
      </c>
      <c r="AE191" s="24" t="inlineStr">
        <is>
          <t>valuation_credit_ml_overlay_candidate.csv</t>
        </is>
      </c>
      <c r="AF191" s="24" t="inlineStr">
        <is>
          <t>208개 반도체 reference universe. Valuation Agent가 자체 intake 폴더로 복제해 Peer/ML/대시보드 비교에 사용.</t>
        </is>
      </c>
    </row>
    <row r="192" ht="24" customHeight="1">
      <c r="A192" s="29" t="inlineStr">
        <is>
          <t>100</t>
        </is>
      </c>
      <c r="B192" s="29" t="inlineStr">
        <is>
          <t>해당 없음</t>
        </is>
      </c>
      <c r="C192" s="29" t="inlineStr">
        <is>
          <t>예스티</t>
        </is>
      </c>
      <c r="D192" s="29" t="inlineStr">
        <is>
          <t>122640</t>
        </is>
      </c>
      <c r="E192" s="29" t="inlineStr">
        <is>
          <t>KOSDAQ</t>
        </is>
      </c>
      <c r="F192" s="29" t="inlineStr">
        <is>
          <t>장비</t>
        </is>
      </c>
      <c r="G192" s="29" t="inlineStr">
        <is>
          <t>장비</t>
        </is>
      </c>
      <c r="H192" s="29" t="inlineStr">
        <is>
          <t>False</t>
        </is>
      </c>
      <c r="I192" s="29" t="inlineStr">
        <is>
          <t>True</t>
        </is>
      </c>
      <c r="J192" s="29" t="inlineStr">
        <is>
          <t>OK</t>
        </is>
      </c>
      <c r="K192" s="29" t="inlineStr">
        <is>
          <t>데이터 사용 가능</t>
        </is>
      </c>
      <c r="L192" s="29" t="inlineStr">
        <is>
          <t>LOW</t>
        </is>
      </c>
      <c r="M192" s="29" t="inlineStr">
        <is>
          <t>LOW</t>
        </is>
      </c>
      <c r="N192" s="29" t="inlineStr">
        <is>
          <t>0.2778666666666666</t>
        </is>
      </c>
      <c r="O192" s="29" t="inlineStr">
        <is>
          <t>EXPENSIVE</t>
        </is>
      </c>
      <c r="P192" s="29" t="inlineStr">
        <is>
          <t>EXPENSIVE</t>
        </is>
      </c>
      <c r="Q192" s="29" t="inlineStr">
        <is>
          <t>EXPENSIVE</t>
        </is>
      </c>
      <c r="R192" s="29" t="inlineStr">
        <is>
          <t>0.8070752756860592</t>
        </is>
      </c>
      <c r="S192" s="29" t="inlineStr">
        <is>
          <t>HIGH</t>
        </is>
      </c>
      <c r="T192" s="29" t="inlineStr">
        <is>
          <t>HIGH</t>
        </is>
      </c>
      <c r="U192" s="29" t="inlineStr">
        <is>
          <t>0.2142857142857142</t>
        </is>
      </c>
      <c r="V192" s="29" t="inlineStr">
        <is>
          <t>MEDIUM_RISK</t>
        </is>
      </c>
      <c r="W192" s="29" t="inlineStr">
        <is>
          <t>중위험</t>
        </is>
      </c>
      <c r="X192" s="29" t="inlineStr">
        <is>
          <t>MEDIUM_RISK</t>
        </is>
      </c>
      <c r="Y192" s="29" t="inlineStr">
        <is>
          <t>0.6435379731563315</t>
        </is>
      </c>
      <c r="Z192" s="29" t="inlineStr">
        <is>
          <t>MEDIUM</t>
        </is>
      </c>
      <c r="AA192" s="29" t="inlineStr">
        <is>
          <t>MEDIUM</t>
        </is>
      </c>
      <c r="AB192" s="29" t="inlineStr">
        <is>
          <t>0.013991683799831916</t>
        </is>
      </c>
      <c r="AC192" s="29" t="inlineStr">
        <is>
          <t>False</t>
        </is>
      </c>
      <c r="AD192" s="29" t="inlineStr">
        <is>
          <t>False</t>
        </is>
      </c>
      <c r="AE192" s="29" t="inlineStr">
        <is>
          <t>valuation_credit_ml_overlay_candidate.csv</t>
        </is>
      </c>
      <c r="AF192" s="29" t="inlineStr">
        <is>
          <t>208개 반도체 reference universe. Valuation Agent가 자체 intake 폴더로 복제해 Peer/ML/대시보드 비교에 사용.</t>
        </is>
      </c>
    </row>
    <row r="193" ht="24" customHeight="1">
      <c r="A193" s="24" t="inlineStr">
        <is>
          <t>77</t>
        </is>
      </c>
      <c r="B193" s="24" t="inlineStr">
        <is>
          <t>해당 없음</t>
        </is>
      </c>
      <c r="C193" s="24" t="inlineStr">
        <is>
          <t>기가레인</t>
        </is>
      </c>
      <c r="D193" s="24" t="inlineStr">
        <is>
          <t>049080</t>
        </is>
      </c>
      <c r="E193" s="24" t="inlineStr">
        <is>
          <t>KOSDAQ</t>
        </is>
      </c>
      <c r="F193" s="24" t="inlineStr">
        <is>
          <t>장비</t>
        </is>
      </c>
      <c r="G193" s="24" t="inlineStr">
        <is>
          <t>장비</t>
        </is>
      </c>
      <c r="H193" s="24" t="inlineStr">
        <is>
          <t>False</t>
        </is>
      </c>
      <c r="I193" s="24" t="inlineStr">
        <is>
          <t>True</t>
        </is>
      </c>
      <c r="J193" s="24" t="inlineStr">
        <is>
          <t>OK</t>
        </is>
      </c>
      <c r="K193" s="24" t="inlineStr">
        <is>
          <t>데이터 사용 가능</t>
        </is>
      </c>
      <c r="L193" s="24" t="inlineStr">
        <is>
          <t>LOW</t>
        </is>
      </c>
      <c r="M193" s="24" t="inlineStr">
        <is>
          <t>LOW</t>
        </is>
      </c>
      <c r="N193" s="24" t="inlineStr">
        <is>
          <t>0.2353333333333333</t>
        </is>
      </c>
      <c r="O193" s="24" t="inlineStr">
        <is>
          <t>EXPENSIVE</t>
        </is>
      </c>
      <c r="P193" s="24" t="inlineStr">
        <is>
          <t>EXPENSIVE</t>
        </is>
      </c>
      <c r="Q193" s="24" t="inlineStr">
        <is>
          <t>EXPENSIVE</t>
        </is>
      </c>
      <c r="R193" s="24" t="inlineStr">
        <is>
          <t>0.9628494209555842</t>
        </is>
      </c>
      <c r="S193" s="24" t="inlineStr">
        <is>
          <t>HIGH</t>
        </is>
      </c>
      <c r="T193" s="24" t="inlineStr">
        <is>
          <t>HIGH</t>
        </is>
      </c>
      <c r="U193" s="24" t="inlineStr">
        <is>
          <t>0.5</t>
        </is>
      </c>
      <c r="V193" s="24" t="inlineStr">
        <is>
          <t>HIGH_RISK</t>
        </is>
      </c>
      <c r="W193" s="24" t="inlineStr">
        <is>
          <t>고위험</t>
        </is>
      </c>
      <c r="X193" s="24" t="inlineStr">
        <is>
          <t>HIGH_RISK</t>
        </is>
      </c>
      <c r="Y193" s="24" t="inlineStr">
        <is>
          <t>0.9675100472985046</t>
        </is>
      </c>
      <c r="Z193" s="24" t="inlineStr">
        <is>
          <t>HIGH</t>
        </is>
      </c>
      <c r="AA193" s="24" t="inlineStr">
        <is>
          <t>HIGH</t>
        </is>
      </c>
      <c r="AB193" s="24" t="inlineStr">
        <is>
          <t>0.24264303605410006</t>
        </is>
      </c>
      <c r="AC193" s="24" t="inlineStr">
        <is>
          <t>True</t>
        </is>
      </c>
      <c r="AD193" s="24" t="inlineStr">
        <is>
          <t>True</t>
        </is>
      </c>
      <c r="AE193" s="24" t="inlineStr">
        <is>
          <t>valuation_credit_ml_overlay_candidate.csv</t>
        </is>
      </c>
      <c r="AF193" s="24" t="inlineStr">
        <is>
          <t>208개 반도체 reference universe. Valuation Agent가 자체 intake 폴더로 복제해 Peer/ML/대시보드 비교에 사용.</t>
        </is>
      </c>
    </row>
    <row r="194" ht="24" customHeight="1">
      <c r="A194" s="29" t="inlineStr">
        <is>
          <t>79</t>
        </is>
      </c>
      <c r="B194" s="29" t="inlineStr">
        <is>
          <t>해당 없음</t>
        </is>
      </c>
      <c r="C194" s="29" t="inlineStr">
        <is>
          <t>넥스틴</t>
        </is>
      </c>
      <c r="D194" s="29" t="inlineStr">
        <is>
          <t>348210</t>
        </is>
      </c>
      <c r="E194" s="29" t="inlineStr">
        <is>
          <t>KOSDAQ GLOBAL</t>
        </is>
      </c>
      <c r="F194" s="29" t="inlineStr">
        <is>
          <t>장비</t>
        </is>
      </c>
      <c r="G194" s="29" t="inlineStr">
        <is>
          <t>장비</t>
        </is>
      </c>
      <c r="H194" s="29" t="inlineStr">
        <is>
          <t>False</t>
        </is>
      </c>
      <c r="I194" s="29" t="inlineStr">
        <is>
          <t>True</t>
        </is>
      </c>
      <c r="J194" s="29" t="inlineStr">
        <is>
          <t>OK</t>
        </is>
      </c>
      <c r="K194" s="29" t="inlineStr">
        <is>
          <t>데이터 사용 가능</t>
        </is>
      </c>
      <c r="L194" s="29" t="inlineStr">
        <is>
          <t>LOW</t>
        </is>
      </c>
      <c r="M194" s="29" t="inlineStr">
        <is>
          <t>LOW</t>
        </is>
      </c>
      <c r="N194" s="29" t="inlineStr">
        <is>
          <t>0.2353333333333333</t>
        </is>
      </c>
      <c r="O194" s="29" t="inlineStr">
        <is>
          <t>EXPENSIVE</t>
        </is>
      </c>
      <c r="P194" s="29" t="inlineStr">
        <is>
          <t>EXPENSIVE</t>
        </is>
      </c>
      <c r="Q194" s="29" t="inlineStr">
        <is>
          <t>EXPENSIVE</t>
        </is>
      </c>
      <c r="R194" s="29" t="inlineStr">
        <is>
          <t>0.7906546201121369</t>
        </is>
      </c>
      <c r="S194" s="29" t="inlineStr">
        <is>
          <t>HIGH</t>
        </is>
      </c>
      <c r="T194" s="29" t="inlineStr">
        <is>
          <t>HIGH</t>
        </is>
      </c>
      <c r="U194" s="29" t="inlineStr">
        <is>
          <t>0.4285714285714285</t>
        </is>
      </c>
      <c r="V194" s="29" t="inlineStr">
        <is>
          <t>HIGH_RISK</t>
        </is>
      </c>
      <c r="W194" s="29" t="inlineStr">
        <is>
          <t>고위험</t>
        </is>
      </c>
      <c r="X194" s="29" t="inlineStr">
        <is>
          <t>HIGH_RISK</t>
        </is>
      </c>
      <c r="Y194" s="29" t="inlineStr">
        <is>
          <t>0.8216799677089676</t>
        </is>
      </c>
      <c r="Z194" s="29" t="inlineStr">
        <is>
          <t>HIGH</t>
        </is>
      </c>
      <c r="AA194" s="29" t="inlineStr">
        <is>
          <t>HIGH</t>
        </is>
      </c>
      <c r="AB194" s="29" t="inlineStr">
        <is>
          <t>0.0826003513380603</t>
        </is>
      </c>
      <c r="AC194" s="29" t="inlineStr">
        <is>
          <t>False</t>
        </is>
      </c>
      <c r="AD194" s="29" t="inlineStr">
        <is>
          <t>False</t>
        </is>
      </c>
      <c r="AE194" s="29" t="inlineStr">
        <is>
          <t>valuation_credit_ml_overlay_candidate.csv</t>
        </is>
      </c>
      <c r="AF194" s="29" t="inlineStr">
        <is>
          <t>208개 반도체 reference universe. Valuation Agent가 자체 intake 폴더로 복제해 Peer/ML/대시보드 비교에 사용.</t>
        </is>
      </c>
    </row>
    <row r="195" ht="24" customHeight="1">
      <c r="A195" s="24" t="inlineStr">
        <is>
          <t>110</t>
        </is>
      </c>
      <c r="B195" s="24" t="inlineStr">
        <is>
          <t>해당 없음</t>
        </is>
      </c>
      <c r="C195" s="24" t="inlineStr">
        <is>
          <t>주성엔지니어링</t>
        </is>
      </c>
      <c r="D195" s="24" t="inlineStr">
        <is>
          <t>036930</t>
        </is>
      </c>
      <c r="E195" s="24" t="inlineStr">
        <is>
          <t>KOSDAQ GLOBAL</t>
        </is>
      </c>
      <c r="F195" s="24" t="inlineStr">
        <is>
          <t>장비</t>
        </is>
      </c>
      <c r="G195" s="24" t="inlineStr">
        <is>
          <t>장비</t>
        </is>
      </c>
      <c r="H195" s="24" t="inlineStr">
        <is>
          <t>False</t>
        </is>
      </c>
      <c r="I195" s="24" t="inlineStr">
        <is>
          <t>True</t>
        </is>
      </c>
      <c r="J195" s="24" t="inlineStr">
        <is>
          <t>OK</t>
        </is>
      </c>
      <c r="K195" s="24" t="inlineStr">
        <is>
          <t>데이터 사용 가능</t>
        </is>
      </c>
      <c r="L195" s="24" t="inlineStr">
        <is>
          <t>LOW</t>
        </is>
      </c>
      <c r="M195" s="24" t="inlineStr">
        <is>
          <t>LOW</t>
        </is>
      </c>
      <c r="N195" s="24" t="inlineStr">
        <is>
          <t>0.2335999999999999</t>
        </is>
      </c>
      <c r="O195" s="24" t="inlineStr">
        <is>
          <t>EXPENSIVE</t>
        </is>
      </c>
      <c r="P195" s="24" t="inlineStr">
        <is>
          <t>EXPENSIVE</t>
        </is>
      </c>
      <c r="Q195" s="24" t="inlineStr">
        <is>
          <t>EXPENSIVE</t>
        </is>
      </c>
      <c r="R195" s="24" t="inlineStr">
        <is>
          <t>0.7918979957613304</t>
        </is>
      </c>
      <c r="S195" s="24" t="inlineStr">
        <is>
          <t>HIGH</t>
        </is>
      </c>
      <c r="T195" s="24" t="inlineStr">
        <is>
          <t>HIGH</t>
        </is>
      </c>
      <c r="U195" s="24" t="inlineStr">
        <is>
          <t>0.2857142857142857</t>
        </is>
      </c>
      <c r="V195" s="24" t="inlineStr">
        <is>
          <t>MEDIUM_RISK</t>
        </is>
      </c>
      <c r="W195" s="24" t="inlineStr">
        <is>
          <t>중위험</t>
        </is>
      </c>
      <c r="X195" s="24" t="inlineStr">
        <is>
          <t>MEDIUM_RISK</t>
        </is>
      </c>
      <c r="Y195" s="24" t="inlineStr">
        <is>
          <t>0.4347911224964779</t>
        </is>
      </c>
      <c r="Z195" s="24" t="inlineStr">
        <is>
          <t>LOW</t>
        </is>
      </c>
      <c r="AA195" s="24" t="inlineStr">
        <is>
          <t>LOW</t>
        </is>
      </c>
      <c r="AB195" s="24" t="inlineStr">
        <is>
          <t>0.0617535897003664</t>
        </is>
      </c>
      <c r="AC195" s="24" t="inlineStr">
        <is>
          <t>False</t>
        </is>
      </c>
      <c r="AD195" s="24" t="inlineStr">
        <is>
          <t>True</t>
        </is>
      </c>
      <c r="AE195" s="24" t="inlineStr">
        <is>
          <t>valuation_credit_ml_overlay_candidate.csv</t>
        </is>
      </c>
      <c r="AF195" s="24" t="inlineStr">
        <is>
          <t>208개 반도체 reference universe. Valuation Agent가 자체 intake 폴더로 복제해 Peer/ML/대시보드 비교에 사용.</t>
        </is>
      </c>
    </row>
    <row r="196" ht="24" customHeight="1">
      <c r="A196" s="29" t="inlineStr">
        <is>
          <t>122</t>
        </is>
      </c>
      <c r="B196" s="29" t="inlineStr">
        <is>
          <t>해당 없음</t>
        </is>
      </c>
      <c r="C196" s="29" t="inlineStr">
        <is>
          <t>필옵틱스</t>
        </is>
      </c>
      <c r="D196" s="29" t="inlineStr">
        <is>
          <t>161580</t>
        </is>
      </c>
      <c r="E196" s="29" t="inlineStr">
        <is>
          <t>KOSDAQ</t>
        </is>
      </c>
      <c r="F196" s="29" t="inlineStr">
        <is>
          <t>장비</t>
        </is>
      </c>
      <c r="G196" s="29" t="inlineStr">
        <is>
          <t>장비</t>
        </is>
      </c>
      <c r="H196" s="29" t="inlineStr">
        <is>
          <t>False</t>
        </is>
      </c>
      <c r="I196" s="29" t="inlineStr">
        <is>
          <t>True</t>
        </is>
      </c>
      <c r="J196" s="29" t="inlineStr">
        <is>
          <t>OK</t>
        </is>
      </c>
      <c r="K196" s="29" t="inlineStr">
        <is>
          <t>데이터 사용 가능</t>
        </is>
      </c>
      <c r="L196" s="29" t="inlineStr">
        <is>
          <t>LOW</t>
        </is>
      </c>
      <c r="M196" s="29" t="inlineStr">
        <is>
          <t>LOW</t>
        </is>
      </c>
      <c r="N196" s="29" t="inlineStr">
        <is>
          <t>0.1741333333333333</t>
        </is>
      </c>
      <c r="O196" s="29" t="inlineStr">
        <is>
          <t>EXPENSIVE</t>
        </is>
      </c>
      <c r="P196" s="29" t="inlineStr">
        <is>
          <t>EXPENSIVE</t>
        </is>
      </c>
      <c r="Q196" s="29" t="inlineStr">
        <is>
          <t>EXPENSIVE</t>
        </is>
      </c>
      <c r="R196" s="29" t="inlineStr">
        <is>
          <t>0.9632435860929522</t>
        </is>
      </c>
      <c r="S196" s="29" t="inlineStr">
        <is>
          <t>HIGH</t>
        </is>
      </c>
      <c r="T196" s="29" t="inlineStr">
        <is>
          <t>HIGH</t>
        </is>
      </c>
      <c r="U196" s="29" t="inlineStr">
        <is>
          <t>0.2857142857142857</t>
        </is>
      </c>
      <c r="V196" s="29" t="inlineStr">
        <is>
          <t>MEDIUM_RISK</t>
        </is>
      </c>
      <c r="W196" s="29" t="inlineStr">
        <is>
          <t>중위험</t>
        </is>
      </c>
      <c r="X196" s="29" t="inlineStr">
        <is>
          <t>MEDIUM_RISK</t>
        </is>
      </c>
      <c r="Y196" s="29" t="inlineStr">
        <is>
          <t>0.6167987381468966</t>
        </is>
      </c>
      <c r="Z196" s="29" t="inlineStr">
        <is>
          <t>MEDIUM</t>
        </is>
      </c>
      <c r="AA196" s="29" t="inlineStr">
        <is>
          <t>MEDIUM</t>
        </is>
      </c>
      <c r="AB196" s="29" t="inlineStr">
        <is>
          <t>0.06203854489426491</t>
        </is>
      </c>
      <c r="AC196" s="29" t="inlineStr">
        <is>
          <t>False</t>
        </is>
      </c>
      <c r="AD196" s="29" t="inlineStr">
        <is>
          <t>False</t>
        </is>
      </c>
      <c r="AE196" s="29" t="inlineStr">
        <is>
          <t>valuation_credit_ml_overlay_candidate.csv</t>
        </is>
      </c>
      <c r="AF196" s="29" t="inlineStr">
        <is>
          <t>208개 반도체 reference universe. Valuation Agent가 자체 intake 폴더로 복제해 Peer/ML/대시보드 비교에 사용.</t>
        </is>
      </c>
    </row>
    <row r="197" ht="24" customHeight="1">
      <c r="A197" s="24" t="inlineStr">
        <is>
          <t>62</t>
        </is>
      </c>
      <c r="B197" s="24" t="inlineStr">
        <is>
          <t>해당 없음</t>
        </is>
      </c>
      <c r="C197" s="24" t="inlineStr">
        <is>
          <t>에스에이엠티</t>
        </is>
      </c>
      <c r="D197" s="24" t="inlineStr">
        <is>
          <t>031330</t>
        </is>
      </c>
      <c r="E197" s="24" t="inlineStr">
        <is>
          <t>KOSDAQ</t>
        </is>
      </c>
      <c r="F197" s="24" t="inlineStr">
        <is>
          <t>팹리스/설계</t>
        </is>
      </c>
      <c r="G197" s="24" t="inlineStr">
        <is>
          <t>팹리스/설계</t>
        </is>
      </c>
      <c r="H197" s="24" t="inlineStr">
        <is>
          <t>False</t>
        </is>
      </c>
      <c r="I197" s="24" t="inlineStr">
        <is>
          <t>True</t>
        </is>
      </c>
      <c r="J197" s="24" t="inlineStr">
        <is>
          <t>OK</t>
        </is>
      </c>
      <c r="K197" s="24" t="inlineStr">
        <is>
          <t>데이터 사용 가능</t>
        </is>
      </c>
      <c r="L197" s="24" t="inlineStr">
        <is>
          <t>LOW</t>
        </is>
      </c>
      <c r="M197" s="24" t="inlineStr">
        <is>
          <t>LOW</t>
        </is>
      </c>
      <c r="N197" s="24" t="inlineStr">
        <is>
          <t>0.7838383838383839</t>
        </is>
      </c>
      <c r="O197" s="24" t="inlineStr">
        <is>
          <t>FAIR</t>
        </is>
      </c>
      <c r="P197" s="24" t="inlineStr">
        <is>
          <t>FAIR</t>
        </is>
      </c>
      <c r="Q197" s="24" t="inlineStr">
        <is>
          <t>FAIR</t>
        </is>
      </c>
      <c r="R197" s="24" t="inlineStr">
        <is>
          <t>0.8575928985222669</t>
        </is>
      </c>
      <c r="S197" s="24" t="inlineStr">
        <is>
          <t>HIGH</t>
        </is>
      </c>
      <c r="T197" s="24" t="inlineStr">
        <is>
          <t>HIGH</t>
        </is>
      </c>
      <c r="U197" s="24" t="inlineStr">
        <is>
          <t>0.5</t>
        </is>
      </c>
      <c r="V197" s="24" t="inlineStr">
        <is>
          <t>HIGH_RISK</t>
        </is>
      </c>
      <c r="W197" s="24" t="inlineStr">
        <is>
          <t>고위험</t>
        </is>
      </c>
      <c r="X197" s="24" t="inlineStr">
        <is>
          <t>HIGH_RISK</t>
        </is>
      </c>
      <c r="Y197" s="24" t="inlineStr">
        <is>
          <t>0.5021487096911619</t>
        </is>
      </c>
      <c r="Z197" s="24" t="inlineStr">
        <is>
          <t>MEDIUM</t>
        </is>
      </c>
      <c r="AA197" s="24" t="inlineStr">
        <is>
          <t>MEDIUM</t>
        </is>
      </c>
      <c r="AB197" s="24" t="inlineStr">
        <is>
          <t>0.11372149345925425</t>
        </is>
      </c>
      <c r="AC197" s="24" t="inlineStr">
        <is>
          <t>False</t>
        </is>
      </c>
      <c r="AD197" s="24" t="inlineStr">
        <is>
          <t>False</t>
        </is>
      </c>
      <c r="AE197" s="24" t="inlineStr">
        <is>
          <t>valuation_credit_ml_overlay_candidate.csv</t>
        </is>
      </c>
      <c r="AF197" s="24" t="inlineStr">
        <is>
          <t>208개 반도체 reference universe. Valuation Agent가 자체 intake 폴더로 복제해 Peer/ML/대시보드 비교에 사용.</t>
        </is>
      </c>
    </row>
    <row r="198" ht="24" customHeight="1">
      <c r="A198" s="29" t="inlineStr">
        <is>
          <t>65</t>
        </is>
      </c>
      <c r="B198" s="29" t="inlineStr">
        <is>
          <t>해당 없음</t>
        </is>
      </c>
      <c r="C198" s="29" t="inlineStr">
        <is>
          <t>유니트론텍</t>
        </is>
      </c>
      <c r="D198" s="29" t="inlineStr">
        <is>
          <t>142210</t>
        </is>
      </c>
      <c r="E198" s="29" t="inlineStr">
        <is>
          <t>KOSDAQ</t>
        </is>
      </c>
      <c r="F198" s="29" t="inlineStr">
        <is>
          <t>팹리스/설계</t>
        </is>
      </c>
      <c r="G198" s="29" t="inlineStr">
        <is>
          <t>팹리스/설계</t>
        </is>
      </c>
      <c r="H198" s="29" t="inlineStr">
        <is>
          <t>False</t>
        </is>
      </c>
      <c r="I198" s="29" t="inlineStr">
        <is>
          <t>True</t>
        </is>
      </c>
      <c r="J198" s="29" t="inlineStr">
        <is>
          <t>OK</t>
        </is>
      </c>
      <c r="K198" s="29" t="inlineStr">
        <is>
          <t>데이터 사용 가능</t>
        </is>
      </c>
      <c r="L198" s="29" t="inlineStr">
        <is>
          <t>LOW</t>
        </is>
      </c>
      <c r="M198" s="29" t="inlineStr">
        <is>
          <t>LOW</t>
        </is>
      </c>
      <c r="N198" s="29" t="inlineStr">
        <is>
          <t>0.7478787878787879</t>
        </is>
      </c>
      <c r="O198" s="29" t="inlineStr">
        <is>
          <t>FAIR</t>
        </is>
      </c>
      <c r="P198" s="29" t="inlineStr">
        <is>
          <t>FAIR</t>
        </is>
      </c>
      <c r="Q198" s="29" t="inlineStr">
        <is>
          <t>FAIR</t>
        </is>
      </c>
      <c r="R198" s="29" t="inlineStr">
        <is>
          <t>0.8593164302034415</t>
        </is>
      </c>
      <c r="S198" s="29" t="inlineStr">
        <is>
          <t>HIGH</t>
        </is>
      </c>
      <c r="T198" s="29" t="inlineStr">
        <is>
          <t>HIGH</t>
        </is>
      </c>
      <c r="U198" s="29" t="inlineStr">
        <is>
          <t>0.3571428571428571</t>
        </is>
      </c>
      <c r="V198" s="29" t="inlineStr">
        <is>
          <t>MEDIUM_RISK</t>
        </is>
      </c>
      <c r="W198" s="29" t="inlineStr">
        <is>
          <t>중위험</t>
        </is>
      </c>
      <c r="X198" s="29" t="inlineStr">
        <is>
          <t>MEDIUM_RISK</t>
        </is>
      </c>
      <c r="Y198" s="29" t="inlineStr">
        <is>
          <t>0.6687746551665015</t>
        </is>
      </c>
      <c r="Z198" s="29" t="inlineStr">
        <is>
          <t>MEDIUM</t>
        </is>
      </c>
      <c r="AA198" s="29" t="inlineStr">
        <is>
          <t>MEDIUM</t>
        </is>
      </c>
      <c r="AB198" s="29" t="inlineStr">
        <is>
          <t>0.05354194050015521</t>
        </is>
      </c>
      <c r="AC198" s="29" t="inlineStr">
        <is>
          <t>False</t>
        </is>
      </c>
      <c r="AD198" s="29" t="inlineStr">
        <is>
          <t>False</t>
        </is>
      </c>
      <c r="AE198" s="29" t="inlineStr">
        <is>
          <t>valuation_credit_ml_overlay_candidate.csv</t>
        </is>
      </c>
      <c r="AF198" s="29" t="inlineStr">
        <is>
          <t>208개 반도체 reference universe. Valuation Agent가 자체 intake 폴더로 복제해 Peer/ML/대시보드 비교에 사용.</t>
        </is>
      </c>
    </row>
    <row r="199" ht="24" customHeight="1">
      <c r="A199" s="24" t="inlineStr">
        <is>
          <t>60</t>
        </is>
      </c>
      <c r="B199" s="24" t="inlineStr">
        <is>
          <t>해당 없음</t>
        </is>
      </c>
      <c r="C199" s="24" t="inlineStr">
        <is>
          <t>앤씨앤</t>
        </is>
      </c>
      <c r="D199" s="24" t="inlineStr">
        <is>
          <t>092600</t>
        </is>
      </c>
      <c r="E199" s="24" t="inlineStr">
        <is>
          <t>KOSDAQ</t>
        </is>
      </c>
      <c r="F199" s="24" t="inlineStr">
        <is>
          <t>팹리스/설계</t>
        </is>
      </c>
      <c r="G199" s="24" t="inlineStr">
        <is>
          <t>팹리스/설계</t>
        </is>
      </c>
      <c r="H199" s="24" t="inlineStr">
        <is>
          <t>False</t>
        </is>
      </c>
      <c r="I199" s="24" t="inlineStr">
        <is>
          <t>True</t>
        </is>
      </c>
      <c r="J199" s="24" t="inlineStr">
        <is>
          <t>OK</t>
        </is>
      </c>
      <c r="K199" s="24" t="inlineStr">
        <is>
          <t>데이터 사용 가능</t>
        </is>
      </c>
      <c r="L199" s="24" t="inlineStr">
        <is>
          <t>LOW</t>
        </is>
      </c>
      <c r="M199" s="24" t="inlineStr">
        <is>
          <t>LOW</t>
        </is>
      </c>
      <c r="N199" s="24" t="inlineStr">
        <is>
          <t>0.7450505050505051</t>
        </is>
      </c>
      <c r="O199" s="24" t="inlineStr">
        <is>
          <t>FAIR</t>
        </is>
      </c>
      <c r="P199" s="24" t="inlineStr">
        <is>
          <t>FAIR</t>
        </is>
      </c>
      <c r="Q199" s="24" t="inlineStr">
        <is>
          <t>FAIR</t>
        </is>
      </c>
      <c r="R199" s="24" t="inlineStr">
        <is>
          <t>0.8450252323777523</t>
        </is>
      </c>
      <c r="S199" s="24" t="inlineStr">
        <is>
          <t>HIGH</t>
        </is>
      </c>
      <c r="T199" s="24" t="inlineStr">
        <is>
          <t>HIGH</t>
        </is>
      </c>
      <c r="U199" s="24" t="inlineStr">
        <is>
          <t>0.5</t>
        </is>
      </c>
      <c r="V199" s="24" t="inlineStr">
        <is>
          <t>HIGH_RISK</t>
        </is>
      </c>
      <c r="W199" s="24" t="inlineStr">
        <is>
          <t>고위험</t>
        </is>
      </c>
      <c r="X199" s="24" t="inlineStr">
        <is>
          <t>HIGH_RISK</t>
        </is>
      </c>
      <c r="Y199" s="24" t="inlineStr">
        <is>
          <t>0.6852720703017778</t>
        </is>
      </c>
      <c r="Z199" s="24" t="inlineStr">
        <is>
          <t>MEDIUM</t>
        </is>
      </c>
      <c r="AA199" s="24" t="inlineStr">
        <is>
          <t>MEDIUM</t>
        </is>
      </c>
      <c r="AB199" s="24" t="inlineStr">
        <is>
          <t>0.05126917274476802</t>
        </is>
      </c>
      <c r="AC199" s="24" t="inlineStr">
        <is>
          <t>False</t>
        </is>
      </c>
      <c r="AD199" s="24" t="inlineStr">
        <is>
          <t>False</t>
        </is>
      </c>
      <c r="AE199" s="24" t="inlineStr">
        <is>
          <t>valuation_credit_ml_overlay_candidate.csv</t>
        </is>
      </c>
      <c r="AF199" s="24" t="inlineStr">
        <is>
          <t>208개 반도체 reference universe. Valuation Agent가 자체 intake 폴더로 복제해 Peer/ML/대시보드 비교에 사용.</t>
        </is>
      </c>
    </row>
    <row r="200" ht="24" customHeight="1">
      <c r="A200" s="29" t="inlineStr">
        <is>
          <t>47</t>
        </is>
      </c>
      <c r="B200" s="29" t="inlineStr">
        <is>
          <t>해당 없음</t>
        </is>
      </c>
      <c r="C200" s="29" t="inlineStr">
        <is>
          <t>마이크로컨텍솔</t>
        </is>
      </c>
      <c r="D200" s="29" t="inlineStr">
        <is>
          <t>098120</t>
        </is>
      </c>
      <c r="E200" s="29" t="inlineStr">
        <is>
          <t>KOSDAQ</t>
        </is>
      </c>
      <c r="F200" s="29" t="inlineStr">
        <is>
          <t>팹리스/설계</t>
        </is>
      </c>
      <c r="G200" s="29" t="inlineStr">
        <is>
          <t>팹리스/설계</t>
        </is>
      </c>
      <c r="H200" s="29" t="inlineStr">
        <is>
          <t>False</t>
        </is>
      </c>
      <c r="I200" s="29" t="inlineStr">
        <is>
          <t>True</t>
        </is>
      </c>
      <c r="J200" s="29" t="inlineStr">
        <is>
          <t>OK</t>
        </is>
      </c>
      <c r="K200" s="29" t="inlineStr">
        <is>
          <t>데이터 사용 가능</t>
        </is>
      </c>
      <c r="L200" s="29" t="inlineStr">
        <is>
          <t>LOW</t>
        </is>
      </c>
      <c r="M200" s="29" t="inlineStr">
        <is>
          <t>LOW</t>
        </is>
      </c>
      <c r="N200" s="29" t="inlineStr">
        <is>
          <t>0.7383838383838384</t>
        </is>
      </c>
      <c r="O200" s="29" t="inlineStr">
        <is>
          <t>ATTRACTIVE</t>
        </is>
      </c>
      <c r="P200" s="29" t="inlineStr">
        <is>
          <t>가치 매력</t>
        </is>
      </c>
      <c r="Q200" s="29" t="inlineStr">
        <is>
          <t>ATTRACTIVE</t>
        </is>
      </c>
      <c r="R200" s="29" t="inlineStr">
        <is>
          <t>0.8262966149459129</t>
        </is>
      </c>
      <c r="S200" s="29" t="inlineStr">
        <is>
          <t>HIGH</t>
        </is>
      </c>
      <c r="T200" s="29" t="inlineStr">
        <is>
          <t>HIGH</t>
        </is>
      </c>
      <c r="U200" s="29" t="inlineStr">
        <is>
          <t>0.1428571428571428</t>
        </is>
      </c>
      <c r="V200" s="29" t="inlineStr">
        <is>
          <t>LOW_RISK</t>
        </is>
      </c>
      <c r="W200" s="29" t="inlineStr">
        <is>
          <t>저위험</t>
        </is>
      </c>
      <c r="X200" s="29" t="inlineStr">
        <is>
          <t>LOW_RISK</t>
        </is>
      </c>
      <c r="Y200" s="29" t="inlineStr">
        <is>
          <t>0.7491981695245683</t>
        </is>
      </c>
      <c r="Z200" s="29" t="inlineStr">
        <is>
          <t>HIGH</t>
        </is>
      </c>
      <c r="AA200" s="29" t="inlineStr">
        <is>
          <t>HIGH</t>
        </is>
      </c>
      <c r="AB200" s="29" t="inlineStr">
        <is>
          <t>0.08427857084894262</t>
        </is>
      </c>
      <c r="AC200" s="29" t="inlineStr">
        <is>
          <t>False</t>
        </is>
      </c>
      <c r="AD200" s="29" t="inlineStr">
        <is>
          <t>False</t>
        </is>
      </c>
      <c r="AE200" s="29" t="inlineStr">
        <is>
          <t>valuation_credit_ml_overlay_candidate.csv</t>
        </is>
      </c>
      <c r="AF200" s="29" t="inlineStr">
        <is>
          <t>208개 반도체 reference universe. Valuation Agent가 자체 intake 폴더로 복제해 Peer/ML/대시보드 비교에 사용.</t>
        </is>
      </c>
    </row>
    <row r="201" ht="24" customHeight="1">
      <c r="A201" s="24" t="inlineStr">
        <is>
          <t>55</t>
        </is>
      </c>
      <c r="B201" s="24" t="inlineStr">
        <is>
          <t>해당 없음</t>
        </is>
      </c>
      <c r="C201" s="24" t="inlineStr">
        <is>
          <t>아이앤씨</t>
        </is>
      </c>
      <c r="D201" s="24" t="inlineStr">
        <is>
          <t>052860</t>
        </is>
      </c>
      <c r="E201" s="24" t="inlineStr">
        <is>
          <t>KOSDAQ</t>
        </is>
      </c>
      <c r="F201" s="24" t="inlineStr">
        <is>
          <t>팹리스/설계</t>
        </is>
      </c>
      <c r="G201" s="24" t="inlineStr">
        <is>
          <t>팹리스/설계</t>
        </is>
      </c>
      <c r="H201" s="24" t="inlineStr">
        <is>
          <t>False</t>
        </is>
      </c>
      <c r="I201" s="24" t="inlineStr">
        <is>
          <t>True</t>
        </is>
      </c>
      <c r="J201" s="24" t="inlineStr">
        <is>
          <t>OK</t>
        </is>
      </c>
      <c r="K201" s="24" t="inlineStr">
        <is>
          <t>데이터 사용 가능</t>
        </is>
      </c>
      <c r="L201" s="24" t="inlineStr">
        <is>
          <t>LOW</t>
        </is>
      </c>
      <c r="M201" s="24" t="inlineStr">
        <is>
          <t>LOW</t>
        </is>
      </c>
      <c r="N201" s="24" t="inlineStr">
        <is>
          <t>0.7325252525252526</t>
        </is>
      </c>
      <c r="O201" s="24" t="inlineStr">
        <is>
          <t>ATTRACTIVE</t>
        </is>
      </c>
      <c r="P201" s="24" t="inlineStr">
        <is>
          <t>가치 매력</t>
        </is>
      </c>
      <c r="Q201" s="24" t="inlineStr">
        <is>
          <t>ATTRACTIVE</t>
        </is>
      </c>
      <c r="R201" s="24" t="inlineStr">
        <is>
          <t>0.9267130449922303</t>
        </is>
      </c>
      <c r="S201" s="24" t="inlineStr">
        <is>
          <t>HIGH</t>
        </is>
      </c>
      <c r="T201" s="24" t="inlineStr">
        <is>
          <t>HIGH</t>
        </is>
      </c>
      <c r="U201" s="24" t="inlineStr">
        <is>
          <t>0.0</t>
        </is>
      </c>
      <c r="V201" s="24" t="inlineStr">
        <is>
          <t>LOW_RISK</t>
        </is>
      </c>
      <c r="W201" s="24" t="inlineStr">
        <is>
          <t>저위험</t>
        </is>
      </c>
      <c r="X201" s="24" t="inlineStr">
        <is>
          <t>LOW_RISK</t>
        </is>
      </c>
      <c r="Y201" s="24" t="inlineStr">
        <is>
          <t>0.8920304728976969</t>
        </is>
      </c>
      <c r="Z201" s="24" t="inlineStr">
        <is>
          <t>HIGH</t>
        </is>
      </c>
      <c r="AA201" s="24" t="inlineStr">
        <is>
          <t>HIGH</t>
        </is>
      </c>
      <c r="AB201" s="24" t="inlineStr">
        <is>
          <t>0.022475117759514655</t>
        </is>
      </c>
      <c r="AC201" s="24" t="inlineStr">
        <is>
          <t>False</t>
        </is>
      </c>
      <c r="AD201" s="24" t="inlineStr">
        <is>
          <t>False</t>
        </is>
      </c>
      <c r="AE201" s="24" t="inlineStr">
        <is>
          <t>valuation_credit_ml_overlay_candidate.csv</t>
        </is>
      </c>
      <c r="AF201" s="24" t="inlineStr">
        <is>
          <t>208개 반도체 reference universe. Valuation Agent가 자체 intake 폴더로 복제해 Peer/ML/대시보드 비교에 사용.</t>
        </is>
      </c>
    </row>
    <row r="202" ht="24" customHeight="1">
      <c r="A202" s="29" t="inlineStr">
        <is>
          <t>48</t>
        </is>
      </c>
      <c r="B202" s="29" t="inlineStr">
        <is>
          <t>해당 없음</t>
        </is>
      </c>
      <c r="C202" s="29" t="inlineStr">
        <is>
          <t>매커스</t>
        </is>
      </c>
      <c r="D202" s="29" t="inlineStr">
        <is>
          <t>093520</t>
        </is>
      </c>
      <c r="E202" s="29" t="inlineStr">
        <is>
          <t>KOSDAQ</t>
        </is>
      </c>
      <c r="F202" s="29" t="inlineStr">
        <is>
          <t>팹리스/설계</t>
        </is>
      </c>
      <c r="G202" s="29" t="inlineStr">
        <is>
          <t>팹리스/설계</t>
        </is>
      </c>
      <c r="H202" s="29" t="inlineStr">
        <is>
          <t>False</t>
        </is>
      </c>
      <c r="I202" s="29" t="inlineStr">
        <is>
          <t>True</t>
        </is>
      </c>
      <c r="J202" s="29" t="inlineStr">
        <is>
          <t>OK</t>
        </is>
      </c>
      <c r="K202" s="29" t="inlineStr">
        <is>
          <t>데이터 사용 가능</t>
        </is>
      </c>
      <c r="L202" s="29" t="inlineStr">
        <is>
          <t>LOW</t>
        </is>
      </c>
      <c r="M202" s="29" t="inlineStr">
        <is>
          <t>LOW</t>
        </is>
      </c>
      <c r="N202" s="29" t="inlineStr">
        <is>
          <t>0.7056565656565656</t>
        </is>
      </c>
      <c r="O202" s="29" t="inlineStr">
        <is>
          <t>ATTRACTIVE</t>
        </is>
      </c>
      <c r="P202" s="29" t="inlineStr">
        <is>
          <t>가치 매력</t>
        </is>
      </c>
      <c r="Q202" s="29" t="inlineStr">
        <is>
          <t>ATTRACTIVE</t>
        </is>
      </c>
      <c r="R202" s="29" t="inlineStr">
        <is>
          <t>0.9375173489226767</t>
        </is>
      </c>
      <c r="S202" s="29" t="inlineStr">
        <is>
          <t>HIGH</t>
        </is>
      </c>
      <c r="T202" s="29" t="inlineStr">
        <is>
          <t>HIGH</t>
        </is>
      </c>
      <c r="U202" s="29" t="inlineStr">
        <is>
          <t>0.0</t>
        </is>
      </c>
      <c r="V202" s="29" t="inlineStr">
        <is>
          <t>LOW_RISK</t>
        </is>
      </c>
      <c r="W202" s="29" t="inlineStr">
        <is>
          <t>저위험</t>
        </is>
      </c>
      <c r="X202" s="29" t="inlineStr">
        <is>
          <t>LOW_RISK</t>
        </is>
      </c>
      <c r="Y202" s="29" t="inlineStr">
        <is>
          <t>0.8297390345025338</t>
        </is>
      </c>
      <c r="Z202" s="29" t="inlineStr">
        <is>
          <t>HIGH</t>
        </is>
      </c>
      <c r="AA202" s="29" t="inlineStr">
        <is>
          <t>HIGH</t>
        </is>
      </c>
      <c r="AB202" s="29" t="inlineStr">
        <is>
          <t>0.08420442573717486</t>
        </is>
      </c>
      <c r="AC202" s="29" t="inlineStr">
        <is>
          <t>False</t>
        </is>
      </c>
      <c r="AD202" s="29" t="inlineStr">
        <is>
          <t>False</t>
        </is>
      </c>
      <c r="AE202" s="29" t="inlineStr">
        <is>
          <t>valuation_credit_ml_overlay_candidate.csv</t>
        </is>
      </c>
      <c r="AF202" s="29" t="inlineStr">
        <is>
          <t>208개 반도체 reference universe. Valuation Agent가 자체 intake 폴더로 복제해 Peer/ML/대시보드 비교에 사용.</t>
        </is>
      </c>
    </row>
    <row r="203" ht="24" customHeight="1">
      <c r="A203" s="24" t="inlineStr">
        <is>
          <t>41</t>
        </is>
      </c>
      <c r="B203" s="24" t="inlineStr">
        <is>
          <t>해당 없음</t>
        </is>
      </c>
      <c r="C203" s="24" t="inlineStr">
        <is>
          <t>LX세미콘</t>
        </is>
      </c>
      <c r="D203" s="24" t="inlineStr">
        <is>
          <t>108320</t>
        </is>
      </c>
      <c r="E203" s="24" t="inlineStr">
        <is>
          <t>KOSPI</t>
        </is>
      </c>
      <c r="F203" s="24" t="inlineStr">
        <is>
          <t>팹리스/설계</t>
        </is>
      </c>
      <c r="G203" s="24" t="inlineStr">
        <is>
          <t>팹리스/설계</t>
        </is>
      </c>
      <c r="H203" s="24" t="inlineStr">
        <is>
          <t>False</t>
        </is>
      </c>
      <c r="I203" s="24" t="inlineStr">
        <is>
          <t>True</t>
        </is>
      </c>
      <c r="J203" s="24" t="inlineStr">
        <is>
          <t>OK</t>
        </is>
      </c>
      <c r="K203" s="24" t="inlineStr">
        <is>
          <t>데이터 사용 가능</t>
        </is>
      </c>
      <c r="L203" s="24" t="inlineStr">
        <is>
          <t>LOW</t>
        </is>
      </c>
      <c r="M203" s="24" t="inlineStr">
        <is>
          <t>LOW</t>
        </is>
      </c>
      <c r="N203" s="24" t="inlineStr">
        <is>
          <t>0.6953535353535354</t>
        </is>
      </c>
      <c r="O203" s="24" t="inlineStr">
        <is>
          <t>ATTRACTIVE</t>
        </is>
      </c>
      <c r="P203" s="24" t="inlineStr">
        <is>
          <t>가치 매력</t>
        </is>
      </c>
      <c r="Q203" s="24" t="inlineStr">
        <is>
          <t>ATTRACTIVE</t>
        </is>
      </c>
      <c r="R203" s="24" t="inlineStr">
        <is>
          <t>0.951012131492064</t>
        </is>
      </c>
      <c r="S203" s="24" t="inlineStr">
        <is>
          <t>HIGH</t>
        </is>
      </c>
      <c r="T203" s="24" t="inlineStr">
        <is>
          <t>HIGH</t>
        </is>
      </c>
      <c r="U203" s="24" t="inlineStr">
        <is>
          <t>0.0</t>
        </is>
      </c>
      <c r="V203" s="24" t="inlineStr">
        <is>
          <t>LOW_RISK</t>
        </is>
      </c>
      <c r="W203" s="24" t="inlineStr">
        <is>
          <t>저위험</t>
        </is>
      </c>
      <c r="X203" s="24" t="inlineStr">
        <is>
          <t>LOW_RISK</t>
        </is>
      </c>
      <c r="Y203" s="24" t="inlineStr">
        <is>
          <t>0.9675260077633142</t>
        </is>
      </c>
      <c r="Z203" s="24" t="inlineStr">
        <is>
          <t>HIGH</t>
        </is>
      </c>
      <c r="AA203" s="24" t="inlineStr">
        <is>
          <t>HIGH</t>
        </is>
      </c>
      <c r="AB203" s="24" t="inlineStr">
        <is>
          <t>0.0526549169074082</t>
        </is>
      </c>
      <c r="AC203" s="24" t="inlineStr">
        <is>
          <t>False</t>
        </is>
      </c>
      <c r="AD203" s="24" t="inlineStr">
        <is>
          <t>False</t>
        </is>
      </c>
      <c r="AE203" s="24" t="inlineStr">
        <is>
          <t>valuation_credit_ml_overlay_candidate.csv</t>
        </is>
      </c>
      <c r="AF203" s="24" t="inlineStr">
        <is>
          <t>208개 반도체 reference universe. Valuation Agent가 자체 intake 폴더로 복제해 Peer/ML/대시보드 비교에 사용.</t>
        </is>
      </c>
    </row>
    <row r="204" ht="24" customHeight="1">
      <c r="A204" s="29" t="inlineStr">
        <is>
          <t>61</t>
        </is>
      </c>
      <c r="B204" s="29" t="inlineStr">
        <is>
          <t>해당 없음</t>
        </is>
      </c>
      <c r="C204" s="29" t="inlineStr">
        <is>
          <t>어보브반도체</t>
        </is>
      </c>
      <c r="D204" s="29" t="inlineStr">
        <is>
          <t>102120</t>
        </is>
      </c>
      <c r="E204" s="29" t="inlineStr">
        <is>
          <t>KOSDAQ</t>
        </is>
      </c>
      <c r="F204" s="29" t="inlineStr">
        <is>
          <t>팹리스/설계</t>
        </is>
      </c>
      <c r="G204" s="29" t="inlineStr">
        <is>
          <t>팹리스/설계</t>
        </is>
      </c>
      <c r="H204" s="29" t="inlineStr">
        <is>
          <t>False</t>
        </is>
      </c>
      <c r="I204" s="29" t="inlineStr">
        <is>
          <t>True</t>
        </is>
      </c>
      <c r="J204" s="29" t="inlineStr">
        <is>
          <t>OK</t>
        </is>
      </c>
      <c r="K204" s="29" t="inlineStr">
        <is>
          <t>데이터 사용 가능</t>
        </is>
      </c>
      <c r="L204" s="29" t="inlineStr">
        <is>
          <t>LOW</t>
        </is>
      </c>
      <c r="M204" s="29" t="inlineStr">
        <is>
          <t>LOW</t>
        </is>
      </c>
      <c r="N204" s="29" t="inlineStr">
        <is>
          <t>0.6933333333333332</t>
        </is>
      </c>
      <c r="O204" s="29" t="inlineStr">
        <is>
          <t>FAIR</t>
        </is>
      </c>
      <c r="P204" s="29" t="inlineStr">
        <is>
          <t>FAIR</t>
        </is>
      </c>
      <c r="Q204" s="29" t="inlineStr">
        <is>
          <t>FAIR</t>
        </is>
      </c>
      <c r="R204" s="29" t="inlineStr">
        <is>
          <t>0.9028406871788379</t>
        </is>
      </c>
      <c r="S204" s="29" t="inlineStr">
        <is>
          <t>HIGH</t>
        </is>
      </c>
      <c r="T204" s="29" t="inlineStr">
        <is>
          <t>HIGH</t>
        </is>
      </c>
      <c r="U204" s="29" t="inlineStr">
        <is>
          <t>0.0714285714285714</t>
        </is>
      </c>
      <c r="V204" s="29" t="inlineStr">
        <is>
          <t>LOW_RISK</t>
        </is>
      </c>
      <c r="W204" s="29" t="inlineStr">
        <is>
          <t>저위험</t>
        </is>
      </c>
      <c r="X204" s="29" t="inlineStr">
        <is>
          <t>LOW_RISK</t>
        </is>
      </c>
      <c r="Y204" s="29" t="inlineStr">
        <is>
          <t>0.7134163381020407</t>
        </is>
      </c>
      <c r="Z204" s="29" t="inlineStr">
        <is>
          <t>HIGH</t>
        </is>
      </c>
      <c r="AA204" s="29" t="inlineStr">
        <is>
          <t>HIGH</t>
        </is>
      </c>
      <c r="AB204" s="29" t="inlineStr">
        <is>
          <t>0.020764615542161708</t>
        </is>
      </c>
      <c r="AC204" s="29" t="inlineStr">
        <is>
          <t>False</t>
        </is>
      </c>
      <c r="AD204" s="29" t="inlineStr">
        <is>
          <t>False</t>
        </is>
      </c>
      <c r="AE204" s="29" t="inlineStr">
        <is>
          <t>valuation_credit_ml_overlay_candidate.csv</t>
        </is>
      </c>
      <c r="AF204" s="29" t="inlineStr">
        <is>
          <t>208개 반도체 reference universe. Valuation Agent가 자체 intake 폴더로 복제해 Peer/ML/대시보드 비교에 사용.</t>
        </is>
      </c>
    </row>
    <row r="205" ht="24" customHeight="1">
      <c r="A205" s="24" t="inlineStr">
        <is>
          <t>58</t>
        </is>
      </c>
      <c r="B205" s="24" t="inlineStr">
        <is>
          <t>해당 없음</t>
        </is>
      </c>
      <c r="C205" s="24" t="inlineStr">
        <is>
          <t>알에프세미</t>
        </is>
      </c>
      <c r="D205" s="24" t="inlineStr">
        <is>
          <t>096610</t>
        </is>
      </c>
      <c r="E205" s="24" t="inlineStr">
        <is>
          <t>KOSDAQ</t>
        </is>
      </c>
      <c r="F205" s="24" t="inlineStr">
        <is>
          <t>팹리스/설계</t>
        </is>
      </c>
      <c r="G205" s="24" t="inlineStr">
        <is>
          <t>팹리스/설계</t>
        </is>
      </c>
      <c r="H205" s="24" t="inlineStr">
        <is>
          <t>False</t>
        </is>
      </c>
      <c r="I205" s="24" t="inlineStr">
        <is>
          <t>True</t>
        </is>
      </c>
      <c r="J205" s="24" t="inlineStr">
        <is>
          <t>OK</t>
        </is>
      </c>
      <c r="K205" s="24" t="inlineStr">
        <is>
          <t>데이터 사용 가능</t>
        </is>
      </c>
      <c r="L205" s="24" t="inlineStr">
        <is>
          <t>LOW</t>
        </is>
      </c>
      <c r="M205" s="24" t="inlineStr">
        <is>
          <t>LOW</t>
        </is>
      </c>
      <c r="N205" s="24" t="inlineStr">
        <is>
          <t>0.603030303030303</t>
        </is>
      </c>
      <c r="O205" s="24" t="inlineStr">
        <is>
          <t>ATTRACTIVE</t>
        </is>
      </c>
      <c r="P205" s="24" t="inlineStr">
        <is>
          <t>가치 매력</t>
        </is>
      </c>
      <c r="Q205" s="24" t="inlineStr">
        <is>
          <t>ATTRACTIVE</t>
        </is>
      </c>
      <c r="R205" s="24" t="inlineStr">
        <is>
          <t>0.8083150256499313</t>
        </is>
      </c>
      <c r="S205" s="24" t="inlineStr">
        <is>
          <t>HIGH</t>
        </is>
      </c>
      <c r="T205" s="24" t="inlineStr">
        <is>
          <t>HIGH</t>
        </is>
      </c>
      <c r="U205" s="24" t="inlineStr">
        <is>
          <t>0.0714285714285714</t>
        </is>
      </c>
      <c r="V205" s="24" t="inlineStr">
        <is>
          <t>LOW_RISK</t>
        </is>
      </c>
      <c r="W205" s="24" t="inlineStr">
        <is>
          <t>저위험</t>
        </is>
      </c>
      <c r="X205" s="24" t="inlineStr">
        <is>
          <t>LOW_RISK</t>
        </is>
      </c>
      <c r="Y205" s="24" t="inlineStr">
        <is>
          <t>0.8655657172147194</t>
        </is>
      </c>
      <c r="Z205" s="24" t="inlineStr">
        <is>
          <t>HIGH</t>
        </is>
      </c>
      <c r="AA205" s="24" t="inlineStr">
        <is>
          <t>HIGH</t>
        </is>
      </c>
      <c r="AB205" s="24" t="inlineStr">
        <is>
          <t>0.30686355706948754</t>
        </is>
      </c>
      <c r="AC205" s="24" t="inlineStr">
        <is>
          <t>True</t>
        </is>
      </c>
      <c r="AD205" s="24" t="inlineStr">
        <is>
          <t>True</t>
        </is>
      </c>
      <c r="AE205" s="24" t="inlineStr">
        <is>
          <t>valuation_credit_ml_overlay_candidate.csv</t>
        </is>
      </c>
      <c r="AF205" s="24" t="inlineStr">
        <is>
          <t>208개 반도체 reference universe. Valuation Agent가 자체 intake 폴더로 복제해 Peer/ML/대시보드 비교에 사용.</t>
        </is>
      </c>
    </row>
    <row r="206" ht="24" customHeight="1">
      <c r="A206" s="29" t="inlineStr">
        <is>
          <t>66</t>
        </is>
      </c>
      <c r="B206" s="29" t="inlineStr">
        <is>
          <t>해당 없음</t>
        </is>
      </c>
      <c r="C206" s="29" t="inlineStr">
        <is>
          <t>제주반도체</t>
        </is>
      </c>
      <c r="D206" s="29" t="inlineStr">
        <is>
          <t>080220</t>
        </is>
      </c>
      <c r="E206" s="29" t="inlineStr">
        <is>
          <t>KOSDAQ</t>
        </is>
      </c>
      <c r="F206" s="29" t="inlineStr">
        <is>
          <t>팹리스/설계</t>
        </is>
      </c>
      <c r="G206" s="29" t="inlineStr">
        <is>
          <t>팹리스/설계</t>
        </is>
      </c>
      <c r="H206" s="29" t="inlineStr">
        <is>
          <t>False</t>
        </is>
      </c>
      <c r="I206" s="29" t="inlineStr">
        <is>
          <t>True</t>
        </is>
      </c>
      <c r="J206" s="29" t="inlineStr">
        <is>
          <t>OK</t>
        </is>
      </c>
      <c r="K206" s="29" t="inlineStr">
        <is>
          <t>데이터 사용 가능</t>
        </is>
      </c>
      <c r="L206" s="29" t="inlineStr">
        <is>
          <t>LOW</t>
        </is>
      </c>
      <c r="M206" s="29" t="inlineStr">
        <is>
          <t>LOW</t>
        </is>
      </c>
      <c r="N206" s="29" t="inlineStr">
        <is>
          <t>0.5917171717171718</t>
        </is>
      </c>
      <c r="O206" s="29" t="inlineStr">
        <is>
          <t>ATTRACTIVE</t>
        </is>
      </c>
      <c r="P206" s="29" t="inlineStr">
        <is>
          <t>가치 매력</t>
        </is>
      </c>
      <c r="Q206" s="29" t="inlineStr">
        <is>
          <t>ATTRACTIVE</t>
        </is>
      </c>
      <c r="R206" s="29" t="inlineStr">
        <is>
          <t>0.6955424557105586</t>
        </is>
      </c>
      <c r="S206" s="29" t="inlineStr">
        <is>
          <t>MEDIUM</t>
        </is>
      </c>
      <c r="T206" s="29" t="inlineStr">
        <is>
          <t>MEDIUM</t>
        </is>
      </c>
      <c r="U206" s="29" t="inlineStr">
        <is>
          <t>0.0</t>
        </is>
      </c>
      <c r="V206" s="29" t="inlineStr">
        <is>
          <t>LOW_RISK</t>
        </is>
      </c>
      <c r="W206" s="29" t="inlineStr">
        <is>
          <t>저위험</t>
        </is>
      </c>
      <c r="X206" s="29" t="inlineStr">
        <is>
          <t>LOW_RISK</t>
        </is>
      </c>
      <c r="Y206" s="29" t="inlineStr">
        <is>
          <t>0.9206625395821784</t>
        </is>
      </c>
      <c r="Z206" s="29" t="inlineStr">
        <is>
          <t>HIGH</t>
        </is>
      </c>
      <c r="AA206" s="29" t="inlineStr">
        <is>
          <t>HIGH</t>
        </is>
      </c>
      <c r="AB206" s="29" t="inlineStr">
        <is>
          <t>0.022944474321634056</t>
        </is>
      </c>
      <c r="AC206" s="29" t="inlineStr">
        <is>
          <t>False</t>
        </is>
      </c>
      <c r="AD206" s="29" t="inlineStr">
        <is>
          <t>False</t>
        </is>
      </c>
      <c r="AE206" s="29" t="inlineStr">
        <is>
          <t>valuation_credit_ml_overlay_candidate.csv</t>
        </is>
      </c>
      <c r="AF206" s="29" t="inlineStr">
        <is>
          <t>208개 반도체 reference universe. Valuation Agent가 자체 intake 폴더로 복제해 Peer/ML/대시보드 비교에 사용.</t>
        </is>
      </c>
    </row>
    <row r="207" ht="24" customHeight="1">
      <c r="A207" s="24" t="inlineStr">
        <is>
          <t>71</t>
        </is>
      </c>
      <c r="B207" s="24" t="inlineStr">
        <is>
          <t>해당 없음</t>
        </is>
      </c>
      <c r="C207" s="24" t="inlineStr">
        <is>
          <t>티에스이</t>
        </is>
      </c>
      <c r="D207" s="24" t="inlineStr">
        <is>
          <t>131290</t>
        </is>
      </c>
      <c r="E207" s="24" t="inlineStr">
        <is>
          <t>KOSDAQ</t>
        </is>
      </c>
      <c r="F207" s="24" t="inlineStr">
        <is>
          <t>팹리스/설계</t>
        </is>
      </c>
      <c r="G207" s="24" t="inlineStr">
        <is>
          <t>팹리스/설계</t>
        </is>
      </c>
      <c r="H207" s="24" t="inlineStr">
        <is>
          <t>False</t>
        </is>
      </c>
      <c r="I207" s="24" t="inlineStr">
        <is>
          <t>True</t>
        </is>
      </c>
      <c r="J207" s="24" t="inlineStr">
        <is>
          <t>OK</t>
        </is>
      </c>
      <c r="K207" s="24" t="inlineStr">
        <is>
          <t>데이터 사용 가능</t>
        </is>
      </c>
      <c r="L207" s="24" t="inlineStr">
        <is>
          <t>LOW</t>
        </is>
      </c>
      <c r="M207" s="24" t="inlineStr">
        <is>
          <t>LOW</t>
        </is>
      </c>
      <c r="N207" s="24" t="inlineStr">
        <is>
          <t>0.5880808080808082</t>
        </is>
      </c>
      <c r="O207" s="24" t="inlineStr">
        <is>
          <t>ATTRACTIVE</t>
        </is>
      </c>
      <c r="P207" s="24" t="inlineStr">
        <is>
          <t>가치 매력</t>
        </is>
      </c>
      <c r="Q207" s="24" t="inlineStr">
        <is>
          <t>ATTRACTIVE</t>
        </is>
      </c>
      <c r="R207" s="24" t="inlineStr">
        <is>
          <t>0.7390287615028212</t>
        </is>
      </c>
      <c r="S207" s="24" t="inlineStr">
        <is>
          <t>HIGH</t>
        </is>
      </c>
      <c r="T207" s="24" t="inlineStr">
        <is>
          <t>HIGH</t>
        </is>
      </c>
      <c r="U207" s="24" t="inlineStr">
        <is>
          <t>0.0</t>
        </is>
      </c>
      <c r="V207" s="24" t="inlineStr">
        <is>
          <t>LOW_RISK</t>
        </is>
      </c>
      <c r="W207" s="24" t="inlineStr">
        <is>
          <t>저위험</t>
        </is>
      </c>
      <c r="X207" s="24" t="inlineStr">
        <is>
          <t>LOW_RISK</t>
        </is>
      </c>
      <c r="Y207" s="24" t="inlineStr">
        <is>
          <t>0.9709748314872512</t>
        </is>
      </c>
      <c r="Z207" s="24" t="inlineStr">
        <is>
          <t>HIGH</t>
        </is>
      </c>
      <c r="AA207" s="24" t="inlineStr">
        <is>
          <t>HIGH</t>
        </is>
      </c>
      <c r="AB207" s="24" t="inlineStr">
        <is>
          <t>0.018067787318761474</t>
        </is>
      </c>
      <c r="AC207" s="24" t="inlineStr">
        <is>
          <t>False</t>
        </is>
      </c>
      <c r="AD207" s="24" t="inlineStr">
        <is>
          <t>False</t>
        </is>
      </c>
      <c r="AE207" s="24" t="inlineStr">
        <is>
          <t>valuation_credit_ml_overlay_candidate.csv</t>
        </is>
      </c>
      <c r="AF207" s="24" t="inlineStr">
        <is>
          <t>208개 반도체 reference universe. Valuation Agent가 자체 intake 폴더로 복제해 Peer/ML/대시보드 비교에 사용.</t>
        </is>
      </c>
    </row>
    <row r="208" ht="24" customHeight="1">
      <c r="A208" s="29" t="inlineStr">
        <is>
          <t>53</t>
        </is>
      </c>
      <c r="B208" s="29" t="inlineStr">
        <is>
          <t>해당 없음</t>
        </is>
      </c>
      <c r="C208" s="29" t="inlineStr">
        <is>
          <t>아나패스</t>
        </is>
      </c>
      <c r="D208" s="29" t="inlineStr">
        <is>
          <t>123860</t>
        </is>
      </c>
      <c r="E208" s="29" t="inlineStr">
        <is>
          <t>KOSDAQ</t>
        </is>
      </c>
      <c r="F208" s="29" t="inlineStr">
        <is>
          <t>팹리스/설계</t>
        </is>
      </c>
      <c r="G208" s="29" t="inlineStr">
        <is>
          <t>팹리스/설계</t>
        </is>
      </c>
      <c r="H208" s="29" t="inlineStr">
        <is>
          <t>False</t>
        </is>
      </c>
      <c r="I208" s="29" t="inlineStr">
        <is>
          <t>True</t>
        </is>
      </c>
      <c r="J208" s="29" t="inlineStr">
        <is>
          <t>OK</t>
        </is>
      </c>
      <c r="K208" s="29" t="inlineStr">
        <is>
          <t>데이터 사용 가능</t>
        </is>
      </c>
      <c r="L208" s="29" t="inlineStr">
        <is>
          <t>LOW</t>
        </is>
      </c>
      <c r="M208" s="29" t="inlineStr">
        <is>
          <t>LOW</t>
        </is>
      </c>
      <c r="N208" s="29" t="inlineStr">
        <is>
          <t>0.5761616161616162</t>
        </is>
      </c>
      <c r="O208" s="29" t="inlineStr">
        <is>
          <t>FAIR</t>
        </is>
      </c>
      <c r="P208" s="29" t="inlineStr">
        <is>
          <t>FAIR</t>
        </is>
      </c>
      <c r="Q208" s="29" t="inlineStr">
        <is>
          <t>ATTRACTIVE</t>
        </is>
      </c>
      <c r="R208" s="29" t="inlineStr">
        <is>
          <t>0.510332377942325</t>
        </is>
      </c>
      <c r="S208" s="29" t="inlineStr">
        <is>
          <t>MEDIUM</t>
        </is>
      </c>
      <c r="T208" s="29" t="inlineStr">
        <is>
          <t>MEDIUM</t>
        </is>
      </c>
      <c r="U208" s="29" t="inlineStr">
        <is>
          <t>0.0</t>
        </is>
      </c>
      <c r="V208" s="29" t="inlineStr">
        <is>
          <t>LOW_RISK</t>
        </is>
      </c>
      <c r="W208" s="29" t="inlineStr">
        <is>
          <t>저위험</t>
        </is>
      </c>
      <c r="X208" s="29" t="inlineStr">
        <is>
          <t>LOW_RISK</t>
        </is>
      </c>
      <c r="Y208" s="29" t="inlineStr">
        <is>
          <t>0.9162612285765747</t>
        </is>
      </c>
      <c r="Z208" s="29" t="inlineStr">
        <is>
          <t>HIGH</t>
        </is>
      </c>
      <c r="AA208" s="29" t="inlineStr">
        <is>
          <t>HIGH</t>
        </is>
      </c>
      <c r="AB208" s="29" t="inlineStr">
        <is>
          <t>0.10416084144507474</t>
        </is>
      </c>
      <c r="AC208" s="29" t="inlineStr">
        <is>
          <t>False</t>
        </is>
      </c>
      <c r="AD208" s="29" t="inlineStr">
        <is>
          <t>False</t>
        </is>
      </c>
      <c r="AE208" s="29" t="inlineStr">
        <is>
          <t>valuation_credit_ml_overlay_candidate.csv</t>
        </is>
      </c>
      <c r="AF208" s="29" t="inlineStr">
        <is>
          <t>208개 반도체 reference universe. Valuation Agent가 자체 intake 폴더로 복제해 Peer/ML/대시보드 비교에 사용.</t>
        </is>
      </c>
    </row>
    <row r="209" ht="24" customHeight="1">
      <c r="A209" s="24" t="inlineStr">
        <is>
          <t>68</t>
        </is>
      </c>
      <c r="B209" s="24" t="inlineStr">
        <is>
          <t>해당 없음</t>
        </is>
      </c>
      <c r="C209" s="24" t="inlineStr">
        <is>
          <t>코아시아</t>
        </is>
      </c>
      <c r="D209" s="24" t="inlineStr">
        <is>
          <t>045970</t>
        </is>
      </c>
      <c r="E209" s="24" t="inlineStr">
        <is>
          <t>KOSDAQ</t>
        </is>
      </c>
      <c r="F209" s="24" t="inlineStr">
        <is>
          <t>팹리스/설계</t>
        </is>
      </c>
      <c r="G209" s="24" t="inlineStr">
        <is>
          <t>팹리스/설계</t>
        </is>
      </c>
      <c r="H209" s="24" t="inlineStr">
        <is>
          <t>False</t>
        </is>
      </c>
      <c r="I209" s="24" t="inlineStr">
        <is>
          <t>True</t>
        </is>
      </c>
      <c r="J209" s="24" t="inlineStr">
        <is>
          <t>OK</t>
        </is>
      </c>
      <c r="K209" s="24" t="inlineStr">
        <is>
          <t>데이터 사용 가능</t>
        </is>
      </c>
      <c r="L209" s="24" t="inlineStr">
        <is>
          <t>LOW</t>
        </is>
      </c>
      <c r="M209" s="24" t="inlineStr">
        <is>
          <t>LOW</t>
        </is>
      </c>
      <c r="N209" s="24" t="inlineStr">
        <is>
          <t>0.5612121212121212</t>
        </is>
      </c>
      <c r="O209" s="24" t="inlineStr">
        <is>
          <t>FAIR</t>
        </is>
      </c>
      <c r="P209" s="24" t="inlineStr">
        <is>
          <t>FAIR</t>
        </is>
      </c>
      <c r="Q209" s="24" t="inlineStr">
        <is>
          <t>FAIR</t>
        </is>
      </c>
      <c r="R209" s="24" t="inlineStr">
        <is>
          <t>0.811266524244761</t>
        </is>
      </c>
      <c r="S209" s="24" t="inlineStr">
        <is>
          <t>HIGH</t>
        </is>
      </c>
      <c r="T209" s="24" t="inlineStr">
        <is>
          <t>HIGH</t>
        </is>
      </c>
      <c r="U209" s="24" t="inlineStr">
        <is>
          <t>0.5</t>
        </is>
      </c>
      <c r="V209" s="24" t="inlineStr">
        <is>
          <t>HIGH_RISK</t>
        </is>
      </c>
      <c r="W209" s="24" t="inlineStr">
        <is>
          <t>고위험</t>
        </is>
      </c>
      <c r="X209" s="24" t="inlineStr">
        <is>
          <t>HIGH_RISK</t>
        </is>
      </c>
      <c r="Y209" s="24" t="inlineStr">
        <is>
          <t>0.7677840717507917</t>
        </is>
      </c>
      <c r="Z209" s="24" t="inlineStr">
        <is>
          <t>HIGH</t>
        </is>
      </c>
      <c r="AA209" s="24" t="inlineStr">
        <is>
          <t>HIGH</t>
        </is>
      </c>
      <c r="AB209" s="24" t="inlineStr">
        <is>
          <t>0.06747219473464933</t>
        </is>
      </c>
      <c r="AC209" s="24" t="inlineStr">
        <is>
          <t>False</t>
        </is>
      </c>
      <c r="AD209" s="24" t="inlineStr">
        <is>
          <t>False</t>
        </is>
      </c>
      <c r="AE209" s="24" t="inlineStr">
        <is>
          <t>valuation_credit_ml_overlay_candidate.csv</t>
        </is>
      </c>
      <c r="AF209" s="24" t="inlineStr">
        <is>
          <t>208개 반도체 reference universe. Valuation Agent가 자체 intake 폴더로 복제해 Peer/ML/대시보드 비교에 사용.</t>
        </is>
      </c>
    </row>
    <row r="210" ht="24" customHeight="1">
      <c r="A210" s="29" t="inlineStr">
        <is>
          <t>73</t>
        </is>
      </c>
      <c r="B210" s="29" t="inlineStr">
        <is>
          <t>해당 없음</t>
        </is>
      </c>
      <c r="C210" s="29" t="inlineStr">
        <is>
          <t>픽셀플러스</t>
        </is>
      </c>
      <c r="D210" s="29" t="inlineStr">
        <is>
          <t>087600</t>
        </is>
      </c>
      <c r="E210" s="29" t="inlineStr">
        <is>
          <t>KOSDAQ</t>
        </is>
      </c>
      <c r="F210" s="29" t="inlineStr">
        <is>
          <t>팹리스/설계</t>
        </is>
      </c>
      <c r="G210" s="29" t="inlineStr">
        <is>
          <t>팹리스/설계</t>
        </is>
      </c>
      <c r="H210" s="29" t="inlineStr">
        <is>
          <t>False</t>
        </is>
      </c>
      <c r="I210" s="29" t="inlineStr">
        <is>
          <t>True</t>
        </is>
      </c>
      <c r="J210" s="29" t="inlineStr">
        <is>
          <t>OK</t>
        </is>
      </c>
      <c r="K210" s="29" t="inlineStr">
        <is>
          <t>데이터 사용 가능</t>
        </is>
      </c>
      <c r="L210" s="29" t="inlineStr">
        <is>
          <t>LOW</t>
        </is>
      </c>
      <c r="M210" s="29" t="inlineStr">
        <is>
          <t>LOW</t>
        </is>
      </c>
      <c r="N210" s="29" t="inlineStr">
        <is>
          <t>0.543030303030303</t>
        </is>
      </c>
      <c r="O210" s="29" t="inlineStr">
        <is>
          <t>FAIR</t>
        </is>
      </c>
      <c r="P210" s="29" t="inlineStr">
        <is>
          <t>FAIR</t>
        </is>
      </c>
      <c r="Q210" s="29" t="inlineStr">
        <is>
          <t>FAIR</t>
        </is>
      </c>
      <c r="R210" s="29" t="inlineStr">
        <is>
          <t>0.8353732583827468</t>
        </is>
      </c>
      <c r="S210" s="29" t="inlineStr">
        <is>
          <t>HIGH</t>
        </is>
      </c>
      <c r="T210" s="29" t="inlineStr">
        <is>
          <t>HIGH</t>
        </is>
      </c>
      <c r="U210" s="29" t="inlineStr">
        <is>
          <t>0.2857142857142857</t>
        </is>
      </c>
      <c r="V210" s="29" t="inlineStr">
        <is>
          <t>MEDIUM_RISK</t>
        </is>
      </c>
      <c r="W210" s="29" t="inlineStr">
        <is>
          <t>중위험</t>
        </is>
      </c>
      <c r="X210" s="29" t="inlineStr">
        <is>
          <t>MEDIUM_RISK</t>
        </is>
      </c>
      <c r="Y210" s="29" t="inlineStr">
        <is>
          <t>0.8277119254156154</t>
        </is>
      </c>
      <c r="Z210" s="29" t="inlineStr">
        <is>
          <t>HIGH</t>
        </is>
      </c>
      <c r="AA210" s="29" t="inlineStr">
        <is>
          <t>HIGH</t>
        </is>
      </c>
      <c r="AB210" s="29" t="inlineStr">
        <is>
          <t>0.08861749399056779</t>
        </is>
      </c>
      <c r="AC210" s="29" t="inlineStr">
        <is>
          <t>False</t>
        </is>
      </c>
      <c r="AD210" s="29" t="inlineStr">
        <is>
          <t>False</t>
        </is>
      </c>
      <c r="AE210" s="29" t="inlineStr">
        <is>
          <t>valuation_credit_ml_overlay_candidate.csv</t>
        </is>
      </c>
      <c r="AF210" s="29" t="inlineStr">
        <is>
          <t>208개 반도체 reference universe. Valuation Agent가 자체 intake 폴더로 복제해 Peer/ML/대시보드 비교에 사용.</t>
        </is>
      </c>
    </row>
    <row r="211" ht="24" customHeight="1">
      <c r="A211" s="24" t="inlineStr">
        <is>
          <t>67</t>
        </is>
      </c>
      <c r="B211" s="24" t="inlineStr">
        <is>
          <t>해당 없음</t>
        </is>
      </c>
      <c r="C211" s="24" t="inlineStr">
        <is>
          <t>칩스앤미디어</t>
        </is>
      </c>
      <c r="D211" s="24" t="inlineStr">
        <is>
          <t>094360</t>
        </is>
      </c>
      <c r="E211" s="24" t="inlineStr">
        <is>
          <t>KOSDAQ</t>
        </is>
      </c>
      <c r="F211" s="24" t="inlineStr">
        <is>
          <t>팹리스/설계</t>
        </is>
      </c>
      <c r="G211" s="24" t="inlineStr">
        <is>
          <t>팹리스/설계</t>
        </is>
      </c>
      <c r="H211" s="24" t="inlineStr">
        <is>
          <t>False</t>
        </is>
      </c>
      <c r="I211" s="24" t="inlineStr">
        <is>
          <t>True</t>
        </is>
      </c>
      <c r="J211" s="24" t="inlineStr">
        <is>
          <t>OK</t>
        </is>
      </c>
      <c r="K211" s="24" t="inlineStr">
        <is>
          <t>데이터 사용 가능</t>
        </is>
      </c>
      <c r="L211" s="24" t="inlineStr">
        <is>
          <t>LOW</t>
        </is>
      </c>
      <c r="M211" s="24" t="inlineStr">
        <is>
          <t>LOW</t>
        </is>
      </c>
      <c r="N211" s="24" t="inlineStr">
        <is>
          <t>0.5424242424242424</t>
        </is>
      </c>
      <c r="O211" s="24" t="inlineStr">
        <is>
          <t>FAIR</t>
        </is>
      </c>
      <c r="P211" s="24" t="inlineStr">
        <is>
          <t>FAIR</t>
        </is>
      </c>
      <c r="Q211" s="24" t="inlineStr">
        <is>
          <t>FAIR</t>
        </is>
      </c>
      <c r="R211" s="24" t="inlineStr">
        <is>
          <t>0.44740744488593415</t>
        </is>
      </c>
      <c r="S211" s="24" t="inlineStr">
        <is>
          <t>LOW</t>
        </is>
      </c>
      <c r="T211" s="24" t="inlineStr">
        <is>
          <t>LOW</t>
        </is>
      </c>
      <c r="U211" s="24" t="inlineStr">
        <is>
          <t>0.0</t>
        </is>
      </c>
      <c r="V211" s="24" t="inlineStr">
        <is>
          <t>LOW_RISK</t>
        </is>
      </c>
      <c r="W211" s="24" t="inlineStr">
        <is>
          <t>저위험</t>
        </is>
      </c>
      <c r="X211" s="24" t="inlineStr">
        <is>
          <t>LOW_RISK</t>
        </is>
      </c>
      <c r="Y211" s="24" t="inlineStr">
        <is>
          <t>0.9394752479511282</t>
        </is>
      </c>
      <c r="Z211" s="24" t="inlineStr">
        <is>
          <t>HIGH</t>
        </is>
      </c>
      <c r="AA211" s="24" t="inlineStr">
        <is>
          <t>HIGH</t>
        </is>
      </c>
      <c r="AB211" s="24" t="inlineStr">
        <is>
          <t>0.1165162896524789</t>
        </is>
      </c>
      <c r="AC211" s="24" t="inlineStr">
        <is>
          <t>False</t>
        </is>
      </c>
      <c r="AD211" s="24" t="inlineStr">
        <is>
          <t>True</t>
        </is>
      </c>
      <c r="AE211" s="24" t="inlineStr">
        <is>
          <t>valuation_credit_ml_overlay_candidate.csv</t>
        </is>
      </c>
      <c r="AF211" s="24" t="inlineStr">
        <is>
          <t>208개 반도체 reference universe. Valuation Agent가 자체 intake 폴더로 복제해 Peer/ML/대시보드 비교에 사용.</t>
        </is>
      </c>
    </row>
    <row r="212" ht="24" customHeight="1">
      <c r="A212" s="29" t="inlineStr">
        <is>
          <t>57</t>
        </is>
      </c>
      <c r="B212" s="29" t="inlineStr">
        <is>
          <t>해당 없음</t>
        </is>
      </c>
      <c r="C212" s="29" t="inlineStr">
        <is>
          <t>아이케이세미콘</t>
        </is>
      </c>
      <c r="D212" s="29" t="inlineStr">
        <is>
          <t>149010</t>
        </is>
      </c>
      <c r="E212" s="29" t="inlineStr">
        <is>
          <t>KONEX</t>
        </is>
      </c>
      <c r="F212" s="29" t="inlineStr">
        <is>
          <t>팹리스/설계</t>
        </is>
      </c>
      <c r="G212" s="29" t="inlineStr">
        <is>
          <t>팹리스/설계</t>
        </is>
      </c>
      <c r="H212" s="29" t="inlineStr">
        <is>
          <t>False</t>
        </is>
      </c>
      <c r="I212" s="29" t="inlineStr">
        <is>
          <t>True</t>
        </is>
      </c>
      <c r="J212" s="29" t="inlineStr">
        <is>
          <t>NO_DART_FINANCIAL_DATA</t>
        </is>
      </c>
      <c r="K212" s="29" t="inlineStr">
        <is>
          <t>데이터 사용 가능</t>
        </is>
      </c>
      <c r="L212" s="29" t="inlineStr">
        <is>
          <t>HIGH</t>
        </is>
      </c>
      <c r="M212" s="29" t="inlineStr">
        <is>
          <t>HIGH</t>
        </is>
      </c>
      <c r="N212" s="29" t="inlineStr">
        <is>
          <t>0.497979797979798</t>
        </is>
      </c>
      <c r="O212" s="29" t="inlineStr">
        <is>
          <t>FAIR</t>
        </is>
      </c>
      <c r="P212" s="29" t="inlineStr">
        <is>
          <t>FAIR</t>
        </is>
      </c>
      <c r="Q212" s="29" t="inlineStr">
        <is>
          <t>FAIR</t>
        </is>
      </c>
      <c r="R212" s="29" t="inlineStr">
        <is>
          <t>0.9626560040296214</t>
        </is>
      </c>
      <c r="S212" s="29" t="inlineStr">
        <is>
          <t>HIGH</t>
        </is>
      </c>
      <c r="T212" s="29" t="inlineStr">
        <is>
          <t>HIGH</t>
        </is>
      </c>
      <c r="U212" s="29" t="inlineStr">
        <is>
          <t>0.6428571428571429</t>
        </is>
      </c>
      <c r="V212" s="29" t="inlineStr">
        <is>
          <t>HIGH_RISK</t>
        </is>
      </c>
      <c r="W212" s="29" t="inlineStr">
        <is>
          <t>고위험</t>
        </is>
      </c>
      <c r="X212" s="29" t="inlineStr">
        <is>
          <t>HIGH_RISK</t>
        </is>
      </c>
      <c r="Y212" s="29" t="inlineStr">
        <is>
          <t>0.7070645883552188</t>
        </is>
      </c>
      <c r="Z212" s="29" t="inlineStr">
        <is>
          <t>HIGH</t>
        </is>
      </c>
      <c r="AA212" s="29" t="inlineStr">
        <is>
          <t>HIGH</t>
        </is>
      </c>
      <c r="AB212" s="29" t="inlineStr">
        <is>
          <t>0.07589516599498297</t>
        </is>
      </c>
      <c r="AC212" s="29" t="inlineStr">
        <is>
          <t>False</t>
        </is>
      </c>
      <c r="AD212" s="29" t="inlineStr">
        <is>
          <t>True</t>
        </is>
      </c>
      <c r="AE212" s="29" t="inlineStr">
        <is>
          <t>valuation_credit_ml_overlay_candidate.csv</t>
        </is>
      </c>
      <c r="AF212" s="29" t="inlineStr">
        <is>
          <t>208개 반도체 reference universe. Valuation Agent가 자체 intake 폴더로 복제해 Peer/ML/대시보드 비교에 사용.</t>
        </is>
      </c>
    </row>
    <row r="213" ht="24" customHeight="1">
      <c r="A213" s="24" t="inlineStr">
        <is>
          <t>70</t>
        </is>
      </c>
      <c r="B213" s="24" t="inlineStr">
        <is>
          <t>해당 없음</t>
        </is>
      </c>
      <c r="C213" s="24" t="inlineStr">
        <is>
          <t>텔레칩스</t>
        </is>
      </c>
      <c r="D213" s="24" t="inlineStr">
        <is>
          <t>054450</t>
        </is>
      </c>
      <c r="E213" s="24" t="inlineStr">
        <is>
          <t>KOSDAQ</t>
        </is>
      </c>
      <c r="F213" s="24" t="inlineStr">
        <is>
          <t>팹리스/설계</t>
        </is>
      </c>
      <c r="G213" s="24" t="inlineStr">
        <is>
          <t>팹리스/설계</t>
        </is>
      </c>
      <c r="H213" s="24" t="inlineStr">
        <is>
          <t>False</t>
        </is>
      </c>
      <c r="I213" s="24" t="inlineStr">
        <is>
          <t>True</t>
        </is>
      </c>
      <c r="J213" s="24" t="inlineStr">
        <is>
          <t>OK</t>
        </is>
      </c>
      <c r="K213" s="24" t="inlineStr">
        <is>
          <t>데이터 사용 가능</t>
        </is>
      </c>
      <c r="L213" s="24" t="inlineStr">
        <is>
          <t>LOW</t>
        </is>
      </c>
      <c r="M213" s="24" t="inlineStr">
        <is>
          <t>LOW</t>
        </is>
      </c>
      <c r="N213" s="24" t="inlineStr">
        <is>
          <t>0.4943434343434343</t>
        </is>
      </c>
      <c r="O213" s="24" t="inlineStr">
        <is>
          <t>FAIR</t>
        </is>
      </c>
      <c r="P213" s="24" t="inlineStr">
        <is>
          <t>FAIR</t>
        </is>
      </c>
      <c r="Q213" s="24" t="inlineStr">
        <is>
          <t>EXPENSIVE</t>
        </is>
      </c>
      <c r="R213" s="24" t="inlineStr">
        <is>
          <t>0.5716537225721987</t>
        </is>
      </c>
      <c r="S213" s="24" t="inlineStr">
        <is>
          <t>MEDIUM</t>
        </is>
      </c>
      <c r="T213" s="24" t="inlineStr">
        <is>
          <t>MEDIUM</t>
        </is>
      </c>
      <c r="U213" s="24" t="inlineStr">
        <is>
          <t>0.7142857142857143</t>
        </is>
      </c>
      <c r="V213" s="24" t="inlineStr">
        <is>
          <t>HIGH_RISK</t>
        </is>
      </c>
      <c r="W213" s="24" t="inlineStr">
        <is>
          <t>고위험</t>
        </is>
      </c>
      <c r="X213" s="24" t="inlineStr">
        <is>
          <t>HIGH_RISK</t>
        </is>
      </c>
      <c r="Y213" s="24" t="inlineStr">
        <is>
          <t>0.9759550340612091</t>
        </is>
      </c>
      <c r="Z213" s="24" t="inlineStr">
        <is>
          <t>HIGH</t>
        </is>
      </c>
      <c r="AA213" s="24" t="inlineStr">
        <is>
          <t>HIGH</t>
        </is>
      </c>
      <c r="AB213" s="24" t="inlineStr">
        <is>
          <t>0.07328745198510121</t>
        </is>
      </c>
      <c r="AC213" s="24" t="inlineStr">
        <is>
          <t>False</t>
        </is>
      </c>
      <c r="AD213" s="24" t="inlineStr">
        <is>
          <t>False</t>
        </is>
      </c>
      <c r="AE213" s="24" t="inlineStr">
        <is>
          <t>valuation_credit_ml_overlay_candidate.csv</t>
        </is>
      </c>
      <c r="AF213" s="24" t="inlineStr">
        <is>
          <t>208개 반도체 reference universe. Valuation Agent가 자체 intake 폴더로 복제해 Peer/ML/대시보드 비교에 사용.</t>
        </is>
      </c>
    </row>
    <row r="214" ht="24" customHeight="1">
      <c r="A214" s="29" t="inlineStr">
        <is>
          <t>59</t>
        </is>
      </c>
      <c r="B214" s="29" t="inlineStr">
        <is>
          <t>해당 없음</t>
        </is>
      </c>
      <c r="C214" s="29" t="inlineStr">
        <is>
          <t>알파칩스</t>
        </is>
      </c>
      <c r="D214" s="29" t="inlineStr">
        <is>
          <t>117670</t>
        </is>
      </c>
      <c r="E214" s="29" t="inlineStr">
        <is>
          <t>KOSDAQ</t>
        </is>
      </c>
      <c r="F214" s="29" t="inlineStr">
        <is>
          <t>팹리스/설계</t>
        </is>
      </c>
      <c r="G214" s="29" t="inlineStr">
        <is>
          <t>팹리스/설계</t>
        </is>
      </c>
      <c r="H214" s="29" t="inlineStr">
        <is>
          <t>False</t>
        </is>
      </c>
      <c r="I214" s="29" t="inlineStr">
        <is>
          <t>True</t>
        </is>
      </c>
      <c r="J214" s="29" t="inlineStr">
        <is>
          <t>OK</t>
        </is>
      </c>
      <c r="K214" s="29" t="inlineStr">
        <is>
          <t>데이터 사용 가능</t>
        </is>
      </c>
      <c r="L214" s="29" t="inlineStr">
        <is>
          <t>LOW</t>
        </is>
      </c>
      <c r="M214" s="29" t="inlineStr">
        <is>
          <t>LOW</t>
        </is>
      </c>
      <c r="N214" s="29" t="inlineStr">
        <is>
          <t>0.4826262626262627</t>
        </is>
      </c>
      <c r="O214" s="29" t="inlineStr">
        <is>
          <t>FAIR</t>
        </is>
      </c>
      <c r="P214" s="29" t="inlineStr">
        <is>
          <t>FAIR</t>
        </is>
      </c>
      <c r="Q214" s="29" t="inlineStr">
        <is>
          <t>FAIR</t>
        </is>
      </c>
      <c r="R214" s="29" t="inlineStr">
        <is>
          <t>0.7398835550872951</t>
        </is>
      </c>
      <c r="S214" s="29" t="inlineStr">
        <is>
          <t>HIGH</t>
        </is>
      </c>
      <c r="T214" s="29" t="inlineStr">
        <is>
          <t>HIGH</t>
        </is>
      </c>
      <c r="U214" s="29" t="inlineStr">
        <is>
          <t>0.2857142857142857</t>
        </is>
      </c>
      <c r="V214" s="29" t="inlineStr">
        <is>
          <t>MEDIUM_RISK</t>
        </is>
      </c>
      <c r="W214" s="29" t="inlineStr">
        <is>
          <t>중위험</t>
        </is>
      </c>
      <c r="X214" s="29" t="inlineStr">
        <is>
          <t>MEDIUM_RISK</t>
        </is>
      </c>
      <c r="Y214" s="29" t="inlineStr">
        <is>
          <t>0.8321400367761521</t>
        </is>
      </c>
      <c r="Z214" s="29" t="inlineStr">
        <is>
          <t>HIGH</t>
        </is>
      </c>
      <c r="AA214" s="29" t="inlineStr">
        <is>
          <t>HIGH</t>
        </is>
      </c>
      <c r="AB214" s="29" t="inlineStr">
        <is>
          <t>0.06605777558134833</t>
        </is>
      </c>
      <c r="AC214" s="29" t="inlineStr">
        <is>
          <t>False</t>
        </is>
      </c>
      <c r="AD214" s="29" t="inlineStr">
        <is>
          <t>False</t>
        </is>
      </c>
      <c r="AE214" s="29" t="inlineStr">
        <is>
          <t>valuation_credit_ml_overlay_candidate.csv</t>
        </is>
      </c>
      <c r="AF214" s="29" t="inlineStr">
        <is>
          <t>208개 반도체 reference universe. Valuation Agent가 자체 intake 폴더로 복제해 Peer/ML/대시보드 비교에 사용.</t>
        </is>
      </c>
    </row>
    <row r="215" ht="24" customHeight="1">
      <c r="A215" s="24" t="inlineStr">
        <is>
          <t>46</t>
        </is>
      </c>
      <c r="B215" s="24" t="inlineStr">
        <is>
          <t>해당 없음</t>
        </is>
      </c>
      <c r="C215" s="24" t="inlineStr">
        <is>
          <t>라온로보틱스</t>
        </is>
      </c>
      <c r="D215" s="24" t="inlineStr">
        <is>
          <t>232680</t>
        </is>
      </c>
      <c r="E215" s="24" t="inlineStr">
        <is>
          <t>KOSDAQ</t>
        </is>
      </c>
      <c r="F215" s="24" t="inlineStr">
        <is>
          <t>팹리스/설계</t>
        </is>
      </c>
      <c r="G215" s="24" t="inlineStr">
        <is>
          <t>팹리스/설계</t>
        </is>
      </c>
      <c r="H215" s="24" t="inlineStr">
        <is>
          <t>False</t>
        </is>
      </c>
      <c r="I215" s="24" t="inlineStr">
        <is>
          <t>True</t>
        </is>
      </c>
      <c r="J215" s="24" t="inlineStr">
        <is>
          <t>OK</t>
        </is>
      </c>
      <c r="K215" s="24" t="inlineStr">
        <is>
          <t>데이터 사용 가능</t>
        </is>
      </c>
      <c r="L215" s="24" t="inlineStr">
        <is>
          <t>LOW</t>
        </is>
      </c>
      <c r="M215" s="24" t="inlineStr">
        <is>
          <t>LOW</t>
        </is>
      </c>
      <c r="N215" s="24" t="inlineStr">
        <is>
          <t>0.4745454545454545</t>
        </is>
      </c>
      <c r="O215" s="24" t="inlineStr">
        <is>
          <t>FAIR</t>
        </is>
      </c>
      <c r="P215" s="24" t="inlineStr">
        <is>
          <t>FAIR</t>
        </is>
      </c>
      <c r="Q215" s="24" t="inlineStr">
        <is>
          <t>FAIR</t>
        </is>
      </c>
      <c r="R215" s="24" t="inlineStr">
        <is>
          <t>0.7863374675167921</t>
        </is>
      </c>
      <c r="S215" s="24" t="inlineStr">
        <is>
          <t>HIGH</t>
        </is>
      </c>
      <c r="T215" s="24" t="inlineStr">
        <is>
          <t>HIGH</t>
        </is>
      </c>
      <c r="U215" s="24" t="inlineStr">
        <is>
          <t>0.1428571428571428</t>
        </is>
      </c>
      <c r="V215" s="24" t="inlineStr">
        <is>
          <t>LOW_RISK</t>
        </is>
      </c>
      <c r="W215" s="24" t="inlineStr">
        <is>
          <t>저위험</t>
        </is>
      </c>
      <c r="X215" s="24" t="inlineStr">
        <is>
          <t>LOW_RISK</t>
        </is>
      </c>
      <c r="Y215" s="24" t="inlineStr">
        <is>
          <t>0.6877521386643212</t>
        </is>
      </c>
      <c r="Z215" s="24" t="inlineStr">
        <is>
          <t>MEDIUM</t>
        </is>
      </c>
      <c r="AA215" s="24" t="inlineStr">
        <is>
          <t>MEDIUM</t>
        </is>
      </c>
      <c r="AB215" s="24" t="inlineStr">
        <is>
          <t>0.026169607074936322</t>
        </is>
      </c>
      <c r="AC215" s="24" t="inlineStr">
        <is>
          <t>False</t>
        </is>
      </c>
      <c r="AD215" s="24" t="inlineStr">
        <is>
          <t>False</t>
        </is>
      </c>
      <c r="AE215" s="24" t="inlineStr">
        <is>
          <t>valuation_credit_ml_overlay_candidate.csv</t>
        </is>
      </c>
      <c r="AF215" s="24" t="inlineStr">
        <is>
          <t>208개 반도체 reference universe. Valuation Agent가 자체 intake 폴더로 복제해 Peer/ML/대시보드 비교에 사용.</t>
        </is>
      </c>
    </row>
    <row r="216" ht="24" customHeight="1">
      <c r="A216" s="29" t="inlineStr">
        <is>
          <t>51</t>
        </is>
      </c>
      <c r="B216" s="29" t="inlineStr">
        <is>
          <t>해당 없음</t>
        </is>
      </c>
      <c r="C216" s="29" t="inlineStr">
        <is>
          <t>싸이닉솔루션</t>
        </is>
      </c>
      <c r="D216" s="29" t="inlineStr">
        <is>
          <t>234030</t>
        </is>
      </c>
      <c r="E216" s="29" t="inlineStr">
        <is>
          <t>KOSDAQ</t>
        </is>
      </c>
      <c r="F216" s="29" t="inlineStr">
        <is>
          <t>팹리스/설계</t>
        </is>
      </c>
      <c r="G216" s="29" t="inlineStr">
        <is>
          <t>팹리스/설계</t>
        </is>
      </c>
      <c r="H216" s="29" t="inlineStr">
        <is>
          <t>False</t>
        </is>
      </c>
      <c r="I216" s="29" t="inlineStr">
        <is>
          <t>True</t>
        </is>
      </c>
      <c r="J216" s="29" t="inlineStr">
        <is>
          <t>OK_LIMITED_HISTORY_OR_GROWTH_NA</t>
        </is>
      </c>
      <c r="K216" s="29" t="inlineStr">
        <is>
          <t>데이터 사용 가능</t>
        </is>
      </c>
      <c r="L216" s="29" t="inlineStr">
        <is>
          <t>LOW</t>
        </is>
      </c>
      <c r="M216" s="29" t="inlineStr">
        <is>
          <t>LOW</t>
        </is>
      </c>
      <c r="N216" s="29" t="inlineStr">
        <is>
          <t>0.4670707070707071</t>
        </is>
      </c>
      <c r="O216" s="29" t="inlineStr">
        <is>
          <t>FAIR</t>
        </is>
      </c>
      <c r="P216" s="29" t="inlineStr">
        <is>
          <t>FAIR</t>
        </is>
      </c>
      <c r="Q216" s="29" t="inlineStr">
        <is>
          <t>FAIR</t>
        </is>
      </c>
      <c r="R216" s="29" t="inlineStr">
        <is>
          <t>0.7962034217650586</t>
        </is>
      </c>
      <c r="S216" s="29" t="inlineStr">
        <is>
          <t>HIGH</t>
        </is>
      </c>
      <c r="T216" s="29" t="inlineStr">
        <is>
          <t>HIGH</t>
        </is>
      </c>
      <c r="U216" s="29" t="inlineStr">
        <is>
          <t>0.3571428571428571</t>
        </is>
      </c>
      <c r="V216" s="29" t="inlineStr">
        <is>
          <t>MEDIUM_RISK</t>
        </is>
      </c>
      <c r="W216" s="29" t="inlineStr">
        <is>
          <t>중위험</t>
        </is>
      </c>
      <c r="X216" s="29" t="inlineStr">
        <is>
          <t>MEDIUM_RISK</t>
        </is>
      </c>
      <c r="Y216" s="29" t="inlineStr">
        <is>
          <t>0.7381251250014311</t>
        </is>
      </c>
      <c r="Z216" s="29" t="inlineStr">
        <is>
          <t>HIGH</t>
        </is>
      </c>
      <c r="AA216" s="29" t="inlineStr">
        <is>
          <t>HIGH</t>
        </is>
      </c>
      <c r="AB216" s="29" t="inlineStr">
        <is>
          <t>0.06902922032160619</t>
        </is>
      </c>
      <c r="AC216" s="29" t="inlineStr">
        <is>
          <t>False</t>
        </is>
      </c>
      <c r="AD216" s="29" t="inlineStr">
        <is>
          <t>True</t>
        </is>
      </c>
      <c r="AE216" s="29" t="inlineStr">
        <is>
          <t>valuation_credit_ml_overlay_candidate.csv</t>
        </is>
      </c>
      <c r="AF216" s="29" t="inlineStr">
        <is>
          <t>208개 반도체 reference universe. Valuation Agent가 자체 intake 폴더로 복제해 Peer/ML/대시보드 비교에 사용.</t>
        </is>
      </c>
    </row>
    <row r="217" ht="24" customHeight="1">
      <c r="A217" s="24" t="inlineStr">
        <is>
          <t>56</t>
        </is>
      </c>
      <c r="B217" s="24" t="inlineStr">
        <is>
          <t>해당 없음</t>
        </is>
      </c>
      <c r="C217" s="24" t="inlineStr">
        <is>
          <t>아이언디바이스</t>
        </is>
      </c>
      <c r="D217" s="24" t="inlineStr">
        <is>
          <t>464500</t>
        </is>
      </c>
      <c r="E217" s="24" t="inlineStr">
        <is>
          <t>KOSDAQ</t>
        </is>
      </c>
      <c r="F217" s="24" t="inlineStr">
        <is>
          <t>팹리스/설계</t>
        </is>
      </c>
      <c r="G217" s="24" t="inlineStr">
        <is>
          <t>팹리스/설계</t>
        </is>
      </c>
      <c r="H217" s="24" t="inlineStr">
        <is>
          <t>False</t>
        </is>
      </c>
      <c r="I217" s="24" t="inlineStr">
        <is>
          <t>True</t>
        </is>
      </c>
      <c r="J217" s="24" t="inlineStr">
        <is>
          <t>OK_LIMITED_HISTORY_OR_GROWTH_NA</t>
        </is>
      </c>
      <c r="K217" s="24" t="inlineStr">
        <is>
          <t>데이터 사용 가능</t>
        </is>
      </c>
      <c r="L217" s="24" t="inlineStr">
        <is>
          <t>LOW</t>
        </is>
      </c>
      <c r="M217" s="24" t="inlineStr">
        <is>
          <t>LOW</t>
        </is>
      </c>
      <c r="N217" s="24" t="inlineStr">
        <is>
          <t>0.4278787878787879</t>
        </is>
      </c>
      <c r="O217" s="24" t="inlineStr">
        <is>
          <t>FAIR</t>
        </is>
      </c>
      <c r="P217" s="24" t="inlineStr">
        <is>
          <t>FAIR</t>
        </is>
      </c>
      <c r="Q217" s="24" t="inlineStr">
        <is>
          <t>EXPENSIVE</t>
        </is>
      </c>
      <c r="R217" s="24" t="inlineStr">
        <is>
          <t>0.767854918982104</t>
        </is>
      </c>
      <c r="S217" s="24" t="inlineStr">
        <is>
          <t>HIGH</t>
        </is>
      </c>
      <c r="T217" s="24" t="inlineStr">
        <is>
          <t>HIGH</t>
        </is>
      </c>
      <c r="U217" s="24" t="inlineStr">
        <is>
          <t>0.5714285714285714</t>
        </is>
      </c>
      <c r="V217" s="24" t="inlineStr">
        <is>
          <t>HIGH_RISK</t>
        </is>
      </c>
      <c r="W217" s="24" t="inlineStr">
        <is>
          <t>고위험</t>
        </is>
      </c>
      <c r="X217" s="24" t="inlineStr">
        <is>
          <t>HIGH_RISK</t>
        </is>
      </c>
      <c r="Y217" s="24" t="inlineStr">
        <is>
          <t>0.9669454138137473</t>
        </is>
      </c>
      <c r="Z217" s="24" t="inlineStr">
        <is>
          <t>HIGH</t>
        </is>
      </c>
      <c r="AA217" s="24" t="inlineStr">
        <is>
          <t>HIGH</t>
        </is>
      </c>
      <c r="AB217" s="24" t="inlineStr">
        <is>
          <t>0.37904191381671964</t>
        </is>
      </c>
      <c r="AC217" s="24" t="inlineStr">
        <is>
          <t>True</t>
        </is>
      </c>
      <c r="AD217" s="24" t="inlineStr">
        <is>
          <t>True</t>
        </is>
      </c>
      <c r="AE217" s="24" t="inlineStr">
        <is>
          <t>valuation_credit_ml_overlay_candidate.csv</t>
        </is>
      </c>
      <c r="AF217" s="24" t="inlineStr">
        <is>
          <t>208개 반도체 reference universe. Valuation Agent가 자체 intake 폴더로 복제해 Peer/ML/대시보드 비교에 사용.</t>
        </is>
      </c>
    </row>
    <row r="218" ht="24" customHeight="1">
      <c r="A218" s="29" t="inlineStr">
        <is>
          <t>52</t>
        </is>
      </c>
      <c r="B218" s="29" t="inlineStr">
        <is>
          <t>해당 없음</t>
        </is>
      </c>
      <c r="C218" s="29" t="inlineStr">
        <is>
          <t>쓰리에이로직스</t>
        </is>
      </c>
      <c r="D218" s="29" t="inlineStr">
        <is>
          <t>177900</t>
        </is>
      </c>
      <c r="E218" s="29" t="inlineStr">
        <is>
          <t>KOSDAQ</t>
        </is>
      </c>
      <c r="F218" s="29" t="inlineStr">
        <is>
          <t>팹리스/설계</t>
        </is>
      </c>
      <c r="G218" s="29" t="inlineStr">
        <is>
          <t>팹리스/설계</t>
        </is>
      </c>
      <c r="H218" s="29" t="inlineStr">
        <is>
          <t>False</t>
        </is>
      </c>
      <c r="I218" s="29" t="inlineStr">
        <is>
          <t>True</t>
        </is>
      </c>
      <c r="J218" s="29" t="inlineStr">
        <is>
          <t>OK_LIMITED_HISTORY_OR_GROWTH_NA</t>
        </is>
      </c>
      <c r="K218" s="29" t="inlineStr">
        <is>
          <t>데이터 사용 가능</t>
        </is>
      </c>
      <c r="L218" s="29" t="inlineStr">
        <is>
          <t>LOW</t>
        </is>
      </c>
      <c r="M218" s="29" t="inlineStr">
        <is>
          <t>LOW</t>
        </is>
      </c>
      <c r="N218" s="29" t="inlineStr">
        <is>
          <t>0.4266666666666666</t>
        </is>
      </c>
      <c r="O218" s="29" t="inlineStr">
        <is>
          <t>FAIR</t>
        </is>
      </c>
      <c r="P218" s="29" t="inlineStr">
        <is>
          <t>FAIR</t>
        </is>
      </c>
      <c r="Q218" s="29" t="inlineStr">
        <is>
          <t>EXPENSIVE</t>
        </is>
      </c>
      <c r="R218" s="29" t="inlineStr">
        <is>
          <t>0.5793703556022938</t>
        </is>
      </c>
      <c r="S218" s="29" t="inlineStr">
        <is>
          <t>MEDIUM</t>
        </is>
      </c>
      <c r="T218" s="29" t="inlineStr">
        <is>
          <t>MEDIUM</t>
        </is>
      </c>
      <c r="U218" s="29" t="inlineStr">
        <is>
          <t>0.5714285714285714</t>
        </is>
      </c>
      <c r="V218" s="29" t="inlineStr">
        <is>
          <t>HIGH_RISK</t>
        </is>
      </c>
      <c r="W218" s="29" t="inlineStr">
        <is>
          <t>고위험</t>
        </is>
      </c>
      <c r="X218" s="29" t="inlineStr">
        <is>
          <t>HIGH_RISK</t>
        </is>
      </c>
      <c r="Y218" s="29" t="inlineStr">
        <is>
          <t>0.947298040301951</t>
        </is>
      </c>
      <c r="Z218" s="29" t="inlineStr">
        <is>
          <t>HIGH</t>
        </is>
      </c>
      <c r="AA218" s="29" t="inlineStr">
        <is>
          <t>HIGH</t>
        </is>
      </c>
      <c r="AB218" s="29" t="inlineStr">
        <is>
          <t>0.09970421258194967</t>
        </is>
      </c>
      <c r="AC218" s="29" t="inlineStr">
        <is>
          <t>False</t>
        </is>
      </c>
      <c r="AD218" s="29" t="inlineStr">
        <is>
          <t>True</t>
        </is>
      </c>
      <c r="AE218" s="29" t="inlineStr">
        <is>
          <t>valuation_credit_ml_overlay_candidate.csv</t>
        </is>
      </c>
      <c r="AF218" s="29" t="inlineStr">
        <is>
          <t>208개 반도체 reference universe. Valuation Agent가 자체 intake 폴더로 복제해 Peer/ML/대시보드 비교에 사용.</t>
        </is>
      </c>
    </row>
    <row r="219" ht="24" customHeight="1">
      <c r="A219" s="24" t="inlineStr">
        <is>
          <t>43</t>
        </is>
      </c>
      <c r="B219" s="24" t="inlineStr">
        <is>
          <t>해당 없음</t>
        </is>
      </c>
      <c r="C219" s="24" t="inlineStr">
        <is>
          <t>넥스트칩</t>
        </is>
      </c>
      <c r="D219" s="24" t="inlineStr">
        <is>
          <t>396270</t>
        </is>
      </c>
      <c r="E219" s="24" t="inlineStr">
        <is>
          <t>KOSDAQ</t>
        </is>
      </c>
      <c r="F219" s="24" t="inlineStr">
        <is>
          <t>팹리스/설계</t>
        </is>
      </c>
      <c r="G219" s="24" t="inlineStr">
        <is>
          <t>팹리스/설계</t>
        </is>
      </c>
      <c r="H219" s="24" t="inlineStr">
        <is>
          <t>False</t>
        </is>
      </c>
      <c r="I219" s="24" t="inlineStr">
        <is>
          <t>True</t>
        </is>
      </c>
      <c r="J219" s="24" t="inlineStr">
        <is>
          <t>OK</t>
        </is>
      </c>
      <c r="K219" s="24" t="inlineStr">
        <is>
          <t>데이터 사용 가능</t>
        </is>
      </c>
      <c r="L219" s="24" t="inlineStr">
        <is>
          <t>LOW</t>
        </is>
      </c>
      <c r="M219" s="24" t="inlineStr">
        <is>
          <t>LOW</t>
        </is>
      </c>
      <c r="N219" s="24" t="inlineStr">
        <is>
          <t>0.3743434343434344</t>
        </is>
      </c>
      <c r="O219" s="24" t="inlineStr">
        <is>
          <t>EXPENSIVE</t>
        </is>
      </c>
      <c r="P219" s="24" t="inlineStr">
        <is>
          <t>EXPENSIVE</t>
        </is>
      </c>
      <c r="Q219" s="24" t="inlineStr">
        <is>
          <t>EXPENSIVE</t>
        </is>
      </c>
      <c r="R219" s="24" t="inlineStr">
        <is>
          <t>0.9380466040149497</t>
        </is>
      </c>
      <c r="S219" s="24" t="inlineStr">
        <is>
          <t>HIGH</t>
        </is>
      </c>
      <c r="T219" s="24" t="inlineStr">
        <is>
          <t>HIGH</t>
        </is>
      </c>
      <c r="U219" s="24" t="inlineStr">
        <is>
          <t>0.7142857142857143</t>
        </is>
      </c>
      <c r="V219" s="24" t="inlineStr">
        <is>
          <t>HIGH_RISK</t>
        </is>
      </c>
      <c r="W219" s="24" t="inlineStr">
        <is>
          <t>고위험</t>
        </is>
      </c>
      <c r="X219" s="24" t="inlineStr">
        <is>
          <t>HIGH_RISK</t>
        </is>
      </c>
      <c r="Y219" s="24" t="inlineStr">
        <is>
          <t>0.9903921975513593</t>
        </is>
      </c>
      <c r="Z219" s="24" t="inlineStr">
        <is>
          <t>HIGH</t>
        </is>
      </c>
      <c r="AA219" s="24" t="inlineStr">
        <is>
          <t>HIGH</t>
        </is>
      </c>
      <c r="AB219" s="24" t="inlineStr">
        <is>
          <t>0.35370954409664757</t>
        </is>
      </c>
      <c r="AC219" s="24" t="inlineStr">
        <is>
          <t>True</t>
        </is>
      </c>
      <c r="AD219" s="24" t="inlineStr">
        <is>
          <t>True</t>
        </is>
      </c>
      <c r="AE219" s="24" t="inlineStr">
        <is>
          <t>valuation_credit_ml_overlay_candidate.csv</t>
        </is>
      </c>
      <c r="AF219" s="24" t="inlineStr">
        <is>
          <t>208개 반도체 reference universe. Valuation Agent가 자체 intake 폴더로 복제해 Peer/ML/대시보드 비교에 사용.</t>
        </is>
      </c>
    </row>
    <row r="220" ht="24" customHeight="1">
      <c r="A220" s="29" t="inlineStr">
        <is>
          <t>49</t>
        </is>
      </c>
      <c r="B220" s="29" t="inlineStr">
        <is>
          <t>해당 없음</t>
        </is>
      </c>
      <c r="C220" s="29" t="inlineStr">
        <is>
          <t>사피엔반도체</t>
        </is>
      </c>
      <c r="D220" s="29" t="inlineStr">
        <is>
          <t>452430</t>
        </is>
      </c>
      <c r="E220" s="29" t="inlineStr">
        <is>
          <t>KOSDAQ</t>
        </is>
      </c>
      <c r="F220" s="29" t="inlineStr">
        <is>
          <t>팹리스/설계</t>
        </is>
      </c>
      <c r="G220" s="29" t="inlineStr">
        <is>
          <t>팹리스/설계</t>
        </is>
      </c>
      <c r="H220" s="29" t="inlineStr">
        <is>
          <t>False</t>
        </is>
      </c>
      <c r="I220" s="29" t="inlineStr">
        <is>
          <t>True</t>
        </is>
      </c>
      <c r="J220" s="29" t="inlineStr">
        <is>
          <t>OK_LIMITED_HISTORY_OR_GROWTH_NA</t>
        </is>
      </c>
      <c r="K220" s="29" t="inlineStr">
        <is>
          <t>데이터 사용 가능</t>
        </is>
      </c>
      <c r="L220" s="29" t="inlineStr">
        <is>
          <t>LOW</t>
        </is>
      </c>
      <c r="M220" s="29" t="inlineStr">
        <is>
          <t>LOW</t>
        </is>
      </c>
      <c r="N220" s="29" t="inlineStr">
        <is>
          <t>0.3721212121212121</t>
        </is>
      </c>
      <c r="O220" s="29" t="inlineStr">
        <is>
          <t>EXPENSIVE</t>
        </is>
      </c>
      <c r="P220" s="29" t="inlineStr">
        <is>
          <t>EXPENSIVE</t>
        </is>
      </c>
      <c r="Q220" s="29" t="inlineStr">
        <is>
          <t>EXPENSIVE</t>
        </is>
      </c>
      <c r="R220" s="29" t="inlineStr">
        <is>
          <t>0.8482781866315999</t>
        </is>
      </c>
      <c r="S220" s="29" t="inlineStr">
        <is>
          <t>HIGH</t>
        </is>
      </c>
      <c r="T220" s="29" t="inlineStr">
        <is>
          <t>HIGH</t>
        </is>
      </c>
      <c r="U220" s="29" t="inlineStr">
        <is>
          <t>0.5714285714285714</t>
        </is>
      </c>
      <c r="V220" s="29" t="inlineStr">
        <is>
          <t>HIGH_RISK</t>
        </is>
      </c>
      <c r="W220" s="29" t="inlineStr">
        <is>
          <t>고위험</t>
        </is>
      </c>
      <c r="X220" s="29" t="inlineStr">
        <is>
          <t>MEDIUM_RISK</t>
        </is>
      </c>
      <c r="Y220" s="29" t="inlineStr">
        <is>
          <t>0.5745685064585346</t>
        </is>
      </c>
      <c r="Z220" s="29" t="inlineStr">
        <is>
          <t>MEDIUM</t>
        </is>
      </c>
      <c r="AA220" s="29" t="inlineStr">
        <is>
          <t>MEDIUM</t>
        </is>
      </c>
      <c r="AB220" s="29" t="inlineStr">
        <is>
          <t>0.12187984427462309</t>
        </is>
      </c>
      <c r="AC220" s="29" t="inlineStr">
        <is>
          <t>False</t>
        </is>
      </c>
      <c r="AD220" s="29" t="inlineStr">
        <is>
          <t>True</t>
        </is>
      </c>
      <c r="AE220" s="29" t="inlineStr">
        <is>
          <t>valuation_credit_ml_overlay_candidate.csv</t>
        </is>
      </c>
      <c r="AF220" s="29" t="inlineStr">
        <is>
          <t>208개 반도체 reference universe. Valuation Agent가 자체 intake 폴더로 복제해 Peer/ML/대시보드 비교에 사용.</t>
        </is>
      </c>
    </row>
    <row r="221" ht="24" customHeight="1">
      <c r="A221" s="24" t="inlineStr">
        <is>
          <t>44</t>
        </is>
      </c>
      <c r="B221" s="24" t="inlineStr">
        <is>
          <t>해당 없음</t>
        </is>
      </c>
      <c r="C221" s="24" t="inlineStr">
        <is>
          <t>동운아나텍</t>
        </is>
      </c>
      <c r="D221" s="24" t="inlineStr">
        <is>
          <t>094170</t>
        </is>
      </c>
      <c r="E221" s="24" t="inlineStr">
        <is>
          <t>KOSDAQ</t>
        </is>
      </c>
      <c r="F221" s="24" t="inlineStr">
        <is>
          <t>팹리스/설계</t>
        </is>
      </c>
      <c r="G221" s="24" t="inlineStr">
        <is>
          <t>팹리스/설계</t>
        </is>
      </c>
      <c r="H221" s="24" t="inlineStr">
        <is>
          <t>False</t>
        </is>
      </c>
      <c r="I221" s="24" t="inlineStr">
        <is>
          <t>True</t>
        </is>
      </c>
      <c r="J221" s="24" t="inlineStr">
        <is>
          <t>OK</t>
        </is>
      </c>
      <c r="K221" s="24" t="inlineStr">
        <is>
          <t>데이터 사용 가능</t>
        </is>
      </c>
      <c r="L221" s="24" t="inlineStr">
        <is>
          <t>LOW</t>
        </is>
      </c>
      <c r="M221" s="24" t="inlineStr">
        <is>
          <t>LOW</t>
        </is>
      </c>
      <c r="N221" s="24" t="inlineStr">
        <is>
          <t>0.3670707070707071</t>
        </is>
      </c>
      <c r="O221" s="24" t="inlineStr">
        <is>
          <t>EXPENSIVE</t>
        </is>
      </c>
      <c r="P221" s="24" t="inlineStr">
        <is>
          <t>EXPENSIVE</t>
        </is>
      </c>
      <c r="Q221" s="24" t="inlineStr">
        <is>
          <t>EXPENSIVE</t>
        </is>
      </c>
      <c r="R221" s="24" t="inlineStr">
        <is>
          <t>0.4894423516429773</t>
        </is>
      </c>
      <c r="S221" s="24" t="inlineStr">
        <is>
          <t>LOW</t>
        </is>
      </c>
      <c r="T221" s="24" t="inlineStr">
        <is>
          <t>LOW</t>
        </is>
      </c>
      <c r="U221" s="24" t="inlineStr">
        <is>
          <t>0.2142857142857142</t>
        </is>
      </c>
      <c r="V221" s="24" t="inlineStr">
        <is>
          <t>MEDIUM_RISK</t>
        </is>
      </c>
      <c r="W221" s="24" t="inlineStr">
        <is>
          <t>중위험</t>
        </is>
      </c>
      <c r="X221" s="24" t="inlineStr">
        <is>
          <t>MEDIUM_RISK</t>
        </is>
      </c>
      <c r="Y221" s="24" t="inlineStr">
        <is>
          <t>0.5063531969196903</t>
        </is>
      </c>
      <c r="Z221" s="24" t="inlineStr">
        <is>
          <t>MEDIUM</t>
        </is>
      </c>
      <c r="AA221" s="24" t="inlineStr">
        <is>
          <t>MEDIUM</t>
        </is>
      </c>
      <c r="AB221" s="24" t="inlineStr">
        <is>
          <t>0.09811976029987664</t>
        </is>
      </c>
      <c r="AC221" s="24" t="inlineStr">
        <is>
          <t>False</t>
        </is>
      </c>
      <c r="AD221" s="24" t="inlineStr">
        <is>
          <t>True</t>
        </is>
      </c>
      <c r="AE221" s="24" t="inlineStr">
        <is>
          <t>valuation_credit_ml_overlay_candidate.csv</t>
        </is>
      </c>
      <c r="AF221" s="24" t="inlineStr">
        <is>
          <t>208개 반도체 reference universe. Valuation Agent가 자체 intake 폴더로 복제해 Peer/ML/대시보드 비교에 사용.</t>
        </is>
      </c>
    </row>
    <row r="222" ht="24" customHeight="1">
      <c r="A222" s="29" t="inlineStr">
        <is>
          <t>50</t>
        </is>
      </c>
      <c r="B222" s="29" t="inlineStr">
        <is>
          <t>해당 없음</t>
        </is>
      </c>
      <c r="C222" s="29" t="inlineStr">
        <is>
          <t>세미파이브</t>
        </is>
      </c>
      <c r="D222" s="29" t="inlineStr">
        <is>
          <t>490470</t>
        </is>
      </c>
      <c r="E222" s="29" t="inlineStr">
        <is>
          <t>KOSDAQ</t>
        </is>
      </c>
      <c r="F222" s="29" t="inlineStr">
        <is>
          <t>팹리스/설계</t>
        </is>
      </c>
      <c r="G222" s="29" t="inlineStr">
        <is>
          <t>팹리스/설계</t>
        </is>
      </c>
      <c r="H222" s="29" t="inlineStr">
        <is>
          <t>False</t>
        </is>
      </c>
      <c r="I222" s="29" t="inlineStr">
        <is>
          <t>True</t>
        </is>
      </c>
      <c r="J222" s="29" t="inlineStr">
        <is>
          <t>OK_LIMITED_HISTORY_OR_GROWTH_NA</t>
        </is>
      </c>
      <c r="K222" s="29" t="inlineStr">
        <is>
          <t>데이터 사용 가능</t>
        </is>
      </c>
      <c r="L222" s="29" t="inlineStr">
        <is>
          <t>LOW</t>
        </is>
      </c>
      <c r="M222" s="29" t="inlineStr">
        <is>
          <t>LOW</t>
        </is>
      </c>
      <c r="N222" s="29" t="inlineStr">
        <is>
          <t>0.3646464646464646</t>
        </is>
      </c>
      <c r="O222" s="29" t="inlineStr">
        <is>
          <t>EXPENSIVE</t>
        </is>
      </c>
      <c r="P222" s="29" t="inlineStr">
        <is>
          <t>EXPENSIVE</t>
        </is>
      </c>
      <c r="Q222" s="29" t="inlineStr">
        <is>
          <t>EXPENSIVE</t>
        </is>
      </c>
      <c r="R222" s="29" t="inlineStr">
        <is>
          <t>0.9277538303818181</t>
        </is>
      </c>
      <c r="S222" s="29" t="inlineStr">
        <is>
          <t>HIGH</t>
        </is>
      </c>
      <c r="T222" s="29" t="inlineStr">
        <is>
          <t>HIGH</t>
        </is>
      </c>
      <c r="U222" s="29" t="inlineStr">
        <is>
          <t>0.5</t>
        </is>
      </c>
      <c r="V222" s="29" t="inlineStr">
        <is>
          <t>HIGH_RISK</t>
        </is>
      </c>
      <c r="W222" s="29" t="inlineStr">
        <is>
          <t>고위험</t>
        </is>
      </c>
      <c r="X222" s="29" t="inlineStr">
        <is>
          <t>HIGH_RISK</t>
        </is>
      </c>
      <c r="Y222" s="29" t="inlineStr">
        <is>
          <t>0.8726925242668786</t>
        </is>
      </c>
      <c r="Z222" s="29" t="inlineStr">
        <is>
          <t>HIGH</t>
        </is>
      </c>
      <c r="AA222" s="29" t="inlineStr">
        <is>
          <t>HIGH</t>
        </is>
      </c>
      <c r="AB222" s="29" t="inlineStr">
        <is>
          <t>0.10138163372341347</t>
        </is>
      </c>
      <c r="AC222" s="29" t="inlineStr">
        <is>
          <t>False</t>
        </is>
      </c>
      <c r="AD222" s="29" t="inlineStr">
        <is>
          <t>True</t>
        </is>
      </c>
      <c r="AE222" s="29" t="inlineStr">
        <is>
          <t>valuation_credit_ml_overlay_candidate.csv</t>
        </is>
      </c>
      <c r="AF222" s="29" t="inlineStr">
        <is>
          <t>208개 반도체 reference universe. Valuation Agent가 자체 intake 폴더로 복제해 Peer/ML/대시보드 비교에 사용.</t>
        </is>
      </c>
    </row>
    <row r="223" ht="24" customHeight="1">
      <c r="A223" s="24" t="inlineStr">
        <is>
          <t>63</t>
        </is>
      </c>
      <c r="B223" s="24" t="inlineStr">
        <is>
          <t>해당 없음</t>
        </is>
      </c>
      <c r="C223" s="24" t="inlineStr">
        <is>
          <t>에이직랜드</t>
        </is>
      </c>
      <c r="D223" s="24" t="inlineStr">
        <is>
          <t>445090</t>
        </is>
      </c>
      <c r="E223" s="24" t="inlineStr">
        <is>
          <t>KOSDAQ</t>
        </is>
      </c>
      <c r="F223" s="24" t="inlineStr">
        <is>
          <t>팹리스/설계</t>
        </is>
      </c>
      <c r="G223" s="24" t="inlineStr">
        <is>
          <t>팹리스/설계</t>
        </is>
      </c>
      <c r="H223" s="24" t="inlineStr">
        <is>
          <t>False</t>
        </is>
      </c>
      <c r="I223" s="24" t="inlineStr">
        <is>
          <t>True</t>
        </is>
      </c>
      <c r="J223" s="24" t="inlineStr">
        <is>
          <t>OK_LIMITED_HISTORY_OR_GROWTH_NA</t>
        </is>
      </c>
      <c r="K223" s="24" t="inlineStr">
        <is>
          <t>데이터 사용 가능</t>
        </is>
      </c>
      <c r="L223" s="24" t="inlineStr">
        <is>
          <t>LOW</t>
        </is>
      </c>
      <c r="M223" s="24" t="inlineStr">
        <is>
          <t>LOW</t>
        </is>
      </c>
      <c r="N223" s="24" t="inlineStr">
        <is>
          <t>0.3294949494949495</t>
        </is>
      </c>
      <c r="O223" s="24" t="inlineStr">
        <is>
          <t>EXPENSIVE</t>
        </is>
      </c>
      <c r="P223" s="24" t="inlineStr">
        <is>
          <t>EXPENSIVE</t>
        </is>
      </c>
      <c r="Q223" s="24" t="inlineStr">
        <is>
          <t>EXPENSIVE</t>
        </is>
      </c>
      <c r="R223" s="24" t="inlineStr">
        <is>
          <t>0.9058303131641584</t>
        </is>
      </c>
      <c r="S223" s="24" t="inlineStr">
        <is>
          <t>HIGH</t>
        </is>
      </c>
      <c r="T223" s="24" t="inlineStr">
        <is>
          <t>HIGH</t>
        </is>
      </c>
      <c r="U223" s="24" t="inlineStr">
        <is>
          <t>0.7857142857142857</t>
        </is>
      </c>
      <c r="V223" s="24" t="inlineStr">
        <is>
          <t>HIGH_RISK</t>
        </is>
      </c>
      <c r="W223" s="24" t="inlineStr">
        <is>
          <t>고위험</t>
        </is>
      </c>
      <c r="X223" s="24" t="inlineStr">
        <is>
          <t>HIGH_RISK</t>
        </is>
      </c>
      <c r="Y223" s="24" t="inlineStr">
        <is>
          <t>0.9947590219356869</t>
        </is>
      </c>
      <c r="Z223" s="24" t="inlineStr">
        <is>
          <t>HIGH</t>
        </is>
      </c>
      <c r="AA223" s="24" t="inlineStr">
        <is>
          <t>HIGH</t>
        </is>
      </c>
      <c r="AB223" s="24" t="inlineStr">
        <is>
          <t>0.22322767104490657</t>
        </is>
      </c>
      <c r="AC223" s="24" t="inlineStr">
        <is>
          <t>False</t>
        </is>
      </c>
      <c r="AD223" s="24" t="inlineStr">
        <is>
          <t>True</t>
        </is>
      </c>
      <c r="AE223" s="24" t="inlineStr">
        <is>
          <t>valuation_credit_ml_overlay_candidate.csv</t>
        </is>
      </c>
      <c r="AF223" s="24" t="inlineStr">
        <is>
          <t>208개 반도체 reference universe. Valuation Agent가 자체 intake 폴더로 복제해 Peer/ML/대시보드 비교에 사용.</t>
        </is>
      </c>
    </row>
    <row r="224" ht="24" customHeight="1">
      <c r="A224" s="29" t="inlineStr">
        <is>
          <t>45</t>
        </is>
      </c>
      <c r="B224" s="29" t="inlineStr">
        <is>
          <t>해당 없음</t>
        </is>
      </c>
      <c r="C224" s="29" t="inlineStr">
        <is>
          <t>라닉스</t>
        </is>
      </c>
      <c r="D224" s="29" t="inlineStr">
        <is>
          <t>317120</t>
        </is>
      </c>
      <c r="E224" s="29" t="inlineStr">
        <is>
          <t>KOSDAQ</t>
        </is>
      </c>
      <c r="F224" s="29" t="inlineStr">
        <is>
          <t>팹리스/설계</t>
        </is>
      </c>
      <c r="G224" s="29" t="inlineStr">
        <is>
          <t>팹리스/설계</t>
        </is>
      </c>
      <c r="H224" s="29" t="inlineStr">
        <is>
          <t>False</t>
        </is>
      </c>
      <c r="I224" s="29" t="inlineStr">
        <is>
          <t>True</t>
        </is>
      </c>
      <c r="J224" s="29" t="inlineStr">
        <is>
          <t>OK</t>
        </is>
      </c>
      <c r="K224" s="29" t="inlineStr">
        <is>
          <t>데이터 사용 가능</t>
        </is>
      </c>
      <c r="L224" s="29" t="inlineStr">
        <is>
          <t>LOW</t>
        </is>
      </c>
      <c r="M224" s="29" t="inlineStr">
        <is>
          <t>LOW</t>
        </is>
      </c>
      <c r="N224" s="29" t="inlineStr">
        <is>
          <t>0.3208080808080809</t>
        </is>
      </c>
      <c r="O224" s="29" t="inlineStr">
        <is>
          <t>EXPENSIVE</t>
        </is>
      </c>
      <c r="P224" s="29" t="inlineStr">
        <is>
          <t>EXPENSIVE</t>
        </is>
      </c>
      <c r="Q224" s="29" t="inlineStr">
        <is>
          <t>EXPENSIVE</t>
        </is>
      </c>
      <c r="R224" s="29" t="inlineStr">
        <is>
          <t>0.9281808400807596</t>
        </is>
      </c>
      <c r="S224" s="29" t="inlineStr">
        <is>
          <t>HIGH</t>
        </is>
      </c>
      <c r="T224" s="29" t="inlineStr">
        <is>
          <t>HIGH</t>
        </is>
      </c>
      <c r="U224" s="29" t="inlineStr">
        <is>
          <t>0.7142857142857143</t>
        </is>
      </c>
      <c r="V224" s="29" t="inlineStr">
        <is>
          <t>HIGH_RISK</t>
        </is>
      </c>
      <c r="W224" s="29" t="inlineStr">
        <is>
          <t>고위험</t>
        </is>
      </c>
      <c r="X224" s="29" t="inlineStr">
        <is>
          <t>HIGH_RISK</t>
        </is>
      </c>
      <c r="Y224" s="29" t="inlineStr">
        <is>
          <t>0.9891542031597422</t>
        </is>
      </c>
      <c r="Z224" s="29" t="inlineStr">
        <is>
          <t>HIGH</t>
        </is>
      </c>
      <c r="AA224" s="29" t="inlineStr">
        <is>
          <t>HIGH</t>
        </is>
      </c>
      <c r="AB224" s="29" t="inlineStr">
        <is>
          <t>0.2722138190712409</t>
        </is>
      </c>
      <c r="AC224" s="29" t="inlineStr">
        <is>
          <t>True</t>
        </is>
      </c>
      <c r="AD224" s="29" t="inlineStr">
        <is>
          <t>True</t>
        </is>
      </c>
      <c r="AE224" s="29" t="inlineStr">
        <is>
          <t>valuation_credit_ml_overlay_candidate.csv</t>
        </is>
      </c>
      <c r="AF224" s="29" t="inlineStr">
        <is>
          <t>208개 반도체 reference universe. Valuation Agent가 자체 intake 폴더로 복제해 Peer/ML/대시보드 비교에 사용.</t>
        </is>
      </c>
    </row>
    <row r="225" ht="24" customHeight="1">
      <c r="A225" s="24" t="inlineStr">
        <is>
          <t>42</t>
        </is>
      </c>
      <c r="B225" s="24" t="inlineStr">
        <is>
          <t>해당 없음</t>
        </is>
      </c>
      <c r="C225" s="24" t="inlineStr">
        <is>
          <t>가온칩스</t>
        </is>
      </c>
      <c r="D225" s="24" t="inlineStr">
        <is>
          <t>399720</t>
        </is>
      </c>
      <c r="E225" s="24" t="inlineStr">
        <is>
          <t>KOSDAQ</t>
        </is>
      </c>
      <c r="F225" s="24" t="inlineStr">
        <is>
          <t>팹리스/설계</t>
        </is>
      </c>
      <c r="G225" s="24" t="inlineStr">
        <is>
          <t>팹리스/설계</t>
        </is>
      </c>
      <c r="H225" s="24" t="inlineStr">
        <is>
          <t>False</t>
        </is>
      </c>
      <c r="I225" s="24" t="inlineStr">
        <is>
          <t>True</t>
        </is>
      </c>
      <c r="J225" s="24" t="inlineStr">
        <is>
          <t>OK</t>
        </is>
      </c>
      <c r="K225" s="24" t="inlineStr">
        <is>
          <t>데이터 사용 가능</t>
        </is>
      </c>
      <c r="L225" s="24" t="inlineStr">
        <is>
          <t>LOW</t>
        </is>
      </c>
      <c r="M225" s="24" t="inlineStr">
        <is>
          <t>LOW</t>
        </is>
      </c>
      <c r="N225" s="24" t="inlineStr">
        <is>
          <t>0.3119191919191919</t>
        </is>
      </c>
      <c r="O225" s="24" t="inlineStr">
        <is>
          <t>EXPENSIVE</t>
        </is>
      </c>
      <c r="P225" s="24" t="inlineStr">
        <is>
          <t>EXPENSIVE</t>
        </is>
      </c>
      <c r="Q225" s="24" t="inlineStr">
        <is>
          <t>EXPENSIVE</t>
        </is>
      </c>
      <c r="R225" s="24" t="inlineStr">
        <is>
          <t>0.9202856043409283</t>
        </is>
      </c>
      <c r="S225" s="24" t="inlineStr">
        <is>
          <t>HIGH</t>
        </is>
      </c>
      <c r="T225" s="24" t="inlineStr">
        <is>
          <t>HIGH</t>
        </is>
      </c>
      <c r="U225" s="24" t="inlineStr">
        <is>
          <t>0.5714285714285714</t>
        </is>
      </c>
      <c r="V225" s="24" t="inlineStr">
        <is>
          <t>HIGH_RISK</t>
        </is>
      </c>
      <c r="W225" s="24" t="inlineStr">
        <is>
          <t>고위험</t>
        </is>
      </c>
      <c r="X225" s="24" t="inlineStr">
        <is>
          <t>HIGH_RISK</t>
        </is>
      </c>
      <c r="Y225" s="24" t="inlineStr">
        <is>
          <t>0.9252273149693407</t>
        </is>
      </c>
      <c r="Z225" s="24" t="inlineStr">
        <is>
          <t>HIGH</t>
        </is>
      </c>
      <c r="AA225" s="24" t="inlineStr">
        <is>
          <t>HIGH</t>
        </is>
      </c>
      <c r="AB225" s="24" t="inlineStr">
        <is>
          <t>0.08996216176961074</t>
        </is>
      </c>
      <c r="AC225" s="24" t="inlineStr">
        <is>
          <t>False</t>
        </is>
      </c>
      <c r="AD225" s="24" t="inlineStr">
        <is>
          <t>False</t>
        </is>
      </c>
      <c r="AE225" s="24" t="inlineStr">
        <is>
          <t>valuation_credit_ml_overlay_candidate.csv</t>
        </is>
      </c>
      <c r="AF225" s="24" t="inlineStr">
        <is>
          <t>208개 반도체 reference universe. Valuation Agent가 자체 intake 폴더로 복제해 Peer/ML/대시보드 비교에 사용.</t>
        </is>
      </c>
    </row>
    <row r="226" ht="24" customHeight="1">
      <c r="A226" s="29" t="inlineStr">
        <is>
          <t>72</t>
        </is>
      </c>
      <c r="B226" s="29" t="inlineStr">
        <is>
          <t>해당 없음</t>
        </is>
      </c>
      <c r="C226" s="29" t="inlineStr">
        <is>
          <t>파두</t>
        </is>
      </c>
      <c r="D226" s="29" t="inlineStr">
        <is>
          <t>440110</t>
        </is>
      </c>
      <c r="E226" s="29" t="inlineStr">
        <is>
          <t>KOSDAQ</t>
        </is>
      </c>
      <c r="F226" s="29" t="inlineStr">
        <is>
          <t>팹리스/설계</t>
        </is>
      </c>
      <c r="G226" s="29" t="inlineStr">
        <is>
          <t>팹리스/설계</t>
        </is>
      </c>
      <c r="H226" s="29" t="inlineStr">
        <is>
          <t>False</t>
        </is>
      </c>
      <c r="I226" s="29" t="inlineStr">
        <is>
          <t>True</t>
        </is>
      </c>
      <c r="J226" s="29" t="inlineStr">
        <is>
          <t>OK_LIMITED_HISTORY_OR_GROWTH_NA</t>
        </is>
      </c>
      <c r="K226" s="29" t="inlineStr">
        <is>
          <t>데이터 사용 가능</t>
        </is>
      </c>
      <c r="L226" s="29" t="inlineStr">
        <is>
          <t>LOW</t>
        </is>
      </c>
      <c r="M226" s="29" t="inlineStr">
        <is>
          <t>LOW</t>
        </is>
      </c>
      <c r="N226" s="29" t="inlineStr">
        <is>
          <t>0.2817171717171717</t>
        </is>
      </c>
      <c r="O226" s="29" t="inlineStr">
        <is>
          <t>EXPENSIVE</t>
        </is>
      </c>
      <c r="P226" s="29" t="inlineStr">
        <is>
          <t>EXPENSIVE</t>
        </is>
      </c>
      <c r="Q226" s="29" t="inlineStr">
        <is>
          <t>EXPENSIVE</t>
        </is>
      </c>
      <c r="R226" s="29" t="inlineStr">
        <is>
          <t>0.9722302520284296</t>
        </is>
      </c>
      <c r="S226" s="29" t="inlineStr">
        <is>
          <t>HIGH</t>
        </is>
      </c>
      <c r="T226" s="29" t="inlineStr">
        <is>
          <t>HIGH</t>
        </is>
      </c>
      <c r="U226" s="29" t="inlineStr">
        <is>
          <t>0.7142857142857143</t>
        </is>
      </c>
      <c r="V226" s="29" t="inlineStr">
        <is>
          <t>HIGH_RISK</t>
        </is>
      </c>
      <c r="W226" s="29" t="inlineStr">
        <is>
          <t>고위험</t>
        </is>
      </c>
      <c r="X226" s="29" t="inlineStr">
        <is>
          <t>HIGH_RISK</t>
        </is>
      </c>
      <c r="Y226" s="29" t="inlineStr">
        <is>
          <t>0.9166704410023929</t>
        </is>
      </c>
      <c r="Z226" s="29" t="inlineStr">
        <is>
          <t>HIGH</t>
        </is>
      </c>
      <c r="AA226" s="29" t="inlineStr">
        <is>
          <t>HIGH</t>
        </is>
      </c>
      <c r="AB226" s="29" t="inlineStr">
        <is>
          <t>0.4892266150598854</t>
        </is>
      </c>
      <c r="AC226" s="29" t="inlineStr">
        <is>
          <t>True</t>
        </is>
      </c>
      <c r="AD226" s="29" t="inlineStr">
        <is>
          <t>True</t>
        </is>
      </c>
      <c r="AE226" s="29" t="inlineStr">
        <is>
          <t>valuation_credit_ml_overlay_candidate.csv</t>
        </is>
      </c>
      <c r="AF226" s="29" t="inlineStr">
        <is>
          <t>208개 반도체 reference universe. Valuation Agent가 자체 intake 폴더로 복제해 Peer/ML/대시보드 비교에 사용.</t>
        </is>
      </c>
    </row>
    <row r="227" ht="24" customHeight="1">
      <c r="A227" s="24" t="inlineStr">
        <is>
          <t>54</t>
        </is>
      </c>
      <c r="B227" s="24" t="inlineStr">
        <is>
          <t>해당 없음</t>
        </is>
      </c>
      <c r="C227" s="24" t="inlineStr">
        <is>
          <t>아이씨티케이</t>
        </is>
      </c>
      <c r="D227" s="24" t="inlineStr">
        <is>
          <t>456010</t>
        </is>
      </c>
      <c r="E227" s="24" t="inlineStr">
        <is>
          <t>KOSDAQ</t>
        </is>
      </c>
      <c r="F227" s="24" t="inlineStr">
        <is>
          <t>팹리스/설계</t>
        </is>
      </c>
      <c r="G227" s="24" t="inlineStr">
        <is>
          <t>팹리스/설계</t>
        </is>
      </c>
      <c r="H227" s="24" t="inlineStr">
        <is>
          <t>False</t>
        </is>
      </c>
      <c r="I227" s="24" t="inlineStr">
        <is>
          <t>True</t>
        </is>
      </c>
      <c r="J227" s="24" t="inlineStr">
        <is>
          <t>OK_LIMITED_HISTORY_OR_GROWTH_NA</t>
        </is>
      </c>
      <c r="K227" s="24" t="inlineStr">
        <is>
          <t>데이터 사용 가능</t>
        </is>
      </c>
      <c r="L227" s="24" t="inlineStr">
        <is>
          <t>LOW</t>
        </is>
      </c>
      <c r="M227" s="24" t="inlineStr">
        <is>
          <t>LOW</t>
        </is>
      </c>
      <c r="N227" s="24" t="inlineStr">
        <is>
          <t>0.2421212121212121</t>
        </is>
      </c>
      <c r="O227" s="24" t="inlineStr">
        <is>
          <t>EXPENSIVE</t>
        </is>
      </c>
      <c r="P227" s="24" t="inlineStr">
        <is>
          <t>EXPENSIVE</t>
        </is>
      </c>
      <c r="Q227" s="24" t="inlineStr">
        <is>
          <t>EXPENSIVE</t>
        </is>
      </c>
      <c r="R227" s="24" t="inlineStr">
        <is>
          <t>0.9318776222941163</t>
        </is>
      </c>
      <c r="S227" s="24" t="inlineStr">
        <is>
          <t>HIGH</t>
        </is>
      </c>
      <c r="T227" s="24" t="inlineStr">
        <is>
          <t>HIGH</t>
        </is>
      </c>
      <c r="U227" s="24" t="inlineStr">
        <is>
          <t>0.5714285714285714</t>
        </is>
      </c>
      <c r="V227" s="24" t="inlineStr">
        <is>
          <t>HIGH_RISK</t>
        </is>
      </c>
      <c r="W227" s="24" t="inlineStr">
        <is>
          <t>고위험</t>
        </is>
      </c>
      <c r="X227" s="24" t="inlineStr">
        <is>
          <t>HIGH_RISK</t>
        </is>
      </c>
      <c r="Y227" s="24" t="inlineStr">
        <is>
          <t>0.9704486787687135</t>
        </is>
      </c>
      <c r="Z227" s="24" t="inlineStr">
        <is>
          <t>HIGH</t>
        </is>
      </c>
      <c r="AA227" s="24" t="inlineStr">
        <is>
          <t>HIGH</t>
        </is>
      </c>
      <c r="AB227" s="24" t="inlineStr">
        <is>
          <t>0.44110450319077704</t>
        </is>
      </c>
      <c r="AC227" s="24" t="inlineStr">
        <is>
          <t>True</t>
        </is>
      </c>
      <c r="AD227" s="24" t="inlineStr">
        <is>
          <t>True</t>
        </is>
      </c>
      <c r="AE227" s="24" t="inlineStr">
        <is>
          <t>valuation_credit_ml_overlay_candidate.csv</t>
        </is>
      </c>
      <c r="AF227" s="24" t="inlineStr">
        <is>
          <t>208개 반도체 reference universe. Valuation Agent가 자체 intake 폴더로 복제해 Peer/ML/대시보드 비교에 사용.</t>
        </is>
      </c>
    </row>
    <row r="228" ht="24" customHeight="1">
      <c r="A228" s="29" t="inlineStr">
        <is>
          <t>64</t>
        </is>
      </c>
      <c r="B228" s="29" t="inlineStr">
        <is>
          <t>해당 없음</t>
        </is>
      </c>
      <c r="C228" s="29" t="inlineStr">
        <is>
          <t>오픈엣지테크놀로지</t>
        </is>
      </c>
      <c r="D228" s="29" t="inlineStr">
        <is>
          <t>394280</t>
        </is>
      </c>
      <c r="E228" s="29" t="inlineStr">
        <is>
          <t>KOSDAQ</t>
        </is>
      </c>
      <c r="F228" s="29" t="inlineStr">
        <is>
          <t>팹리스/설계</t>
        </is>
      </c>
      <c r="G228" s="29" t="inlineStr">
        <is>
          <t>팹리스/설계</t>
        </is>
      </c>
      <c r="H228" s="29" t="inlineStr">
        <is>
          <t>False</t>
        </is>
      </c>
      <c r="I228" s="29" t="inlineStr">
        <is>
          <t>True</t>
        </is>
      </c>
      <c r="J228" s="29" t="inlineStr">
        <is>
          <t>OK</t>
        </is>
      </c>
      <c r="K228" s="29" t="inlineStr">
        <is>
          <t>데이터 사용 가능</t>
        </is>
      </c>
      <c r="L228" s="29" t="inlineStr">
        <is>
          <t>LOW</t>
        </is>
      </c>
      <c r="M228" s="29" t="inlineStr">
        <is>
          <t>LOW</t>
        </is>
      </c>
      <c r="N228" s="29" t="inlineStr">
        <is>
          <t>0.2383838383838384</t>
        </is>
      </c>
      <c r="O228" s="29" t="inlineStr">
        <is>
          <t>EXPENSIVE</t>
        </is>
      </c>
      <c r="P228" s="29" t="inlineStr">
        <is>
          <t>EXPENSIVE</t>
        </is>
      </c>
      <c r="Q228" s="29" t="inlineStr">
        <is>
          <t>EXPENSIVE</t>
        </is>
      </c>
      <c r="R228" s="29" t="inlineStr">
        <is>
          <t>0.9776205348568181</t>
        </is>
      </c>
      <c r="S228" s="29" t="inlineStr">
        <is>
          <t>HIGH</t>
        </is>
      </c>
      <c r="T228" s="29" t="inlineStr">
        <is>
          <t>HIGH</t>
        </is>
      </c>
      <c r="U228" s="29" t="inlineStr">
        <is>
          <t>0.5714285714285714</t>
        </is>
      </c>
      <c r="V228" s="29" t="inlineStr">
        <is>
          <t>HIGH_RISK</t>
        </is>
      </c>
      <c r="W228" s="29" t="inlineStr">
        <is>
          <t>고위험</t>
        </is>
      </c>
      <c r="X228" s="29" t="inlineStr">
        <is>
          <t>HIGH_RISK</t>
        </is>
      </c>
      <c r="Y228" s="29" t="inlineStr">
        <is>
          <t>0.979409987987143</t>
        </is>
      </c>
      <c r="Z228" s="29" t="inlineStr">
        <is>
          <t>HIGH</t>
        </is>
      </c>
      <c r="AA228" s="29" t="inlineStr">
        <is>
          <t>HIGH</t>
        </is>
      </c>
      <c r="AB228" s="29" t="inlineStr">
        <is>
          <t>0.49673253879125484</t>
        </is>
      </c>
      <c r="AC228" s="29" t="inlineStr">
        <is>
          <t>True</t>
        </is>
      </c>
      <c r="AD228" s="29" t="inlineStr">
        <is>
          <t>True</t>
        </is>
      </c>
      <c r="AE228" s="29" t="inlineStr">
        <is>
          <t>valuation_credit_ml_overlay_candidate.csv</t>
        </is>
      </c>
      <c r="AF228" s="29" t="inlineStr">
        <is>
          <t>208개 반도체 reference universe. Valuation Agent가 자체 intake 폴더로 복제해 Peer/ML/대시보드 비교에 사용.</t>
        </is>
      </c>
    </row>
    <row r="229" ht="24" customHeight="1">
      <c r="A229" s="24" t="inlineStr">
        <is>
          <t>69</t>
        </is>
      </c>
      <c r="B229" s="24" t="inlineStr">
        <is>
          <t>해당 없음</t>
        </is>
      </c>
      <c r="C229" s="24" t="inlineStr">
        <is>
          <t>퀄리타스반도체</t>
        </is>
      </c>
      <c r="D229" s="24" t="inlineStr">
        <is>
          <t>432720</t>
        </is>
      </c>
      <c r="E229" s="24" t="inlineStr">
        <is>
          <t>KOSDAQ</t>
        </is>
      </c>
      <c r="F229" s="24" t="inlineStr">
        <is>
          <t>팹리스/설계</t>
        </is>
      </c>
      <c r="G229" s="24" t="inlineStr">
        <is>
          <t>팹리스/설계</t>
        </is>
      </c>
      <c r="H229" s="24" t="inlineStr">
        <is>
          <t>False</t>
        </is>
      </c>
      <c r="I229" s="24" t="inlineStr">
        <is>
          <t>True</t>
        </is>
      </c>
      <c r="J229" s="24" t="inlineStr">
        <is>
          <t>OK_LIMITED_HISTORY_OR_GROWTH_NA</t>
        </is>
      </c>
      <c r="K229" s="24" t="inlineStr">
        <is>
          <t>데이터 사용 가능</t>
        </is>
      </c>
      <c r="L229" s="24" t="inlineStr">
        <is>
          <t>LOW</t>
        </is>
      </c>
      <c r="M229" s="24" t="inlineStr">
        <is>
          <t>LOW</t>
        </is>
      </c>
      <c r="N229" s="24" t="inlineStr">
        <is>
          <t>0.2119191919191919</t>
        </is>
      </c>
      <c r="O229" s="24" t="inlineStr">
        <is>
          <t>EXPENSIVE</t>
        </is>
      </c>
      <c r="P229" s="24" t="inlineStr">
        <is>
          <t>EXPENSIVE</t>
        </is>
      </c>
      <c r="Q229" s="24" t="inlineStr">
        <is>
          <t>EXPENSIVE</t>
        </is>
      </c>
      <c r="R229" s="24" t="inlineStr">
        <is>
          <t>0.9844433173148716</t>
        </is>
      </c>
      <c r="S229" s="24" t="inlineStr">
        <is>
          <t>HIGH</t>
        </is>
      </c>
      <c r="T229" s="24" t="inlineStr">
        <is>
          <t>HIGH</t>
        </is>
      </c>
      <c r="U229" s="24" t="inlineStr">
        <is>
          <t>0.5714285714285714</t>
        </is>
      </c>
      <c r="V229" s="24" t="inlineStr">
        <is>
          <t>HIGH_RISK</t>
        </is>
      </c>
      <c r="W229" s="24" t="inlineStr">
        <is>
          <t>고위험</t>
        </is>
      </c>
      <c r="X229" s="24" t="inlineStr">
        <is>
          <t>HIGH_RISK</t>
        </is>
      </c>
      <c r="Y229" s="24" t="inlineStr">
        <is>
          <t>0.9775928777225235</t>
        </is>
      </c>
      <c r="Z229" s="24" t="inlineStr">
        <is>
          <t>HIGH</t>
        </is>
      </c>
      <c r="AA229" s="24" t="inlineStr">
        <is>
          <t>HIGH</t>
        </is>
      </c>
      <c r="AB229" s="24" t="inlineStr">
        <is>
          <t>0.7960673007059423</t>
        </is>
      </c>
      <c r="AC229" s="24" t="inlineStr">
        <is>
          <t>True</t>
        </is>
      </c>
      <c r="AD229" s="24" t="inlineStr">
        <is>
          <t>True</t>
        </is>
      </c>
      <c r="AE229" s="24" t="inlineStr">
        <is>
          <t>valuation_credit_ml_overlay_candidate.csv</t>
        </is>
      </c>
      <c r="AF229" s="24" t="inlineStr">
        <is>
          <t>208개 반도체 reference universe. Valuation Agent가 자체 intake 폴더로 복제해 Peer/ML/대시보드 비교에 사용.</t>
        </is>
      </c>
    </row>
    <row r="230" ht="24" customHeight="1">
      <c r="A230" s="29" t="inlineStr">
        <is>
          <t>168</t>
        </is>
      </c>
      <c r="B230" s="29" t="inlineStr">
        <is>
          <t>해당 없음</t>
        </is>
      </c>
      <c r="C230" s="29" t="inlineStr">
        <is>
          <t>성우테크론</t>
        </is>
      </c>
      <c r="D230" s="29" t="inlineStr">
        <is>
          <t>045300</t>
        </is>
      </c>
      <c r="E230" s="29" t="inlineStr">
        <is>
          <t>KOSDAQ</t>
        </is>
      </c>
      <c r="F230" s="29" t="inlineStr">
        <is>
          <t>후공정/패키징/테스트</t>
        </is>
      </c>
      <c r="G230" s="29" t="inlineStr">
        <is>
          <t>후공정/패키징/테스트</t>
        </is>
      </c>
      <c r="H230" s="29" t="inlineStr">
        <is>
          <t>False</t>
        </is>
      </c>
      <c r="I230" s="29" t="inlineStr">
        <is>
          <t>True</t>
        </is>
      </c>
      <c r="J230" s="29" t="inlineStr">
        <is>
          <t>OK</t>
        </is>
      </c>
      <c r="K230" s="29" t="inlineStr">
        <is>
          <t>데이터 사용 가능</t>
        </is>
      </c>
      <c r="L230" s="29" t="inlineStr">
        <is>
          <t>LOW</t>
        </is>
      </c>
      <c r="M230" s="29" t="inlineStr">
        <is>
          <t>LOW</t>
        </is>
      </c>
      <c r="N230" s="29" t="inlineStr">
        <is>
          <t>0.7764444444444445</t>
        </is>
      </c>
      <c r="O230" s="29" t="inlineStr">
        <is>
          <t>ATTRACTIVE</t>
        </is>
      </c>
      <c r="P230" s="29" t="inlineStr">
        <is>
          <t>가치 매력</t>
        </is>
      </c>
      <c r="Q230" s="29" t="inlineStr">
        <is>
          <t>ATTRACTIVE</t>
        </is>
      </c>
      <c r="R230" s="29" t="inlineStr">
        <is>
          <t>0.9526864248076319</t>
        </is>
      </c>
      <c r="S230" s="29" t="inlineStr">
        <is>
          <t>HIGH</t>
        </is>
      </c>
      <c r="T230" s="29" t="inlineStr">
        <is>
          <t>HIGH</t>
        </is>
      </c>
      <c r="U230" s="29" t="inlineStr">
        <is>
          <t>0.0714285714285714</t>
        </is>
      </c>
      <c r="V230" s="29" t="inlineStr">
        <is>
          <t>LOW_RISK</t>
        </is>
      </c>
      <c r="W230" s="29" t="inlineStr">
        <is>
          <t>저위험</t>
        </is>
      </c>
      <c r="X230" s="29" t="inlineStr">
        <is>
          <t>LOW_RISK</t>
        </is>
      </c>
      <c r="Y230" s="29" t="inlineStr">
        <is>
          <t>0.869939352370702</t>
        </is>
      </c>
      <c r="Z230" s="29" t="inlineStr">
        <is>
          <t>HIGH</t>
        </is>
      </c>
      <c r="AA230" s="29" t="inlineStr">
        <is>
          <t>HIGH</t>
        </is>
      </c>
      <c r="AB230" s="29" t="inlineStr">
        <is>
          <t>0.10286671144812394</t>
        </is>
      </c>
      <c r="AC230" s="29" t="inlineStr">
        <is>
          <t>False</t>
        </is>
      </c>
      <c r="AD230" s="29" t="inlineStr">
        <is>
          <t>False</t>
        </is>
      </c>
      <c r="AE230" s="29" t="inlineStr">
        <is>
          <t>valuation_credit_ml_overlay_candidate.csv</t>
        </is>
      </c>
      <c r="AF230" s="29" t="inlineStr">
        <is>
          <t>208개 반도체 reference universe. Valuation Agent가 자체 intake 폴더로 복제해 Peer/ML/대시보드 비교에 사용.</t>
        </is>
      </c>
    </row>
    <row r="231" ht="24" customHeight="1">
      <c r="A231" s="24" t="inlineStr">
        <is>
          <t>165</t>
        </is>
      </c>
      <c r="B231" s="24" t="inlineStr">
        <is>
          <t>해당 없음</t>
        </is>
      </c>
      <c r="C231" s="24" t="inlineStr">
        <is>
          <t>미래산업</t>
        </is>
      </c>
      <c r="D231" s="24" t="inlineStr">
        <is>
          <t>025560</t>
        </is>
      </c>
      <c r="E231" s="24" t="inlineStr">
        <is>
          <t>KOSPI</t>
        </is>
      </c>
      <c r="F231" s="24" t="inlineStr">
        <is>
          <t>후공정/패키징/테스트</t>
        </is>
      </c>
      <c r="G231" s="24" t="inlineStr">
        <is>
          <t>후공정/패키징/테스트</t>
        </is>
      </c>
      <c r="H231" s="24" t="inlineStr">
        <is>
          <t>False</t>
        </is>
      </c>
      <c r="I231" s="24" t="inlineStr">
        <is>
          <t>True</t>
        </is>
      </c>
      <c r="J231" s="24" t="inlineStr">
        <is>
          <t>OK</t>
        </is>
      </c>
      <c r="K231" s="24" t="inlineStr">
        <is>
          <t>데이터 사용 가능</t>
        </is>
      </c>
      <c r="L231" s="24" t="inlineStr">
        <is>
          <t>LOW</t>
        </is>
      </c>
      <c r="M231" s="24" t="inlineStr">
        <is>
          <t>LOW</t>
        </is>
      </c>
      <c r="N231" s="24" t="inlineStr">
        <is>
          <t>0.7748148148148148</t>
        </is>
      </c>
      <c r="O231" s="24" t="inlineStr">
        <is>
          <t>FAIR</t>
        </is>
      </c>
      <c r="P231" s="24" t="inlineStr">
        <is>
          <t>FAIR</t>
        </is>
      </c>
      <c r="Q231" s="24" t="inlineStr">
        <is>
          <t>FAIR</t>
        </is>
      </c>
      <c r="R231" s="24" t="inlineStr">
        <is>
          <t>0.883291104654336</t>
        </is>
      </c>
      <c r="S231" s="24" t="inlineStr">
        <is>
          <t>HIGH</t>
        </is>
      </c>
      <c r="T231" s="24" t="inlineStr">
        <is>
          <t>HIGH</t>
        </is>
      </c>
      <c r="U231" s="24" t="inlineStr">
        <is>
          <t>0.2857142857142857</t>
        </is>
      </c>
      <c r="V231" s="24" t="inlineStr">
        <is>
          <t>MEDIUM_RISK</t>
        </is>
      </c>
      <c r="W231" s="24" t="inlineStr">
        <is>
          <t>중위험</t>
        </is>
      </c>
      <c r="X231" s="24" t="inlineStr">
        <is>
          <t>MEDIUM_RISK</t>
        </is>
      </c>
      <c r="Y231" s="24" t="inlineStr">
        <is>
          <t>0.695536763680257</t>
        </is>
      </c>
      <c r="Z231" s="24" t="inlineStr">
        <is>
          <t>MEDIUM</t>
        </is>
      </c>
      <c r="AA231" s="24" t="inlineStr">
        <is>
          <t>MEDIUM</t>
        </is>
      </c>
      <c r="AB231" s="24" t="inlineStr">
        <is>
          <t>0.08100242357773374</t>
        </is>
      </c>
      <c r="AC231" s="24" t="inlineStr">
        <is>
          <t>False</t>
        </is>
      </c>
      <c r="AD231" s="24" t="inlineStr">
        <is>
          <t>False</t>
        </is>
      </c>
      <c r="AE231" s="24" t="inlineStr">
        <is>
          <t>valuation_credit_ml_overlay_candidate.csv</t>
        </is>
      </c>
      <c r="AF231" s="24" t="inlineStr">
        <is>
          <t>208개 반도체 reference universe. Valuation Agent가 자체 intake 폴더로 복제해 Peer/ML/대시보드 비교에 사용.</t>
        </is>
      </c>
    </row>
    <row r="232" ht="24" customHeight="1">
      <c r="A232" s="29" t="inlineStr">
        <is>
          <t>163</t>
        </is>
      </c>
      <c r="B232" s="29" t="inlineStr">
        <is>
          <t>해당 없음</t>
        </is>
      </c>
      <c r="C232" s="29" t="inlineStr">
        <is>
          <t>링크제니시스</t>
        </is>
      </c>
      <c r="D232" s="29" t="inlineStr">
        <is>
          <t>219420</t>
        </is>
      </c>
      <c r="E232" s="29" t="inlineStr">
        <is>
          <t>KOSDAQ</t>
        </is>
      </c>
      <c r="F232" s="29" t="inlineStr">
        <is>
          <t>후공정/패키징/테스트</t>
        </is>
      </c>
      <c r="G232" s="29" t="inlineStr">
        <is>
          <t>후공정/패키징/테스트</t>
        </is>
      </c>
      <c r="H232" s="29" t="inlineStr">
        <is>
          <t>False</t>
        </is>
      </c>
      <c r="I232" s="29" t="inlineStr">
        <is>
          <t>True</t>
        </is>
      </c>
      <c r="J232" s="29" t="inlineStr">
        <is>
          <t>OK</t>
        </is>
      </c>
      <c r="K232" s="29" t="inlineStr">
        <is>
          <t>데이터 사용 가능</t>
        </is>
      </c>
      <c r="L232" s="29" t="inlineStr">
        <is>
          <t>LOW</t>
        </is>
      </c>
      <c r="M232" s="29" t="inlineStr">
        <is>
          <t>LOW</t>
        </is>
      </c>
      <c r="N232" s="29" t="inlineStr">
        <is>
          <t>0.7522962962962964</t>
        </is>
      </c>
      <c r="O232" s="29" t="inlineStr">
        <is>
          <t>ATTRACTIVE</t>
        </is>
      </c>
      <c r="P232" s="29" t="inlineStr">
        <is>
          <t>가치 매력</t>
        </is>
      </c>
      <c r="Q232" s="29" t="inlineStr">
        <is>
          <t>ATTRACTIVE</t>
        </is>
      </c>
      <c r="R232" s="29" t="inlineStr">
        <is>
          <t>0.8724992666433111</t>
        </is>
      </c>
      <c r="S232" s="29" t="inlineStr">
        <is>
          <t>HIGH</t>
        </is>
      </c>
      <c r="T232" s="29" t="inlineStr">
        <is>
          <t>HIGH</t>
        </is>
      </c>
      <c r="U232" s="29" t="inlineStr">
        <is>
          <t>0.0714285714285714</t>
        </is>
      </c>
      <c r="V232" s="29" t="inlineStr">
        <is>
          <t>LOW_RISK</t>
        </is>
      </c>
      <c r="W232" s="29" t="inlineStr">
        <is>
          <t>저위험</t>
        </is>
      </c>
      <c r="X232" s="29" t="inlineStr">
        <is>
          <t>LOW_RISK</t>
        </is>
      </c>
      <c r="Y232" s="29" t="inlineStr">
        <is>
          <t>0.8663667518810074</t>
        </is>
      </c>
      <c r="Z232" s="29" t="inlineStr">
        <is>
          <t>HIGH</t>
        </is>
      </c>
      <c r="AA232" s="29" t="inlineStr">
        <is>
          <t>HIGH</t>
        </is>
      </c>
      <c r="AB232" s="29" t="inlineStr">
        <is>
          <t>0.1247344063934745</t>
        </is>
      </c>
      <c r="AC232" s="29" t="inlineStr">
        <is>
          <t>False</t>
        </is>
      </c>
      <c r="AD232" s="29" t="inlineStr">
        <is>
          <t>False</t>
        </is>
      </c>
      <c r="AE232" s="29" t="inlineStr">
        <is>
          <t>valuation_credit_ml_overlay_candidate.csv</t>
        </is>
      </c>
      <c r="AF232" s="29" t="inlineStr">
        <is>
          <t>208개 반도체 reference universe. Valuation Agent가 자체 intake 폴더로 복제해 Peer/ML/대시보드 비교에 사용.</t>
        </is>
      </c>
    </row>
    <row r="233" ht="24" customHeight="1">
      <c r="A233" s="24" t="inlineStr">
        <is>
          <t>189</t>
        </is>
      </c>
      <c r="B233" s="24" t="inlineStr">
        <is>
          <t>해당 없음</t>
        </is>
      </c>
      <c r="C233" s="24" t="inlineStr">
        <is>
          <t>프로텍</t>
        </is>
      </c>
      <c r="D233" s="24" t="inlineStr">
        <is>
          <t>053610</t>
        </is>
      </c>
      <c r="E233" s="24" t="inlineStr">
        <is>
          <t>KOSDAQ</t>
        </is>
      </c>
      <c r="F233" s="24" t="inlineStr">
        <is>
          <t>후공정/패키징/테스트</t>
        </is>
      </c>
      <c r="G233" s="24" t="inlineStr">
        <is>
          <t>후공정/패키징/테스트</t>
        </is>
      </c>
      <c r="H233" s="24" t="inlineStr">
        <is>
          <t>False</t>
        </is>
      </c>
      <c r="I233" s="24" t="inlineStr">
        <is>
          <t>True</t>
        </is>
      </c>
      <c r="J233" s="24" t="inlineStr">
        <is>
          <t>OK</t>
        </is>
      </c>
      <c r="K233" s="24" t="inlineStr">
        <is>
          <t>데이터 사용 가능</t>
        </is>
      </c>
      <c r="L233" s="24" t="inlineStr">
        <is>
          <t>LOW</t>
        </is>
      </c>
      <c r="M233" s="24" t="inlineStr">
        <is>
          <t>LOW</t>
        </is>
      </c>
      <c r="N233" s="24" t="inlineStr">
        <is>
          <t>0.7342222222222222</t>
        </is>
      </c>
      <c r="O233" s="24" t="inlineStr">
        <is>
          <t>FAIR</t>
        </is>
      </c>
      <c r="P233" s="24" t="inlineStr">
        <is>
          <t>FAIR</t>
        </is>
      </c>
      <c r="Q233" s="24" t="inlineStr">
        <is>
          <t>FAIR</t>
        </is>
      </c>
      <c r="R233" s="24" t="inlineStr">
        <is>
          <t>0.8971257561900263</t>
        </is>
      </c>
      <c r="S233" s="24" t="inlineStr">
        <is>
          <t>HIGH</t>
        </is>
      </c>
      <c r="T233" s="24" t="inlineStr">
        <is>
          <t>HIGH</t>
        </is>
      </c>
      <c r="U233" s="24" t="inlineStr">
        <is>
          <t>0.0714285714285714</t>
        </is>
      </c>
      <c r="V233" s="24" t="inlineStr">
        <is>
          <t>LOW_RISK</t>
        </is>
      </c>
      <c r="W233" s="24" t="inlineStr">
        <is>
          <t>저위험</t>
        </is>
      </c>
      <c r="X233" s="24" t="inlineStr">
        <is>
          <t>LOW_RISK</t>
        </is>
      </c>
      <c r="Y233" s="24" t="inlineStr">
        <is>
          <t>0.9163768919768406</t>
        </is>
      </c>
      <c r="Z233" s="24" t="inlineStr">
        <is>
          <t>HIGH</t>
        </is>
      </c>
      <c r="AA233" s="24" t="inlineStr">
        <is>
          <t>HIGH</t>
        </is>
      </c>
      <c r="AB233" s="24" t="inlineStr">
        <is>
          <t>0.04594870251712977</t>
        </is>
      </c>
      <c r="AC233" s="24" t="inlineStr">
        <is>
          <t>False</t>
        </is>
      </c>
      <c r="AD233" s="24" t="inlineStr">
        <is>
          <t>False</t>
        </is>
      </c>
      <c r="AE233" s="24" t="inlineStr">
        <is>
          <t>valuation_credit_ml_overlay_candidate.csv</t>
        </is>
      </c>
      <c r="AF233" s="24" t="inlineStr">
        <is>
          <t>208개 반도체 reference universe. Valuation Agent가 자체 intake 폴더로 복제해 Peer/ML/대시보드 비교에 사용.</t>
        </is>
      </c>
    </row>
    <row r="234" ht="24" customHeight="1">
      <c r="A234" s="29" t="inlineStr">
        <is>
          <t>188</t>
        </is>
      </c>
      <c r="B234" s="29" t="inlineStr">
        <is>
          <t>해당 없음</t>
        </is>
      </c>
      <c r="C234" s="29" t="inlineStr">
        <is>
          <t>프로이천</t>
        </is>
      </c>
      <c r="D234" s="29" t="inlineStr">
        <is>
          <t>321260</t>
        </is>
      </c>
      <c r="E234" s="29" t="inlineStr">
        <is>
          <t>KOSDAQ</t>
        </is>
      </c>
      <c r="F234" s="29" t="inlineStr">
        <is>
          <t>후공정/패키징/테스트</t>
        </is>
      </c>
      <c r="G234" s="29" t="inlineStr">
        <is>
          <t>후공정/패키징/테스트</t>
        </is>
      </c>
      <c r="H234" s="29" t="inlineStr">
        <is>
          <t>False</t>
        </is>
      </c>
      <c r="I234" s="29" t="inlineStr">
        <is>
          <t>True</t>
        </is>
      </c>
      <c r="J234" s="29" t="inlineStr">
        <is>
          <t>OK</t>
        </is>
      </c>
      <c r="K234" s="29" t="inlineStr">
        <is>
          <t>데이터 사용 가능</t>
        </is>
      </c>
      <c r="L234" s="29" t="inlineStr">
        <is>
          <t>LOW</t>
        </is>
      </c>
      <c r="M234" s="29" t="inlineStr">
        <is>
          <t>LOW</t>
        </is>
      </c>
      <c r="N234" s="29" t="inlineStr">
        <is>
          <t>0.6905185185185185</t>
        </is>
      </c>
      <c r="O234" s="29" t="inlineStr">
        <is>
          <t>ATTRACTIVE</t>
        </is>
      </c>
      <c r="P234" s="29" t="inlineStr">
        <is>
          <t>가치 매력</t>
        </is>
      </c>
      <c r="Q234" s="29" t="inlineStr">
        <is>
          <t>ATTRACTIVE</t>
        </is>
      </c>
      <c r="R234" s="29" t="inlineStr">
        <is>
          <t>0.9481469936627798</t>
        </is>
      </c>
      <c r="S234" s="29" t="inlineStr">
        <is>
          <t>HIGH</t>
        </is>
      </c>
      <c r="T234" s="29" t="inlineStr">
        <is>
          <t>HIGH</t>
        </is>
      </c>
      <c r="U234" s="29" t="inlineStr">
        <is>
          <t>0.1428571428571428</t>
        </is>
      </c>
      <c r="V234" s="29" t="inlineStr">
        <is>
          <t>LOW_RISK</t>
        </is>
      </c>
      <c r="W234" s="29" t="inlineStr">
        <is>
          <t>저위험</t>
        </is>
      </c>
      <c r="X234" s="29" t="inlineStr">
        <is>
          <t>LOW_RISK</t>
        </is>
      </c>
      <c r="Y234" s="29" t="inlineStr">
        <is>
          <t>0.7571217577270841</t>
        </is>
      </c>
      <c r="Z234" s="29" t="inlineStr">
        <is>
          <t>HIGH</t>
        </is>
      </c>
      <c r="AA234" s="29" t="inlineStr">
        <is>
          <t>HIGH</t>
        </is>
      </c>
      <c r="AB234" s="29" t="inlineStr">
        <is>
          <t>0.1980202748075635</t>
        </is>
      </c>
      <c r="AC234" s="29" t="inlineStr">
        <is>
          <t>False</t>
        </is>
      </c>
      <c r="AD234" s="29" t="inlineStr">
        <is>
          <t>False</t>
        </is>
      </c>
      <c r="AE234" s="29" t="inlineStr">
        <is>
          <t>valuation_credit_ml_overlay_candidate.csv</t>
        </is>
      </c>
      <c r="AF234" s="29" t="inlineStr">
        <is>
          <t>208개 반도체 reference universe. Valuation Agent가 자체 intake 폴더로 복제해 Peer/ML/대시보드 비교에 사용.</t>
        </is>
      </c>
    </row>
    <row r="235" ht="24" customHeight="1">
      <c r="A235" s="24" t="inlineStr">
        <is>
          <t>167</t>
        </is>
      </c>
      <c r="B235" s="24" t="inlineStr">
        <is>
          <t>해당 없음</t>
        </is>
      </c>
      <c r="C235" s="24" t="inlineStr">
        <is>
          <t>샘씨엔에스</t>
        </is>
      </c>
      <c r="D235" s="24" t="inlineStr">
        <is>
          <t>252990</t>
        </is>
      </c>
      <c r="E235" s="24" t="inlineStr">
        <is>
          <t>KOSDAQ</t>
        </is>
      </c>
      <c r="F235" s="24" t="inlineStr">
        <is>
          <t>후공정/패키징/테스트</t>
        </is>
      </c>
      <c r="G235" s="24" t="inlineStr">
        <is>
          <t>후공정/패키징/테스트</t>
        </is>
      </c>
      <c r="H235" s="24" t="inlineStr">
        <is>
          <t>False</t>
        </is>
      </c>
      <c r="I235" s="24" t="inlineStr">
        <is>
          <t>True</t>
        </is>
      </c>
      <c r="J235" s="24" t="inlineStr">
        <is>
          <t>OK</t>
        </is>
      </c>
      <c r="K235" s="24" t="inlineStr">
        <is>
          <t>데이터 사용 가능</t>
        </is>
      </c>
      <c r="L235" s="24" t="inlineStr">
        <is>
          <t>LOW</t>
        </is>
      </c>
      <c r="M235" s="24" t="inlineStr">
        <is>
          <t>LOW</t>
        </is>
      </c>
      <c r="N235" s="24" t="inlineStr">
        <is>
          <t>0.6491851851851852</t>
        </is>
      </c>
      <c r="O235" s="24" t="inlineStr">
        <is>
          <t>ATTRACTIVE</t>
        </is>
      </c>
      <c r="P235" s="24" t="inlineStr">
        <is>
          <t>가치 매력</t>
        </is>
      </c>
      <c r="Q235" s="24" t="inlineStr">
        <is>
          <t>ATTRACTIVE</t>
        </is>
      </c>
      <c r="R235" s="24" t="inlineStr">
        <is>
          <t>0.5521991152548656</t>
        </is>
      </c>
      <c r="S235" s="24" t="inlineStr">
        <is>
          <t>MEDIUM</t>
        </is>
      </c>
      <c r="T235" s="24" t="inlineStr">
        <is>
          <t>MEDIUM</t>
        </is>
      </c>
      <c r="U235" s="24" t="inlineStr">
        <is>
          <t>0.1428571428571428</t>
        </is>
      </c>
      <c r="V235" s="24" t="inlineStr">
        <is>
          <t>LOW_RISK</t>
        </is>
      </c>
      <c r="W235" s="24" t="inlineStr">
        <is>
          <t>저위험</t>
        </is>
      </c>
      <c r="X235" s="24" t="inlineStr">
        <is>
          <t>LOW_RISK</t>
        </is>
      </c>
      <c r="Y235" s="24" t="inlineStr">
        <is>
          <t>0.8184283672559926</t>
        </is>
      </c>
      <c r="Z235" s="24" t="inlineStr">
        <is>
          <t>HIGH</t>
        </is>
      </c>
      <c r="AA235" s="24" t="inlineStr">
        <is>
          <t>HIGH</t>
        </is>
      </c>
      <c r="AB235" s="24" t="inlineStr">
        <is>
          <t>0.02862485694144737</t>
        </is>
      </c>
      <c r="AC235" s="24" t="inlineStr">
        <is>
          <t>False</t>
        </is>
      </c>
      <c r="AD235" s="24" t="inlineStr">
        <is>
          <t>False</t>
        </is>
      </c>
      <c r="AE235" s="24" t="inlineStr">
        <is>
          <t>valuation_credit_ml_overlay_candidate.csv</t>
        </is>
      </c>
      <c r="AF235" s="24" t="inlineStr">
        <is>
          <t>208개 반도체 reference universe. Valuation Agent가 자체 intake 폴더로 복제해 Peer/ML/대시보드 비교에 사용.</t>
        </is>
      </c>
    </row>
    <row r="236" ht="24" customHeight="1">
      <c r="A236" s="29" t="inlineStr">
        <is>
          <t>191</t>
        </is>
      </c>
      <c r="B236" s="29" t="inlineStr">
        <is>
          <t>해당 없음</t>
        </is>
      </c>
      <c r="C236" s="29" t="inlineStr">
        <is>
          <t>하나마이크론</t>
        </is>
      </c>
      <c r="D236" s="29" t="inlineStr">
        <is>
          <t>067310</t>
        </is>
      </c>
      <c r="E236" s="29" t="inlineStr">
        <is>
          <t>KOSDAQ</t>
        </is>
      </c>
      <c r="F236" s="29" t="inlineStr">
        <is>
          <t>후공정/패키징/테스트</t>
        </is>
      </c>
      <c r="G236" s="29" t="inlineStr">
        <is>
          <t>후공정/패키징/테스트</t>
        </is>
      </c>
      <c r="H236" s="29" t="inlineStr">
        <is>
          <t>False</t>
        </is>
      </c>
      <c r="I236" s="29" t="inlineStr">
        <is>
          <t>True</t>
        </is>
      </c>
      <c r="J236" s="29" t="inlineStr">
        <is>
          <t>OK</t>
        </is>
      </c>
      <c r="K236" s="29" t="inlineStr">
        <is>
          <t>데이터 사용 가능</t>
        </is>
      </c>
      <c r="L236" s="29" t="inlineStr">
        <is>
          <t>LOW</t>
        </is>
      </c>
      <c r="M236" s="29" t="inlineStr">
        <is>
          <t>LOW</t>
        </is>
      </c>
      <c r="N236" s="29" t="inlineStr">
        <is>
          <t>0.6405925925925926</t>
        </is>
      </c>
      <c r="O236" s="29" t="inlineStr">
        <is>
          <t>ATTRACTIVE</t>
        </is>
      </c>
      <c r="P236" s="29" t="inlineStr">
        <is>
          <t>가치 매력</t>
        </is>
      </c>
      <c r="Q236" s="29" t="inlineStr">
        <is>
          <t>ATTRACTIVE</t>
        </is>
      </c>
      <c r="R236" s="29" t="inlineStr">
        <is>
          <t>0.8727001075083287</t>
        </is>
      </c>
      <c r="S236" s="29" t="inlineStr">
        <is>
          <t>HIGH</t>
        </is>
      </c>
      <c r="T236" s="29" t="inlineStr">
        <is>
          <t>HIGH</t>
        </is>
      </c>
      <c r="U236" s="29" t="inlineStr">
        <is>
          <t>0.2857142857142857</t>
        </is>
      </c>
      <c r="V236" s="29" t="inlineStr">
        <is>
          <t>MEDIUM_RISK</t>
        </is>
      </c>
      <c r="W236" s="29" t="inlineStr">
        <is>
          <t>중위험</t>
        </is>
      </c>
      <c r="X236" s="29" t="inlineStr">
        <is>
          <t>MEDIUM_RISK</t>
        </is>
      </c>
      <c r="Y236" s="29" t="inlineStr">
        <is>
          <t>0.4659076101576026</t>
        </is>
      </c>
      <c r="Z236" s="29" t="inlineStr">
        <is>
          <t>LOW</t>
        </is>
      </c>
      <c r="AA236" s="29" t="inlineStr">
        <is>
          <t>LOW</t>
        </is>
      </c>
      <c r="AB236" s="29" t="inlineStr">
        <is>
          <t>0.1167493316831868</t>
        </is>
      </c>
      <c r="AC236" s="29" t="inlineStr">
        <is>
          <t>False</t>
        </is>
      </c>
      <c r="AD236" s="29" t="inlineStr">
        <is>
          <t>True</t>
        </is>
      </c>
      <c r="AE236" s="29" t="inlineStr">
        <is>
          <t>valuation_credit_ml_overlay_candidate.csv</t>
        </is>
      </c>
      <c r="AF236" s="29" t="inlineStr">
        <is>
          <t>208개 반도체 reference universe. Valuation Agent가 자체 intake 폴더로 복제해 Peer/ML/대시보드 비교에 사용.</t>
        </is>
      </c>
    </row>
    <row r="237" ht="24" customHeight="1">
      <c r="A237" s="24" t="inlineStr">
        <is>
          <t>157</t>
        </is>
      </c>
      <c r="B237" s="24" t="inlineStr">
        <is>
          <t>nepes</t>
        </is>
      </c>
      <c r="C237" s="24" t="inlineStr">
        <is>
          <t>네패스</t>
        </is>
      </c>
      <c r="D237" s="24" t="inlineStr">
        <is>
          <t>033640</t>
        </is>
      </c>
      <c r="E237" s="24" t="inlineStr">
        <is>
          <t>KOSDAQ</t>
        </is>
      </c>
      <c r="F237" s="24" t="inlineStr">
        <is>
          <t>후공정/패키징/테스트</t>
        </is>
      </c>
      <c r="G237" s="24" t="inlineStr">
        <is>
          <t>후공정/패키징/테스트</t>
        </is>
      </c>
      <c r="H237" s="24" t="inlineStr">
        <is>
          <t>True</t>
        </is>
      </c>
      <c r="I237" s="24" t="inlineStr">
        <is>
          <t>True</t>
        </is>
      </c>
      <c r="J237" s="24" t="inlineStr">
        <is>
          <t>OK</t>
        </is>
      </c>
      <c r="K237" s="24" t="inlineStr">
        <is>
          <t>데이터 사용 가능</t>
        </is>
      </c>
      <c r="L237" s="24" t="inlineStr">
        <is>
          <t>LOW</t>
        </is>
      </c>
      <c r="M237" s="24" t="inlineStr">
        <is>
          <t>LOW</t>
        </is>
      </c>
      <c r="N237" s="24" t="inlineStr">
        <is>
          <t>0.6385185185185186</t>
        </is>
      </c>
      <c r="O237" s="24" t="inlineStr">
        <is>
          <t>ATTRACTIVE</t>
        </is>
      </c>
      <c r="P237" s="24" t="inlineStr">
        <is>
          <t>가치 매력</t>
        </is>
      </c>
      <c r="Q237" s="24" t="inlineStr">
        <is>
          <t>ATTRACTIVE</t>
        </is>
      </c>
      <c r="R237" s="24" t="inlineStr">
        <is>
          <t>0.8763685947958789</t>
        </is>
      </c>
      <c r="S237" s="24" t="inlineStr">
        <is>
          <t>HIGH</t>
        </is>
      </c>
      <c r="T237" s="24" t="inlineStr">
        <is>
          <t>HIGH</t>
        </is>
      </c>
      <c r="U237" s="24" t="inlineStr">
        <is>
          <t>0.2857142857142857</t>
        </is>
      </c>
      <c r="V237" s="24" t="inlineStr">
        <is>
          <t>MEDIUM_RISK</t>
        </is>
      </c>
      <c r="W237" s="24" t="inlineStr">
        <is>
          <t>중위험</t>
        </is>
      </c>
      <c r="X237" s="24" t="inlineStr">
        <is>
          <t>MEDIUM_RISK</t>
        </is>
      </c>
      <c r="Y237" s="24" t="inlineStr">
        <is>
          <t>0.5963458259503356</t>
        </is>
      </c>
      <c r="Z237" s="24" t="inlineStr">
        <is>
          <t>MEDIUM</t>
        </is>
      </c>
      <c r="AA237" s="24" t="inlineStr">
        <is>
          <t>MEDIUM</t>
        </is>
      </c>
      <c r="AB237" s="24" t="inlineStr">
        <is>
          <t>0.07896643996759804</t>
        </is>
      </c>
      <c r="AC237" s="24" t="inlineStr">
        <is>
          <t>False</t>
        </is>
      </c>
      <c r="AD237" s="24" t="inlineStr">
        <is>
          <t>False</t>
        </is>
      </c>
      <c r="AE237" s="24" t="inlineStr">
        <is>
          <t>valuation_credit_ml_overlay_candidate.csv</t>
        </is>
      </c>
      <c r="AF237" s="24" t="inlineStr">
        <is>
          <t>208개 반도체 reference universe. Valuation Agent가 자체 intake 폴더로 복제해 Peer/ML/대시보드 비교에 사용.</t>
        </is>
      </c>
    </row>
    <row r="238" ht="24" customHeight="1">
      <c r="A238" s="29" t="inlineStr">
        <is>
          <t>151</t>
        </is>
      </c>
      <c r="B238" s="29" t="inlineStr">
        <is>
          <t>해당 없음</t>
        </is>
      </c>
      <c r="C238" s="29" t="inlineStr">
        <is>
          <t>KX하이텍</t>
        </is>
      </c>
      <c r="D238" s="29" t="inlineStr">
        <is>
          <t>052900</t>
        </is>
      </c>
      <c r="E238" s="29" t="inlineStr">
        <is>
          <t>KOSDAQ</t>
        </is>
      </c>
      <c r="F238" s="29" t="inlineStr">
        <is>
          <t>후공정/패키징/테스트</t>
        </is>
      </c>
      <c r="G238" s="29" t="inlineStr">
        <is>
          <t>후공정/패키징/테스트</t>
        </is>
      </c>
      <c r="H238" s="29" t="inlineStr">
        <is>
          <t>False</t>
        </is>
      </c>
      <c r="I238" s="29" t="inlineStr">
        <is>
          <t>True</t>
        </is>
      </c>
      <c r="J238" s="29" t="inlineStr">
        <is>
          <t>OK</t>
        </is>
      </c>
      <c r="K238" s="29" t="inlineStr">
        <is>
          <t>데이터 사용 가능</t>
        </is>
      </c>
      <c r="L238" s="29" t="inlineStr">
        <is>
          <t>LOW</t>
        </is>
      </c>
      <c r="M238" s="29" t="inlineStr">
        <is>
          <t>LOW</t>
        </is>
      </c>
      <c r="N238" s="29" t="inlineStr">
        <is>
          <t>0.6361481481481482</t>
        </is>
      </c>
      <c r="O238" s="29" t="inlineStr">
        <is>
          <t>ATTRACTIVE</t>
        </is>
      </c>
      <c r="P238" s="29" t="inlineStr">
        <is>
          <t>가치 매력</t>
        </is>
      </c>
      <c r="Q238" s="29" t="inlineStr">
        <is>
          <t>ATTRACTIVE</t>
        </is>
      </c>
      <c r="R238" s="29" t="inlineStr">
        <is>
          <t>0.7896879678479897</t>
        </is>
      </c>
      <c r="S238" s="29" t="inlineStr">
        <is>
          <t>HIGH</t>
        </is>
      </c>
      <c r="T238" s="29" t="inlineStr">
        <is>
          <t>HIGH</t>
        </is>
      </c>
      <c r="U238" s="29" t="inlineStr">
        <is>
          <t>0.0714285714285714</t>
        </is>
      </c>
      <c r="V238" s="29" t="inlineStr">
        <is>
          <t>LOW_RISK</t>
        </is>
      </c>
      <c r="W238" s="29" t="inlineStr">
        <is>
          <t>저위험</t>
        </is>
      </c>
      <c r="X238" s="29" t="inlineStr">
        <is>
          <t>LOW_RISK</t>
        </is>
      </c>
      <c r="Y238" s="29" t="inlineStr">
        <is>
          <t>0.87015899446037</t>
        </is>
      </c>
      <c r="Z238" s="29" t="inlineStr">
        <is>
          <t>HIGH</t>
        </is>
      </c>
      <c r="AA238" s="29" t="inlineStr">
        <is>
          <t>HIGH</t>
        </is>
      </c>
      <c r="AB238" s="29" t="inlineStr">
        <is>
          <t>0.012348610212675635</t>
        </is>
      </c>
      <c r="AC238" s="29" t="inlineStr">
        <is>
          <t>False</t>
        </is>
      </c>
      <c r="AD238" s="29" t="inlineStr">
        <is>
          <t>False</t>
        </is>
      </c>
      <c r="AE238" s="29" t="inlineStr">
        <is>
          <t>valuation_credit_ml_overlay_candidate.csv</t>
        </is>
      </c>
      <c r="AF238" s="29" t="inlineStr">
        <is>
          <t>208개 반도체 reference universe. Valuation Agent가 자체 intake 폴더로 복제해 Peer/ML/대시보드 비교에 사용.</t>
        </is>
      </c>
    </row>
    <row r="239" ht="24" customHeight="1">
      <c r="A239" s="24" t="inlineStr">
        <is>
          <t>172</t>
        </is>
      </c>
      <c r="B239" s="24" t="inlineStr">
        <is>
          <t>해당 없음</t>
        </is>
      </c>
      <c r="C239" s="24" t="inlineStr">
        <is>
          <t>에이치엠넥스</t>
        </is>
      </c>
      <c r="D239" s="24" t="inlineStr">
        <is>
          <t>036170</t>
        </is>
      </c>
      <c r="E239" s="24" t="inlineStr">
        <is>
          <t>KOSDAQ</t>
        </is>
      </c>
      <c r="F239" s="24" t="inlineStr">
        <is>
          <t>후공정/패키징/테스트</t>
        </is>
      </c>
      <c r="G239" s="24" t="inlineStr">
        <is>
          <t>후공정/패키징/테스트</t>
        </is>
      </c>
      <c r="H239" s="24" t="inlineStr">
        <is>
          <t>False</t>
        </is>
      </c>
      <c r="I239" s="24" t="inlineStr">
        <is>
          <t>True</t>
        </is>
      </c>
      <c r="J239" s="24" t="inlineStr">
        <is>
          <t>OK</t>
        </is>
      </c>
      <c r="K239" s="24" t="inlineStr">
        <is>
          <t>데이터 사용 가능</t>
        </is>
      </c>
      <c r="L239" s="24" t="inlineStr">
        <is>
          <t>LOW</t>
        </is>
      </c>
      <c r="M239" s="24" t="inlineStr">
        <is>
          <t>LOW</t>
        </is>
      </c>
      <c r="N239" s="24" t="inlineStr">
        <is>
          <t>0.621037037037037</t>
        </is>
      </c>
      <c r="O239" s="24" t="inlineStr">
        <is>
          <t>FAIR</t>
        </is>
      </c>
      <c r="P239" s="24" t="inlineStr">
        <is>
          <t>FAIR</t>
        </is>
      </c>
      <c r="Q239" s="24" t="inlineStr">
        <is>
          <t>FAIR</t>
        </is>
      </c>
      <c r="R239" s="24" t="inlineStr">
        <is>
          <t>0.7433115072206052</t>
        </is>
      </c>
      <c r="S239" s="24" t="inlineStr">
        <is>
          <t>HIGH</t>
        </is>
      </c>
      <c r="T239" s="24" t="inlineStr">
        <is>
          <t>HIGH</t>
        </is>
      </c>
      <c r="U239" s="24" t="inlineStr">
        <is>
          <t>0.3571428571428571</t>
        </is>
      </c>
      <c r="V239" s="24" t="inlineStr">
        <is>
          <t>MEDIUM_RISK</t>
        </is>
      </c>
      <c r="W239" s="24" t="inlineStr">
        <is>
          <t>중위험</t>
        </is>
      </c>
      <c r="X239" s="24" t="inlineStr">
        <is>
          <t>MEDIUM_RISK</t>
        </is>
      </c>
      <c r="Y239" s="24" t="inlineStr">
        <is>
          <t>0.7084051764737881</t>
        </is>
      </c>
      <c r="Z239" s="24" t="inlineStr">
        <is>
          <t>HIGH</t>
        </is>
      </c>
      <c r="AA239" s="24" t="inlineStr">
        <is>
          <t>HIGH</t>
        </is>
      </c>
      <c r="AB239" s="24" t="inlineStr">
        <is>
          <t>0.3531105059628509</t>
        </is>
      </c>
      <c r="AC239" s="24" t="inlineStr">
        <is>
          <t>True</t>
        </is>
      </c>
      <c r="AD239" s="24" t="inlineStr">
        <is>
          <t>True</t>
        </is>
      </c>
      <c r="AE239" s="24" t="inlineStr">
        <is>
          <t>valuation_credit_ml_overlay_candidate.csv</t>
        </is>
      </c>
      <c r="AF239" s="24" t="inlineStr">
        <is>
          <t>208개 반도체 reference universe. Valuation Agent가 자체 intake 폴더로 복제해 Peer/ML/대시보드 비교에 사용.</t>
        </is>
      </c>
    </row>
    <row r="240" ht="24" customHeight="1">
      <c r="A240" s="29" t="inlineStr">
        <is>
          <t>162</t>
        </is>
      </c>
      <c r="B240" s="29" t="inlineStr">
        <is>
          <t>해당 없음</t>
        </is>
      </c>
      <c r="C240" s="29" t="inlineStr">
        <is>
          <t>리노공업</t>
        </is>
      </c>
      <c r="D240" s="29" t="inlineStr">
        <is>
          <t>058470</t>
        </is>
      </c>
      <c r="E240" s="29" t="inlineStr">
        <is>
          <t>KOSDAQ GLOBAL</t>
        </is>
      </c>
      <c r="F240" s="29" t="inlineStr">
        <is>
          <t>후공정/패키징/테스트</t>
        </is>
      </c>
      <c r="G240" s="29" t="inlineStr">
        <is>
          <t>후공정/패키징/테스트</t>
        </is>
      </c>
      <c r="H240" s="29" t="inlineStr">
        <is>
          <t>False</t>
        </is>
      </c>
      <c r="I240" s="29" t="inlineStr">
        <is>
          <t>True</t>
        </is>
      </c>
      <c r="J240" s="29" t="inlineStr">
        <is>
          <t>OK</t>
        </is>
      </c>
      <c r="K240" s="29" t="inlineStr">
        <is>
          <t>데이터 사용 가능</t>
        </is>
      </c>
      <c r="L240" s="29" t="inlineStr">
        <is>
          <t>LOW</t>
        </is>
      </c>
      <c r="M240" s="29" t="inlineStr">
        <is>
          <t>LOW</t>
        </is>
      </c>
      <c r="N240" s="29" t="inlineStr">
        <is>
          <t>0.6191111111111112</t>
        </is>
      </c>
      <c r="O240" s="29" t="inlineStr">
        <is>
          <t>ATTRACTIVE</t>
        </is>
      </c>
      <c r="P240" s="29" t="inlineStr">
        <is>
          <t>가치 매력</t>
        </is>
      </c>
      <c r="Q240" s="29" t="inlineStr">
        <is>
          <t>ATTRACTIVE</t>
        </is>
      </c>
      <c r="R240" s="29" t="inlineStr">
        <is>
          <t>0.6825301704423244</t>
        </is>
      </c>
      <c r="S240" s="29" t="inlineStr">
        <is>
          <t>MEDIUM</t>
        </is>
      </c>
      <c r="T240" s="29" t="inlineStr">
        <is>
          <t>MEDIUM</t>
        </is>
      </c>
      <c r="U240" s="29" t="inlineStr">
        <is>
          <t>0.0</t>
        </is>
      </c>
      <c r="V240" s="29" t="inlineStr">
        <is>
          <t>LOW_RISK</t>
        </is>
      </c>
      <c r="W240" s="29" t="inlineStr">
        <is>
          <t>저위험</t>
        </is>
      </c>
      <c r="X240" s="29" t="inlineStr">
        <is>
          <t>LOW_RISK</t>
        </is>
      </c>
      <c r="Y240" s="29" t="inlineStr">
        <is>
          <t>0.941163557572434</t>
        </is>
      </c>
      <c r="Z240" s="29" t="inlineStr">
        <is>
          <t>HIGH</t>
        </is>
      </c>
      <c r="AA240" s="29" t="inlineStr">
        <is>
          <t>HIGH</t>
        </is>
      </c>
      <c r="AB240" s="29" t="inlineStr">
        <is>
          <t>0.3137137380028342</t>
        </is>
      </c>
      <c r="AC240" s="29" t="inlineStr">
        <is>
          <t>True</t>
        </is>
      </c>
      <c r="AD240" s="29" t="inlineStr">
        <is>
          <t>True</t>
        </is>
      </c>
      <c r="AE240" s="29" t="inlineStr">
        <is>
          <t>valuation_credit_ml_overlay_candidate.csv</t>
        </is>
      </c>
      <c r="AF240" s="29" t="inlineStr">
        <is>
          <t>208개 반도체 reference universe. Valuation Agent가 자체 intake 폴더로 복제해 Peer/ML/대시보드 비교에 사용.</t>
        </is>
      </c>
    </row>
    <row r="241" ht="24" customHeight="1">
      <c r="A241" s="24" t="inlineStr">
        <is>
          <t>175</t>
        </is>
      </c>
      <c r="B241" s="24" t="inlineStr">
        <is>
          <t>해당 없음</t>
        </is>
      </c>
      <c r="C241" s="24" t="inlineStr">
        <is>
          <t>오킨스전자</t>
        </is>
      </c>
      <c r="D241" s="24" t="inlineStr">
        <is>
          <t>080580</t>
        </is>
      </c>
      <c r="E241" s="24" t="inlineStr">
        <is>
          <t>KOSDAQ</t>
        </is>
      </c>
      <c r="F241" s="24" t="inlineStr">
        <is>
          <t>후공정/패키징/테스트</t>
        </is>
      </c>
      <c r="G241" s="24" t="inlineStr">
        <is>
          <t>후공정/패키징/테스트</t>
        </is>
      </c>
      <c r="H241" s="24" t="inlineStr">
        <is>
          <t>False</t>
        </is>
      </c>
      <c r="I241" s="24" t="inlineStr">
        <is>
          <t>True</t>
        </is>
      </c>
      <c r="J241" s="24" t="inlineStr">
        <is>
          <t>OK</t>
        </is>
      </c>
      <c r="K241" s="24" t="inlineStr">
        <is>
          <t>데이터 사용 가능</t>
        </is>
      </c>
      <c r="L241" s="24" t="inlineStr">
        <is>
          <t>LOW</t>
        </is>
      </c>
      <c r="M241" s="24" t="inlineStr">
        <is>
          <t>LOW</t>
        </is>
      </c>
      <c r="N241" s="24" t="inlineStr">
        <is>
          <t>0.6062222222222222</t>
        </is>
      </c>
      <c r="O241" s="24" t="inlineStr">
        <is>
          <t>ATTRACTIVE</t>
        </is>
      </c>
      <c r="P241" s="24" t="inlineStr">
        <is>
          <t>가치 매력</t>
        </is>
      </c>
      <c r="Q241" s="24" t="inlineStr">
        <is>
          <t>ATTRACTIVE</t>
        </is>
      </c>
      <c r="R241" s="24" t="inlineStr">
        <is>
          <t>0.8105235691914331</t>
        </is>
      </c>
      <c r="S241" s="24" t="inlineStr">
        <is>
          <t>HIGH</t>
        </is>
      </c>
      <c r="T241" s="24" t="inlineStr">
        <is>
          <t>HIGH</t>
        </is>
      </c>
      <c r="U241" s="24" t="inlineStr">
        <is>
          <t>0.2142857142857142</t>
        </is>
      </c>
      <c r="V241" s="24" t="inlineStr">
        <is>
          <t>MEDIUM_RISK</t>
        </is>
      </c>
      <c r="W241" s="24" t="inlineStr">
        <is>
          <t>중위험</t>
        </is>
      </c>
      <c r="X241" s="24" t="inlineStr">
        <is>
          <t>MEDIUM_RISK</t>
        </is>
      </c>
      <c r="Y241" s="24" t="inlineStr">
        <is>
          <t>0.5565647223385506</t>
        </is>
      </c>
      <c r="Z241" s="24" t="inlineStr">
        <is>
          <t>MEDIUM</t>
        </is>
      </c>
      <c r="AA241" s="24" t="inlineStr">
        <is>
          <t>MEDIUM</t>
        </is>
      </c>
      <c r="AB241" s="24" t="inlineStr">
        <is>
          <t>0.05131400931985753</t>
        </is>
      </c>
      <c r="AC241" s="24" t="inlineStr">
        <is>
          <t>False</t>
        </is>
      </c>
      <c r="AD241" s="24" t="inlineStr">
        <is>
          <t>False</t>
        </is>
      </c>
      <c r="AE241" s="24" t="inlineStr">
        <is>
          <t>valuation_credit_ml_overlay_candidate.csv</t>
        </is>
      </c>
      <c r="AF241" s="24" t="inlineStr">
        <is>
          <t>208개 반도체 reference universe. Valuation Agent가 자체 intake 폴더로 복제해 Peer/ML/대시보드 비교에 사용.</t>
        </is>
      </c>
    </row>
    <row r="242" ht="24" customHeight="1">
      <c r="A242" s="29" t="inlineStr">
        <is>
          <t>160</t>
        </is>
      </c>
      <c r="B242" s="29" t="inlineStr">
        <is>
          <t>해당 없음</t>
        </is>
      </c>
      <c r="C242" s="29" t="inlineStr">
        <is>
          <t>디아이</t>
        </is>
      </c>
      <c r="D242" s="29" t="inlineStr">
        <is>
          <t>003160</t>
        </is>
      </c>
      <c r="E242" s="29" t="inlineStr">
        <is>
          <t>KOSPI</t>
        </is>
      </c>
      <c r="F242" s="29" t="inlineStr">
        <is>
          <t>후공정/패키징/테스트</t>
        </is>
      </c>
      <c r="G242" s="29" t="inlineStr">
        <is>
          <t>후공정/패키징/테스트</t>
        </is>
      </c>
      <c r="H242" s="29" t="inlineStr">
        <is>
          <t>False</t>
        </is>
      </c>
      <c r="I242" s="29" t="inlineStr">
        <is>
          <t>True</t>
        </is>
      </c>
      <c r="J242" s="29" t="inlineStr">
        <is>
          <t>OK</t>
        </is>
      </c>
      <c r="K242" s="29" t="inlineStr">
        <is>
          <t>데이터 사용 가능</t>
        </is>
      </c>
      <c r="L242" s="29" t="inlineStr">
        <is>
          <t>LOW</t>
        </is>
      </c>
      <c r="M242" s="29" t="inlineStr">
        <is>
          <t>LOW</t>
        </is>
      </c>
      <c r="N242" s="29" t="inlineStr">
        <is>
          <t>0.5875555555555555</t>
        </is>
      </c>
      <c r="O242" s="29" t="inlineStr">
        <is>
          <t>ATTRACTIVE</t>
        </is>
      </c>
      <c r="P242" s="29" t="inlineStr">
        <is>
          <t>가치 매력</t>
        </is>
      </c>
      <c r="Q242" s="29" t="inlineStr">
        <is>
          <t>ATTRACTIVE</t>
        </is>
      </c>
      <c r="R242" s="29" t="inlineStr">
        <is>
          <t>0.6560906263736197</t>
        </is>
      </c>
      <c r="S242" s="29" t="inlineStr">
        <is>
          <t>MEDIUM</t>
        </is>
      </c>
      <c r="T242" s="29" t="inlineStr">
        <is>
          <t>MEDIUM</t>
        </is>
      </c>
      <c r="U242" s="29" t="inlineStr">
        <is>
          <t>0.0714285714285714</t>
        </is>
      </c>
      <c r="V242" s="29" t="inlineStr">
        <is>
          <t>LOW_RISK</t>
        </is>
      </c>
      <c r="W242" s="29" t="inlineStr">
        <is>
          <t>저위험</t>
        </is>
      </c>
      <c r="X242" s="29" t="inlineStr">
        <is>
          <t>LOW_RISK</t>
        </is>
      </c>
      <c r="Y242" s="29" t="inlineStr">
        <is>
          <t>0.7571818581431954</t>
        </is>
      </c>
      <c r="Z242" s="29" t="inlineStr">
        <is>
          <t>HIGH</t>
        </is>
      </c>
      <c r="AA242" s="29" t="inlineStr">
        <is>
          <t>HIGH</t>
        </is>
      </c>
      <c r="AB242" s="29" t="inlineStr">
        <is>
          <t>0.027510707117244317</t>
        </is>
      </c>
      <c r="AC242" s="29" t="inlineStr">
        <is>
          <t>False</t>
        </is>
      </c>
      <c r="AD242" s="29" t="inlineStr">
        <is>
          <t>False</t>
        </is>
      </c>
      <c r="AE242" s="29" t="inlineStr">
        <is>
          <t>valuation_credit_ml_overlay_candidate.csv</t>
        </is>
      </c>
      <c r="AF242" s="29" t="inlineStr">
        <is>
          <t>208개 반도체 reference universe. Valuation Agent가 자체 intake 폴더로 복제해 Peer/ML/대시보드 비교에 사용.</t>
        </is>
      </c>
    </row>
    <row r="243" ht="24" customHeight="1">
      <c r="A243" s="24" t="inlineStr">
        <is>
          <t>174</t>
        </is>
      </c>
      <c r="B243" s="24" t="inlineStr">
        <is>
          <t>해당 없음</t>
        </is>
      </c>
      <c r="C243" s="24" t="inlineStr">
        <is>
          <t>엑시콘</t>
        </is>
      </c>
      <c r="D243" s="24" t="inlineStr">
        <is>
          <t>092870</t>
        </is>
      </c>
      <c r="E243" s="24" t="inlineStr">
        <is>
          <t>KOSDAQ</t>
        </is>
      </c>
      <c r="F243" s="24" t="inlineStr">
        <is>
          <t>후공정/패키징/테스트</t>
        </is>
      </c>
      <c r="G243" s="24" t="inlineStr">
        <is>
          <t>후공정/패키징/테스트</t>
        </is>
      </c>
      <c r="H243" s="24" t="inlineStr">
        <is>
          <t>False</t>
        </is>
      </c>
      <c r="I243" s="24" t="inlineStr">
        <is>
          <t>True</t>
        </is>
      </c>
      <c r="J243" s="24" t="inlineStr">
        <is>
          <t>OK</t>
        </is>
      </c>
      <c r="K243" s="24" t="inlineStr">
        <is>
          <t>데이터 사용 가능</t>
        </is>
      </c>
      <c r="L243" s="24" t="inlineStr">
        <is>
          <t>LOW</t>
        </is>
      </c>
      <c r="M243" s="24" t="inlineStr">
        <is>
          <t>LOW</t>
        </is>
      </c>
      <c r="N243" s="24" t="inlineStr">
        <is>
          <t>0.5711111111111111</t>
        </is>
      </c>
      <c r="O243" s="24" t="inlineStr">
        <is>
          <t>FAIR</t>
        </is>
      </c>
      <c r="P243" s="24" t="inlineStr">
        <is>
          <t>FAIR</t>
        </is>
      </c>
      <c r="Q243" s="24" t="inlineStr">
        <is>
          <t>FAIR</t>
        </is>
      </c>
      <c r="R243" s="24" t="inlineStr">
        <is>
          <t>0.7870958268046786</t>
        </is>
      </c>
      <c r="S243" s="24" t="inlineStr">
        <is>
          <t>HIGH</t>
        </is>
      </c>
      <c r="T243" s="24" t="inlineStr">
        <is>
          <t>HIGH</t>
        </is>
      </c>
      <c r="U243" s="24" t="inlineStr">
        <is>
          <t>0.2142857142857142</t>
        </is>
      </c>
      <c r="V243" s="24" t="inlineStr">
        <is>
          <t>MEDIUM_RISK</t>
        </is>
      </c>
      <c r="W243" s="24" t="inlineStr">
        <is>
          <t>중위험</t>
        </is>
      </c>
      <c r="X243" s="24" t="inlineStr">
        <is>
          <t>MEDIUM_RISK</t>
        </is>
      </c>
      <c r="Y243" s="24" t="inlineStr">
        <is>
          <t>0.6956414267155251</t>
        </is>
      </c>
      <c r="Z243" s="24" t="inlineStr">
        <is>
          <t>MEDIUM</t>
        </is>
      </c>
      <c r="AA243" s="24" t="inlineStr">
        <is>
          <t>MEDIUM</t>
        </is>
      </c>
      <c r="AB243" s="24" t="inlineStr">
        <is>
          <t>0.09079387845598708</t>
        </is>
      </c>
      <c r="AC243" s="24" t="inlineStr">
        <is>
          <t>False</t>
        </is>
      </c>
      <c r="AD243" s="24" t="inlineStr">
        <is>
          <t>False</t>
        </is>
      </c>
      <c r="AE243" s="24" t="inlineStr">
        <is>
          <t>valuation_credit_ml_overlay_candidate.csv</t>
        </is>
      </c>
      <c r="AF243" s="24" t="inlineStr">
        <is>
          <t>208개 반도체 reference universe. Valuation Agent가 자체 intake 폴더로 복제해 Peer/ML/대시보드 비교에 사용.</t>
        </is>
      </c>
    </row>
    <row r="244" ht="24" customHeight="1">
      <c r="A244" s="29" t="inlineStr">
        <is>
          <t>177</t>
        </is>
      </c>
      <c r="B244" s="29" t="inlineStr">
        <is>
          <t>해당 없음</t>
        </is>
      </c>
      <c r="C244" s="29" t="inlineStr">
        <is>
          <t>우리이앤엘하루틴</t>
        </is>
      </c>
      <c r="D244" s="29" t="inlineStr">
        <is>
          <t>153490</t>
        </is>
      </c>
      <c r="E244" s="29" t="inlineStr">
        <is>
          <t>KOSDAQ</t>
        </is>
      </c>
      <c r="F244" s="29" t="inlineStr">
        <is>
          <t>후공정/패키징/테스트</t>
        </is>
      </c>
      <c r="G244" s="29" t="inlineStr">
        <is>
          <t>후공정/패키징/테스트</t>
        </is>
      </c>
      <c r="H244" s="29" t="inlineStr">
        <is>
          <t>False</t>
        </is>
      </c>
      <c r="I244" s="29" t="inlineStr">
        <is>
          <t>True</t>
        </is>
      </c>
      <c r="J244" s="29" t="inlineStr">
        <is>
          <t>OK</t>
        </is>
      </c>
      <c r="K244" s="29" t="inlineStr">
        <is>
          <t>데이터 사용 가능</t>
        </is>
      </c>
      <c r="L244" s="29" t="inlineStr">
        <is>
          <t>LOW</t>
        </is>
      </c>
      <c r="M244" s="29" t="inlineStr">
        <is>
          <t>LOW</t>
        </is>
      </c>
      <c r="N244" s="29" t="inlineStr">
        <is>
          <t>0.5598518518518519</t>
        </is>
      </c>
      <c r="O244" s="29" t="inlineStr">
        <is>
          <t>FAIR</t>
        </is>
      </c>
      <c r="P244" s="29" t="inlineStr">
        <is>
          <t>FAIR</t>
        </is>
      </c>
      <c r="Q244" s="29" t="inlineStr">
        <is>
          <t>FAIR</t>
        </is>
      </c>
      <c r="R244" s="29" t="inlineStr">
        <is>
          <t>0.803860880134826</t>
        </is>
      </c>
      <c r="S244" s="29" t="inlineStr">
        <is>
          <t>HIGH</t>
        </is>
      </c>
      <c r="T244" s="29" t="inlineStr">
        <is>
          <t>HIGH</t>
        </is>
      </c>
      <c r="U244" s="29" t="inlineStr">
        <is>
          <t>0.1428571428571428</t>
        </is>
      </c>
      <c r="V244" s="29" t="inlineStr">
        <is>
          <t>LOW_RISK</t>
        </is>
      </c>
      <c r="W244" s="29" t="inlineStr">
        <is>
          <t>저위험</t>
        </is>
      </c>
      <c r="X244" s="29" t="inlineStr">
        <is>
          <t>LOW_RISK</t>
        </is>
      </c>
      <c r="Y244" s="29" t="inlineStr">
        <is>
          <t>0.5263237628250668</t>
        </is>
      </c>
      <c r="Z244" s="29" t="inlineStr">
        <is>
          <t>MEDIUM</t>
        </is>
      </c>
      <c r="AA244" s="29" t="inlineStr">
        <is>
          <t>MEDIUM</t>
        </is>
      </c>
      <c r="AB244" s="29" t="inlineStr">
        <is>
          <t>0.12425981563248314</t>
        </is>
      </c>
      <c r="AC244" s="29" t="inlineStr">
        <is>
          <t>False</t>
        </is>
      </c>
      <c r="AD244" s="29" t="inlineStr">
        <is>
          <t>False</t>
        </is>
      </c>
      <c r="AE244" s="29" t="inlineStr">
        <is>
          <t>valuation_credit_ml_overlay_candidate.csv</t>
        </is>
      </c>
      <c r="AF244" s="29" t="inlineStr">
        <is>
          <t>208개 반도체 reference universe. Valuation Agent가 자체 intake 폴더로 복제해 Peer/ML/대시보드 비교에 사용.</t>
        </is>
      </c>
    </row>
    <row r="245" ht="24" customHeight="1">
      <c r="A245" s="24" t="inlineStr">
        <is>
          <t>176</t>
        </is>
      </c>
      <c r="B245" s="24" t="inlineStr">
        <is>
          <t>해당 없음</t>
        </is>
      </c>
      <c r="C245" s="24" t="inlineStr">
        <is>
          <t>와이씨</t>
        </is>
      </c>
      <c r="D245" s="24" t="inlineStr">
        <is>
          <t>232140</t>
        </is>
      </c>
      <c r="E245" s="24" t="inlineStr">
        <is>
          <t>KOSDAQ</t>
        </is>
      </c>
      <c r="F245" s="24" t="inlineStr">
        <is>
          <t>후공정/패키징/테스트</t>
        </is>
      </c>
      <c r="G245" s="24" t="inlineStr">
        <is>
          <t>후공정/패키징/테스트</t>
        </is>
      </c>
      <c r="H245" s="24" t="inlineStr">
        <is>
          <t>False</t>
        </is>
      </c>
      <c r="I245" s="24" t="inlineStr">
        <is>
          <t>True</t>
        </is>
      </c>
      <c r="J245" s="24" t="inlineStr">
        <is>
          <t>OK</t>
        </is>
      </c>
      <c r="K245" s="24" t="inlineStr">
        <is>
          <t>데이터 사용 가능</t>
        </is>
      </c>
      <c r="L245" s="24" t="inlineStr">
        <is>
          <t>LOW</t>
        </is>
      </c>
      <c r="M245" s="24" t="inlineStr">
        <is>
          <t>LOW</t>
        </is>
      </c>
      <c r="N245" s="24" t="inlineStr">
        <is>
          <t>0.5573333333333333</t>
        </is>
      </c>
      <c r="O245" s="24" t="inlineStr">
        <is>
          <t>FAIR</t>
        </is>
      </c>
      <c r="P245" s="24" t="inlineStr">
        <is>
          <t>FAIR</t>
        </is>
      </c>
      <c r="Q245" s="24" t="inlineStr">
        <is>
          <t>FAIR</t>
        </is>
      </c>
      <c r="R245" s="24" t="inlineStr">
        <is>
          <t>0.5813875575219858</t>
        </is>
      </c>
      <c r="S245" s="24" t="inlineStr">
        <is>
          <t>MEDIUM</t>
        </is>
      </c>
      <c r="T245" s="24" t="inlineStr">
        <is>
          <t>MEDIUM</t>
        </is>
      </c>
      <c r="U245" s="24" t="inlineStr">
        <is>
          <t>0.0</t>
        </is>
      </c>
      <c r="V245" s="24" t="inlineStr">
        <is>
          <t>LOW_RISK</t>
        </is>
      </c>
      <c r="W245" s="24" t="inlineStr">
        <is>
          <t>저위험</t>
        </is>
      </c>
      <c r="X245" s="24" t="inlineStr">
        <is>
          <t>LOW_RISK</t>
        </is>
      </c>
      <c r="Y245" s="24" t="inlineStr">
        <is>
          <t>0.9779169949984006</t>
        </is>
      </c>
      <c r="Z245" s="24" t="inlineStr">
        <is>
          <t>HIGH</t>
        </is>
      </c>
      <c r="AA245" s="24" t="inlineStr">
        <is>
          <t>HIGH</t>
        </is>
      </c>
      <c r="AB245" s="24" t="inlineStr">
        <is>
          <t>0.027903490153269303</t>
        </is>
      </c>
      <c r="AC245" s="24" t="inlineStr">
        <is>
          <t>False</t>
        </is>
      </c>
      <c r="AD245" s="24" t="inlineStr">
        <is>
          <t>False</t>
        </is>
      </c>
      <c r="AE245" s="24" t="inlineStr">
        <is>
          <t>valuation_credit_ml_overlay_candidate.csv</t>
        </is>
      </c>
      <c r="AF245" s="24" t="inlineStr">
        <is>
          <t>208개 반도체 reference universe. Valuation Agent가 자체 intake 폴더로 복제해 Peer/ML/대시보드 비교에 사용.</t>
        </is>
      </c>
    </row>
    <row r="246" ht="24" customHeight="1">
      <c r="A246" s="29" t="inlineStr">
        <is>
          <t>155</t>
        </is>
      </c>
      <c r="B246" s="29" t="inlineStr">
        <is>
          <t>해당 없음</t>
        </is>
      </c>
      <c r="C246" s="29" t="inlineStr">
        <is>
          <t>기가비스</t>
        </is>
      </c>
      <c r="D246" s="29" t="inlineStr">
        <is>
          <t>420770</t>
        </is>
      </c>
      <c r="E246" s="29" t="inlineStr">
        <is>
          <t>KOSDAQ</t>
        </is>
      </c>
      <c r="F246" s="29" t="inlineStr">
        <is>
          <t>후공정/패키징/테스트</t>
        </is>
      </c>
      <c r="G246" s="29" t="inlineStr">
        <is>
          <t>후공정/패키징/테스트</t>
        </is>
      </c>
      <c r="H246" s="29" t="inlineStr">
        <is>
          <t>False</t>
        </is>
      </c>
      <c r="I246" s="29" t="inlineStr">
        <is>
          <t>True</t>
        </is>
      </c>
      <c r="J246" s="29" t="inlineStr">
        <is>
          <t>OK_LIMITED_HISTORY_OR_GROWTH_NA</t>
        </is>
      </c>
      <c r="K246" s="29" t="inlineStr">
        <is>
          <t>데이터 사용 가능</t>
        </is>
      </c>
      <c r="L246" s="29" t="inlineStr">
        <is>
          <t>LOW</t>
        </is>
      </c>
      <c r="M246" s="29" t="inlineStr">
        <is>
          <t>LOW</t>
        </is>
      </c>
      <c r="N246" s="29" t="inlineStr">
        <is>
          <t>0.5544444444444445</t>
        </is>
      </c>
      <c r="O246" s="29" t="inlineStr">
        <is>
          <t>FAIR</t>
        </is>
      </c>
      <c r="P246" s="29" t="inlineStr">
        <is>
          <t>FAIR</t>
        </is>
      </c>
      <c r="Q246" s="29" t="inlineStr">
        <is>
          <t>FAIR</t>
        </is>
      </c>
      <c r="R246" s="29" t="inlineStr">
        <is>
          <t>0.604283449323821</t>
        </is>
      </c>
      <c r="S246" s="29" t="inlineStr">
        <is>
          <t>MEDIUM</t>
        </is>
      </c>
      <c r="T246" s="29" t="inlineStr">
        <is>
          <t>MEDIUM</t>
        </is>
      </c>
      <c r="U246" s="29" t="inlineStr">
        <is>
          <t>0.0714285714285714</t>
        </is>
      </c>
      <c r="V246" s="29" t="inlineStr">
        <is>
          <t>LOW_RISK</t>
        </is>
      </c>
      <c r="W246" s="29" t="inlineStr">
        <is>
          <t>저위험</t>
        </is>
      </c>
      <c r="X246" s="29" t="inlineStr">
        <is>
          <t>LOW_RISK</t>
        </is>
      </c>
      <c r="Y246" s="29" t="inlineStr">
        <is>
          <t>0.9462252670112353</t>
        </is>
      </c>
      <c r="Z246" s="29" t="inlineStr">
        <is>
          <t>HIGH</t>
        </is>
      </c>
      <c r="AA246" s="29" t="inlineStr">
        <is>
          <t>HIGH</t>
        </is>
      </c>
      <c r="AB246" s="29" t="inlineStr">
        <is>
          <t>0.34444594339538714</t>
        </is>
      </c>
      <c r="AC246" s="29" t="inlineStr">
        <is>
          <t>True</t>
        </is>
      </c>
      <c r="AD246" s="29" t="inlineStr">
        <is>
          <t>True</t>
        </is>
      </c>
      <c r="AE246" s="29" t="inlineStr">
        <is>
          <t>valuation_credit_ml_overlay_candidate.csv</t>
        </is>
      </c>
      <c r="AF246" s="29" t="inlineStr">
        <is>
          <t>208개 반도체 reference universe. Valuation Agent가 자체 intake 폴더로 복제해 Peer/ML/대시보드 비교에 사용.</t>
        </is>
      </c>
    </row>
    <row r="247" ht="24" customHeight="1">
      <c r="A247" s="24" t="inlineStr">
        <is>
          <t>194</t>
        </is>
      </c>
      <c r="B247" s="24" t="inlineStr">
        <is>
          <t>해당 없음</t>
        </is>
      </c>
      <c r="C247" s="24" t="inlineStr">
        <is>
          <t>해성디에스</t>
        </is>
      </c>
      <c r="D247" s="24" t="inlineStr">
        <is>
          <t>195870</t>
        </is>
      </c>
      <c r="E247" s="24" t="inlineStr">
        <is>
          <t>KOSPI</t>
        </is>
      </c>
      <c r="F247" s="24" t="inlineStr">
        <is>
          <t>후공정/패키징/테스트</t>
        </is>
      </c>
      <c r="G247" s="24" t="inlineStr">
        <is>
          <t>후공정/패키징/테스트</t>
        </is>
      </c>
      <c r="H247" s="24" t="inlineStr">
        <is>
          <t>False</t>
        </is>
      </c>
      <c r="I247" s="24" t="inlineStr">
        <is>
          <t>True</t>
        </is>
      </c>
      <c r="J247" s="24" t="inlineStr">
        <is>
          <t>OK</t>
        </is>
      </c>
      <c r="K247" s="24" t="inlineStr">
        <is>
          <t>데이터 사용 가능</t>
        </is>
      </c>
      <c r="L247" s="24" t="inlineStr">
        <is>
          <t>LOW</t>
        </is>
      </c>
      <c r="M247" s="24" t="inlineStr">
        <is>
          <t>LOW</t>
        </is>
      </c>
      <c r="N247" s="24" t="inlineStr">
        <is>
          <t>0.5333333333333333</t>
        </is>
      </c>
      <c r="O247" s="24" t="inlineStr">
        <is>
          <t>FAIR</t>
        </is>
      </c>
      <c r="P247" s="24" t="inlineStr">
        <is>
          <t>FAIR</t>
        </is>
      </c>
      <c r="Q247" s="24" t="inlineStr">
        <is>
          <t>FAIR</t>
        </is>
      </c>
      <c r="R247" s="24" t="inlineStr">
        <is>
          <t>0.8942165906576592</t>
        </is>
      </c>
      <c r="S247" s="24" t="inlineStr">
        <is>
          <t>HIGH</t>
        </is>
      </c>
      <c r="T247" s="24" t="inlineStr">
        <is>
          <t>HIGH</t>
        </is>
      </c>
      <c r="U247" s="24" t="inlineStr">
        <is>
          <t>0.0714285714285714</t>
        </is>
      </c>
      <c r="V247" s="24" t="inlineStr">
        <is>
          <t>LOW_RISK</t>
        </is>
      </c>
      <c r="W247" s="24" t="inlineStr">
        <is>
          <t>저위험</t>
        </is>
      </c>
      <c r="X247" s="24" t="inlineStr">
        <is>
          <t>LOW_RISK</t>
        </is>
      </c>
      <c r="Y247" s="24" t="inlineStr">
        <is>
          <t>0.7552918248784374</t>
        </is>
      </c>
      <c r="Z247" s="24" t="inlineStr">
        <is>
          <t>HIGH</t>
        </is>
      </c>
      <c r="AA247" s="24" t="inlineStr">
        <is>
          <t>HIGH</t>
        </is>
      </c>
      <c r="AB247" s="24" t="inlineStr">
        <is>
          <t>0.0</t>
        </is>
      </c>
      <c r="AC247" s="24" t="inlineStr">
        <is>
          <t>False</t>
        </is>
      </c>
      <c r="AD247" s="24" t="inlineStr">
        <is>
          <t>False</t>
        </is>
      </c>
      <c r="AE247" s="24" t="inlineStr">
        <is>
          <t>valuation_credit_ml_overlay_candidate.csv</t>
        </is>
      </c>
      <c r="AF247" s="24" t="inlineStr">
        <is>
          <t>208개 반도체 reference universe. Valuation Agent가 자체 intake 폴더로 복제해 Peer/ML/대시보드 비교에 사용.</t>
        </is>
      </c>
    </row>
    <row r="248" ht="24" customHeight="1">
      <c r="A248" s="29" t="inlineStr">
        <is>
          <t>150</t>
        </is>
      </c>
      <c r="B248" s="29" t="inlineStr">
        <is>
          <t>해당 없음</t>
        </is>
      </c>
      <c r="C248" s="29" t="inlineStr">
        <is>
          <t>ISC</t>
        </is>
      </c>
      <c r="D248" s="29" t="inlineStr">
        <is>
          <t>095340</t>
        </is>
      </c>
      <c r="E248" s="29" t="inlineStr">
        <is>
          <t>KOSDAQ GLOBAL</t>
        </is>
      </c>
      <c r="F248" s="29" t="inlineStr">
        <is>
          <t>후공정/패키징/테스트</t>
        </is>
      </c>
      <c r="G248" s="29" t="inlineStr">
        <is>
          <t>후공정/패키징/테스트</t>
        </is>
      </c>
      <c r="H248" s="29" t="inlineStr">
        <is>
          <t>False</t>
        </is>
      </c>
      <c r="I248" s="29" t="inlineStr">
        <is>
          <t>True</t>
        </is>
      </c>
      <c r="J248" s="29" t="inlineStr">
        <is>
          <t>OK</t>
        </is>
      </c>
      <c r="K248" s="29" t="inlineStr">
        <is>
          <t>데이터 사용 가능</t>
        </is>
      </c>
      <c r="L248" s="29" t="inlineStr">
        <is>
          <t>LOW</t>
        </is>
      </c>
      <c r="M248" s="29" t="inlineStr">
        <is>
          <t>LOW</t>
        </is>
      </c>
      <c r="N248" s="29" t="inlineStr">
        <is>
          <t>0.5176296296296296</t>
        </is>
      </c>
      <c r="O248" s="29" t="inlineStr">
        <is>
          <t>FAIR</t>
        </is>
      </c>
      <c r="P248" s="29" t="inlineStr">
        <is>
          <t>FAIR</t>
        </is>
      </c>
      <c r="Q248" s="29" t="inlineStr">
        <is>
          <t>FAIR</t>
        </is>
      </c>
      <c r="R248" s="29" t="inlineStr">
        <is>
          <t>0.5753148434947495</t>
        </is>
      </c>
      <c r="S248" s="29" t="inlineStr">
        <is>
          <t>MEDIUM</t>
        </is>
      </c>
      <c r="T248" s="29" t="inlineStr">
        <is>
          <t>MEDIUM</t>
        </is>
      </c>
      <c r="U248" s="29" t="inlineStr">
        <is>
          <t>0.0</t>
        </is>
      </c>
      <c r="V248" s="29" t="inlineStr">
        <is>
          <t>LOW_RISK</t>
        </is>
      </c>
      <c r="W248" s="29" t="inlineStr">
        <is>
          <t>저위험</t>
        </is>
      </c>
      <c r="X248" s="29" t="inlineStr">
        <is>
          <t>LOW_RISK</t>
        </is>
      </c>
      <c r="Y248" s="29" t="inlineStr">
        <is>
          <t>0.9755870924998499</t>
        </is>
      </c>
      <c r="Z248" s="29" t="inlineStr">
        <is>
          <t>HIGH</t>
        </is>
      </c>
      <c r="AA248" s="29" t="inlineStr">
        <is>
          <t>HIGH</t>
        </is>
      </c>
      <c r="AB248" s="29" t="inlineStr">
        <is>
          <t>0.14006921921799445</t>
        </is>
      </c>
      <c r="AC248" s="29" t="inlineStr">
        <is>
          <t>False</t>
        </is>
      </c>
      <c r="AD248" s="29" t="inlineStr">
        <is>
          <t>False</t>
        </is>
      </c>
      <c r="AE248" s="29" t="inlineStr">
        <is>
          <t>valuation_credit_ml_overlay_candidate.csv</t>
        </is>
      </c>
      <c r="AF248" s="29" t="inlineStr">
        <is>
          <t>208개 반도체 reference universe. Valuation Agent가 자체 intake 폴더로 복제해 Peer/ML/대시보드 비교에 사용.</t>
        </is>
      </c>
    </row>
    <row r="249" ht="24" customHeight="1">
      <c r="A249" s="24" t="inlineStr">
        <is>
          <t>173</t>
        </is>
      </c>
      <c r="B249" s="24" t="inlineStr">
        <is>
          <t>해당 없음</t>
        </is>
      </c>
      <c r="C249" s="24" t="inlineStr">
        <is>
          <t>에이팩트</t>
        </is>
      </c>
      <c r="D249" s="24" t="inlineStr">
        <is>
          <t>200470</t>
        </is>
      </c>
      <c r="E249" s="24" t="inlineStr">
        <is>
          <t>KOSDAQ</t>
        </is>
      </c>
      <c r="F249" s="24" t="inlineStr">
        <is>
          <t>후공정/패키징/테스트</t>
        </is>
      </c>
      <c r="G249" s="24" t="inlineStr">
        <is>
          <t>후공정/패키징/테스트</t>
        </is>
      </c>
      <c r="H249" s="24" t="inlineStr">
        <is>
          <t>False</t>
        </is>
      </c>
      <c r="I249" s="24" t="inlineStr">
        <is>
          <t>True</t>
        </is>
      </c>
      <c r="J249" s="24" t="inlineStr">
        <is>
          <t>OK</t>
        </is>
      </c>
      <c r="K249" s="24" t="inlineStr">
        <is>
          <t>데이터 사용 가능</t>
        </is>
      </c>
      <c r="L249" s="24" t="inlineStr">
        <is>
          <t>LOW</t>
        </is>
      </c>
      <c r="M249" s="24" t="inlineStr">
        <is>
          <t>LOW</t>
        </is>
      </c>
      <c r="N249" s="24" t="inlineStr">
        <is>
          <t>0.5026666666666667</t>
        </is>
      </c>
      <c r="O249" s="24" t="inlineStr">
        <is>
          <t>FAIR</t>
        </is>
      </c>
      <c r="P249" s="24" t="inlineStr">
        <is>
          <t>FAIR</t>
        </is>
      </c>
      <c r="Q249" s="24" t="inlineStr">
        <is>
          <t>FAIR</t>
        </is>
      </c>
      <c r="R249" s="24" t="inlineStr">
        <is>
          <t>0.8010795762920226</t>
        </is>
      </c>
      <c r="S249" s="24" t="inlineStr">
        <is>
          <t>HIGH</t>
        </is>
      </c>
      <c r="T249" s="24" t="inlineStr">
        <is>
          <t>HIGH</t>
        </is>
      </c>
      <c r="U249" s="24" t="inlineStr">
        <is>
          <t>0.4285714285714285</t>
        </is>
      </c>
      <c r="V249" s="24" t="inlineStr">
        <is>
          <t>HIGH_RISK</t>
        </is>
      </c>
      <c r="W249" s="24" t="inlineStr">
        <is>
          <t>고위험</t>
        </is>
      </c>
      <c r="X249" s="24" t="inlineStr">
        <is>
          <t>MEDIUM_RISK</t>
        </is>
      </c>
      <c r="Y249" s="24" t="inlineStr">
        <is>
          <t>0.40666664980482187</t>
        </is>
      </c>
      <c r="Z249" s="24" t="inlineStr">
        <is>
          <t>LOW</t>
        </is>
      </c>
      <c r="AA249" s="24" t="inlineStr">
        <is>
          <t>LOW</t>
        </is>
      </c>
      <c r="AB249" s="24" t="inlineStr">
        <is>
          <t>0.060282917359955154</t>
        </is>
      </c>
      <c r="AC249" s="24" t="inlineStr">
        <is>
          <t>False</t>
        </is>
      </c>
      <c r="AD249" s="24" t="inlineStr">
        <is>
          <t>True</t>
        </is>
      </c>
      <c r="AE249" s="24" t="inlineStr">
        <is>
          <t>valuation_credit_ml_overlay_candidate.csv</t>
        </is>
      </c>
      <c r="AF249" s="24" t="inlineStr">
        <is>
          <t>208개 반도체 reference universe. Valuation Agent가 자체 intake 폴더로 복제해 Peer/ML/대시보드 비교에 사용.</t>
        </is>
      </c>
    </row>
    <row r="250" ht="24" customHeight="1">
      <c r="A250" s="29" t="inlineStr">
        <is>
          <t>166</t>
        </is>
      </c>
      <c r="B250" s="29" t="inlineStr">
        <is>
          <t>해당 없음</t>
        </is>
      </c>
      <c r="C250" s="29" t="inlineStr">
        <is>
          <t>삼성전기</t>
        </is>
      </c>
      <c r="D250" s="29" t="inlineStr">
        <is>
          <t>009150</t>
        </is>
      </c>
      <c r="E250" s="29" t="inlineStr">
        <is>
          <t>KOSPI</t>
        </is>
      </c>
      <c r="F250" s="29" t="inlineStr">
        <is>
          <t>후공정/패키징/테스트</t>
        </is>
      </c>
      <c r="G250" s="29" t="inlineStr">
        <is>
          <t>후공정/패키징/테스트</t>
        </is>
      </c>
      <c r="H250" s="29" t="inlineStr">
        <is>
          <t>False</t>
        </is>
      </c>
      <c r="I250" s="29" t="inlineStr">
        <is>
          <t>True</t>
        </is>
      </c>
      <c r="J250" s="29" t="inlineStr">
        <is>
          <t>OK</t>
        </is>
      </c>
      <c r="K250" s="29" t="inlineStr">
        <is>
          <t>데이터 사용 가능</t>
        </is>
      </c>
      <c r="L250" s="29" t="inlineStr">
        <is>
          <t>LOW</t>
        </is>
      </c>
      <c r="M250" s="29" t="inlineStr">
        <is>
          <t>LOW</t>
        </is>
      </c>
      <c r="N250" s="29" t="inlineStr">
        <is>
          <t>0.4957037037037037</t>
        </is>
      </c>
      <c r="O250" s="29" t="inlineStr">
        <is>
          <t>FAIR</t>
        </is>
      </c>
      <c r="P250" s="29" t="inlineStr">
        <is>
          <t>FAIR</t>
        </is>
      </c>
      <c r="Q250" s="29" t="inlineStr">
        <is>
          <t>FAIR</t>
        </is>
      </c>
      <c r="R250" s="29" t="inlineStr">
        <is>
          <t>0.5297655139045552</t>
        </is>
      </c>
      <c r="S250" s="29" t="inlineStr">
        <is>
          <t>MEDIUM</t>
        </is>
      </c>
      <c r="T250" s="29" t="inlineStr">
        <is>
          <t>MEDIUM</t>
        </is>
      </c>
      <c r="U250" s="29" t="inlineStr">
        <is>
          <t>0.0</t>
        </is>
      </c>
      <c r="V250" s="29" t="inlineStr">
        <is>
          <t>LOW_RISK</t>
        </is>
      </c>
      <c r="W250" s="29" t="inlineStr">
        <is>
          <t>저위험</t>
        </is>
      </c>
      <c r="X250" s="29" t="inlineStr">
        <is>
          <t>LOW_RISK</t>
        </is>
      </c>
      <c r="Y250" s="29" t="inlineStr">
        <is>
          <t>0.9613637696053304</t>
        </is>
      </c>
      <c r="Z250" s="29" t="inlineStr">
        <is>
          <t>HIGH</t>
        </is>
      </c>
      <c r="AA250" s="29" t="inlineStr">
        <is>
          <t>HIGH</t>
        </is>
      </c>
      <c r="AB250" s="29" t="inlineStr">
        <is>
          <t>0.09523408011479967</t>
        </is>
      </c>
      <c r="AC250" s="29" t="inlineStr">
        <is>
          <t>False</t>
        </is>
      </c>
      <c r="AD250" s="29" t="inlineStr">
        <is>
          <t>False</t>
        </is>
      </c>
      <c r="AE250" s="29" t="inlineStr">
        <is>
          <t>valuation_credit_ml_overlay_candidate.csv</t>
        </is>
      </c>
      <c r="AF250" s="29" t="inlineStr">
        <is>
          <t>208개 반도체 reference universe. Valuation Agent가 자체 intake 폴더로 복제해 Peer/ML/대시보드 비교에 사용.</t>
        </is>
      </c>
    </row>
    <row r="251" ht="24" customHeight="1">
      <c r="A251" s="24" t="inlineStr">
        <is>
          <t>171</t>
        </is>
      </c>
      <c r="B251" s="24" t="inlineStr">
        <is>
          <t>해당 없음</t>
        </is>
      </c>
      <c r="C251" s="24" t="inlineStr">
        <is>
          <t>에이엘티</t>
        </is>
      </c>
      <c r="D251" s="24" t="inlineStr">
        <is>
          <t>172670</t>
        </is>
      </c>
      <c r="E251" s="24" t="inlineStr">
        <is>
          <t>KOSDAQ</t>
        </is>
      </c>
      <c r="F251" s="24" t="inlineStr">
        <is>
          <t>후공정/패키징/테스트</t>
        </is>
      </c>
      <c r="G251" s="24" t="inlineStr">
        <is>
          <t>후공정/패키징/테스트</t>
        </is>
      </c>
      <c r="H251" s="24" t="inlineStr">
        <is>
          <t>False</t>
        </is>
      </c>
      <c r="I251" s="24" t="inlineStr">
        <is>
          <t>True</t>
        </is>
      </c>
      <c r="J251" s="24" t="inlineStr">
        <is>
          <t>OK</t>
        </is>
      </c>
      <c r="K251" s="24" t="inlineStr">
        <is>
          <t>데이터 사용 가능</t>
        </is>
      </c>
      <c r="L251" s="24" t="inlineStr">
        <is>
          <t>LOW</t>
        </is>
      </c>
      <c r="M251" s="24" t="inlineStr">
        <is>
          <t>LOW</t>
        </is>
      </c>
      <c r="N251" s="24" t="inlineStr">
        <is>
          <t>0.4877037037037036</t>
        </is>
      </c>
      <c r="O251" s="24" t="inlineStr">
        <is>
          <t>FAIR</t>
        </is>
      </c>
      <c r="P251" s="24" t="inlineStr">
        <is>
          <t>FAIR</t>
        </is>
      </c>
      <c r="Q251" s="24" t="inlineStr">
        <is>
          <t>FAIR</t>
        </is>
      </c>
      <c r="R251" s="24" t="inlineStr">
        <is>
          <t>0.5308622758067901</t>
        </is>
      </c>
      <c r="S251" s="24" t="inlineStr">
        <is>
          <t>MEDIUM</t>
        </is>
      </c>
      <c r="T251" s="24" t="inlineStr">
        <is>
          <t>MEDIUM</t>
        </is>
      </c>
      <c r="U251" s="24" t="inlineStr">
        <is>
          <t>0.3571428571428571</t>
        </is>
      </c>
      <c r="V251" s="24" t="inlineStr">
        <is>
          <t>MEDIUM_RISK</t>
        </is>
      </c>
      <c r="W251" s="24" t="inlineStr">
        <is>
          <t>중위험</t>
        </is>
      </c>
      <c r="X251" s="24" t="inlineStr">
        <is>
          <t>MEDIUM_RISK</t>
        </is>
      </c>
      <c r="Y251" s="24" t="inlineStr">
        <is>
          <t>0.6934148613969219</t>
        </is>
      </c>
      <c r="Z251" s="24" t="inlineStr">
        <is>
          <t>MEDIUM</t>
        </is>
      </c>
      <c r="AA251" s="24" t="inlineStr">
        <is>
          <t>MEDIUM</t>
        </is>
      </c>
      <c r="AB251" s="24" t="inlineStr">
        <is>
          <t>0.07946889412350498</t>
        </is>
      </c>
      <c r="AC251" s="24" t="inlineStr">
        <is>
          <t>False</t>
        </is>
      </c>
      <c r="AD251" s="24" t="inlineStr">
        <is>
          <t>False</t>
        </is>
      </c>
      <c r="AE251" s="24" t="inlineStr">
        <is>
          <t>valuation_credit_ml_overlay_candidate.csv</t>
        </is>
      </c>
      <c r="AF251" s="24" t="inlineStr">
        <is>
          <t>208개 반도체 reference universe. Valuation Agent가 자체 intake 폴더로 복제해 Peer/ML/대시보드 비교에 사용.</t>
        </is>
      </c>
    </row>
    <row r="252" ht="24" customHeight="1">
      <c r="A252" s="29" t="inlineStr">
        <is>
          <t>184</t>
        </is>
      </c>
      <c r="B252" s="29" t="inlineStr">
        <is>
          <t>해당 없음</t>
        </is>
      </c>
      <c r="C252" s="29" t="inlineStr">
        <is>
          <t>큐알티</t>
        </is>
      </c>
      <c r="D252" s="29" t="inlineStr">
        <is>
          <t>405100</t>
        </is>
      </c>
      <c r="E252" s="29" t="inlineStr">
        <is>
          <t>KOSDAQ</t>
        </is>
      </c>
      <c r="F252" s="29" t="inlineStr">
        <is>
          <t>후공정/패키징/테스트</t>
        </is>
      </c>
      <c r="G252" s="29" t="inlineStr">
        <is>
          <t>후공정/패키징/테스트</t>
        </is>
      </c>
      <c r="H252" s="29" t="inlineStr">
        <is>
          <t>False</t>
        </is>
      </c>
      <c r="I252" s="29" t="inlineStr">
        <is>
          <t>True</t>
        </is>
      </c>
      <c r="J252" s="29" t="inlineStr">
        <is>
          <t>OK</t>
        </is>
      </c>
      <c r="K252" s="29" t="inlineStr">
        <is>
          <t>데이터 사용 가능</t>
        </is>
      </c>
      <c r="L252" s="29" t="inlineStr">
        <is>
          <t>LOW</t>
        </is>
      </c>
      <c r="M252" s="29" t="inlineStr">
        <is>
          <t>LOW</t>
        </is>
      </c>
      <c r="N252" s="29" t="inlineStr">
        <is>
          <t>0.4782222222222222</t>
        </is>
      </c>
      <c r="O252" s="29" t="inlineStr">
        <is>
          <t>FAIR</t>
        </is>
      </c>
      <c r="P252" s="29" t="inlineStr">
        <is>
          <t>FAIR</t>
        </is>
      </c>
      <c r="Q252" s="29" t="inlineStr">
        <is>
          <t>ATTRACTIVE</t>
        </is>
      </c>
      <c r="R252" s="29" t="inlineStr">
        <is>
          <t>0.4463498311096922</t>
        </is>
      </c>
      <c r="S252" s="29" t="inlineStr">
        <is>
          <t>LOW</t>
        </is>
      </c>
      <c r="T252" s="29" t="inlineStr">
        <is>
          <t>LOW</t>
        </is>
      </c>
      <c r="U252" s="29" t="inlineStr">
        <is>
          <t>0.0</t>
        </is>
      </c>
      <c r="V252" s="29" t="inlineStr">
        <is>
          <t>LOW_RISK</t>
        </is>
      </c>
      <c r="W252" s="29" t="inlineStr">
        <is>
          <t>저위험</t>
        </is>
      </c>
      <c r="X252" s="29" t="inlineStr">
        <is>
          <t>LOW_RISK</t>
        </is>
      </c>
      <c r="Y252" s="29" t="inlineStr">
        <is>
          <t>0.8693080817598533</t>
        </is>
      </c>
      <c r="Z252" s="29" t="inlineStr">
        <is>
          <t>HIGH</t>
        </is>
      </c>
      <c r="AA252" s="29" t="inlineStr">
        <is>
          <t>HIGH</t>
        </is>
      </c>
      <c r="AB252" s="29" t="inlineStr">
        <is>
          <t>0.014158930737617927</t>
        </is>
      </c>
      <c r="AC252" s="29" t="inlineStr">
        <is>
          <t>False</t>
        </is>
      </c>
      <c r="AD252" s="29" t="inlineStr">
        <is>
          <t>True</t>
        </is>
      </c>
      <c r="AE252" s="29" t="inlineStr">
        <is>
          <t>valuation_credit_ml_overlay_candidate.csv</t>
        </is>
      </c>
      <c r="AF252" s="29" t="inlineStr">
        <is>
          <t>208개 반도체 reference universe. Valuation Agent가 자체 intake 폴더로 복제해 Peer/ML/대시보드 비교에 사용.</t>
        </is>
      </c>
    </row>
    <row r="253" ht="24" customHeight="1">
      <c r="A253" s="24" t="inlineStr">
        <is>
          <t>192</t>
        </is>
      </c>
      <c r="B253" s="24" t="inlineStr">
        <is>
          <t>hanmi</t>
        </is>
      </c>
      <c r="C253" s="24" t="inlineStr">
        <is>
          <t>한미반도체</t>
        </is>
      </c>
      <c r="D253" s="24" t="inlineStr">
        <is>
          <t>042700</t>
        </is>
      </c>
      <c r="E253" s="24" t="inlineStr">
        <is>
          <t>KOSPI</t>
        </is>
      </c>
      <c r="F253" s="24" t="inlineStr">
        <is>
          <t>후공정/패키징/테스트</t>
        </is>
      </c>
      <c r="G253" s="24" t="inlineStr">
        <is>
          <t>후공정/패키징/테스트</t>
        </is>
      </c>
      <c r="H253" s="24" t="inlineStr">
        <is>
          <t>True</t>
        </is>
      </c>
      <c r="I253" s="24" t="inlineStr">
        <is>
          <t>True</t>
        </is>
      </c>
      <c r="J253" s="24" t="inlineStr">
        <is>
          <t>OK</t>
        </is>
      </c>
      <c r="K253" s="24" t="inlineStr">
        <is>
          <t>데이터 사용 가능</t>
        </is>
      </c>
      <c r="L253" s="24" t="inlineStr">
        <is>
          <t>LOW</t>
        </is>
      </c>
      <c r="M253" s="24" t="inlineStr">
        <is>
          <t>LOW</t>
        </is>
      </c>
      <c r="N253" s="24" t="inlineStr">
        <is>
          <t>0.4712592592592592</t>
        </is>
      </c>
      <c r="O253" s="24" t="inlineStr">
        <is>
          <t>FAIR</t>
        </is>
      </c>
      <c r="P253" s="24" t="inlineStr">
        <is>
          <t>FAIR</t>
        </is>
      </c>
      <c r="Q253" s="24" t="inlineStr">
        <is>
          <t>FAIR</t>
        </is>
      </c>
      <c r="R253" s="24" t="inlineStr">
        <is>
          <t>0.618072727307107</t>
        </is>
      </c>
      <c r="S253" s="24" t="inlineStr">
        <is>
          <t>MEDIUM</t>
        </is>
      </c>
      <c r="T253" s="24" t="inlineStr">
        <is>
          <t>MEDIUM</t>
        </is>
      </c>
      <c r="U253" s="24" t="inlineStr">
        <is>
          <t>0.0</t>
        </is>
      </c>
      <c r="V253" s="24" t="inlineStr">
        <is>
          <t>LOW_RISK</t>
        </is>
      </c>
      <c r="W253" s="24" t="inlineStr">
        <is>
          <t>저위험</t>
        </is>
      </c>
      <c r="X253" s="24" t="inlineStr">
        <is>
          <t>LOW_RISK</t>
        </is>
      </c>
      <c r="Y253" s="24" t="inlineStr">
        <is>
          <t>0.9350232170644448</t>
        </is>
      </c>
      <c r="Z253" s="24" t="inlineStr">
        <is>
          <t>HIGH</t>
        </is>
      </c>
      <c r="AA253" s="24" t="inlineStr">
        <is>
          <t>HIGH</t>
        </is>
      </c>
      <c r="AB253" s="24" t="inlineStr">
        <is>
          <t>0.2707179947680644</t>
        </is>
      </c>
      <c r="AC253" s="24" t="inlineStr">
        <is>
          <t>True</t>
        </is>
      </c>
      <c r="AD253" s="24" t="inlineStr">
        <is>
          <t>True</t>
        </is>
      </c>
      <c r="AE253" s="24" t="inlineStr">
        <is>
          <t>valuation_credit_ml_overlay_candidate.csv</t>
        </is>
      </c>
      <c r="AF253" s="24" t="inlineStr">
        <is>
          <t>208개 반도체 reference universe. Valuation Agent가 자체 intake 폴더로 복제해 Peer/ML/대시보드 비교에 사용.</t>
        </is>
      </c>
    </row>
    <row r="254" ht="24" customHeight="1">
      <c r="A254" s="29" t="inlineStr">
        <is>
          <t>185</t>
        </is>
      </c>
      <c r="B254" s="29" t="inlineStr">
        <is>
          <t>해당 없음</t>
        </is>
      </c>
      <c r="C254" s="29" t="inlineStr">
        <is>
          <t>큐엠씨</t>
        </is>
      </c>
      <c r="D254" s="29" t="inlineStr">
        <is>
          <t>136660</t>
        </is>
      </c>
      <c r="E254" s="29" t="inlineStr">
        <is>
          <t>KONEX</t>
        </is>
      </c>
      <c r="F254" s="29" t="inlineStr">
        <is>
          <t>후공정/패키징/테스트</t>
        </is>
      </c>
      <c r="G254" s="29" t="inlineStr">
        <is>
          <t>후공정/패키징/테스트</t>
        </is>
      </c>
      <c r="H254" s="29" t="inlineStr">
        <is>
          <t>False</t>
        </is>
      </c>
      <c r="I254" s="29" t="inlineStr">
        <is>
          <t>True</t>
        </is>
      </c>
      <c r="J254" s="29" t="inlineStr">
        <is>
          <t>NO_DART_FINANCIAL_DATA</t>
        </is>
      </c>
      <c r="K254" s="29" t="inlineStr">
        <is>
          <t>데이터 사용 가능</t>
        </is>
      </c>
      <c r="L254" s="29" t="inlineStr">
        <is>
          <t>HIGH</t>
        </is>
      </c>
      <c r="M254" s="29" t="inlineStr">
        <is>
          <t>HIGH</t>
        </is>
      </c>
      <c r="N254" s="29" t="inlineStr">
        <is>
          <t>0.4711111111111111</t>
        </is>
      </c>
      <c r="O254" s="29" t="inlineStr">
        <is>
          <t>FAIR</t>
        </is>
      </c>
      <c r="P254" s="29" t="inlineStr">
        <is>
          <t>FAIR</t>
        </is>
      </c>
      <c r="Q254" s="29" t="inlineStr">
        <is>
          <t>FAIR</t>
        </is>
      </c>
      <c r="R254" s="29" t="inlineStr">
        <is>
          <t>0.9731046168075388</t>
        </is>
      </c>
      <c r="S254" s="29" t="inlineStr">
        <is>
          <t>HIGH</t>
        </is>
      </c>
      <c r="T254" s="29" t="inlineStr">
        <is>
          <t>HIGH</t>
        </is>
      </c>
      <c r="U254" s="29" t="inlineStr">
        <is>
          <t>0.2857142857142857</t>
        </is>
      </c>
      <c r="V254" s="29" t="inlineStr">
        <is>
          <t>MEDIUM_RISK</t>
        </is>
      </c>
      <c r="W254" s="29" t="inlineStr">
        <is>
          <t>중위험</t>
        </is>
      </c>
      <c r="X254" s="29" t="inlineStr">
        <is>
          <t>MEDIUM_RISK</t>
        </is>
      </c>
      <c r="Y254" s="29" t="inlineStr">
        <is>
          <t>0.7892126449586269</t>
        </is>
      </c>
      <c r="Z254" s="29" t="inlineStr">
        <is>
          <t>HIGH</t>
        </is>
      </c>
      <c r="AA254" s="29" t="inlineStr">
        <is>
          <t>HIGH</t>
        </is>
      </c>
      <c r="AB254" s="29" t="inlineStr">
        <is>
          <t>0.07859474908410963</t>
        </is>
      </c>
      <c r="AC254" s="29" t="inlineStr">
        <is>
          <t>False</t>
        </is>
      </c>
      <c r="AD254" s="29" t="inlineStr">
        <is>
          <t>True</t>
        </is>
      </c>
      <c r="AE254" s="29" t="inlineStr">
        <is>
          <t>valuation_credit_ml_overlay_candidate.csv</t>
        </is>
      </c>
      <c r="AF254" s="29" t="inlineStr">
        <is>
          <t>208개 반도체 reference universe. Valuation Agent가 자체 intake 폴더로 복제해 Peer/ML/대시보드 비교에 사용.</t>
        </is>
      </c>
    </row>
    <row r="255" ht="24" customHeight="1">
      <c r="A255" s="24" t="inlineStr">
        <is>
          <t>161</t>
        </is>
      </c>
      <c r="B255" s="24" t="inlineStr">
        <is>
          <t>해당 없음</t>
        </is>
      </c>
      <c r="C255" s="24" t="inlineStr">
        <is>
          <t>럭스피아</t>
        </is>
      </c>
      <c r="D255" s="24" t="inlineStr">
        <is>
          <t>092590</t>
        </is>
      </c>
      <c r="E255" s="24" t="inlineStr">
        <is>
          <t>KONEX</t>
        </is>
      </c>
      <c r="F255" s="24" t="inlineStr">
        <is>
          <t>후공정/패키징/테스트</t>
        </is>
      </c>
      <c r="G255" s="24" t="inlineStr">
        <is>
          <t>후공정/패키징/테스트</t>
        </is>
      </c>
      <c r="H255" s="24" t="inlineStr">
        <is>
          <t>False</t>
        </is>
      </c>
      <c r="I255" s="24" t="inlineStr">
        <is>
          <t>True</t>
        </is>
      </c>
      <c r="J255" s="24" t="inlineStr">
        <is>
          <t>NO_DART_FINANCIAL_DATA</t>
        </is>
      </c>
      <c r="K255" s="24" t="inlineStr">
        <is>
          <t>데이터 사용 가능</t>
        </is>
      </c>
      <c r="L255" s="24" t="inlineStr">
        <is>
          <t>HIGH</t>
        </is>
      </c>
      <c r="M255" s="24" t="inlineStr">
        <is>
          <t>HIGH</t>
        </is>
      </c>
      <c r="N255" s="24" t="inlineStr">
        <is>
          <t>0.4681481481481481</t>
        </is>
      </c>
      <c r="O255" s="24" t="inlineStr">
        <is>
          <t>FAIR</t>
        </is>
      </c>
      <c r="P255" s="24" t="inlineStr">
        <is>
          <t>FAIR</t>
        </is>
      </c>
      <c r="Q255" s="24" t="inlineStr">
        <is>
          <t>FAIR</t>
        </is>
      </c>
      <c r="R255" s="24" t="inlineStr">
        <is>
          <t>0.969533908094729</t>
        </is>
      </c>
      <c r="S255" s="24" t="inlineStr">
        <is>
          <t>HIGH</t>
        </is>
      </c>
      <c r="T255" s="24" t="inlineStr">
        <is>
          <t>HIGH</t>
        </is>
      </c>
      <c r="U255" s="24" t="inlineStr">
        <is>
          <t>0.2857142857142857</t>
        </is>
      </c>
      <c r="V255" s="24" t="inlineStr">
        <is>
          <t>MEDIUM_RISK</t>
        </is>
      </c>
      <c r="W255" s="24" t="inlineStr">
        <is>
          <t>중위험</t>
        </is>
      </c>
      <c r="X255" s="24" t="inlineStr">
        <is>
          <t>MEDIUM_RISK</t>
        </is>
      </c>
      <c r="Y255" s="24" t="inlineStr">
        <is>
          <t>0.7911598348888624</t>
        </is>
      </c>
      <c r="Z255" s="24" t="inlineStr">
        <is>
          <t>HIGH</t>
        </is>
      </c>
      <c r="AA255" s="24" t="inlineStr">
        <is>
          <t>HIGH</t>
        </is>
      </c>
      <c r="AB255" s="24" t="inlineStr">
        <is>
          <t>0.2507708118458056</t>
        </is>
      </c>
      <c r="AC255" s="24" t="inlineStr">
        <is>
          <t>True</t>
        </is>
      </c>
      <c r="AD255" s="24" t="inlineStr">
        <is>
          <t>True</t>
        </is>
      </c>
      <c r="AE255" s="24" t="inlineStr">
        <is>
          <t>valuation_credit_ml_overlay_candidate.csv</t>
        </is>
      </c>
      <c r="AF255" s="24" t="inlineStr">
        <is>
          <t>208개 반도체 reference universe. Valuation Agent가 자체 intake 폴더로 복제해 Peer/ML/대시보드 비교에 사용.</t>
        </is>
      </c>
    </row>
    <row r="256" ht="24" customHeight="1">
      <c r="A256" s="29" t="inlineStr">
        <is>
          <t>170</t>
        </is>
      </c>
      <c r="B256" s="29" t="inlineStr">
        <is>
          <t>해당 없음</t>
        </is>
      </c>
      <c r="C256" s="29" t="inlineStr">
        <is>
          <t>아이텍</t>
        </is>
      </c>
      <c r="D256" s="29" t="inlineStr">
        <is>
          <t>119830</t>
        </is>
      </c>
      <c r="E256" s="29" t="inlineStr">
        <is>
          <t>KOSDAQ</t>
        </is>
      </c>
      <c r="F256" s="29" t="inlineStr">
        <is>
          <t>후공정/패키징/테스트</t>
        </is>
      </c>
      <c r="G256" s="29" t="inlineStr">
        <is>
          <t>후공정/패키징/테스트</t>
        </is>
      </c>
      <c r="H256" s="29" t="inlineStr">
        <is>
          <t>False</t>
        </is>
      </c>
      <c r="I256" s="29" t="inlineStr">
        <is>
          <t>True</t>
        </is>
      </c>
      <c r="J256" s="29" t="inlineStr">
        <is>
          <t>OK</t>
        </is>
      </c>
      <c r="K256" s="29" t="inlineStr">
        <is>
          <t>데이터 사용 가능</t>
        </is>
      </c>
      <c r="L256" s="29" t="inlineStr">
        <is>
          <t>LOW</t>
        </is>
      </c>
      <c r="M256" s="29" t="inlineStr">
        <is>
          <t>LOW</t>
        </is>
      </c>
      <c r="N256" s="29" t="inlineStr">
        <is>
          <t>0.4573333333333333</t>
        </is>
      </c>
      <c r="O256" s="29" t="inlineStr">
        <is>
          <t>FAIR</t>
        </is>
      </c>
      <c r="P256" s="29" t="inlineStr">
        <is>
          <t>FAIR</t>
        </is>
      </c>
      <c r="Q256" s="29" t="inlineStr">
        <is>
          <t>FAIR</t>
        </is>
      </c>
      <c r="R256" s="29" t="inlineStr">
        <is>
          <t>0.6018206034002739</t>
        </is>
      </c>
      <c r="S256" s="29" t="inlineStr">
        <is>
          <t>MEDIUM</t>
        </is>
      </c>
      <c r="T256" s="29" t="inlineStr">
        <is>
          <t>MEDIUM</t>
        </is>
      </c>
      <c r="U256" s="29" t="inlineStr">
        <is>
          <t>0.2142857142857142</t>
        </is>
      </c>
      <c r="V256" s="29" t="inlineStr">
        <is>
          <t>MEDIUM_RISK</t>
        </is>
      </c>
      <c r="W256" s="29" t="inlineStr">
        <is>
          <t>중위험</t>
        </is>
      </c>
      <c r="X256" s="29" t="inlineStr">
        <is>
          <t>MEDIUM_RISK</t>
        </is>
      </c>
      <c r="Y256" s="29" t="inlineStr">
        <is>
          <t>0.793957358322354</t>
        </is>
      </c>
      <c r="Z256" s="29" t="inlineStr">
        <is>
          <t>HIGH</t>
        </is>
      </c>
      <c r="AA256" s="29" t="inlineStr">
        <is>
          <t>HIGH</t>
        </is>
      </c>
      <c r="AB256" s="29" t="inlineStr">
        <is>
          <t>0.17465361432297097</t>
        </is>
      </c>
      <c r="AC256" s="29" t="inlineStr">
        <is>
          <t>False</t>
        </is>
      </c>
      <c r="AD256" s="29" t="inlineStr">
        <is>
          <t>False</t>
        </is>
      </c>
      <c r="AE256" s="29" t="inlineStr">
        <is>
          <t>valuation_credit_ml_overlay_candidate.csv</t>
        </is>
      </c>
      <c r="AF256" s="29" t="inlineStr">
        <is>
          <t>208개 반도체 reference universe. Valuation Agent가 자체 intake 폴더로 복제해 Peer/ML/대시보드 비교에 사용.</t>
        </is>
      </c>
    </row>
    <row r="257" ht="24" customHeight="1">
      <c r="A257" s="24" t="inlineStr">
        <is>
          <t>179</t>
        </is>
      </c>
      <c r="B257" s="24" t="inlineStr">
        <is>
          <t>해당 없음</t>
        </is>
      </c>
      <c r="C257" s="24" t="inlineStr">
        <is>
          <t>윈팩</t>
        </is>
      </c>
      <c r="D257" s="24" t="inlineStr">
        <is>
          <t>097800</t>
        </is>
      </c>
      <c r="E257" s="24" t="inlineStr">
        <is>
          <t>KOSDAQ</t>
        </is>
      </c>
      <c r="F257" s="24" t="inlineStr">
        <is>
          <t>후공정/패키징/테스트</t>
        </is>
      </c>
      <c r="G257" s="24" t="inlineStr">
        <is>
          <t>후공정/패키징/테스트</t>
        </is>
      </c>
      <c r="H257" s="24" t="inlineStr">
        <is>
          <t>False</t>
        </is>
      </c>
      <c r="I257" s="24" t="inlineStr">
        <is>
          <t>True</t>
        </is>
      </c>
      <c r="J257" s="24" t="inlineStr">
        <is>
          <t>OK</t>
        </is>
      </c>
      <c r="K257" s="24" t="inlineStr">
        <is>
          <t>데이터 사용 가능</t>
        </is>
      </c>
      <c r="L257" s="24" t="inlineStr">
        <is>
          <t>LOW</t>
        </is>
      </c>
      <c r="M257" s="24" t="inlineStr">
        <is>
          <t>LOW</t>
        </is>
      </c>
      <c r="N257" s="24" t="inlineStr">
        <is>
          <t>0.4417777777777778</t>
        </is>
      </c>
      <c r="O257" s="24" t="inlineStr">
        <is>
          <t>FAIR</t>
        </is>
      </c>
      <c r="P257" s="24" t="inlineStr">
        <is>
          <t>FAIR</t>
        </is>
      </c>
      <c r="Q257" s="24" t="inlineStr">
        <is>
          <t>FAIR</t>
        </is>
      </c>
      <c r="R257" s="24" t="inlineStr">
        <is>
          <t>0.5735742758518154</t>
        </is>
      </c>
      <c r="S257" s="24" t="inlineStr">
        <is>
          <t>MEDIUM</t>
        </is>
      </c>
      <c r="T257" s="24" t="inlineStr">
        <is>
          <t>MEDIUM</t>
        </is>
      </c>
      <c r="U257" s="24" t="inlineStr">
        <is>
          <t>0.7142857142857143</t>
        </is>
      </c>
      <c r="V257" s="24" t="inlineStr">
        <is>
          <t>HIGH_RISK</t>
        </is>
      </c>
      <c r="W257" s="24" t="inlineStr">
        <is>
          <t>고위험</t>
        </is>
      </c>
      <c r="X257" s="24" t="inlineStr">
        <is>
          <t>HIGH_RISK</t>
        </is>
      </c>
      <c r="Y257" s="24" t="inlineStr">
        <is>
          <t>0.9273765785577542</t>
        </is>
      </c>
      <c r="Z257" s="24" t="inlineStr">
        <is>
          <t>HIGH</t>
        </is>
      </c>
      <c r="AA257" s="24" t="inlineStr">
        <is>
          <t>HIGH</t>
        </is>
      </c>
      <c r="AB257" s="24" t="inlineStr">
        <is>
          <t>0.09157899320413745</t>
        </is>
      </c>
      <c r="AC257" s="24" t="inlineStr">
        <is>
          <t>False</t>
        </is>
      </c>
      <c r="AD257" s="24" t="inlineStr">
        <is>
          <t>False</t>
        </is>
      </c>
      <c r="AE257" s="24" t="inlineStr">
        <is>
          <t>valuation_credit_ml_overlay_candidate.csv</t>
        </is>
      </c>
      <c r="AF257" s="24" t="inlineStr">
        <is>
          <t>208개 반도체 reference universe. Valuation Agent가 자체 intake 폴더로 복제해 Peer/ML/대시보드 비교에 사용.</t>
        </is>
      </c>
    </row>
    <row r="258" ht="24" customHeight="1">
      <c r="A258" s="29" t="inlineStr">
        <is>
          <t>187</t>
        </is>
      </c>
      <c r="B258" s="29" t="inlineStr">
        <is>
          <t>해당 없음</t>
        </is>
      </c>
      <c r="C258" s="29" t="inlineStr">
        <is>
          <t>팸텍</t>
        </is>
      </c>
      <c r="D258" s="29" t="inlineStr">
        <is>
          <t>271830</t>
        </is>
      </c>
      <c r="E258" s="29" t="inlineStr">
        <is>
          <t>KOSDAQ</t>
        </is>
      </c>
      <c r="F258" s="29" t="inlineStr">
        <is>
          <t>후공정/패키징/테스트</t>
        </is>
      </c>
      <c r="G258" s="29" t="inlineStr">
        <is>
          <t>후공정/패키징/테스트</t>
        </is>
      </c>
      <c r="H258" s="29" t="inlineStr">
        <is>
          <t>False</t>
        </is>
      </c>
      <c r="I258" s="29" t="inlineStr">
        <is>
          <t>True</t>
        </is>
      </c>
      <c r="J258" s="29" t="inlineStr">
        <is>
          <t>OK</t>
        </is>
      </c>
      <c r="K258" s="29" t="inlineStr">
        <is>
          <t>데이터 사용 가능</t>
        </is>
      </c>
      <c r="L258" s="29" t="inlineStr">
        <is>
          <t>LOW</t>
        </is>
      </c>
      <c r="M258" s="29" t="inlineStr">
        <is>
          <t>LOW</t>
        </is>
      </c>
      <c r="N258" s="29" t="inlineStr">
        <is>
          <t>0.4402962962962963</t>
        </is>
      </c>
      <c r="O258" s="29" t="inlineStr">
        <is>
          <t>FAIR</t>
        </is>
      </c>
      <c r="P258" s="29" t="inlineStr">
        <is>
          <t>FAIR</t>
        </is>
      </c>
      <c r="Q258" s="29" t="inlineStr">
        <is>
          <t>FAIR</t>
        </is>
      </c>
      <c r="R258" s="29" t="inlineStr">
        <is>
          <t>0.6809009837226325</t>
        </is>
      </c>
      <c r="S258" s="29" t="inlineStr">
        <is>
          <t>MEDIUM</t>
        </is>
      </c>
      <c r="T258" s="29" t="inlineStr">
        <is>
          <t>MEDIUM</t>
        </is>
      </c>
      <c r="U258" s="29" t="inlineStr">
        <is>
          <t>0.5714285714285714</t>
        </is>
      </c>
      <c r="V258" s="29" t="inlineStr">
        <is>
          <t>HIGH_RISK</t>
        </is>
      </c>
      <c r="W258" s="29" t="inlineStr">
        <is>
          <t>고위험</t>
        </is>
      </c>
      <c r="X258" s="29" t="inlineStr">
        <is>
          <t>HIGH_RISK</t>
        </is>
      </c>
      <c r="Y258" s="29" t="inlineStr">
        <is>
          <t>0.9054415631219938</t>
        </is>
      </c>
      <c r="Z258" s="29" t="inlineStr">
        <is>
          <t>HIGH</t>
        </is>
      </c>
      <c r="AA258" s="29" t="inlineStr">
        <is>
          <t>HIGH</t>
        </is>
      </c>
      <c r="AB258" s="29" t="inlineStr">
        <is>
          <t>0.08867309587377735</t>
        </is>
      </c>
      <c r="AC258" s="29" t="inlineStr">
        <is>
          <t>False</t>
        </is>
      </c>
      <c r="AD258" s="29" t="inlineStr">
        <is>
          <t>False</t>
        </is>
      </c>
      <c r="AE258" s="29" t="inlineStr">
        <is>
          <t>valuation_credit_ml_overlay_candidate.csv</t>
        </is>
      </c>
      <c r="AF258" s="29" t="inlineStr">
        <is>
          <t>208개 반도체 reference universe. Valuation Agent가 자체 intake 폴더로 복제해 Peer/ML/대시보드 비교에 사용.</t>
        </is>
      </c>
    </row>
    <row r="259" ht="24" customHeight="1">
      <c r="A259" s="24" t="inlineStr">
        <is>
          <t>152</t>
        </is>
      </c>
      <c r="B259" s="24" t="inlineStr">
        <is>
          <t>해당 없음</t>
        </is>
      </c>
      <c r="C259" s="24" t="inlineStr">
        <is>
          <t>LB세미콘</t>
        </is>
      </c>
      <c r="D259" s="24" t="inlineStr">
        <is>
          <t>061970</t>
        </is>
      </c>
      <c r="E259" s="24" t="inlineStr">
        <is>
          <t>KOSDAQ</t>
        </is>
      </c>
      <c r="F259" s="24" t="inlineStr">
        <is>
          <t>후공정/패키징/테스트</t>
        </is>
      </c>
      <c r="G259" s="24" t="inlineStr">
        <is>
          <t>후공정/패키징/테스트</t>
        </is>
      </c>
      <c r="H259" s="24" t="inlineStr">
        <is>
          <t>False</t>
        </is>
      </c>
      <c r="I259" s="24" t="inlineStr">
        <is>
          <t>True</t>
        </is>
      </c>
      <c r="J259" s="24" t="inlineStr">
        <is>
          <t>OK</t>
        </is>
      </c>
      <c r="K259" s="24" t="inlineStr">
        <is>
          <t>데이터 사용 가능</t>
        </is>
      </c>
      <c r="L259" s="24" t="inlineStr">
        <is>
          <t>LOW</t>
        </is>
      </c>
      <c r="M259" s="24" t="inlineStr">
        <is>
          <t>LOW</t>
        </is>
      </c>
      <c r="N259" s="24" t="inlineStr">
        <is>
          <t>0.4394074074074074</t>
        </is>
      </c>
      <c r="O259" s="24" t="inlineStr">
        <is>
          <t>FAIR</t>
        </is>
      </c>
      <c r="P259" s="24" t="inlineStr">
        <is>
          <t>FAIR</t>
        </is>
      </c>
      <c r="Q259" s="24" t="inlineStr">
        <is>
          <t>FAIR</t>
        </is>
      </c>
      <c r="R259" s="24" t="inlineStr">
        <is>
          <t>0.519835518569549</t>
        </is>
      </c>
      <c r="S259" s="24" t="inlineStr">
        <is>
          <t>MEDIUM</t>
        </is>
      </c>
      <c r="T259" s="24" t="inlineStr">
        <is>
          <t>MEDIUM</t>
        </is>
      </c>
      <c r="U259" s="24" t="inlineStr">
        <is>
          <t>0.5714285714285714</t>
        </is>
      </c>
      <c r="V259" s="24" t="inlineStr">
        <is>
          <t>HIGH_RISK</t>
        </is>
      </c>
      <c r="W259" s="24" t="inlineStr">
        <is>
          <t>고위험</t>
        </is>
      </c>
      <c r="X259" s="24" t="inlineStr">
        <is>
          <t>HIGH_RISK</t>
        </is>
      </c>
      <c r="Y259" s="24" t="inlineStr">
        <is>
          <t>0.8577554718342005</t>
        </is>
      </c>
      <c r="Z259" s="24" t="inlineStr">
        <is>
          <t>HIGH</t>
        </is>
      </c>
      <c r="AA259" s="24" t="inlineStr">
        <is>
          <t>HIGH</t>
        </is>
      </c>
      <c r="AB259" s="24" t="inlineStr">
        <is>
          <t>0.04865368060535977</t>
        </is>
      </c>
      <c r="AC259" s="24" t="inlineStr">
        <is>
          <t>False</t>
        </is>
      </c>
      <c r="AD259" s="24" t="inlineStr">
        <is>
          <t>False</t>
        </is>
      </c>
      <c r="AE259" s="24" t="inlineStr">
        <is>
          <t>valuation_credit_ml_overlay_candidate.csv</t>
        </is>
      </c>
      <c r="AF259" s="24" t="inlineStr">
        <is>
          <t>208개 반도체 reference universe. Valuation Agent가 자체 intake 폴더로 복제해 Peer/ML/대시보드 비교에 사용.</t>
        </is>
      </c>
    </row>
    <row r="260" ht="24" customHeight="1">
      <c r="A260" s="29" t="inlineStr">
        <is>
          <t>183</t>
        </is>
      </c>
      <c r="B260" s="29" t="inlineStr">
        <is>
          <t>해당 없음</t>
        </is>
      </c>
      <c r="C260" s="29" t="inlineStr">
        <is>
          <t>제이티</t>
        </is>
      </c>
      <c r="D260" s="29" t="inlineStr">
        <is>
          <t>089790</t>
        </is>
      </c>
      <c r="E260" s="29" t="inlineStr">
        <is>
          <t>KOSDAQ</t>
        </is>
      </c>
      <c r="F260" s="29" t="inlineStr">
        <is>
          <t>후공정/패키징/테스트</t>
        </is>
      </c>
      <c r="G260" s="29" t="inlineStr">
        <is>
          <t>후공정/패키징/테스트</t>
        </is>
      </c>
      <c r="H260" s="29" t="inlineStr">
        <is>
          <t>False</t>
        </is>
      </c>
      <c r="I260" s="29" t="inlineStr">
        <is>
          <t>True</t>
        </is>
      </c>
      <c r="J260" s="29" t="inlineStr">
        <is>
          <t>OK</t>
        </is>
      </c>
      <c r="K260" s="29" t="inlineStr">
        <is>
          <t>데이터 사용 가능</t>
        </is>
      </c>
      <c r="L260" s="29" t="inlineStr">
        <is>
          <t>LOW</t>
        </is>
      </c>
      <c r="M260" s="29" t="inlineStr">
        <is>
          <t>LOW</t>
        </is>
      </c>
      <c r="N260" s="29" t="inlineStr">
        <is>
          <t>0.4293333333333333</t>
        </is>
      </c>
      <c r="O260" s="29" t="inlineStr">
        <is>
          <t>FAIR</t>
        </is>
      </c>
      <c r="P260" s="29" t="inlineStr">
        <is>
          <t>FAIR</t>
        </is>
      </c>
      <c r="Q260" s="29" t="inlineStr">
        <is>
          <t>FAIR</t>
        </is>
      </c>
      <c r="R260" s="29" t="inlineStr">
        <is>
          <t>0.7953438622461361</t>
        </is>
      </c>
      <c r="S260" s="29" t="inlineStr">
        <is>
          <t>HIGH</t>
        </is>
      </c>
      <c r="T260" s="29" t="inlineStr">
        <is>
          <t>HIGH</t>
        </is>
      </c>
      <c r="U260" s="29" t="inlineStr">
        <is>
          <t>0.2857142857142857</t>
        </is>
      </c>
      <c r="V260" s="29" t="inlineStr">
        <is>
          <t>MEDIUM_RISK</t>
        </is>
      </c>
      <c r="W260" s="29" t="inlineStr">
        <is>
          <t>중위험</t>
        </is>
      </c>
      <c r="X260" s="29" t="inlineStr">
        <is>
          <t>MEDIUM_RISK</t>
        </is>
      </c>
      <c r="Y260" s="29" t="inlineStr">
        <is>
          <t>0.634985809262478</t>
        </is>
      </c>
      <c r="Z260" s="29" t="inlineStr">
        <is>
          <t>MEDIUM</t>
        </is>
      </c>
      <c r="AA260" s="29" t="inlineStr">
        <is>
          <t>MEDIUM</t>
        </is>
      </c>
      <c r="AB260" s="29" t="inlineStr">
        <is>
          <t>0.0037958156542815414</t>
        </is>
      </c>
      <c r="AC260" s="29" t="inlineStr">
        <is>
          <t>False</t>
        </is>
      </c>
      <c r="AD260" s="29" t="inlineStr">
        <is>
          <t>False</t>
        </is>
      </c>
      <c r="AE260" s="29" t="inlineStr">
        <is>
          <t>valuation_credit_ml_overlay_candidate.csv</t>
        </is>
      </c>
      <c r="AF260" s="29" t="inlineStr">
        <is>
          <t>208개 반도체 reference universe. Valuation Agent가 자체 intake 폴더로 복제해 Peer/ML/대시보드 비교에 사용.</t>
        </is>
      </c>
    </row>
    <row r="261" ht="24" customHeight="1">
      <c r="A261" s="24" t="inlineStr">
        <is>
          <t>182</t>
        </is>
      </c>
      <c r="B261" s="24" t="inlineStr">
        <is>
          <t>해당 없음</t>
        </is>
      </c>
      <c r="C261" s="24" t="inlineStr">
        <is>
          <t>제너셈</t>
        </is>
      </c>
      <c r="D261" s="24" t="inlineStr">
        <is>
          <t>217190</t>
        </is>
      </c>
      <c r="E261" s="24" t="inlineStr">
        <is>
          <t>KOSDAQ</t>
        </is>
      </c>
      <c r="F261" s="24" t="inlineStr">
        <is>
          <t>후공정/패키징/테스트</t>
        </is>
      </c>
      <c r="G261" s="24" t="inlineStr">
        <is>
          <t>후공정/패키징/테스트</t>
        </is>
      </c>
      <c r="H261" s="24" t="inlineStr">
        <is>
          <t>False</t>
        </is>
      </c>
      <c r="I261" s="24" t="inlineStr">
        <is>
          <t>True</t>
        </is>
      </c>
      <c r="J261" s="24" t="inlineStr">
        <is>
          <t>HIGH_PRIORITY_MANUAL_REVIEW</t>
        </is>
      </c>
      <c r="K261" s="24" t="inlineStr">
        <is>
          <t>데이터 사용 가능</t>
        </is>
      </c>
      <c r="L261" s="24" t="inlineStr">
        <is>
          <t>HIGH</t>
        </is>
      </c>
      <c r="M261" s="24" t="inlineStr">
        <is>
          <t>HIGH</t>
        </is>
      </c>
      <c r="N261" s="24" t="inlineStr">
        <is>
          <t>0.4278518518518518</t>
        </is>
      </c>
      <c r="O261" s="24" t="inlineStr">
        <is>
          <t>FAIR</t>
        </is>
      </c>
      <c r="P261" s="24" t="inlineStr">
        <is>
          <t>FAIR</t>
        </is>
      </c>
      <c r="Q261" s="24" t="inlineStr">
        <is>
          <t>FAIR</t>
        </is>
      </c>
      <c r="R261" s="24" t="inlineStr">
        <is>
          <t>0.7410125545144256</t>
        </is>
      </c>
      <c r="S261" s="24" t="inlineStr">
        <is>
          <t>HIGH</t>
        </is>
      </c>
      <c r="T261" s="24" t="inlineStr">
        <is>
          <t>HIGH</t>
        </is>
      </c>
      <c r="U261" s="24" t="inlineStr">
        <is>
          <t>0.2857142857142857</t>
        </is>
      </c>
      <c r="V261" s="24" t="inlineStr">
        <is>
          <t>MEDIUM_RISK</t>
        </is>
      </c>
      <c r="W261" s="24" t="inlineStr">
        <is>
          <t>중위험</t>
        </is>
      </c>
      <c r="X261" s="24" t="inlineStr">
        <is>
          <t>MEDIUM_RISK</t>
        </is>
      </c>
      <c r="Y261" s="24" t="inlineStr">
        <is>
          <t>0.7596080290203916</t>
        </is>
      </c>
      <c r="Z261" s="24" t="inlineStr">
        <is>
          <t>HIGH</t>
        </is>
      </c>
      <c r="AA261" s="24" t="inlineStr">
        <is>
          <t>HIGH</t>
        </is>
      </c>
      <c r="AB261" s="24" t="inlineStr">
        <is>
          <t>0.005601152238630833</t>
        </is>
      </c>
      <c r="AC261" s="24" t="inlineStr">
        <is>
          <t>False</t>
        </is>
      </c>
      <c r="AD261" s="24" t="inlineStr">
        <is>
          <t>True</t>
        </is>
      </c>
      <c r="AE261" s="24" t="inlineStr">
        <is>
          <t>valuation_credit_ml_overlay_candidate.csv</t>
        </is>
      </c>
      <c r="AF261" s="24" t="inlineStr">
        <is>
          <t>208개 반도체 reference universe. Valuation Agent가 자체 intake 폴더로 복제해 Peer/ML/대시보드 비교에 사용.</t>
        </is>
      </c>
    </row>
    <row r="262" ht="24" customHeight="1">
      <c r="A262" s="29" t="inlineStr">
        <is>
          <t>158</t>
        </is>
      </c>
      <c r="B262" s="29" t="inlineStr">
        <is>
          <t>해당 없음</t>
        </is>
      </c>
      <c r="C262" s="29" t="inlineStr">
        <is>
          <t>네패스아크</t>
        </is>
      </c>
      <c r="D262" s="29" t="inlineStr">
        <is>
          <t>330860</t>
        </is>
      </c>
      <c r="E262" s="29" t="inlineStr">
        <is>
          <t>KOSDAQ</t>
        </is>
      </c>
      <c r="F262" s="29" t="inlineStr">
        <is>
          <t>후공정/패키징/테스트</t>
        </is>
      </c>
      <c r="G262" s="29" t="inlineStr">
        <is>
          <t>후공정/패키징/테스트</t>
        </is>
      </c>
      <c r="H262" s="29" t="inlineStr">
        <is>
          <t>False</t>
        </is>
      </c>
      <c r="I262" s="29" t="inlineStr">
        <is>
          <t>True</t>
        </is>
      </c>
      <c r="J262" s="29" t="inlineStr">
        <is>
          <t>OK</t>
        </is>
      </c>
      <c r="K262" s="29" t="inlineStr">
        <is>
          <t>데이터 사용 가능</t>
        </is>
      </c>
      <c r="L262" s="29" t="inlineStr">
        <is>
          <t>LOW</t>
        </is>
      </c>
      <c r="M262" s="29" t="inlineStr">
        <is>
          <t>LOW</t>
        </is>
      </c>
      <c r="N262" s="29" t="inlineStr">
        <is>
          <t>0.4207407407407407</t>
        </is>
      </c>
      <c r="O262" s="29" t="inlineStr">
        <is>
          <t>EXPENSIVE</t>
        </is>
      </c>
      <c r="P262" s="29" t="inlineStr">
        <is>
          <t>EXPENSIVE</t>
        </is>
      </c>
      <c r="Q262" s="29" t="inlineStr">
        <is>
          <t>EXPENSIVE</t>
        </is>
      </c>
      <c r="R262" s="29" t="inlineStr">
        <is>
          <t>0.5804758808286147</t>
        </is>
      </c>
      <c r="S262" s="29" t="inlineStr">
        <is>
          <t>MEDIUM</t>
        </is>
      </c>
      <c r="T262" s="29" t="inlineStr">
        <is>
          <t>MEDIUM</t>
        </is>
      </c>
      <c r="U262" s="29" t="inlineStr">
        <is>
          <t>0.0</t>
        </is>
      </c>
      <c r="V262" s="29" t="inlineStr">
        <is>
          <t>LOW_RISK</t>
        </is>
      </c>
      <c r="W262" s="29" t="inlineStr">
        <is>
          <t>저위험</t>
        </is>
      </c>
      <c r="X262" s="29" t="inlineStr">
        <is>
          <t>LOW_RISK</t>
        </is>
      </c>
      <c r="Y262" s="29" t="inlineStr">
        <is>
          <t>0.7522882908851339</t>
        </is>
      </c>
      <c r="Z262" s="29" t="inlineStr">
        <is>
          <t>HIGH</t>
        </is>
      </c>
      <c r="AA262" s="29" t="inlineStr">
        <is>
          <t>HIGH</t>
        </is>
      </c>
      <c r="AB262" s="29" t="inlineStr">
        <is>
          <t>0.07850484580290398</t>
        </is>
      </c>
      <c r="AC262" s="29" t="inlineStr">
        <is>
          <t>False</t>
        </is>
      </c>
      <c r="AD262" s="29" t="inlineStr">
        <is>
          <t>False</t>
        </is>
      </c>
      <c r="AE262" s="29" t="inlineStr">
        <is>
          <t>valuation_credit_ml_overlay_candidate.csv</t>
        </is>
      </c>
      <c r="AF262" s="29" t="inlineStr">
        <is>
          <t>208개 반도체 reference universe. Valuation Agent가 자체 intake 폴더로 복제해 Peer/ML/대시보드 비교에 사용.</t>
        </is>
      </c>
    </row>
    <row r="263" ht="24" customHeight="1">
      <c r="A263" s="24" t="inlineStr">
        <is>
          <t>164</t>
        </is>
      </c>
      <c r="B263" s="24" t="inlineStr">
        <is>
          <t>해당 없음</t>
        </is>
      </c>
      <c r="C263" s="24" t="inlineStr">
        <is>
          <t>마이크로투나노</t>
        </is>
      </c>
      <c r="D263" s="24" t="inlineStr">
        <is>
          <t>424980</t>
        </is>
      </c>
      <c r="E263" s="24" t="inlineStr">
        <is>
          <t>KOSDAQ</t>
        </is>
      </c>
      <c r="F263" s="24" t="inlineStr">
        <is>
          <t>후공정/패키징/테스트</t>
        </is>
      </c>
      <c r="G263" s="24" t="inlineStr">
        <is>
          <t>후공정/패키징/테스트</t>
        </is>
      </c>
      <c r="H263" s="24" t="inlineStr">
        <is>
          <t>False</t>
        </is>
      </c>
      <c r="I263" s="24" t="inlineStr">
        <is>
          <t>True</t>
        </is>
      </c>
      <c r="J263" s="24" t="inlineStr">
        <is>
          <t>OK_LIMITED_HISTORY_OR_GROWTH_NA</t>
        </is>
      </c>
      <c r="K263" s="24" t="inlineStr">
        <is>
          <t>데이터 사용 가능</t>
        </is>
      </c>
      <c r="L263" s="24" t="inlineStr">
        <is>
          <t>LOW</t>
        </is>
      </c>
      <c r="M263" s="24" t="inlineStr">
        <is>
          <t>LOW</t>
        </is>
      </c>
      <c r="N263" s="24" t="inlineStr">
        <is>
          <t>0.4188148148148148</t>
        </is>
      </c>
      <c r="O263" s="24" t="inlineStr">
        <is>
          <t>EXPENSIVE</t>
        </is>
      </c>
      <c r="P263" s="24" t="inlineStr">
        <is>
          <t>EXPENSIVE</t>
        </is>
      </c>
      <c r="Q263" s="24" t="inlineStr">
        <is>
          <t>EXPENSIVE</t>
        </is>
      </c>
      <c r="R263" s="24" t="inlineStr">
        <is>
          <t>0.8919952418828875</t>
        </is>
      </c>
      <c r="S263" s="24" t="inlineStr">
        <is>
          <t>HIGH</t>
        </is>
      </c>
      <c r="T263" s="24" t="inlineStr">
        <is>
          <t>HIGH</t>
        </is>
      </c>
      <c r="U263" s="24" t="inlineStr">
        <is>
          <t>0.5714285714285714</t>
        </is>
      </c>
      <c r="V263" s="24" t="inlineStr">
        <is>
          <t>HIGH_RISK</t>
        </is>
      </c>
      <c r="W263" s="24" t="inlineStr">
        <is>
          <t>고위험</t>
        </is>
      </c>
      <c r="X263" s="24" t="inlineStr">
        <is>
          <t>HIGH_RISK</t>
        </is>
      </c>
      <c r="Y263" s="24" t="inlineStr">
        <is>
          <t>0.8679140027753699</t>
        </is>
      </c>
      <c r="Z263" s="24" t="inlineStr">
        <is>
          <t>HIGH</t>
        </is>
      </c>
      <c r="AA263" s="24" t="inlineStr">
        <is>
          <t>HIGH</t>
        </is>
      </c>
      <c r="AB263" s="24" t="inlineStr">
        <is>
          <t>0.06592211461176288</t>
        </is>
      </c>
      <c r="AC263" s="24" t="inlineStr">
        <is>
          <t>False</t>
        </is>
      </c>
      <c r="AD263" s="24" t="inlineStr">
        <is>
          <t>True</t>
        </is>
      </c>
      <c r="AE263" s="24" t="inlineStr">
        <is>
          <t>valuation_credit_ml_overlay_candidate.csv</t>
        </is>
      </c>
      <c r="AF263" s="24" t="inlineStr">
        <is>
          <t>208개 반도체 reference universe. Valuation Agent가 자체 intake 폴더로 복제해 Peer/ML/대시보드 비교에 사용.</t>
        </is>
      </c>
    </row>
    <row r="264" ht="24" customHeight="1">
      <c r="A264" s="29" t="inlineStr">
        <is>
          <t>169</t>
        </is>
      </c>
      <c r="B264" s="29" t="inlineStr">
        <is>
          <t>해당 없음</t>
        </is>
      </c>
      <c r="C264" s="29" t="inlineStr">
        <is>
          <t>시그네틱스</t>
        </is>
      </c>
      <c r="D264" s="29" t="inlineStr">
        <is>
          <t>033170</t>
        </is>
      </c>
      <c r="E264" s="29" t="inlineStr">
        <is>
          <t>KOSDAQ</t>
        </is>
      </c>
      <c r="F264" s="29" t="inlineStr">
        <is>
          <t>후공정/패키징/테스트</t>
        </is>
      </c>
      <c r="G264" s="29" t="inlineStr">
        <is>
          <t>후공정/패키징/테스트</t>
        </is>
      </c>
      <c r="H264" s="29" t="inlineStr">
        <is>
          <t>False</t>
        </is>
      </c>
      <c r="I264" s="29" t="inlineStr">
        <is>
          <t>True</t>
        </is>
      </c>
      <c r="J264" s="29" t="inlineStr">
        <is>
          <t>OK</t>
        </is>
      </c>
      <c r="K264" s="29" t="inlineStr">
        <is>
          <t>데이터 사용 가능</t>
        </is>
      </c>
      <c r="L264" s="29" t="inlineStr">
        <is>
          <t>LOW</t>
        </is>
      </c>
      <c r="M264" s="29" t="inlineStr">
        <is>
          <t>LOW</t>
        </is>
      </c>
      <c r="N264" s="29" t="inlineStr">
        <is>
          <t>0.4068148148148148</t>
        </is>
      </c>
      <c r="O264" s="29" t="inlineStr">
        <is>
          <t>EXPENSIVE</t>
        </is>
      </c>
      <c r="P264" s="29" t="inlineStr">
        <is>
          <t>EXPENSIVE</t>
        </is>
      </c>
      <c r="Q264" s="29" t="inlineStr">
        <is>
          <t>EXPENSIVE</t>
        </is>
      </c>
      <c r="R264" s="29" t="inlineStr">
        <is>
          <t>0.6660306558324866</t>
        </is>
      </c>
      <c r="S264" s="29" t="inlineStr">
        <is>
          <t>MEDIUM</t>
        </is>
      </c>
      <c r="T264" s="29" t="inlineStr">
        <is>
          <t>MEDIUM</t>
        </is>
      </c>
      <c r="U264" s="29" t="inlineStr">
        <is>
          <t>0.6428571428571429</t>
        </is>
      </c>
      <c r="V264" s="29" t="inlineStr">
        <is>
          <t>HIGH_RISK</t>
        </is>
      </c>
      <c r="W264" s="29" t="inlineStr">
        <is>
          <t>고위험</t>
        </is>
      </c>
      <c r="X264" s="29" t="inlineStr">
        <is>
          <t>HIGH_RISK</t>
        </is>
      </c>
      <c r="Y264" s="29" t="inlineStr">
        <is>
          <t>0.9103717836414464</t>
        </is>
      </c>
      <c r="Z264" s="29" t="inlineStr">
        <is>
          <t>HIGH</t>
        </is>
      </c>
      <c r="AA264" s="29" t="inlineStr">
        <is>
          <t>HIGH</t>
        </is>
      </c>
      <c r="AB264" s="29" t="inlineStr">
        <is>
          <t>0.09415815096164672</t>
        </is>
      </c>
      <c r="AC264" s="29" t="inlineStr">
        <is>
          <t>False</t>
        </is>
      </c>
      <c r="AD264" s="29" t="inlineStr">
        <is>
          <t>False</t>
        </is>
      </c>
      <c r="AE264" s="29" t="inlineStr">
        <is>
          <t>valuation_credit_ml_overlay_candidate.csv</t>
        </is>
      </c>
      <c r="AF264" s="29" t="inlineStr">
        <is>
          <t>208개 반도체 reference universe. Valuation Agent가 자체 intake 폴더로 복제해 Peer/ML/대시보드 비교에 사용.</t>
        </is>
      </c>
    </row>
    <row r="265" ht="24" customHeight="1">
      <c r="A265" s="24" t="inlineStr">
        <is>
          <t>154</t>
        </is>
      </c>
      <c r="B265" s="24" t="inlineStr">
        <is>
          <t>해당 없음</t>
        </is>
      </c>
      <c r="C265" s="24" t="inlineStr">
        <is>
          <t>고영</t>
        </is>
      </c>
      <c r="D265" s="24" t="inlineStr">
        <is>
          <t>098460</t>
        </is>
      </c>
      <c r="E265" s="24" t="inlineStr">
        <is>
          <t>KOSDAQ</t>
        </is>
      </c>
      <c r="F265" s="24" t="inlineStr">
        <is>
          <t>후공정/패키징/테스트</t>
        </is>
      </c>
      <c r="G265" s="24" t="inlineStr">
        <is>
          <t>후공정/패키징/테스트</t>
        </is>
      </c>
      <c r="H265" s="24" t="inlineStr">
        <is>
          <t>False</t>
        </is>
      </c>
      <c r="I265" s="24" t="inlineStr">
        <is>
          <t>True</t>
        </is>
      </c>
      <c r="J265" s="24" t="inlineStr">
        <is>
          <t>OK</t>
        </is>
      </c>
      <c r="K265" s="24" t="inlineStr">
        <is>
          <t>데이터 사용 가능</t>
        </is>
      </c>
      <c r="L265" s="24" t="inlineStr">
        <is>
          <t>LOW</t>
        </is>
      </c>
      <c r="M265" s="24" t="inlineStr">
        <is>
          <t>LOW</t>
        </is>
      </c>
      <c r="N265" s="24" t="inlineStr">
        <is>
          <t>0.3933333333333333</t>
        </is>
      </c>
      <c r="O265" s="24" t="inlineStr">
        <is>
          <t>EXPENSIVE</t>
        </is>
      </c>
      <c r="P265" s="24" t="inlineStr">
        <is>
          <t>EXPENSIVE</t>
        </is>
      </c>
      <c r="Q265" s="24" t="inlineStr">
        <is>
          <t>EXPENSIVE</t>
        </is>
      </c>
      <c r="R265" s="24" t="inlineStr">
        <is>
          <t>0.4306692416005982</t>
        </is>
      </c>
      <c r="S265" s="24" t="inlineStr">
        <is>
          <t>LOW</t>
        </is>
      </c>
      <c r="T265" s="24" t="inlineStr">
        <is>
          <t>LOW</t>
        </is>
      </c>
      <c r="U265" s="24" t="inlineStr">
        <is>
          <t>0.0714285714285714</t>
        </is>
      </c>
      <c r="V265" s="24" t="inlineStr">
        <is>
          <t>LOW_RISK</t>
        </is>
      </c>
      <c r="W265" s="24" t="inlineStr">
        <is>
          <t>저위험</t>
        </is>
      </c>
      <c r="X265" s="24" t="inlineStr">
        <is>
          <t>LOW_RISK</t>
        </is>
      </c>
      <c r="Y265" s="24" t="inlineStr">
        <is>
          <t>0.9147267479763326</t>
        </is>
      </c>
      <c r="Z265" s="24" t="inlineStr">
        <is>
          <t>HIGH</t>
        </is>
      </c>
      <c r="AA265" s="24" t="inlineStr">
        <is>
          <t>HIGH</t>
        </is>
      </c>
      <c r="AB265" s="24" t="inlineStr">
        <is>
          <t>0.05497222824798623</t>
        </is>
      </c>
      <c r="AC265" s="24" t="inlineStr">
        <is>
          <t>False</t>
        </is>
      </c>
      <c r="AD265" s="24" t="inlineStr">
        <is>
          <t>True</t>
        </is>
      </c>
      <c r="AE265" s="24" t="inlineStr">
        <is>
          <t>valuation_credit_ml_overlay_candidate.csv</t>
        </is>
      </c>
      <c r="AF265" s="24" t="inlineStr">
        <is>
          <t>208개 반도체 reference universe. Valuation Agent가 자체 intake 폴더로 복제해 Peer/ML/대시보드 비교에 사용.</t>
        </is>
      </c>
    </row>
    <row r="266" ht="24" customHeight="1">
      <c r="A266" s="29" t="inlineStr">
        <is>
          <t>178</t>
        </is>
      </c>
      <c r="B266" s="29" t="inlineStr">
        <is>
          <t>해당 없음</t>
        </is>
      </c>
      <c r="C266" s="29" t="inlineStr">
        <is>
          <t>웨이비스</t>
        </is>
      </c>
      <c r="D266" s="29" t="inlineStr">
        <is>
          <t>289930</t>
        </is>
      </c>
      <c r="E266" s="29" t="inlineStr">
        <is>
          <t>KOSDAQ</t>
        </is>
      </c>
      <c r="F266" s="29" t="inlineStr">
        <is>
          <t>후공정/패키징/테스트</t>
        </is>
      </c>
      <c r="G266" s="29" t="inlineStr">
        <is>
          <t>후공정/패키징/테스트</t>
        </is>
      </c>
      <c r="H266" s="29" t="inlineStr">
        <is>
          <t>False</t>
        </is>
      </c>
      <c r="I266" s="29" t="inlineStr">
        <is>
          <t>True</t>
        </is>
      </c>
      <c r="J266" s="29" t="inlineStr">
        <is>
          <t>OK_LIMITED_HISTORY_OR_GROWTH_NA</t>
        </is>
      </c>
      <c r="K266" s="29" t="inlineStr">
        <is>
          <t>데이터 사용 가능</t>
        </is>
      </c>
      <c r="L266" s="29" t="inlineStr">
        <is>
          <t>LOW</t>
        </is>
      </c>
      <c r="M266" s="29" t="inlineStr">
        <is>
          <t>LOW</t>
        </is>
      </c>
      <c r="N266" s="29" t="inlineStr">
        <is>
          <t>0.3765925925925926</t>
        </is>
      </c>
      <c r="O266" s="29" t="inlineStr">
        <is>
          <t>EXPENSIVE</t>
        </is>
      </c>
      <c r="P266" s="29" t="inlineStr">
        <is>
          <t>EXPENSIVE</t>
        </is>
      </c>
      <c r="Q266" s="29" t="inlineStr">
        <is>
          <t>EXPENSIVE</t>
        </is>
      </c>
      <c r="R266" s="29" t="inlineStr">
        <is>
          <t>0.5209890944205295</t>
        </is>
      </c>
      <c r="S266" s="29" t="inlineStr">
        <is>
          <t>MEDIUM</t>
        </is>
      </c>
      <c r="T266" s="29" t="inlineStr">
        <is>
          <t>MEDIUM</t>
        </is>
      </c>
      <c r="U266" s="29" t="inlineStr">
        <is>
          <t>0.1428571428571428</t>
        </is>
      </c>
      <c r="V266" s="29" t="inlineStr">
        <is>
          <t>LOW_RISK</t>
        </is>
      </c>
      <c r="W266" s="29" t="inlineStr">
        <is>
          <t>저위험</t>
        </is>
      </c>
      <c r="X266" s="29" t="inlineStr">
        <is>
          <t>LOW_RISK</t>
        </is>
      </c>
      <c r="Y266" s="29" t="inlineStr">
        <is>
          <t>0.5760026387111382</t>
        </is>
      </c>
      <c r="Z266" s="29" t="inlineStr">
        <is>
          <t>MEDIUM</t>
        </is>
      </c>
      <c r="AA266" s="29" t="inlineStr">
        <is>
          <t>MEDIUM</t>
        </is>
      </c>
      <c r="AB266" s="29" t="inlineStr">
        <is>
          <t>0.04339911179550382</t>
        </is>
      </c>
      <c r="AC266" s="29" t="inlineStr">
        <is>
          <t>False</t>
        </is>
      </c>
      <c r="AD266" s="29" t="inlineStr">
        <is>
          <t>True</t>
        </is>
      </c>
      <c r="AE266" s="29" t="inlineStr">
        <is>
          <t>valuation_credit_ml_overlay_candidate.csv</t>
        </is>
      </c>
      <c r="AF266" s="29" t="inlineStr">
        <is>
          <t>208개 반도체 reference universe. Valuation Agent가 자체 intake 폴더로 복제해 Peer/ML/대시보드 비교에 사용.</t>
        </is>
      </c>
    </row>
    <row r="267" ht="24" customHeight="1">
      <c r="A267" s="24" t="inlineStr">
        <is>
          <t>153</t>
        </is>
      </c>
      <c r="B267" s="24" t="inlineStr">
        <is>
          <t>해당 없음</t>
        </is>
      </c>
      <c r="C267" s="24" t="inlineStr">
        <is>
          <t>SFA반도체</t>
        </is>
      </c>
      <c r="D267" s="24" t="inlineStr">
        <is>
          <t>036540</t>
        </is>
      </c>
      <c r="E267" s="24" t="inlineStr">
        <is>
          <t>KOSDAQ</t>
        </is>
      </c>
      <c r="F267" s="24" t="inlineStr">
        <is>
          <t>후공정/패키징/테스트</t>
        </is>
      </c>
      <c r="G267" s="24" t="inlineStr">
        <is>
          <t>후공정/패키징/테스트</t>
        </is>
      </c>
      <c r="H267" s="24" t="inlineStr">
        <is>
          <t>False</t>
        </is>
      </c>
      <c r="I267" s="24" t="inlineStr">
        <is>
          <t>True</t>
        </is>
      </c>
      <c r="J267" s="24" t="inlineStr">
        <is>
          <t>OK</t>
        </is>
      </c>
      <c r="K267" s="24" t="inlineStr">
        <is>
          <t>데이터 사용 가능</t>
        </is>
      </c>
      <c r="L267" s="24" t="inlineStr">
        <is>
          <t>LOW</t>
        </is>
      </c>
      <c r="M267" s="24" t="inlineStr">
        <is>
          <t>LOW</t>
        </is>
      </c>
      <c r="N267" s="24" t="inlineStr">
        <is>
          <t>0.3725925925925926</t>
        </is>
      </c>
      <c r="O267" s="24" t="inlineStr">
        <is>
          <t>EXPENSIVE</t>
        </is>
      </c>
      <c r="P267" s="24" t="inlineStr">
        <is>
          <t>EXPENSIVE</t>
        </is>
      </c>
      <c r="Q267" s="24" t="inlineStr">
        <is>
          <t>EXPENSIVE</t>
        </is>
      </c>
      <c r="R267" s="24" t="inlineStr">
        <is>
          <t>0.7912156659089058</t>
        </is>
      </c>
      <c r="S267" s="24" t="inlineStr">
        <is>
          <t>HIGH</t>
        </is>
      </c>
      <c r="T267" s="24" t="inlineStr">
        <is>
          <t>HIGH</t>
        </is>
      </c>
      <c r="U267" s="24" t="inlineStr">
        <is>
          <t>0.2857142857142857</t>
        </is>
      </c>
      <c r="V267" s="24" t="inlineStr">
        <is>
          <t>MEDIUM_RISK</t>
        </is>
      </c>
      <c r="W267" s="24" t="inlineStr">
        <is>
          <t>중위험</t>
        </is>
      </c>
      <c r="X267" s="24" t="inlineStr">
        <is>
          <t>MEDIUM_RISK</t>
        </is>
      </c>
      <c r="Y267" s="24" t="inlineStr">
        <is>
          <t>0.6035260416354965</t>
        </is>
      </c>
      <c r="Z267" s="24" t="inlineStr">
        <is>
          <t>MEDIUM</t>
        </is>
      </c>
      <c r="AA267" s="24" t="inlineStr">
        <is>
          <t>MEDIUM</t>
        </is>
      </c>
      <c r="AB267" s="24" t="inlineStr">
        <is>
          <t>0.060421941503641885</t>
        </is>
      </c>
      <c r="AC267" s="24" t="inlineStr">
        <is>
          <t>False</t>
        </is>
      </c>
      <c r="AD267" s="24" t="inlineStr">
        <is>
          <t>False</t>
        </is>
      </c>
      <c r="AE267" s="24" t="inlineStr">
        <is>
          <t>valuation_credit_ml_overlay_candidate.csv</t>
        </is>
      </c>
      <c r="AF267" s="24" t="inlineStr">
        <is>
          <t>208개 반도체 reference universe. Valuation Agent가 자체 intake 폴더로 복제해 Peer/ML/대시보드 비교에 사용.</t>
        </is>
      </c>
    </row>
    <row r="268" ht="24" customHeight="1">
      <c r="A268" s="29" t="inlineStr">
        <is>
          <t>181</t>
        </is>
      </c>
      <c r="B268" s="29" t="inlineStr">
        <is>
          <t>해당 없음</t>
        </is>
      </c>
      <c r="C268" s="29" t="inlineStr">
        <is>
          <t>인텍플러스</t>
        </is>
      </c>
      <c r="D268" s="29" t="inlineStr">
        <is>
          <t>064290</t>
        </is>
      </c>
      <c r="E268" s="29" t="inlineStr">
        <is>
          <t>KOSDAQ</t>
        </is>
      </c>
      <c r="F268" s="29" t="inlineStr">
        <is>
          <t>후공정/패키징/테스트</t>
        </is>
      </c>
      <c r="G268" s="29" t="inlineStr">
        <is>
          <t>후공정/패키징/테스트</t>
        </is>
      </c>
      <c r="H268" s="29" t="inlineStr">
        <is>
          <t>False</t>
        </is>
      </c>
      <c r="I268" s="29" t="inlineStr">
        <is>
          <t>True</t>
        </is>
      </c>
      <c r="J268" s="29" t="inlineStr">
        <is>
          <t>OK</t>
        </is>
      </c>
      <c r="K268" s="29" t="inlineStr">
        <is>
          <t>데이터 사용 가능</t>
        </is>
      </c>
      <c r="L268" s="29" t="inlineStr">
        <is>
          <t>LOW</t>
        </is>
      </c>
      <c r="M268" s="29" t="inlineStr">
        <is>
          <t>LOW</t>
        </is>
      </c>
      <c r="N268" s="29" t="inlineStr">
        <is>
          <t>0.3431111111111111</t>
        </is>
      </c>
      <c r="O268" s="29" t="inlineStr">
        <is>
          <t>EXPENSIVE</t>
        </is>
      </c>
      <c r="P268" s="29" t="inlineStr">
        <is>
          <t>EXPENSIVE</t>
        </is>
      </c>
      <c r="Q268" s="29" t="inlineStr">
        <is>
          <t>EXPENSIVE</t>
        </is>
      </c>
      <c r="R268" s="29" t="inlineStr">
        <is>
          <t>0.7612288958400996</t>
        </is>
      </c>
      <c r="S268" s="29" t="inlineStr">
        <is>
          <t>HIGH</t>
        </is>
      </c>
      <c r="T268" s="29" t="inlineStr">
        <is>
          <t>HIGH</t>
        </is>
      </c>
      <c r="U268" s="29" t="inlineStr">
        <is>
          <t>0.4285714285714285</t>
        </is>
      </c>
      <c r="V268" s="29" t="inlineStr">
        <is>
          <t>HIGH_RISK</t>
        </is>
      </c>
      <c r="W268" s="29" t="inlineStr">
        <is>
          <t>고위험</t>
        </is>
      </c>
      <c r="X268" s="29" t="inlineStr">
        <is>
          <t>MEDIUM_RISK</t>
        </is>
      </c>
      <c r="Y268" s="29" t="inlineStr">
        <is>
          <t>0.5782298550270377</t>
        </is>
      </c>
      <c r="Z268" s="29" t="inlineStr">
        <is>
          <t>MEDIUM</t>
        </is>
      </c>
      <c r="AA268" s="29" t="inlineStr">
        <is>
          <t>MEDIUM</t>
        </is>
      </c>
      <c r="AB268" s="29" t="inlineStr">
        <is>
          <t>0.054796756066406084</t>
        </is>
      </c>
      <c r="AC268" s="29" t="inlineStr">
        <is>
          <t>False</t>
        </is>
      </c>
      <c r="AD268" s="29" t="inlineStr">
        <is>
          <t>False</t>
        </is>
      </c>
      <c r="AE268" s="29" t="inlineStr">
        <is>
          <t>valuation_credit_ml_overlay_candidate.csv</t>
        </is>
      </c>
      <c r="AF268" s="29" t="inlineStr">
        <is>
          <t>208개 반도체 reference universe. Valuation Agent가 자체 intake 폴더로 복제해 Peer/ML/대시보드 비교에 사용.</t>
        </is>
      </c>
    </row>
    <row r="269" ht="24" customHeight="1">
      <c r="A269" s="24" t="inlineStr">
        <is>
          <t>193</t>
        </is>
      </c>
      <c r="B269" s="24" t="inlineStr">
        <is>
          <t>해당 없음</t>
        </is>
      </c>
      <c r="C269" s="24" t="inlineStr">
        <is>
          <t>한울반도체</t>
        </is>
      </c>
      <c r="D269" s="24" t="inlineStr">
        <is>
          <t>320000</t>
        </is>
      </c>
      <c r="E269" s="24" t="inlineStr">
        <is>
          <t>KOSDAQ</t>
        </is>
      </c>
      <c r="F269" s="24" t="inlineStr">
        <is>
          <t>후공정/패키징/테스트</t>
        </is>
      </c>
      <c r="G269" s="24" t="inlineStr">
        <is>
          <t>후공정/패키징/테스트</t>
        </is>
      </c>
      <c r="H269" s="24" t="inlineStr">
        <is>
          <t>False</t>
        </is>
      </c>
      <c r="I269" s="24" t="inlineStr">
        <is>
          <t>True</t>
        </is>
      </c>
      <c r="J269" s="24" t="inlineStr">
        <is>
          <t>OK</t>
        </is>
      </c>
      <c r="K269" s="24" t="inlineStr">
        <is>
          <t>데이터 사용 가능</t>
        </is>
      </c>
      <c r="L269" s="24" t="inlineStr">
        <is>
          <t>LOW</t>
        </is>
      </c>
      <c r="M269" s="24" t="inlineStr">
        <is>
          <t>LOW</t>
        </is>
      </c>
      <c r="N269" s="24" t="inlineStr">
        <is>
          <t>0.3376296296296296</t>
        </is>
      </c>
      <c r="O269" s="24" t="inlineStr">
        <is>
          <t>EXPENSIVE</t>
        </is>
      </c>
      <c r="P269" s="24" t="inlineStr">
        <is>
          <t>EXPENSIVE</t>
        </is>
      </c>
      <c r="Q269" s="24" t="inlineStr">
        <is>
          <t>EXPENSIVE</t>
        </is>
      </c>
      <c r="R269" s="24" t="inlineStr">
        <is>
          <t>0.7769228627558715</t>
        </is>
      </c>
      <c r="S269" s="24" t="inlineStr">
        <is>
          <t>HIGH</t>
        </is>
      </c>
      <c r="T269" s="24" t="inlineStr">
        <is>
          <t>HIGH</t>
        </is>
      </c>
      <c r="U269" s="24" t="inlineStr">
        <is>
          <t>0.7142857142857143</t>
        </is>
      </c>
      <c r="V269" s="24" t="inlineStr">
        <is>
          <t>HIGH_RISK</t>
        </is>
      </c>
      <c r="W269" s="24" t="inlineStr">
        <is>
          <t>고위험</t>
        </is>
      </c>
      <c r="X269" s="24" t="inlineStr">
        <is>
          <t>HIGH_RISK</t>
        </is>
      </c>
      <c r="Y269" s="24" t="inlineStr">
        <is>
          <t>0.9268996528836525</t>
        </is>
      </c>
      <c r="Z269" s="24" t="inlineStr">
        <is>
          <t>HIGH</t>
        </is>
      </c>
      <c r="AA269" s="24" t="inlineStr">
        <is>
          <t>HIGH</t>
        </is>
      </c>
      <c r="AB269" s="24" t="inlineStr">
        <is>
          <t>0.3732718821533064</t>
        </is>
      </c>
      <c r="AC269" s="24" t="inlineStr">
        <is>
          <t>True</t>
        </is>
      </c>
      <c r="AD269" s="24" t="inlineStr">
        <is>
          <t>True</t>
        </is>
      </c>
      <c r="AE269" s="24" t="inlineStr">
        <is>
          <t>valuation_credit_ml_overlay_candidate.csv</t>
        </is>
      </c>
      <c r="AF269" s="24" t="inlineStr">
        <is>
          <t>208개 반도체 reference universe. Valuation Agent가 자체 intake 폴더로 복제해 Peer/ML/대시보드 비교에 사용.</t>
        </is>
      </c>
    </row>
    <row r="270" ht="24" customHeight="1">
      <c r="A270" s="29" t="inlineStr">
        <is>
          <t>180</t>
        </is>
      </c>
      <c r="B270" s="29" t="inlineStr">
        <is>
          <t>해당 없음</t>
        </is>
      </c>
      <c r="C270" s="29" t="inlineStr">
        <is>
          <t>유니테스트</t>
        </is>
      </c>
      <c r="D270" s="29" t="inlineStr">
        <is>
          <t>086390</t>
        </is>
      </c>
      <c r="E270" s="29" t="inlineStr">
        <is>
          <t>KOSDAQ</t>
        </is>
      </c>
      <c r="F270" s="29" t="inlineStr">
        <is>
          <t>후공정/패키징/테스트</t>
        </is>
      </c>
      <c r="G270" s="29" t="inlineStr">
        <is>
          <t>후공정/패키징/테스트</t>
        </is>
      </c>
      <c r="H270" s="29" t="inlineStr">
        <is>
          <t>False</t>
        </is>
      </c>
      <c r="I270" s="29" t="inlineStr">
        <is>
          <t>True</t>
        </is>
      </c>
      <c r="J270" s="29" t="inlineStr">
        <is>
          <t>OK</t>
        </is>
      </c>
      <c r="K270" s="29" t="inlineStr">
        <is>
          <t>데이터 사용 가능</t>
        </is>
      </c>
      <c r="L270" s="29" t="inlineStr">
        <is>
          <t>LOW</t>
        </is>
      </c>
      <c r="M270" s="29" t="inlineStr">
        <is>
          <t>LOW</t>
        </is>
      </c>
      <c r="N270" s="29" t="inlineStr">
        <is>
          <t>0.3371851851851852</t>
        </is>
      </c>
      <c r="O270" s="29" t="inlineStr">
        <is>
          <t>EXPENSIVE</t>
        </is>
      </c>
      <c r="P270" s="29" t="inlineStr">
        <is>
          <t>EXPENSIVE</t>
        </is>
      </c>
      <c r="Q270" s="29" t="inlineStr">
        <is>
          <t>EXPENSIVE</t>
        </is>
      </c>
      <c r="R270" s="29" t="inlineStr">
        <is>
          <t>0.9109345080202441</t>
        </is>
      </c>
      <c r="S270" s="29" t="inlineStr">
        <is>
          <t>HIGH</t>
        </is>
      </c>
      <c r="T270" s="29" t="inlineStr">
        <is>
          <t>HIGH</t>
        </is>
      </c>
      <c r="U270" s="29" t="inlineStr">
        <is>
          <t>0.5714285714285714</t>
        </is>
      </c>
      <c r="V270" s="29" t="inlineStr">
        <is>
          <t>HIGH_RISK</t>
        </is>
      </c>
      <c r="W270" s="29" t="inlineStr">
        <is>
          <t>고위험</t>
        </is>
      </c>
      <c r="X270" s="29" t="inlineStr">
        <is>
          <t>HIGH_RISK</t>
        </is>
      </c>
      <c r="Y270" s="29" t="inlineStr">
        <is>
          <t>0.9310666121801914</t>
        </is>
      </c>
      <c r="Z270" s="29" t="inlineStr">
        <is>
          <t>HIGH</t>
        </is>
      </c>
      <c r="AA270" s="29" t="inlineStr">
        <is>
          <t>HIGH</t>
        </is>
      </c>
      <c r="AB270" s="29" t="inlineStr">
        <is>
          <t>0.07777762014388422</t>
        </is>
      </c>
      <c r="AC270" s="29" t="inlineStr">
        <is>
          <t>False</t>
        </is>
      </c>
      <c r="AD270" s="29" t="inlineStr">
        <is>
          <t>False</t>
        </is>
      </c>
      <c r="AE270" s="29" t="inlineStr">
        <is>
          <t>valuation_credit_ml_overlay_candidate.csv</t>
        </is>
      </c>
      <c r="AF270" s="29" t="inlineStr">
        <is>
          <t>208개 반도체 reference universe. Valuation Agent가 자체 intake 폴더로 복제해 Peer/ML/대시보드 비교에 사용.</t>
        </is>
      </c>
    </row>
    <row r="271" ht="24" customHeight="1">
      <c r="A271" s="24" t="inlineStr">
        <is>
          <t>159</t>
        </is>
      </c>
      <c r="B271" s="24" t="inlineStr">
        <is>
          <t>해당 없음</t>
        </is>
      </c>
      <c r="C271" s="24" t="inlineStr">
        <is>
          <t>두산테스나</t>
        </is>
      </c>
      <c r="D271" s="24" t="inlineStr">
        <is>
          <t>131970</t>
        </is>
      </c>
      <c r="E271" s="24" t="inlineStr">
        <is>
          <t>KOSDAQ GLOBAL</t>
        </is>
      </c>
      <c r="F271" s="24" t="inlineStr">
        <is>
          <t>후공정/패키징/테스트</t>
        </is>
      </c>
      <c r="G271" s="24" t="inlineStr">
        <is>
          <t>후공정/패키징/테스트</t>
        </is>
      </c>
      <c r="H271" s="24" t="inlineStr">
        <is>
          <t>False</t>
        </is>
      </c>
      <c r="I271" s="24" t="inlineStr">
        <is>
          <t>True</t>
        </is>
      </c>
      <c r="J271" s="24" t="inlineStr">
        <is>
          <t>OK</t>
        </is>
      </c>
      <c r="K271" s="24" t="inlineStr">
        <is>
          <t>데이터 사용 가능</t>
        </is>
      </c>
      <c r="L271" s="24" t="inlineStr">
        <is>
          <t>LOW</t>
        </is>
      </c>
      <c r="M271" s="24" t="inlineStr">
        <is>
          <t>LOW</t>
        </is>
      </c>
      <c r="N271" s="24" t="inlineStr">
        <is>
          <t>0.3217037037037037</t>
        </is>
      </c>
      <c r="O271" s="24" t="inlineStr">
        <is>
          <t>EXPENSIVE</t>
        </is>
      </c>
      <c r="P271" s="24" t="inlineStr">
        <is>
          <t>EXPENSIVE</t>
        </is>
      </c>
      <c r="Q271" s="24" t="inlineStr">
        <is>
          <t>EXPENSIVE</t>
        </is>
      </c>
      <c r="R271" s="24" t="inlineStr">
        <is>
          <t>0.5774876642912814</t>
        </is>
      </c>
      <c r="S271" s="24" t="inlineStr">
        <is>
          <t>MEDIUM</t>
        </is>
      </c>
      <c r="T271" s="24" t="inlineStr">
        <is>
          <t>MEDIUM</t>
        </is>
      </c>
      <c r="U271" s="24" t="inlineStr">
        <is>
          <t>0.1428571428571428</t>
        </is>
      </c>
      <c r="V271" s="24" t="inlineStr">
        <is>
          <t>LOW_RISK</t>
        </is>
      </c>
      <c r="W271" s="24" t="inlineStr">
        <is>
          <t>저위험</t>
        </is>
      </c>
      <c r="X271" s="24" t="inlineStr">
        <is>
          <t>LOW_RISK</t>
        </is>
      </c>
      <c r="Y271" s="24" t="inlineStr">
        <is>
          <t>0.5730698742411416</t>
        </is>
      </c>
      <c r="Z271" s="24" t="inlineStr">
        <is>
          <t>MEDIUM</t>
        </is>
      </c>
      <c r="AA271" s="24" t="inlineStr">
        <is>
          <t>MEDIUM</t>
        </is>
      </c>
      <c r="AB271" s="24" t="inlineStr">
        <is>
          <t>0.11339298523731103</t>
        </is>
      </c>
      <c r="AC271" s="24" t="inlineStr">
        <is>
          <t>False</t>
        </is>
      </c>
      <c r="AD271" s="24" t="inlineStr">
        <is>
          <t>False</t>
        </is>
      </c>
      <c r="AE271" s="24" t="inlineStr">
        <is>
          <t>valuation_credit_ml_overlay_candidate.csv</t>
        </is>
      </c>
      <c r="AF271" s="24" t="inlineStr">
        <is>
          <t>208개 반도체 reference universe. Valuation Agent가 자체 intake 폴더로 복제해 Peer/ML/대시보드 비교에 사용.</t>
        </is>
      </c>
    </row>
    <row r="272" ht="24" customHeight="1">
      <c r="A272" s="29" t="inlineStr">
        <is>
          <t>156</t>
        </is>
      </c>
      <c r="B272" s="29" t="inlineStr">
        <is>
          <t>해당 없음</t>
        </is>
      </c>
      <c r="C272" s="29" t="inlineStr">
        <is>
          <t>네오셈</t>
        </is>
      </c>
      <c r="D272" s="29" t="inlineStr">
        <is>
          <t>253590</t>
        </is>
      </c>
      <c r="E272" s="29" t="inlineStr">
        <is>
          <t>KOSDAQ</t>
        </is>
      </c>
      <c r="F272" s="29" t="inlineStr">
        <is>
          <t>후공정/패키징/테스트</t>
        </is>
      </c>
      <c r="G272" s="29" t="inlineStr">
        <is>
          <t>후공정/패키징/테스트</t>
        </is>
      </c>
      <c r="H272" s="29" t="inlineStr">
        <is>
          <t>False</t>
        </is>
      </c>
      <c r="I272" s="29" t="inlineStr">
        <is>
          <t>True</t>
        </is>
      </c>
      <c r="J272" s="29" t="inlineStr">
        <is>
          <t>OK</t>
        </is>
      </c>
      <c r="K272" s="29" t="inlineStr">
        <is>
          <t>데이터 사용 가능</t>
        </is>
      </c>
      <c r="L272" s="29" t="inlineStr">
        <is>
          <t>LOW</t>
        </is>
      </c>
      <c r="M272" s="29" t="inlineStr">
        <is>
          <t>LOW</t>
        </is>
      </c>
      <c r="N272" s="29" t="inlineStr">
        <is>
          <t>0.3059259259259259</t>
        </is>
      </c>
      <c r="O272" s="29" t="inlineStr">
        <is>
          <t>EXPENSIVE</t>
        </is>
      </c>
      <c r="P272" s="29" t="inlineStr">
        <is>
          <t>EXPENSIVE</t>
        </is>
      </c>
      <c r="Q272" s="29" t="inlineStr">
        <is>
          <t>EXPENSIVE</t>
        </is>
      </c>
      <c r="R272" s="29" t="inlineStr">
        <is>
          <t>0.7695353673338539</t>
        </is>
      </c>
      <c r="S272" s="29" t="inlineStr">
        <is>
          <t>HIGH</t>
        </is>
      </c>
      <c r="T272" s="29" t="inlineStr">
        <is>
          <t>HIGH</t>
        </is>
      </c>
      <c r="U272" s="29" t="inlineStr">
        <is>
          <t>0.0714285714285714</t>
        </is>
      </c>
      <c r="V272" s="29" t="inlineStr">
        <is>
          <t>LOW_RISK</t>
        </is>
      </c>
      <c r="W272" s="29" t="inlineStr">
        <is>
          <t>저위험</t>
        </is>
      </c>
      <c r="X272" s="29" t="inlineStr">
        <is>
          <t>LOW_RISK</t>
        </is>
      </c>
      <c r="Y272" s="29" t="inlineStr">
        <is>
          <t>0.7735591671201707</t>
        </is>
      </c>
      <c r="Z272" s="29" t="inlineStr">
        <is>
          <t>HIGH</t>
        </is>
      </c>
      <c r="AA272" s="29" t="inlineStr">
        <is>
          <t>HIGH</t>
        </is>
      </c>
      <c r="AB272" s="29" t="inlineStr">
        <is>
          <t>0.06887713556186657</t>
        </is>
      </c>
      <c r="AC272" s="29" t="inlineStr">
        <is>
          <t>False</t>
        </is>
      </c>
      <c r="AD272" s="29" t="inlineStr">
        <is>
          <t>False</t>
        </is>
      </c>
      <c r="AE272" s="29" t="inlineStr">
        <is>
          <t>valuation_credit_ml_overlay_candidate.csv</t>
        </is>
      </c>
      <c r="AF272" s="29" t="inlineStr">
        <is>
          <t>208개 반도체 reference universe. Valuation Agent가 자체 intake 폴더로 복제해 Peer/ML/대시보드 비교에 사용.</t>
        </is>
      </c>
    </row>
    <row r="273" ht="24" customHeight="1">
      <c r="A273" s="24" t="inlineStr">
        <is>
          <t>190</t>
        </is>
      </c>
      <c r="B273" s="24" t="inlineStr">
        <is>
          <t>해당 없음</t>
        </is>
      </c>
      <c r="C273" s="24" t="inlineStr">
        <is>
          <t>피엠티</t>
        </is>
      </c>
      <c r="D273" s="24" t="inlineStr">
        <is>
          <t>147760</t>
        </is>
      </c>
      <c r="E273" s="24" t="inlineStr">
        <is>
          <t>KOSDAQ</t>
        </is>
      </c>
      <c r="F273" s="24" t="inlineStr">
        <is>
          <t>후공정/패키징/테스트</t>
        </is>
      </c>
      <c r="G273" s="24" t="inlineStr">
        <is>
          <t>후공정/패키징/테스트</t>
        </is>
      </c>
      <c r="H273" s="24" t="inlineStr">
        <is>
          <t>False</t>
        </is>
      </c>
      <c r="I273" s="24" t="inlineStr">
        <is>
          <t>True</t>
        </is>
      </c>
      <c r="J273" s="24" t="inlineStr">
        <is>
          <t>OK</t>
        </is>
      </c>
      <c r="K273" s="24" t="inlineStr">
        <is>
          <t>데이터 사용 가능</t>
        </is>
      </c>
      <c r="L273" s="24" t="inlineStr">
        <is>
          <t>LOW</t>
        </is>
      </c>
      <c r="M273" s="24" t="inlineStr">
        <is>
          <t>LOW</t>
        </is>
      </c>
      <c r="N273" s="24" t="inlineStr">
        <is>
          <t>0.2471111111111111</t>
        </is>
      </c>
      <c r="O273" s="24" t="inlineStr">
        <is>
          <t>EXPENSIVE</t>
        </is>
      </c>
      <c r="P273" s="24" t="inlineStr">
        <is>
          <t>EXPENSIVE</t>
        </is>
      </c>
      <c r="Q273" s="24" t="inlineStr">
        <is>
          <t>EXPENSIVE</t>
        </is>
      </c>
      <c r="R273" s="24" t="inlineStr">
        <is>
          <t>0.952821790032095</t>
        </is>
      </c>
      <c r="S273" s="24" t="inlineStr">
        <is>
          <t>HIGH</t>
        </is>
      </c>
      <c r="T273" s="24" t="inlineStr">
        <is>
          <t>HIGH</t>
        </is>
      </c>
      <c r="U273" s="24" t="inlineStr">
        <is>
          <t>0.7857142857142857</t>
        </is>
      </c>
      <c r="V273" s="24" t="inlineStr">
        <is>
          <t>HIGH_RISK</t>
        </is>
      </c>
      <c r="W273" s="24" t="inlineStr">
        <is>
          <t>고위험</t>
        </is>
      </c>
      <c r="X273" s="24" t="inlineStr">
        <is>
          <t>HIGH_RISK</t>
        </is>
      </c>
      <c r="Y273" s="24" t="inlineStr">
        <is>
          <t>0.9374258948385606</t>
        </is>
      </c>
      <c r="Z273" s="24" t="inlineStr">
        <is>
          <t>HIGH</t>
        </is>
      </c>
      <c r="AA273" s="24" t="inlineStr">
        <is>
          <t>HIGH</t>
        </is>
      </c>
      <c r="AB273" s="24" t="inlineStr">
        <is>
          <t>0.45054632167168013</t>
        </is>
      </c>
      <c r="AC273" s="24" t="inlineStr">
        <is>
          <t>True</t>
        </is>
      </c>
      <c r="AD273" s="24" t="inlineStr">
        <is>
          <t>True</t>
        </is>
      </c>
      <c r="AE273" s="24" t="inlineStr">
        <is>
          <t>valuation_credit_ml_overlay_candidate.csv</t>
        </is>
      </c>
      <c r="AF273" s="24" t="inlineStr">
        <is>
          <t>208개 반도체 reference universe. Valuation Agent가 자체 intake 폴더로 복제해 Peer/ML/대시보드 비교에 사용.</t>
        </is>
      </c>
    </row>
    <row r="274" ht="24" customHeight="1">
      <c r="A274" s="29" t="inlineStr">
        <is>
          <t>186</t>
        </is>
      </c>
      <c r="B274" s="29" t="inlineStr">
        <is>
          <t>해당 없음</t>
        </is>
      </c>
      <c r="C274" s="29" t="inlineStr">
        <is>
          <t>테크윙</t>
        </is>
      </c>
      <c r="D274" s="29" t="inlineStr">
        <is>
          <t>089030</t>
        </is>
      </c>
      <c r="E274" s="29" t="inlineStr">
        <is>
          <t>KOSDAQ</t>
        </is>
      </c>
      <c r="F274" s="29" t="inlineStr">
        <is>
          <t>후공정/패키징/테스트</t>
        </is>
      </c>
      <c r="G274" s="29" t="inlineStr">
        <is>
          <t>후공정/패키징/테스트</t>
        </is>
      </c>
      <c r="H274" s="29" t="inlineStr">
        <is>
          <t>False</t>
        </is>
      </c>
      <c r="I274" s="29" t="inlineStr">
        <is>
          <t>True</t>
        </is>
      </c>
      <c r="J274" s="29" t="inlineStr">
        <is>
          <t>OK</t>
        </is>
      </c>
      <c r="K274" s="29" t="inlineStr">
        <is>
          <t>데이터 사용 가능</t>
        </is>
      </c>
      <c r="L274" s="29" t="inlineStr">
        <is>
          <t>LOW</t>
        </is>
      </c>
      <c r="M274" s="29" t="inlineStr">
        <is>
          <t>LOW</t>
        </is>
      </c>
      <c r="N274" s="29" t="inlineStr">
        <is>
          <t>0.2205925925925926</t>
        </is>
      </c>
      <c r="O274" s="29" t="inlineStr">
        <is>
          <t>EXPENSIVE</t>
        </is>
      </c>
      <c r="P274" s="29" t="inlineStr">
        <is>
          <t>EXPENSIVE</t>
        </is>
      </c>
      <c r="Q274" s="29" t="inlineStr">
        <is>
          <t>EXPENSIVE</t>
        </is>
      </c>
      <c r="R274" s="29" t="inlineStr">
        <is>
          <t>0.7946423848576873</t>
        </is>
      </c>
      <c r="S274" s="29" t="inlineStr">
        <is>
          <t>HIGH</t>
        </is>
      </c>
      <c r="T274" s="29" t="inlineStr">
        <is>
          <t>HIGH</t>
        </is>
      </c>
      <c r="U274" s="29" t="inlineStr">
        <is>
          <t>0.5714285714285714</t>
        </is>
      </c>
      <c r="V274" s="29" t="inlineStr">
        <is>
          <t>HIGH_RISK</t>
        </is>
      </c>
      <c r="W274" s="29" t="inlineStr">
        <is>
          <t>고위험</t>
        </is>
      </c>
      <c r="X274" s="29" t="inlineStr">
        <is>
          <t>MEDIUM_RISK</t>
        </is>
      </c>
      <c r="Y274" s="29" t="inlineStr">
        <is>
          <t>0.4396420822644243</t>
        </is>
      </c>
      <c r="Z274" s="29" t="inlineStr">
        <is>
          <t>LOW</t>
        </is>
      </c>
      <c r="AA274" s="29" t="inlineStr">
        <is>
          <t>LOW</t>
        </is>
      </c>
      <c r="AB274" s="29" t="inlineStr">
        <is>
          <t>0.13035438491081522</t>
        </is>
      </c>
      <c r="AC274" s="29" t="inlineStr">
        <is>
          <t>False</t>
        </is>
      </c>
      <c r="AD274" s="29" t="inlineStr">
        <is>
          <t>True</t>
        </is>
      </c>
      <c r="AE274" s="29" t="inlineStr">
        <is>
          <t>valuation_credit_ml_overlay_candidate.csv</t>
        </is>
      </c>
      <c r="AF274" s="29" t="inlineStr">
        <is>
          <t>208개 반도체 reference universe. Valuation Agent가 자체 intake 폴더로 복제해 Peer/ML/대시보드 비교에 사용.</t>
        </is>
      </c>
    </row>
  </sheetData>
  <autoFilter ref="A66:AF274"/>
  <mergeCells count="5">
    <mergeCell ref="A2:L2"/>
    <mergeCell ref="A1:L1"/>
    <mergeCell ref="A4:F4"/>
    <mergeCell ref="A21:F21"/>
    <mergeCell ref="A65:F65"/>
  </mergeCells>
  <pageMargins left="0.75" right="0.75" top="1" bottom="1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36" customWidth="1" min="2" max="2"/>
    <col width="17" customWidth="1" min="3" max="3"/>
    <col width="3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리노공업 가치평가 브릿지</t>
        </is>
      </c>
    </row>
    <row r="2" ht="28" customHeight="1">
      <c r="A2" s="17" t="inlineStr">
        <is>
          <t>DCF · Peer P/S · 208개 Universe · 품질 ML · 유동성/리스크를 하나의 보조 점수로 연결</t>
        </is>
      </c>
    </row>
    <row r="3" ht="24" customHeight="1"/>
    <row r="4" ht="24" customHeight="1">
      <c r="A4" s="18" t="inlineStr">
        <is>
          <t>종합 점수</t>
        </is>
      </c>
      <c r="B4" s="19" t="n"/>
      <c r="C4" s="18" t="inlineStr">
        <is>
          <t>DCF 괴리율</t>
        </is>
      </c>
      <c r="D4" s="19" t="n"/>
      <c r="E4" s="18" t="inlineStr">
        <is>
          <t>P/S</t>
        </is>
      </c>
      <c r="F4" s="19" t="n"/>
      <c r="G4" s="18" t="inlineStr">
        <is>
          <t>Peer P/S 중앙값</t>
        </is>
      </c>
      <c r="H4" s="19" t="n"/>
      <c r="I4" s="18" t="inlineStr">
        <is>
          <t>208개 Universe</t>
        </is>
      </c>
      <c r="J4" s="19" t="n"/>
    </row>
    <row r="5" ht="24" customHeight="1">
      <c r="A5" s="20" t="inlineStr">
        <is>
          <t>53.5/100</t>
        </is>
      </c>
      <c r="B5" s="19" t="n"/>
      <c r="C5" s="20" t="inlineStr">
        <is>
          <t>-88.5%</t>
        </is>
      </c>
      <c r="D5" s="19" t="n"/>
      <c r="E5" s="20" t="inlineStr">
        <is>
          <t>1.26배</t>
        </is>
      </c>
      <c r="F5" s="19" t="n"/>
      <c r="G5" s="20" t="inlineStr">
        <is>
          <t>3.44배</t>
        </is>
      </c>
      <c r="H5" s="19" t="n"/>
      <c r="I5" s="20" t="inlineStr">
        <is>
          <t>208개</t>
        </is>
      </c>
      <c r="J5" s="19" t="n"/>
    </row>
    <row r="6" ht="24" customHeight="1">
      <c r="A6" s="21" t="inlineStr">
        <is>
          <t>중립</t>
        </is>
      </c>
      <c r="B6" s="19" t="n"/>
      <c r="C6" s="21" t="inlineStr">
        <is>
          <t>내재주가/현재가-1</t>
        </is>
      </c>
      <c r="D6" s="19" t="n"/>
      <c r="E6" s="21" t="inlineStr">
        <is>
          <t>피어 대비 저PSR 구간: 상대 저평가 가능성</t>
        </is>
      </c>
      <c r="F6" s="19" t="n"/>
      <c r="G6" s="21" t="inlineStr">
        <is>
          <t>live peer 기준</t>
        </is>
      </c>
      <c r="H6" s="19" t="n"/>
      <c r="I6" s="21" t="inlineStr">
        <is>
          <t>후공정/패키징/테스트</t>
        </is>
      </c>
      <c r="J6" s="19" t="n"/>
    </row>
    <row r="7" ht="24" customHeight="1"/>
    <row r="8" ht="24" customHeight="1"/>
    <row r="9" ht="24" customHeight="1">
      <c r="A9" s="22" t="inlineStr">
        <is>
          <t>핵심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역할</t>
        </is>
      </c>
      <c r="B11" s="24" t="inlineStr">
        <is>
          <t>Chair 최종 가중합을 대체하지 않는 보조 밸류에이션 판단 근거</t>
        </is>
      </c>
    </row>
    <row r="12" ht="24" customHeight="1">
      <c r="A12" s="29" t="inlineStr">
        <is>
          <t>해석</t>
        </is>
      </c>
      <c r="B12" s="29" t="inlineStr">
        <is>
          <t>현 가격과 내재가치·상대가치가 크게 벌어지지 않은 구간입니다.</t>
        </is>
      </c>
    </row>
    <row r="13" ht="24" customHeight="1">
      <c r="A13" s="24" t="inlineStr">
        <is>
          <t>방법</t>
        </is>
      </c>
      <c r="B13" s="24" t="inlineStr">
        <is>
          <t>DCF 25% + Peer P/S 15% + 품질 ML 15% + 208개 Universe 10% + 가치범위표/역산 DCF/오너 이익 20% + 유동성/리스크 10% + 검증 5%</t>
        </is>
      </c>
    </row>
    <row r="14" ht="24" customHeight="1">
      <c r="A14" s="29" t="inlineStr">
        <is>
          <t>검증상태</t>
        </is>
      </c>
      <c r="B14" s="29" t="inlineStr">
        <is>
          <t>PASS</t>
        </is>
      </c>
    </row>
    <row r="15" ht="24" customHeight="1"/>
    <row r="16" ht="24" customHeight="1"/>
    <row r="17" ht="24" customHeight="1">
      <c r="A17" s="22" t="inlineStr">
        <is>
          <t>가중 점수 구성</t>
        </is>
      </c>
    </row>
    <row r="18" ht="24" customHeight="1">
      <c r="A18" s="25" t="inlineStr">
        <is>
          <t>요인 코드</t>
        </is>
      </c>
      <c r="B18" s="25" t="inlineStr">
        <is>
          <t>요인</t>
        </is>
      </c>
      <c r="C18" s="25" t="inlineStr">
        <is>
          <t>가중치</t>
        </is>
      </c>
      <c r="D18" s="25" t="inlineStr">
        <is>
          <t>원천값</t>
        </is>
      </c>
      <c r="E18" s="25" t="inlineStr">
        <is>
          <t>점수</t>
        </is>
      </c>
      <c r="F18" s="25" t="inlineStr">
        <is>
          <t>해석</t>
        </is>
      </c>
    </row>
    <row r="19" ht="24" customHeight="1">
      <c r="A19" s="24" t="inlineStr">
        <is>
          <t>DCF_UPSIDE</t>
        </is>
      </c>
      <c r="B19" s="24" t="inlineStr">
        <is>
          <t>DCF 현재가 대비 괴리율</t>
        </is>
      </c>
      <c r="C19" s="30" t="n">
        <v>0.25</v>
      </c>
      <c r="D19" s="30" t="n">
        <v>-0.885162867184224</v>
      </c>
      <c r="E19" s="30" t="n">
        <v>0</v>
      </c>
      <c r="F19" s="24" t="inlineStr">
        <is>
          <t>내재주가가 현재가보다 높을수록 우호</t>
        </is>
      </c>
    </row>
    <row r="20" ht="24" customHeight="1">
      <c r="A20" s="29" t="inlineStr">
        <is>
          <t>PEER_PSR</t>
        </is>
      </c>
      <c r="B20" s="29" t="inlineStr">
        <is>
          <t>Peer P/S 상대 매력도</t>
        </is>
      </c>
      <c r="C20" s="31" t="n">
        <v>0.15</v>
      </c>
      <c r="D20" s="31" t="n">
        <v>1.258122111711799</v>
      </c>
      <c r="E20" s="31" t="n">
        <v>100</v>
      </c>
      <c r="F20" s="29" t="inlineStr">
        <is>
          <t>P/S가 동종 피어 대비 낮을수록 우호</t>
        </is>
      </c>
    </row>
    <row r="21" ht="24" customHeight="1">
      <c r="A21" s="24" t="inlineStr">
        <is>
          <t>QUALITY_ML</t>
        </is>
      </c>
      <c r="B21" s="24" t="inlineStr">
        <is>
          <t>수익성·현금흐름·안정성 ML 보조점수</t>
        </is>
      </c>
      <c r="C21" s="30" t="n">
        <v>0.15</v>
      </c>
      <c r="D21" s="30" t="n">
        <v>83.34999999999999</v>
      </c>
      <c r="E21" s="30" t="n">
        <v>83.34999999999999</v>
      </c>
      <c r="F21" s="24" t="inlineStr">
        <is>
          <t>Valuation Agent 자체 peer percentile composite</t>
        </is>
      </c>
    </row>
    <row r="22" ht="24" customHeight="1">
      <c r="A22" s="29" t="inlineStr">
        <is>
          <t>REFERENCE_UNIVERSE</t>
        </is>
      </c>
      <c r="B22" s="29" t="inlineStr">
        <is>
          <t>208개 반도체 Reference Universe 위치</t>
        </is>
      </c>
      <c r="C22" s="31" t="n">
        <v>0.1</v>
      </c>
      <c r="D22" s="31" t="n">
        <v>61.91111111111112</v>
      </c>
      <c r="E22" s="31" t="n">
        <v>61.91111111111112</v>
      </c>
      <c r="F22" s="29" t="inlineStr">
        <is>
          <t>업로드/기존 universe 후보 파일의 valuation proxy 기반 상대 위치</t>
        </is>
      </c>
    </row>
    <row r="23" ht="24" customHeight="1">
      <c r="A23" s="24" t="inlineStr">
        <is>
          <t>ADVANCED_VALUATION</t>
        </is>
      </c>
      <c r="B23" s="24" t="inlineStr">
        <is>
          <t>가치범위표·역산 DCF·오너 이익 교차검증</t>
        </is>
      </c>
      <c r="C23" s="30" t="n">
        <v>0.2</v>
      </c>
      <c r="D23" s="30" t="n">
        <v>38</v>
      </c>
      <c r="E23" s="30" t="n">
        <v>38</v>
      </c>
      <c r="F23" s="24" t="inlineStr">
        <is>
          <t>DCF 하나에 의존하지 않고 복수 가치평가 방법의 중앙값·안전마진·역산가정을 함께 평가</t>
        </is>
      </c>
    </row>
    <row r="24" ht="24" customHeight="1">
      <c r="A24" s="29" t="inlineStr">
        <is>
          <t>LIQUIDITY_RISK</t>
        </is>
      </c>
      <c r="B24" s="29" t="inlineStr">
        <is>
          <t>유동성·변동성 리스크</t>
        </is>
      </c>
      <c r="C24" s="31" t="n">
        <v>0.1</v>
      </c>
      <c r="D24" s="31" t="n">
        <v>131703750560</v>
      </c>
      <c r="E24" s="31" t="n">
        <v>72</v>
      </c>
      <c r="F24" s="29" t="inlineStr">
        <is>
          <t>거래대금은 높을수록, 변동성과 MDD는 낮을수록 우호</t>
        </is>
      </c>
    </row>
    <row r="25" ht="24" customHeight="1">
      <c r="A25" s="24" t="inlineStr">
        <is>
          <t>DATA_VALIDATION</t>
        </is>
      </c>
      <c r="B25" s="24" t="inlineStr">
        <is>
          <t>데이터 검증 상태</t>
        </is>
      </c>
      <c r="C25" s="30" t="n">
        <v>0.05</v>
      </c>
      <c r="D25" s="24" t="inlineStr">
        <is>
          <t>PASS</t>
        </is>
      </c>
      <c r="E25" s="30" t="n">
        <v>100</v>
      </c>
      <c r="F25" s="24" t="inlineStr">
        <is>
          <t>PASS이면 workbook/dashboard용 주요 데이터 준비 완료</t>
        </is>
      </c>
    </row>
    <row r="26" ht="24" customHeight="1"/>
    <row r="27" ht="24" customHeight="1"/>
    <row r="28" ht="24" customHeight="1">
      <c r="A28" s="22" t="inlineStr">
        <is>
          <t>데이터 연결 맵</t>
        </is>
      </c>
    </row>
    <row r="29" ht="24" customHeight="1">
      <c r="A29" s="25" t="inlineStr">
        <is>
          <t>데이터블록</t>
        </is>
      </c>
      <c r="B29" s="25" t="inlineStr">
        <is>
          <t>사용값</t>
        </is>
      </c>
      <c r="C29" s="25" t="inlineStr">
        <is>
          <t>출처</t>
        </is>
      </c>
    </row>
    <row r="30" ht="24" customHeight="1">
      <c r="A30" s="24" t="inlineStr">
        <is>
          <t>DCF</t>
        </is>
      </c>
      <c r="B30" s="24" t="inlineStr">
        <is>
          <t>11,116원</t>
        </is>
      </c>
      <c r="C30" s="24" t="inlineStr">
        <is>
          <t>valuation_metrics.json / 09_DCF_가치평가</t>
        </is>
      </c>
    </row>
    <row r="31" ht="24" customHeight="1">
      <c r="A31" s="29" t="inlineStr">
        <is>
          <t>Peer P/S</t>
        </is>
      </c>
      <c r="B31" s="29" t="inlineStr">
        <is>
          <t>1.26배</t>
        </is>
      </c>
      <c r="C31" s="29" t="inlineStr">
        <is>
          <t>valuation_peer_input.csv / 10_피어비교</t>
        </is>
      </c>
    </row>
    <row r="32" ht="24" customHeight="1">
      <c r="A32" s="24" t="inlineStr">
        <is>
          <t>208개 Universe</t>
        </is>
      </c>
      <c r="B32" s="24" t="inlineStr">
        <is>
          <t>208개</t>
        </is>
      </c>
      <c r="C32" s="24" t="inlineStr">
        <is>
          <t>valuation_reference_universe_208.csv</t>
        </is>
      </c>
    </row>
    <row r="33" ht="24" customHeight="1">
      <c r="A33" s="29" t="inlineStr">
        <is>
          <t>주가·유동성</t>
        </is>
      </c>
      <c r="B33" s="29" t="inlineStr">
        <is>
          <t>1,317.0억원</t>
        </is>
      </c>
      <c r="C33" s="29" t="inlineStr">
        <is>
          <t>valuation_price_history.csv / valuation_price_summary.json</t>
        </is>
      </c>
    </row>
    <row r="34" ht="24" customHeight="1">
      <c r="A34" s="24" t="inlineStr">
        <is>
          <t>ML 보조판단</t>
        </is>
      </c>
      <c r="B34" s="24" t="inlineStr">
        <is>
          <t>83.3/100</t>
        </is>
      </c>
      <c r="C34" s="24" t="inlineStr">
        <is>
          <t>valuation_agent 자체 peer percentile composite</t>
        </is>
      </c>
    </row>
  </sheetData>
  <autoFilter ref="A29:C34"/>
  <mergeCells count="20">
    <mergeCell ref="C6:D6"/>
    <mergeCell ref="I6:J6"/>
    <mergeCell ref="C5:D5"/>
    <mergeCell ref="E5:F5"/>
    <mergeCell ref="A1:K1"/>
    <mergeCell ref="A6:B6"/>
    <mergeCell ref="C4:D4"/>
    <mergeCell ref="E4:F4"/>
    <mergeCell ref="A17:F17"/>
    <mergeCell ref="G6:H6"/>
    <mergeCell ref="E6:F6"/>
    <mergeCell ref="A28:F28"/>
    <mergeCell ref="A9:F9"/>
    <mergeCell ref="A5:B5"/>
    <mergeCell ref="A2:K2"/>
    <mergeCell ref="G5:H5"/>
    <mergeCell ref="I5:J5"/>
    <mergeCell ref="A4:B4"/>
    <mergeCell ref="G4:H4"/>
    <mergeCell ref="I4:J4"/>
  </mergeCells>
  <pageMargins left="0.75" right="0.7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38" customWidth="1" min="6" max="6"/>
    <col width="17" customWidth="1" min="7" max="7"/>
    <col width="17" customWidth="1" min="8" max="8"/>
    <col width="17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리노공업 시나리오 요약</t>
        </is>
      </c>
    </row>
    <row r="2" ht="28" customHeight="1">
      <c r="A2" s="17" t="inlineStr">
        <is>
          <t>Base/Bull/Bear 가정을 한눈에 볼 수 있도록 대시보드 다운로드용으로 정리</t>
        </is>
      </c>
    </row>
    <row r="3" ht="24" customHeight="1"/>
    <row r="4" ht="24" customHeight="1">
      <c r="A4" s="22" t="inlineStr">
        <is>
          <t>3단계 시나리오 가정</t>
        </is>
      </c>
    </row>
    <row r="5" ht="24" customHeight="1">
      <c r="A5" s="25" t="inlineStr">
        <is>
          <t>시나리오</t>
        </is>
      </c>
      <c r="B5" s="25" t="inlineStr">
        <is>
          <t>매출성장률</t>
        </is>
      </c>
      <c r="C5" s="25" t="inlineStr">
        <is>
          <t>FCF마진</t>
        </is>
      </c>
      <c r="D5" s="25" t="inlineStr">
        <is>
          <t>WACC</t>
        </is>
      </c>
      <c r="E5" s="25" t="inlineStr">
        <is>
          <t>영구성장률</t>
        </is>
      </c>
      <c r="F5" s="25" t="inlineStr">
        <is>
          <t>해석</t>
        </is>
      </c>
    </row>
    <row r="6" ht="24" customHeight="1">
      <c r="A6" s="24" t="inlineStr">
        <is>
          <t>Bear</t>
        </is>
      </c>
      <c r="B6" s="30" t="n">
        <v>0.05343274779167552</v>
      </c>
      <c r="C6" s="30" t="n">
        <v>0.23</v>
      </c>
      <c r="D6" s="30" t="n">
        <v>0.1521740039132658</v>
      </c>
      <c r="E6" s="30" t="n">
        <v>0.009999999999999998</v>
      </c>
      <c r="F6" s="24" t="inlineStr">
        <is>
          <t>보수적 수익성·할인율 가정</t>
        </is>
      </c>
    </row>
    <row r="7" ht="24" customHeight="1">
      <c r="A7" s="29" t="inlineStr">
        <is>
          <t>Base</t>
        </is>
      </c>
      <c r="B7" s="31" t="n">
        <v>0.07343274779167552</v>
      </c>
      <c r="C7" s="31" t="n">
        <v>0.25</v>
      </c>
      <c r="D7" s="31" t="n">
        <v>0.1421740039132658</v>
      </c>
      <c r="E7" s="31" t="n">
        <v>0.015</v>
      </c>
      <c r="F7" s="29" t="inlineStr">
        <is>
          <t>현재 모델 기본 가정</t>
        </is>
      </c>
    </row>
    <row r="8" ht="24" customHeight="1">
      <c r="A8" s="24" t="inlineStr">
        <is>
          <t>Bull</t>
        </is>
      </c>
      <c r="B8" s="30" t="n">
        <v>0.09343274779167553</v>
      </c>
      <c r="C8" s="30" t="n">
        <v>0.27</v>
      </c>
      <c r="D8" s="30" t="n">
        <v>0.1321740039132658</v>
      </c>
      <c r="E8" s="30" t="n">
        <v>0.02</v>
      </c>
      <c r="F8" s="24" t="inlineStr">
        <is>
          <t>성장·마진 개선 가정</t>
        </is>
      </c>
    </row>
    <row r="9" ht="24" customHeight="1"/>
    <row r="10" ht="24" customHeight="1"/>
    <row r="11" ht="24" customHeight="1">
      <c r="A11" s="22" t="inlineStr">
        <is>
          <t>대시보드 연결 가이드</t>
        </is>
      </c>
    </row>
    <row r="12" ht="24" customHeight="1">
      <c r="A12" s="25" t="inlineStr">
        <is>
          <t>항목</t>
        </is>
      </c>
      <c r="B12" s="25" t="inlineStr">
        <is>
          <t>내용</t>
        </is>
      </c>
    </row>
    <row r="13" ht="24" customHeight="1">
      <c r="A13" s="24" t="inlineStr">
        <is>
          <t>활용</t>
        </is>
      </c>
      <c r="B13" s="24" t="inlineStr">
        <is>
          <t>대시보드에서 WACC/성장률/마진 슬라이더를 만들 때 기본 입력값으로 사용</t>
        </is>
      </c>
    </row>
    <row r="14" ht="24" customHeight="1">
      <c r="A14" s="29" t="inlineStr">
        <is>
          <t>주의</t>
        </is>
      </c>
      <c r="B14" s="29" t="inlineStr">
        <is>
          <t>정식 투자 판단은 Chair의 6개 에이전트 종합과 별도 검토 필요</t>
        </is>
      </c>
    </row>
  </sheetData>
  <autoFilter ref="A12:B14"/>
  <mergeCells count="4">
    <mergeCell ref="A1:J1"/>
    <mergeCell ref="A11:F11"/>
    <mergeCell ref="A4:F4"/>
    <mergeCell ref="A2:J2"/>
  </mergeCells>
  <pageMargins left="0.75" right="0.75" top="1" bottom="1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데이터 품질·커버리지</t>
        </is>
      </c>
    </row>
    <row r="2" ht="28" customHeight="1">
      <c r="A2" s="17" t="inlineStr">
        <is>
          <t>공란/해당 없음/계산 제외 항목을 숨기지 않고 데이터 커버리지로 관리</t>
        </is>
      </c>
    </row>
    <row r="3" ht="24" customHeight="1"/>
    <row r="4" ht="24" customHeight="1">
      <c r="A4" s="22" t="inlineStr">
        <is>
          <t>커버리지 체크</t>
        </is>
      </c>
    </row>
    <row r="5" ht="24" customHeight="1">
      <c r="A5" s="25" t="inlineStr">
        <is>
          <t>데이터블록</t>
        </is>
      </c>
      <c r="B5" s="25" t="inlineStr">
        <is>
          <t>행수</t>
        </is>
      </c>
      <c r="C5" s="25" t="inlineStr">
        <is>
          <t>상태</t>
        </is>
      </c>
      <c r="D5" s="25" t="inlineStr">
        <is>
          <t>대시보드 영향</t>
        </is>
      </c>
    </row>
    <row r="6" ht="24" customHeight="1">
      <c r="A6" s="24" t="inlineStr">
        <is>
          <t>DART 정규화 재무제표</t>
        </is>
      </c>
      <c r="B6" s="30" t="n">
        <v>5</v>
      </c>
      <c r="C6" s="24" t="inlineStr">
        <is>
          <t>OK</t>
        </is>
      </c>
      <c r="D6" s="24" t="inlineStr">
        <is>
          <t>DCF/WACC/핵심비율</t>
        </is>
      </c>
    </row>
    <row r="7" ht="24" customHeight="1">
      <c r="A7" s="29" t="inlineStr">
        <is>
          <t>주가 이력</t>
        </is>
      </c>
      <c r="B7" s="31" t="n">
        <v>1212</v>
      </c>
      <c r="C7" s="29" t="inlineStr">
        <is>
          <t>OK</t>
        </is>
      </c>
      <c r="D7" s="29" t="inlineStr">
        <is>
          <t>현재가/변동성/MDD/차트</t>
        </is>
      </c>
    </row>
    <row r="8" ht="24" customHeight="1">
      <c r="A8" s="24" t="inlineStr">
        <is>
          <t>Live peer</t>
        </is>
      </c>
      <c r="B8" s="30" t="n">
        <v>5</v>
      </c>
      <c r="C8" s="24" t="inlineStr">
        <is>
          <t>OK</t>
        </is>
      </c>
      <c r="D8" s="24" t="inlineStr">
        <is>
          <t>P/S, PER, PBR</t>
        </is>
      </c>
    </row>
    <row r="9" ht="24" customHeight="1">
      <c r="A9" s="29" t="inlineStr">
        <is>
          <t>208개 Reference Universe</t>
        </is>
      </c>
      <c r="B9" s="31" t="n">
        <v>208</v>
      </c>
      <c r="C9" s="29" t="inlineStr">
        <is>
          <t>OK</t>
        </is>
      </c>
      <c r="D9" s="29" t="inlineStr">
        <is>
          <t>상대 위치/ML 보조</t>
        </is>
      </c>
    </row>
    <row r="10" ht="24" customHeight="1">
      <c r="A10" s="24" t="inlineStr">
        <is>
          <t>가치평가 스코어카드</t>
        </is>
      </c>
      <c r="B10" s="30" t="n">
        <v>7</v>
      </c>
      <c r="C10" s="24" t="inlineStr">
        <is>
          <t>OK</t>
        </is>
      </c>
      <c r="D10" s="24" t="inlineStr">
        <is>
          <t>투자자 요약/Chair 보조</t>
        </is>
      </c>
    </row>
    <row r="11" ht="24" customHeight="1">
      <c r="A11" s="29" t="inlineStr">
        <is>
          <t>Validation</t>
        </is>
      </c>
      <c r="B11" s="31" t="n">
        <v>1</v>
      </c>
      <c r="C11" s="29" t="inlineStr">
        <is>
          <t>PASS</t>
        </is>
      </c>
      <c r="D11" s="29" t="inlineStr">
        <is>
          <t>경고/품질 배지</t>
        </is>
      </c>
    </row>
    <row r="12" ht="24" customHeight="1"/>
    <row r="13" ht="24" customHeight="1"/>
    <row r="14" ht="24" customHeight="1">
      <c r="A14" s="22" t="inlineStr">
        <is>
          <t>Validation 이슈</t>
        </is>
      </c>
    </row>
    <row r="15" ht="24" customHeight="1">
      <c r="A15" s="25" t="inlineStr">
        <is>
          <t>중요도</t>
        </is>
      </c>
      <c r="B15" s="25" t="inlineStr">
        <is>
          <t>코드</t>
        </is>
      </c>
      <c r="C15" s="25" t="inlineStr">
        <is>
          <t>메시지</t>
        </is>
      </c>
    </row>
    <row r="16" ht="24" customHeight="1">
      <c r="A16" s="24" t="inlineStr">
        <is>
          <t>INFO</t>
        </is>
      </c>
      <c r="B16" s="24" t="inlineStr">
        <is>
          <t>NO_MAJOR_WARNINGS</t>
        </is>
      </c>
      <c r="C16" s="24" t="inlineStr">
        <is>
          <t>주요 validation warning 없음</t>
        </is>
      </c>
    </row>
  </sheetData>
  <autoFilter ref="A15:C16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리노공업 종합 가치평가 요약</t>
        </is>
      </c>
    </row>
    <row r="2" ht="28" customHeight="1">
      <c r="A2" s="17" t="inlineStr">
        <is>
          <t>DCF·상대가치·역산 DCF·오너 이익·EPV·Graham Number로 교차검증</t>
        </is>
      </c>
    </row>
    <row r="3" ht="24" customHeight="1"/>
    <row r="4" ht="24" customHeight="1">
      <c r="A4" s="18" t="inlineStr">
        <is>
          <t>종합 가치평가 점수</t>
        </is>
      </c>
      <c r="B4" s="19" t="n"/>
      <c r="C4" s="18" t="inlineStr">
        <is>
          <t>가치범위 중앙값</t>
        </is>
      </c>
      <c r="D4" s="19" t="n"/>
      <c r="E4" s="18" t="inlineStr">
        <is>
          <t>안전마진</t>
        </is>
      </c>
      <c r="F4" s="19" t="n"/>
      <c r="G4" s="18" t="inlineStr">
        <is>
          <t>역산 DCF</t>
        </is>
      </c>
      <c r="H4" s="19" t="n"/>
      <c r="I4" s="18" t="inlineStr">
        <is>
          <t>오너 이익</t>
        </is>
      </c>
      <c r="J4" s="19" t="n"/>
      <c r="K4" s="18" t="inlineStr">
        <is>
          <t>검증상태</t>
        </is>
      </c>
      <c r="L4" s="19" t="n"/>
    </row>
    <row r="5" ht="24" customHeight="1">
      <c r="A5" s="20" t="inlineStr">
        <is>
          <t>38.0/100</t>
        </is>
      </c>
      <c r="B5" s="19" t="n"/>
      <c r="C5" s="20" t="inlineStr">
        <is>
          <t>25,647원</t>
        </is>
      </c>
      <c r="D5" s="19" t="n"/>
      <c r="E5" s="20" t="inlineStr">
        <is>
          <t>-73.5%</t>
        </is>
      </c>
      <c r="F5" s="19" t="n"/>
      <c r="G5" s="20" t="inlineStr">
        <is>
          <t>8.0%</t>
        </is>
      </c>
      <c r="H5" s="19" t="n"/>
      <c r="I5" s="20" t="inlineStr">
        <is>
          <t>16,537원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복수 방법 교차검증</t>
        </is>
      </c>
      <c r="B6" s="19" t="n"/>
      <c r="C6" s="21" t="inlineStr">
        <is>
          <t>밸류에이션 부담</t>
        </is>
      </c>
      <c r="D6" s="19" t="n"/>
      <c r="E6" s="21" t="inlineStr">
        <is>
          <t>중앙값/현재가-1</t>
        </is>
      </c>
      <c r="F6" s="19" t="n"/>
      <c r="G6" s="21" t="inlineStr">
        <is>
          <t>시장가격 내재 성장률</t>
        </is>
      </c>
      <c r="H6" s="19" t="n"/>
      <c r="I6" s="21" t="inlineStr">
        <is>
          <t>보수 현금창출 기준</t>
        </is>
      </c>
      <c r="J6" s="19" t="n"/>
      <c r="K6" s="21" t="inlineStr">
        <is>
          <t>PASS 권장</t>
        </is>
      </c>
      <c r="L6" s="19" t="n"/>
    </row>
    <row r="7" ht="24" customHeight="1"/>
    <row r="8" ht="24" customHeight="1"/>
    <row r="9" ht="24" customHeight="1">
      <c r="A9" s="22" t="inlineStr">
        <is>
          <t>투자자용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결론</t>
        </is>
      </c>
      <c r="B11" s="24" t="inlineStr">
        <is>
          <t>현 가격과 내재가치·상대가치가 크게 벌어지지 않은 구간입니다.</t>
        </is>
      </c>
    </row>
    <row r="12" ht="24" customHeight="1">
      <c r="A12" s="29" t="inlineStr">
        <is>
          <t>핵심 산식</t>
        </is>
      </c>
      <c r="B12" s="29" t="inlineStr">
        <is>
          <t>DCF + 피어 멀티플 가치범위표 + 역산 DCF + 오너 이익/EPV + 시장내재 배수 + 데이터 커버리지</t>
        </is>
      </c>
    </row>
    <row r="13" ht="24" customHeight="1">
      <c r="A13" s="24" t="inlineStr">
        <is>
          <t>사용 이유</t>
        </is>
      </c>
      <c r="B13" s="24" t="inlineStr">
        <is>
          <t>DCF는 가정 민감도가 크므로, 시장이 내재한 성장률과 상대가치·현금창출 가치가 같은 방향인지 확인합니다.</t>
        </is>
      </c>
    </row>
    <row r="14" ht="24" customHeight="1">
      <c r="A14" s="29" t="inlineStr">
        <is>
          <t>대시보드 활용</t>
        </is>
      </c>
      <c r="B14" s="29" t="inlineStr">
        <is>
          <t>summary_cards와 advanced_valuation 블록을 사용하면 Streamlit/React에서 가치범위 차트·민감도 카드·다운로드 버튼 구현 가능</t>
        </is>
      </c>
    </row>
    <row r="15" ht="24" customHeight="1"/>
    <row r="16" ht="24" customHeight="1"/>
    <row r="17" ht="24" customHeight="1">
      <c r="A17" s="22" t="inlineStr">
        <is>
          <t>방법별 내재가격 요약</t>
        </is>
      </c>
    </row>
    <row r="18" ht="24" customHeight="1">
      <c r="A18" s="25" t="inlineStr">
        <is>
          <t>방법 코드</t>
        </is>
      </c>
      <c r="B18" s="25" t="inlineStr">
        <is>
          <t>가치평가 방법</t>
        </is>
      </c>
      <c r="C18" s="25" t="inlineStr">
        <is>
          <t>하단 지분가치</t>
        </is>
      </c>
      <c r="D18" s="25" t="inlineStr">
        <is>
          <t>중앙 지분가치</t>
        </is>
      </c>
      <c r="E18" s="25" t="inlineStr">
        <is>
          <t>상단 지분가치</t>
        </is>
      </c>
      <c r="F18" s="25" t="inlineStr">
        <is>
          <t>하단 주당가치</t>
        </is>
      </c>
      <c r="G18" s="25" t="inlineStr">
        <is>
          <t>중앙 주당가치</t>
        </is>
      </c>
      <c r="H18" s="25" t="inlineStr">
        <is>
          <t>상단 주당가치</t>
        </is>
      </c>
      <c r="I18" s="25" t="inlineStr">
        <is>
          <t>현재가</t>
        </is>
      </c>
      <c r="J18" s="25" t="inlineStr">
        <is>
          <t>현재가 대비</t>
        </is>
      </c>
      <c r="K18" s="25" t="inlineStr">
        <is>
          <t>해석</t>
        </is>
      </c>
      <c r="L18" s="25" t="inlineStr">
        <is>
          <t>출처</t>
        </is>
      </c>
      <c r="M18" s="25" t="inlineStr">
        <is>
          <t>신뢰도</t>
        </is>
      </c>
    </row>
    <row r="19" ht="24" customHeight="1">
      <c r="A19" s="24" t="inlineStr">
        <is>
          <t>DCF_BASE</t>
        </is>
      </c>
      <c r="B19" s="24" t="inlineStr">
        <is>
          <t>DCF 기준가치</t>
        </is>
      </c>
      <c r="C19" s="30" t="n">
        <v>720110474023.4161</v>
      </c>
      <c r="D19" s="30" t="n">
        <v>847188792968.7249</v>
      </c>
      <c r="E19" s="30" t="n">
        <v>974267111914.0334</v>
      </c>
      <c r="F19" s="30" t="n">
        <v>9448.799288082051</v>
      </c>
      <c r="G19" s="30" t="n">
        <v>11116.23445656712</v>
      </c>
      <c r="H19" s="30" t="n">
        <v>12783.66962505219</v>
      </c>
      <c r="I19" s="30" t="n">
        <v>96800</v>
      </c>
      <c r="J19" s="35" t="n">
        <v>-0.885162867184224</v>
      </c>
      <c r="K19" s="24" t="inlineStr">
        <is>
          <t>밸류에이션 부담</t>
        </is>
      </c>
      <c r="L19" s="24" t="inlineStr">
        <is>
          <t>Valuation Agent DCF</t>
        </is>
      </c>
      <c r="M19" s="24" t="inlineStr">
        <is>
          <t>핵심 모델</t>
        </is>
      </c>
    </row>
    <row r="20" ht="24" customHeight="1">
      <c r="A20" s="29" t="inlineStr">
        <is>
          <t>PSR_COMP</t>
        </is>
      </c>
      <c r="B20" s="29" t="inlineStr">
        <is>
          <t>P/S 상대가치</t>
        </is>
      </c>
      <c r="C20" s="31" t="n">
        <v>519856049120.0153</v>
      </c>
      <c r="D20" s="31" t="n">
        <v>1280244472587.303</v>
      </c>
      <c r="E20" s="31" t="n">
        <v>1355098019378.317</v>
      </c>
      <c r="F20" s="31" t="n">
        <v>6821.197085755238</v>
      </c>
      <c r="G20" s="31" t="n">
        <v>16798.49619957136</v>
      </c>
      <c r="H20" s="31" t="n">
        <v>17780.6734697861</v>
      </c>
      <c r="I20" s="31" t="n">
        <v>96800</v>
      </c>
      <c r="J20" s="36" t="n">
        <v>-0.8264618161201305</v>
      </c>
      <c r="K20" s="29" t="inlineStr">
        <is>
          <t>밸류에이션 부담</t>
        </is>
      </c>
      <c r="L20" s="29" t="inlineStr">
        <is>
          <t>시가총액/매출 피어 비교</t>
        </is>
      </c>
      <c r="M20" s="29" t="inlineStr">
        <is>
          <t>피어 중앙값 기반</t>
        </is>
      </c>
    </row>
    <row r="21" ht="24" customHeight="1">
      <c r="A21" s="24" t="inlineStr">
        <is>
          <t>PBR_COMP</t>
        </is>
      </c>
      <c r="B21" s="24" t="inlineStr">
        <is>
          <t>P/B 상대가치</t>
        </is>
      </c>
      <c r="C21" s="30" t="n">
        <v>1886846125811.769</v>
      </c>
      <c r="D21" s="30" t="n">
        <v>1954587556873.079</v>
      </c>
      <c r="E21" s="30" t="n">
        <v>2799793240814.496</v>
      </c>
      <c r="F21" s="30" t="n">
        <v>24757.91003383029</v>
      </c>
      <c r="G21" s="30" t="n">
        <v>25646.76696436419</v>
      </c>
      <c r="H21" s="30" t="n">
        <v>36736.98041465331</v>
      </c>
      <c r="I21" s="30" t="n">
        <v>96800</v>
      </c>
      <c r="J21" s="35" t="n">
        <v>-0.7350540602854938</v>
      </c>
      <c r="K21" s="24" t="inlineStr">
        <is>
          <t>밸류에이션 부담</t>
        </is>
      </c>
      <c r="L21" s="24" t="inlineStr">
        <is>
          <t>시가총액/자본 피어 비교</t>
        </is>
      </c>
      <c r="M21" s="24" t="inlineStr">
        <is>
          <t>피어 중앙값 기반</t>
        </is>
      </c>
    </row>
    <row r="22" ht="24" customHeight="1">
      <c r="A22" s="29" t="inlineStr">
        <is>
          <t>PER_COMP</t>
        </is>
      </c>
      <c r="B22" s="29" t="inlineStr">
        <is>
          <t>PER 상대가치</t>
        </is>
      </c>
      <c r="C22" s="31" t="n">
        <v>3116289711870.834</v>
      </c>
      <c r="D22" s="31" t="n">
        <v>3618464567345.937</v>
      </c>
      <c r="E22" s="31" t="n">
        <v>4945299551041.38</v>
      </c>
      <c r="F22" s="31" t="n">
        <v>40889.8315927357</v>
      </c>
      <c r="G22" s="31" t="n">
        <v>47479.02809531506</v>
      </c>
      <c r="H22" s="31" t="n">
        <v>64888.85325630305</v>
      </c>
      <c r="I22" s="31" t="n">
        <v>96800</v>
      </c>
      <c r="J22" s="36" t="n">
        <v>-0.5095141725690593</v>
      </c>
      <c r="K22" s="29" t="inlineStr">
        <is>
          <t>밸류에이션 부담</t>
        </is>
      </c>
      <c r="L22" s="29" t="inlineStr">
        <is>
          <t>시가총액/순이익 피어 비교</t>
        </is>
      </c>
      <c r="M22" s="29" t="inlineStr">
        <is>
          <t>피어 중앙값 기반</t>
        </is>
      </c>
    </row>
    <row r="23" ht="24" customHeight="1">
      <c r="A23" s="24" t="inlineStr">
        <is>
          <t>PFCF_COMP</t>
        </is>
      </c>
      <c r="B23" s="24" t="inlineStr">
        <is>
          <t>P/FCF 상대가치</t>
        </is>
      </c>
      <c r="C23" s="30" t="n">
        <v>1139990420465.176</v>
      </c>
      <c r="D23" s="30" t="n">
        <v>2720785191895.101</v>
      </c>
      <c r="E23" s="30" t="n">
        <v>3140888929476.225</v>
      </c>
      <c r="F23" s="30" t="n">
        <v>14958.17803222433</v>
      </c>
      <c r="G23" s="30" t="n">
        <v>35700.2905964768</v>
      </c>
      <c r="H23" s="30" t="n">
        <v>41212.60577556147</v>
      </c>
      <c r="I23" s="30" t="n">
        <v>96800</v>
      </c>
      <c r="J23" s="35" t="n">
        <v>-0.631195345077719</v>
      </c>
      <c r="K23" s="24" t="inlineStr">
        <is>
          <t>밸류에이션 부담</t>
        </is>
      </c>
      <c r="L23" s="24" t="inlineStr">
        <is>
          <t>시가총액/FCF 피어 비교</t>
        </is>
      </c>
      <c r="M23" s="24" t="inlineStr">
        <is>
          <t>피어 중앙값 기반</t>
        </is>
      </c>
    </row>
    <row r="24" ht="24" customHeight="1">
      <c r="A24" s="29" t="inlineStr">
        <is>
          <t>EV_SALES_COMP</t>
        </is>
      </c>
      <c r="B24" s="29" t="inlineStr">
        <is>
          <t>EV/Sales 상대가치</t>
        </is>
      </c>
      <c r="C24" s="31" t="n">
        <v>815234943173.7328</v>
      </c>
      <c r="D24" s="31" t="n">
        <v>1483038897053.568</v>
      </c>
      <c r="E24" s="31" t="n">
        <v>3175237763008.144</v>
      </c>
      <c r="F24" s="31" t="n">
        <v>10696.95779821291</v>
      </c>
      <c r="G24" s="31" t="n">
        <v>19459.42654657468</v>
      </c>
      <c r="H24" s="31" t="n">
        <v>41663.30777967132</v>
      </c>
      <c r="I24" s="31" t="n">
        <v>96800</v>
      </c>
      <c r="J24" s="36" t="n">
        <v>-0.7989728662543938</v>
      </c>
      <c r="K24" s="29" t="inlineStr">
        <is>
          <t>밸류에이션 부담</t>
        </is>
      </c>
      <c r="L24" s="29" t="inlineStr">
        <is>
          <t>EV/매출 피어 비교</t>
        </is>
      </c>
      <c r="M24" s="29" t="inlineStr">
        <is>
          <t>EV 조정 피어 기준</t>
        </is>
      </c>
    </row>
    <row r="25" ht="24" customHeight="1">
      <c r="A25" s="24" t="inlineStr">
        <is>
          <t>EV_EBIT_COMP</t>
        </is>
      </c>
      <c r="B25" s="24" t="inlineStr">
        <is>
          <t>EV/EBIT 상대가치</t>
        </is>
      </c>
      <c r="C25" s="30" t="n">
        <v>3565567736906.268</v>
      </c>
      <c r="D25" s="30" t="n">
        <v>3945377561237.188</v>
      </c>
      <c r="E25" s="30" t="n">
        <v>8269130512042.577</v>
      </c>
      <c r="F25" s="30" t="n">
        <v>46784.95190585542</v>
      </c>
      <c r="G25" s="30" t="n">
        <v>51768.55779300973</v>
      </c>
      <c r="H25" s="30" t="n">
        <v>108501.8997969814</v>
      </c>
      <c r="I25" s="30" t="n">
        <v>96800</v>
      </c>
      <c r="J25" s="35" t="n">
        <v>-0.4652008492457673</v>
      </c>
      <c r="K25" s="24" t="inlineStr">
        <is>
          <t>밸류에이션 부담</t>
        </is>
      </c>
      <c r="L25" s="24" t="inlineStr">
        <is>
          <t>EV/영업이익 피어 비교</t>
        </is>
      </c>
      <c r="M25" s="24" t="inlineStr">
        <is>
          <t>EV 조정 피어 기준</t>
        </is>
      </c>
    </row>
    <row r="26" ht="24" customHeight="1"/>
    <row r="27" ht="24" customHeight="1"/>
    <row r="28" ht="24" customHeight="1">
      <c r="A28" s="22" t="inlineStr">
        <is>
          <t>시장내재 배수 자동산출</t>
        </is>
      </c>
    </row>
    <row r="29" ht="24" customHeight="1">
      <c r="A29" s="25" t="inlineStr">
        <is>
          <t>latest_close</t>
        </is>
      </c>
      <c r="B29" s="25" t="inlineStr">
        <is>
          <t>시가총액</t>
        </is>
      </c>
      <c r="C29" s="25" t="inlineStr">
        <is>
          <t>EV proxy</t>
        </is>
      </c>
      <c r="D29" s="25" t="inlineStr">
        <is>
          <t>psr_market</t>
        </is>
      </c>
      <c r="E29" s="25" t="inlineStr">
        <is>
          <t>pbr_market</t>
        </is>
      </c>
      <c r="F29" s="25" t="inlineStr">
        <is>
          <t>per_market</t>
        </is>
      </c>
      <c r="G29" s="25" t="inlineStr">
        <is>
          <t>p_fcf_market</t>
        </is>
      </c>
      <c r="H29" s="25" t="inlineStr">
        <is>
          <t>ev_sales_market</t>
        </is>
      </c>
      <c r="I29" s="25" t="inlineStr">
        <is>
          <t>ev_ebit_market</t>
        </is>
      </c>
      <c r="J29" s="25" t="inlineStr">
        <is>
          <t>eps_derived</t>
        </is>
      </c>
      <c r="K29" s="25" t="inlineStr">
        <is>
          <t>bps_derived</t>
        </is>
      </c>
      <c r="L29" s="25" t="inlineStr">
        <is>
          <t>fcf_yield_market</t>
        </is>
      </c>
      <c r="M29" s="25" t="inlineStr">
        <is>
          <t>sales_yield_market</t>
        </is>
      </c>
      <c r="N29" s="25" t="inlineStr">
        <is>
          <t>source_kr</t>
        </is>
      </c>
    </row>
    <row r="30" ht="24" customHeight="1">
      <c r="A30" s="30" t="n">
        <v>96800</v>
      </c>
      <c r="B30" s="30" t="n">
        <v>7377307080000</v>
      </c>
      <c r="C30" s="30" t="n">
        <v>7352813480546</v>
      </c>
      <c r="D30" s="42" t="n">
        <v>19.80303919777647</v>
      </c>
      <c r="E30" s="42" t="n">
        <v>10.08905343069807</v>
      </c>
      <c r="F30" s="42" t="n">
        <v>48.54747652987924</v>
      </c>
      <c r="G30" s="42" t="n">
        <v>41.17105265976947</v>
      </c>
      <c r="H30" s="42" t="n">
        <v>19.73729058451931</v>
      </c>
      <c r="I30" s="42" t="n">
        <v>41.54197900895673</v>
      </c>
      <c r="J30" s="30" t="n">
        <v>1993.924440962921</v>
      </c>
      <c r="K30" s="30" t="n">
        <v>9594.557176738263</v>
      </c>
      <c r="L30" s="35" t="n">
        <v>0.02428891017831943</v>
      </c>
      <c r="M30" s="35" t="n">
        <v>0.05049729943029564</v>
      </c>
      <c r="N30" s="24" t="inlineStr">
        <is>
          <t>DART 정규화 재무제표 + Valuation Agent 주가/발행주식 수 intake로 자동 산출</t>
        </is>
      </c>
    </row>
    <row r="31" ht="24" customHeight="1"/>
    <row r="32" ht="24" customHeight="1"/>
    <row r="33" ht="24" customHeight="1">
      <c r="A33" s="22" t="inlineStr">
        <is>
          <t>품질 진단 체크</t>
        </is>
      </c>
    </row>
    <row r="34" ht="24" customHeight="1">
      <c r="A34" s="25" t="inlineStr">
        <is>
          <t>진단항목</t>
        </is>
      </c>
      <c r="B34" s="25" t="inlineStr">
        <is>
          <t>상태</t>
        </is>
      </c>
      <c r="C34" s="25" t="inlineStr">
        <is>
          <t>근거값</t>
        </is>
      </c>
      <c r="D34" s="25" t="inlineStr">
        <is>
          <t>해석</t>
        </is>
      </c>
    </row>
    <row r="35" ht="24" customHeight="1">
      <c r="A35" s="24" t="inlineStr">
        <is>
          <t>재무제표 기간</t>
        </is>
      </c>
      <c r="B35" s="24" t="inlineStr">
        <is>
          <t>충분</t>
        </is>
      </c>
      <c r="C35" s="30" t="n">
        <v>5</v>
      </c>
      <c r="D35" s="24" t="inlineStr">
        <is>
          <t>5개년이면 DCF 추세 가정과 CAGR 산정에 충분합니다.</t>
        </is>
      </c>
    </row>
    <row r="36" ht="24" customHeight="1">
      <c r="A36" s="29" t="inlineStr">
        <is>
          <t>주가 이력</t>
        </is>
      </c>
      <c r="B36" s="29" t="inlineStr">
        <is>
          <t>충분</t>
        </is>
      </c>
      <c r="C36" s="31" t="n">
        <v>1212</v>
      </c>
      <c r="D36" s="29" t="inlineStr">
        <is>
          <t>현재가, 52주 범위, MDD, 변동성, 거래대금 지표 품질을 좌우합니다.</t>
        </is>
      </c>
    </row>
    <row r="37" ht="24" customHeight="1">
      <c r="A37" s="24" t="inlineStr">
        <is>
          <t>가치평가 방법 수</t>
        </is>
      </c>
      <c r="B37" s="24" t="inlineStr">
        <is>
          <t>충분</t>
        </is>
      </c>
      <c r="C37" s="30" t="n">
        <v>7</v>
      </c>
      <c r="D37" s="24" t="inlineStr">
        <is>
          <t>DCF 하나가 아니라 상대가치·EV 멀티플·현금창출 지표까지 교차검증합니다.</t>
        </is>
      </c>
    </row>
    <row r="38" ht="24" customHeight="1">
      <c r="A38" s="29" t="inlineStr">
        <is>
          <t>수익성</t>
        </is>
      </c>
      <c r="B38" s="29" t="inlineStr">
        <is>
          <t>우호</t>
        </is>
      </c>
      <c r="C38" s="31" t="n">
        <v>0.4751167627392961</v>
      </c>
      <c r="D38" s="29" t="inlineStr">
        <is>
          <t>영업이익률이 높을수록 DCF의 현금흐름 안정성이 높습니다.</t>
        </is>
      </c>
    </row>
    <row r="39" ht="24" customHeight="1">
      <c r="A39" s="24" t="inlineStr">
        <is>
          <t>현금창출</t>
        </is>
      </c>
      <c r="B39" s="24" t="inlineStr">
        <is>
          <t>우호</t>
        </is>
      </c>
      <c r="C39" s="30" t="n">
        <v>0.4809942403325316</v>
      </c>
      <c r="D39" s="24" t="inlineStr">
        <is>
          <t>FCF margin과 오너 이익 수익률이 DCF 품질의 핵심입니다.</t>
        </is>
      </c>
    </row>
    <row r="40" ht="24" customHeight="1">
      <c r="A40" s="29" t="inlineStr">
        <is>
          <t>재무 레버리지</t>
        </is>
      </c>
      <c r="B40" s="29" t="inlineStr">
        <is>
          <t>보수적</t>
        </is>
      </c>
      <c r="C40" s="31" t="n">
        <v>0.08302467100754368</v>
      </c>
      <c r="D40" s="29" t="inlineStr">
        <is>
          <t>부채/자본이 높으면 WACC와 지분가치 산정에 보수 가정을 적용합니다.</t>
        </is>
      </c>
    </row>
    <row r="41" ht="24" customHeight="1">
      <c r="A41" s="24" t="inlineStr">
        <is>
          <t>시장 내재가정</t>
        </is>
      </c>
      <c r="B41" s="24" t="inlineStr">
        <is>
          <t>계산 완료</t>
        </is>
      </c>
      <c r="C41" s="30" t="n">
        <v>0.08</v>
      </c>
      <c r="D41" s="24" t="inlineStr">
        <is>
          <t>현재 시가총액이 요구하는 영구성장률을 역산해 과도한 기대가 반영됐는지 확인합니다.</t>
        </is>
      </c>
    </row>
    <row r="42" ht="24" customHeight="1">
      <c r="A42" s="29" t="inlineStr">
        <is>
          <t>오너 이익</t>
        </is>
      </c>
      <c r="B42" s="29" t="inlineStr">
        <is>
          <t>계산 완료</t>
        </is>
      </c>
      <c r="C42" s="31" t="n">
        <v>16537.24619513188</v>
      </c>
      <c r="D42" s="29" t="inlineStr">
        <is>
          <t>CFO-CAPEX 또는 FCF 기반 보수 가치가 DCF와 같은 방향인지 확인합니다.</t>
        </is>
      </c>
    </row>
  </sheetData>
  <autoFilter ref="A34:D42"/>
  <mergeCells count="24">
    <mergeCell ref="C6:D6"/>
    <mergeCell ref="I6:J6"/>
    <mergeCell ref="C5:D5"/>
    <mergeCell ref="E5:F5"/>
    <mergeCell ref="K5:L5"/>
    <mergeCell ref="A6:B6"/>
    <mergeCell ref="C4:D4"/>
    <mergeCell ref="A33:F33"/>
    <mergeCell ref="A2:L2"/>
    <mergeCell ref="E4:F4"/>
    <mergeCell ref="A17:F17"/>
    <mergeCell ref="G6:H6"/>
    <mergeCell ref="E6:F6"/>
    <mergeCell ref="A28:F28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4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리노공업 가치범위표</t>
        </is>
      </c>
    </row>
    <row r="2" ht="28" customHeight="1">
      <c r="A2" s="17" t="inlineStr">
        <is>
          <t>DCF, P/S, P/B, PER, P/FCF, EV/Sales, EV/EBIT 기준 내재가격 범위를 한 화면에서 비교</t>
        </is>
      </c>
    </row>
    <row r="3" ht="24" customHeight="1"/>
    <row r="4" ht="24" customHeight="1">
      <c r="A4" s="18" t="inlineStr">
        <is>
          <t>현재가</t>
        </is>
      </c>
      <c r="B4" s="19" t="n"/>
      <c r="C4" s="18" t="inlineStr">
        <is>
          <t>하단값</t>
        </is>
      </c>
      <c r="D4" s="19" t="n"/>
      <c r="E4" s="18" t="inlineStr">
        <is>
          <t>중앙값</t>
        </is>
      </c>
      <c r="F4" s="19" t="n"/>
      <c r="G4" s="18" t="inlineStr">
        <is>
          <t>상단값</t>
        </is>
      </c>
      <c r="H4" s="19" t="n"/>
      <c r="I4" s="18" t="inlineStr">
        <is>
          <t>방법 수</t>
        </is>
      </c>
      <c r="J4" s="19" t="n"/>
      <c r="K4" s="18" t="inlineStr">
        <is>
          <t>안전마진</t>
        </is>
      </c>
      <c r="L4" s="19" t="n"/>
    </row>
    <row r="5" ht="24" customHeight="1">
      <c r="A5" s="20" t="inlineStr">
        <is>
          <t>96,800원</t>
        </is>
      </c>
      <c r="B5" s="19" t="n"/>
      <c r="C5" s="20" t="inlineStr">
        <is>
          <t>18,129원</t>
        </is>
      </c>
      <c r="D5" s="19" t="n"/>
      <c r="E5" s="20" t="inlineStr">
        <is>
          <t>25,647원</t>
        </is>
      </c>
      <c r="F5" s="19" t="n"/>
      <c r="G5" s="20" t="inlineStr">
        <is>
          <t>41,590원</t>
        </is>
      </c>
      <c r="H5" s="19" t="n"/>
      <c r="I5" s="20" t="inlineStr">
        <is>
          <t>7</t>
        </is>
      </c>
      <c r="J5" s="19" t="n"/>
      <c r="K5" s="20" t="inlineStr">
        <is>
          <t>-73.5%</t>
        </is>
      </c>
      <c r="L5" s="19" t="n"/>
    </row>
    <row r="6" ht="24" customHeight="1">
      <c r="A6" s="21" t="inlineStr">
        <is>
          <t>시장 기준</t>
        </is>
      </c>
      <c r="B6" s="19" t="n"/>
      <c r="C6" s="21" t="inlineStr">
        <is>
          <t>25% 분위</t>
        </is>
      </c>
      <c r="D6" s="19" t="n"/>
      <c r="E6" s="21" t="inlineStr">
        <is>
          <t>50% 분위</t>
        </is>
      </c>
      <c r="F6" s="19" t="n"/>
      <c r="G6" s="21" t="inlineStr">
        <is>
          <t>75% 분위</t>
        </is>
      </c>
      <c r="H6" s="19" t="n"/>
      <c r="I6" s="21" t="inlineStr">
        <is>
          <t>산출 가능한 방법</t>
        </is>
      </c>
      <c r="J6" s="19" t="n"/>
      <c r="K6" s="21" t="inlineStr">
        <is>
          <t>중앙값 기준</t>
        </is>
      </c>
      <c r="L6" s="19" t="n"/>
    </row>
    <row r="7" ht="24" customHeight="1"/>
    <row r="8" ht="24" customHeight="1"/>
    <row r="9" ht="24" customHeight="1">
      <c r="A9" s="22" t="inlineStr">
        <is>
          <t>가치평가 방법별 Low/Base/High</t>
        </is>
      </c>
    </row>
    <row r="10" ht="24" customHeight="1">
      <c r="A10" s="25" t="inlineStr">
        <is>
          <t>방법 코드</t>
        </is>
      </c>
      <c r="B10" s="25" t="inlineStr">
        <is>
          <t>가치평가 방법</t>
        </is>
      </c>
      <c r="C10" s="25" t="inlineStr">
        <is>
          <t>하단 지분가치</t>
        </is>
      </c>
      <c r="D10" s="25" t="inlineStr">
        <is>
          <t>중앙 지분가치</t>
        </is>
      </c>
      <c r="E10" s="25" t="inlineStr">
        <is>
          <t>상단 지분가치</t>
        </is>
      </c>
      <c r="F10" s="25" t="inlineStr">
        <is>
          <t>하단 주당가치</t>
        </is>
      </c>
      <c r="G10" s="25" t="inlineStr">
        <is>
          <t>중앙 주당가치</t>
        </is>
      </c>
      <c r="H10" s="25" t="inlineStr">
        <is>
          <t>상단 주당가치</t>
        </is>
      </c>
      <c r="I10" s="25" t="inlineStr">
        <is>
          <t>현재가</t>
        </is>
      </c>
      <c r="J10" s="25" t="inlineStr">
        <is>
          <t>현재가 대비</t>
        </is>
      </c>
      <c r="K10" s="25" t="inlineStr">
        <is>
          <t>해석</t>
        </is>
      </c>
      <c r="L10" s="25" t="inlineStr">
        <is>
          <t>출처</t>
        </is>
      </c>
      <c r="M10" s="25" t="inlineStr">
        <is>
          <t>신뢰도</t>
        </is>
      </c>
    </row>
    <row r="11" ht="24" customHeight="1">
      <c r="A11" s="24" t="inlineStr">
        <is>
          <t>DCF_BASE</t>
        </is>
      </c>
      <c r="B11" s="24" t="inlineStr">
        <is>
          <t>DCF 기준가치</t>
        </is>
      </c>
      <c r="C11" s="30" t="n">
        <v>720110474023.4161</v>
      </c>
      <c r="D11" s="30" t="n">
        <v>847188792968.7249</v>
      </c>
      <c r="E11" s="30" t="n">
        <v>974267111914.0334</v>
      </c>
      <c r="F11" s="30" t="n">
        <v>9448.799288082051</v>
      </c>
      <c r="G11" s="30" t="n">
        <v>11116.23445656712</v>
      </c>
      <c r="H11" s="30" t="n">
        <v>12783.66962505219</v>
      </c>
      <c r="I11" s="30" t="n">
        <v>96800</v>
      </c>
      <c r="J11" s="35" t="n">
        <v>-0.885162867184224</v>
      </c>
      <c r="K11" s="24" t="inlineStr">
        <is>
          <t>밸류에이션 부담</t>
        </is>
      </c>
      <c r="L11" s="24" t="inlineStr">
        <is>
          <t>Valuation Agent DCF</t>
        </is>
      </c>
      <c r="M11" s="24" t="inlineStr">
        <is>
          <t>핵심 모델</t>
        </is>
      </c>
    </row>
    <row r="12" ht="24" customHeight="1">
      <c r="A12" s="29" t="inlineStr">
        <is>
          <t>PSR_COMP</t>
        </is>
      </c>
      <c r="B12" s="29" t="inlineStr">
        <is>
          <t>P/S 상대가치</t>
        </is>
      </c>
      <c r="C12" s="31" t="n">
        <v>519856049120.0153</v>
      </c>
      <c r="D12" s="31" t="n">
        <v>1280244472587.303</v>
      </c>
      <c r="E12" s="31" t="n">
        <v>1355098019378.317</v>
      </c>
      <c r="F12" s="31" t="n">
        <v>6821.197085755238</v>
      </c>
      <c r="G12" s="31" t="n">
        <v>16798.49619957136</v>
      </c>
      <c r="H12" s="31" t="n">
        <v>17780.6734697861</v>
      </c>
      <c r="I12" s="31" t="n">
        <v>96800</v>
      </c>
      <c r="J12" s="36" t="n">
        <v>-0.8264618161201305</v>
      </c>
      <c r="K12" s="29" t="inlineStr">
        <is>
          <t>밸류에이션 부담</t>
        </is>
      </c>
      <c r="L12" s="29" t="inlineStr">
        <is>
          <t>시가총액/매출 피어 비교</t>
        </is>
      </c>
      <c r="M12" s="29" t="inlineStr">
        <is>
          <t>피어 중앙값 기반</t>
        </is>
      </c>
    </row>
    <row r="13" ht="24" customHeight="1">
      <c r="A13" s="24" t="inlineStr">
        <is>
          <t>PBR_COMP</t>
        </is>
      </c>
      <c r="B13" s="24" t="inlineStr">
        <is>
          <t>P/B 상대가치</t>
        </is>
      </c>
      <c r="C13" s="30" t="n">
        <v>1886846125811.769</v>
      </c>
      <c r="D13" s="30" t="n">
        <v>1954587556873.079</v>
      </c>
      <c r="E13" s="30" t="n">
        <v>2799793240814.496</v>
      </c>
      <c r="F13" s="30" t="n">
        <v>24757.91003383029</v>
      </c>
      <c r="G13" s="30" t="n">
        <v>25646.76696436419</v>
      </c>
      <c r="H13" s="30" t="n">
        <v>36736.98041465331</v>
      </c>
      <c r="I13" s="30" t="n">
        <v>96800</v>
      </c>
      <c r="J13" s="35" t="n">
        <v>-0.7350540602854938</v>
      </c>
      <c r="K13" s="24" t="inlineStr">
        <is>
          <t>밸류에이션 부담</t>
        </is>
      </c>
      <c r="L13" s="24" t="inlineStr">
        <is>
          <t>시가총액/자본 피어 비교</t>
        </is>
      </c>
      <c r="M13" s="24" t="inlineStr">
        <is>
          <t>피어 중앙값 기반</t>
        </is>
      </c>
    </row>
    <row r="14" ht="24" customHeight="1">
      <c r="A14" s="29" t="inlineStr">
        <is>
          <t>PER_COMP</t>
        </is>
      </c>
      <c r="B14" s="29" t="inlineStr">
        <is>
          <t>PER 상대가치</t>
        </is>
      </c>
      <c r="C14" s="31" t="n">
        <v>3116289711870.834</v>
      </c>
      <c r="D14" s="31" t="n">
        <v>3618464567345.937</v>
      </c>
      <c r="E14" s="31" t="n">
        <v>4945299551041.38</v>
      </c>
      <c r="F14" s="31" t="n">
        <v>40889.8315927357</v>
      </c>
      <c r="G14" s="31" t="n">
        <v>47479.02809531506</v>
      </c>
      <c r="H14" s="31" t="n">
        <v>64888.85325630305</v>
      </c>
      <c r="I14" s="31" t="n">
        <v>96800</v>
      </c>
      <c r="J14" s="36" t="n">
        <v>-0.5095141725690593</v>
      </c>
      <c r="K14" s="29" t="inlineStr">
        <is>
          <t>밸류에이션 부담</t>
        </is>
      </c>
      <c r="L14" s="29" t="inlineStr">
        <is>
          <t>시가총액/순이익 피어 비교</t>
        </is>
      </c>
      <c r="M14" s="29" t="inlineStr">
        <is>
          <t>피어 중앙값 기반</t>
        </is>
      </c>
    </row>
    <row r="15" ht="24" customHeight="1">
      <c r="A15" s="24" t="inlineStr">
        <is>
          <t>PFCF_COMP</t>
        </is>
      </c>
      <c r="B15" s="24" t="inlineStr">
        <is>
          <t>P/FCF 상대가치</t>
        </is>
      </c>
      <c r="C15" s="30" t="n">
        <v>1139990420465.176</v>
      </c>
      <c r="D15" s="30" t="n">
        <v>2720785191895.101</v>
      </c>
      <c r="E15" s="30" t="n">
        <v>3140888929476.225</v>
      </c>
      <c r="F15" s="30" t="n">
        <v>14958.17803222433</v>
      </c>
      <c r="G15" s="30" t="n">
        <v>35700.2905964768</v>
      </c>
      <c r="H15" s="30" t="n">
        <v>41212.60577556147</v>
      </c>
      <c r="I15" s="30" t="n">
        <v>96800</v>
      </c>
      <c r="J15" s="35" t="n">
        <v>-0.631195345077719</v>
      </c>
      <c r="K15" s="24" t="inlineStr">
        <is>
          <t>밸류에이션 부담</t>
        </is>
      </c>
      <c r="L15" s="24" t="inlineStr">
        <is>
          <t>시가총액/FCF 피어 비교</t>
        </is>
      </c>
      <c r="M15" s="24" t="inlineStr">
        <is>
          <t>피어 중앙값 기반</t>
        </is>
      </c>
    </row>
    <row r="16" ht="24" customHeight="1">
      <c r="A16" s="29" t="inlineStr">
        <is>
          <t>EV_SALES_COMP</t>
        </is>
      </c>
      <c r="B16" s="29" t="inlineStr">
        <is>
          <t>EV/Sales 상대가치</t>
        </is>
      </c>
      <c r="C16" s="31" t="n">
        <v>815234943173.7328</v>
      </c>
      <c r="D16" s="31" t="n">
        <v>1483038897053.568</v>
      </c>
      <c r="E16" s="31" t="n">
        <v>3175237763008.144</v>
      </c>
      <c r="F16" s="31" t="n">
        <v>10696.95779821291</v>
      </c>
      <c r="G16" s="31" t="n">
        <v>19459.42654657468</v>
      </c>
      <c r="H16" s="31" t="n">
        <v>41663.30777967132</v>
      </c>
      <c r="I16" s="31" t="n">
        <v>96800</v>
      </c>
      <c r="J16" s="36" t="n">
        <v>-0.7989728662543938</v>
      </c>
      <c r="K16" s="29" t="inlineStr">
        <is>
          <t>밸류에이션 부담</t>
        </is>
      </c>
      <c r="L16" s="29" t="inlineStr">
        <is>
          <t>EV/매출 피어 비교</t>
        </is>
      </c>
      <c r="M16" s="29" t="inlineStr">
        <is>
          <t>EV 조정 피어 기준</t>
        </is>
      </c>
    </row>
    <row r="17" ht="24" customHeight="1">
      <c r="A17" s="24" t="inlineStr">
        <is>
          <t>EV_EBIT_COMP</t>
        </is>
      </c>
      <c r="B17" s="24" t="inlineStr">
        <is>
          <t>EV/EBIT 상대가치</t>
        </is>
      </c>
      <c r="C17" s="30" t="n">
        <v>3565567736906.268</v>
      </c>
      <c r="D17" s="30" t="n">
        <v>3945377561237.188</v>
      </c>
      <c r="E17" s="30" t="n">
        <v>8269130512042.577</v>
      </c>
      <c r="F17" s="30" t="n">
        <v>46784.95190585542</v>
      </c>
      <c r="G17" s="30" t="n">
        <v>51768.55779300973</v>
      </c>
      <c r="H17" s="30" t="n">
        <v>108501.8997969814</v>
      </c>
      <c r="I17" s="30" t="n">
        <v>96800</v>
      </c>
      <c r="J17" s="35" t="n">
        <v>-0.4652008492457673</v>
      </c>
      <c r="K17" s="24" t="inlineStr">
        <is>
          <t>밸류에이션 부담</t>
        </is>
      </c>
      <c r="L17" s="24" t="inlineStr">
        <is>
          <t>EV/영업이익 피어 비교</t>
        </is>
      </c>
      <c r="M17" s="24" t="inlineStr">
        <is>
          <t>EV 조정 피어 기준</t>
        </is>
      </c>
    </row>
    <row r="18" ht="24" customHeight="1"/>
    <row r="19" ht="24" customHeight="1"/>
    <row r="20" ht="24" customHeight="1">
      <c r="A20" s="22" t="inlineStr">
        <is>
          <t>사용 가이드</t>
        </is>
      </c>
    </row>
    <row r="21" ht="24" customHeight="1">
      <c r="A21" s="25" t="inlineStr">
        <is>
          <t>항목</t>
        </is>
      </c>
      <c r="B21" s="25" t="inlineStr">
        <is>
          <t>내용</t>
        </is>
      </c>
    </row>
    <row r="22" ht="24" customHeight="1">
      <c r="A22" s="24" t="inlineStr">
        <is>
          <t>해석 방법</t>
        </is>
      </c>
      <c r="B22" s="24" t="inlineStr">
        <is>
          <t>한 방법만 우호적이면 확신도가 낮고, 여러 방법의 중앙값이 현재가보다 높으면 상대적으로 우호적입니다.</t>
        </is>
      </c>
    </row>
    <row r="23" ht="24" customHeight="1">
      <c r="A23" s="29" t="inlineStr">
        <is>
          <t>주의</t>
        </is>
      </c>
      <c r="B23" s="29" t="inlineStr">
        <is>
          <t>PER/PBR/EV/EBIT는 적자·음수 지표에서 자동 제외됩니다. 제외 사유는 빈칸이 아니라 해당 없음으로 표시됩니다.</t>
        </is>
      </c>
    </row>
  </sheetData>
  <autoFilter ref="A21:B23"/>
  <mergeCells count="22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G6:H6"/>
    <mergeCell ref="A20:F20"/>
    <mergeCell ref="E6:F6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리노공업 역산 DCF·오너 이익</t>
        </is>
      </c>
    </row>
    <row r="2" ht="28" customHeight="1">
      <c r="A2" s="17" t="inlineStr">
        <is>
          <t>현재 주가가 요구하는 성장률과 현금창출 기준 보수 가치를 점검</t>
        </is>
      </c>
    </row>
    <row r="3" ht="24" customHeight="1"/>
    <row r="4" ht="24" customHeight="1">
      <c r="A4" s="18" t="inlineStr">
        <is>
          <t>시장 내재 EV</t>
        </is>
      </c>
      <c r="B4" s="19" t="n"/>
      <c r="C4" s="18" t="inlineStr">
        <is>
          <t>모델 EV</t>
        </is>
      </c>
      <c r="D4" s="19" t="n"/>
      <c r="E4" s="18" t="inlineStr">
        <is>
          <t>EV 괴리</t>
        </is>
      </c>
      <c r="F4" s="19" t="n"/>
      <c r="G4" s="18" t="inlineStr">
        <is>
          <t>요구 FCF 수익률</t>
        </is>
      </c>
      <c r="H4" s="19" t="n"/>
      <c r="I4" s="18" t="inlineStr">
        <is>
          <t>역산 성장률</t>
        </is>
      </c>
      <c r="J4" s="19" t="n"/>
    </row>
    <row r="5" ht="24" customHeight="1">
      <c r="A5" s="20" t="inlineStr">
        <is>
          <t>73,528.1억원</t>
        </is>
      </c>
      <c r="B5" s="19" t="n"/>
      <c r="C5" s="20" t="inlineStr">
        <is>
          <t>8,227.0억원</t>
        </is>
      </c>
      <c r="D5" s="19" t="n"/>
      <c r="E5" s="20" t="inlineStr">
        <is>
          <t>793.7%</t>
        </is>
      </c>
      <c r="F5" s="19" t="n"/>
      <c r="G5" s="20" t="inlineStr">
        <is>
          <t>2.4%</t>
        </is>
      </c>
      <c r="H5" s="19" t="n"/>
      <c r="I5" s="20" t="inlineStr">
        <is>
          <t>8.0%</t>
        </is>
      </c>
      <c r="J5" s="19" t="n"/>
    </row>
    <row r="6" ht="24" customHeight="1">
      <c r="A6" s="21" t="inlineStr">
        <is>
          <t>시가총액+부채-현금</t>
        </is>
      </c>
      <c r="B6" s="19" t="n"/>
      <c r="C6" s="21" t="inlineStr">
        <is>
          <t>DCF 산출 EV</t>
        </is>
      </c>
      <c r="D6" s="19" t="n"/>
      <c r="E6" s="21" t="inlineStr">
        <is>
          <t>시장/모델-1</t>
        </is>
      </c>
      <c r="F6" s="19" t="n"/>
      <c r="G6" s="21" t="inlineStr">
        <is>
          <t>FCF/시장내재 EV</t>
        </is>
      </c>
      <c r="H6" s="19" t="n"/>
      <c r="I6" s="21" t="inlineStr">
        <is>
          <t>시장가격 내재</t>
        </is>
      </c>
      <c r="J6" s="19" t="n"/>
    </row>
    <row r="7" ht="24" customHeight="1"/>
    <row r="8" ht="24" customHeight="1"/>
    <row r="9" ht="24" customHeight="1">
      <c r="A9" s="22" t="inlineStr">
        <is>
          <t>역산 DCF 핵심값</t>
        </is>
      </c>
    </row>
    <row r="10" ht="24" customHeight="1">
      <c r="A10" s="25" t="inlineStr">
        <is>
          <t>현재가</t>
        </is>
      </c>
      <c r="B10" s="25" t="inlineStr">
        <is>
          <t>시가총액</t>
        </is>
      </c>
      <c r="C10" s="25" t="inlineStr">
        <is>
          <t>시장 내재 EV</t>
        </is>
      </c>
      <c r="D10" s="25" t="inlineStr">
        <is>
          <t>모델 EV</t>
        </is>
      </c>
      <c r="E10" s="25" t="inlineStr">
        <is>
          <t>시장/모델 EV 괴리</t>
        </is>
      </c>
      <c r="F10" s="25" t="inlineStr">
        <is>
          <t>요구 FCF 수익률</t>
        </is>
      </c>
      <c r="G10" s="25" t="inlineStr">
        <is>
          <t>역산 영구성장률</t>
        </is>
      </c>
      <c r="H10" s="25" t="inlineStr">
        <is>
          <t>wacc_used</t>
        </is>
      </c>
      <c r="I10" s="25" t="inlineStr">
        <is>
          <t>해석</t>
        </is>
      </c>
    </row>
    <row r="11" ht="24" customHeight="1">
      <c r="A11" s="30" t="n">
        <v>96800</v>
      </c>
      <c r="B11" s="30" t="n">
        <v>7377307080000</v>
      </c>
      <c r="C11" s="30" t="n">
        <v>7352813480546</v>
      </c>
      <c r="D11" s="30" t="n">
        <v>822695193514.7249</v>
      </c>
      <c r="E11" s="35" t="n">
        <v>7.937469841209662</v>
      </c>
      <c r="F11" s="35" t="n">
        <v>0.0243698210893137</v>
      </c>
      <c r="G11" s="35" t="n">
        <v>0.08</v>
      </c>
      <c r="H11" s="30" t="n">
        <v>0.1421740039132658</v>
      </c>
      <c r="I11" s="24" t="inlineStr">
        <is>
          <t>현재 주가가 요구하는 FCF yield와 영구성장률을 역산해 DCF 가정의 현실성을 점검합니다.</t>
        </is>
      </c>
    </row>
    <row r="12" ht="24" customHeight="1"/>
    <row r="13" ht="24" customHeight="1"/>
    <row r="14" ht="24" customHeight="1">
      <c r="A14" s="22" t="inlineStr">
        <is>
          <t>오너 이익 / EPV / Graham Number</t>
        </is>
      </c>
    </row>
    <row r="15" ht="24" customHeight="1">
      <c r="A15" s="25" t="inlineStr">
        <is>
          <t>오너 이익</t>
        </is>
      </c>
      <c r="B15" s="25" t="inlineStr">
        <is>
          <t>owner_earnings_method_kr</t>
        </is>
      </c>
      <c r="C15" s="25" t="inlineStr">
        <is>
          <t>오너 이익 수익률</t>
        </is>
      </c>
      <c r="D15" s="25" t="inlineStr">
        <is>
          <t>owner_earnings_value</t>
        </is>
      </c>
      <c r="E15" s="25" t="inlineStr">
        <is>
          <t>오너 이익 주당가치</t>
        </is>
      </c>
      <c r="F15" s="25" t="inlineStr">
        <is>
          <t>epv_equity_value</t>
        </is>
      </c>
      <c r="G15" s="25" t="inlineStr">
        <is>
          <t>EPV 주당가치</t>
        </is>
      </c>
      <c r="H15" s="25" t="inlineStr">
        <is>
          <t>eps</t>
        </is>
      </c>
      <c r="I15" s="25" t="inlineStr">
        <is>
          <t>bps</t>
        </is>
      </c>
      <c r="J15" s="25" t="inlineStr">
        <is>
          <t>Graham Number</t>
        </is>
      </c>
      <c r="K15" s="25" t="inlineStr">
        <is>
          <t>method_note_kr</t>
        </is>
      </c>
    </row>
    <row r="16" ht="24" customHeight="1">
      <c r="A16" s="30" t="n">
        <v>179186749024</v>
      </c>
      <c r="B16" s="24" t="inlineStr">
        <is>
          <t>FCF = CFO - CAPEX</t>
        </is>
      </c>
      <c r="C16" s="35" t="n">
        <v>0.02428891017831943</v>
      </c>
      <c r="D16" s="30" t="n">
        <v>1260334126436.462</v>
      </c>
      <c r="E16" s="30" t="n">
        <v>16537.24619513188</v>
      </c>
      <c r="F16" s="30" t="n">
        <v>970643102155.6577</v>
      </c>
      <c r="G16" s="30" t="n">
        <v>12736.11783673612</v>
      </c>
      <c r="H16" s="30" t="n">
        <v>1993.924440962921</v>
      </c>
      <c r="I16" s="30" t="n">
        <v>9594.557176738263</v>
      </c>
      <c r="J16" s="30" t="n">
        <v>20747.1322412419</v>
      </c>
      <c r="K16" s="24" t="inlineStr">
        <is>
          <t>오너 이익, EPV, Graham Number는 DCF를 보완하는 보수적 교차검증 지표입니다.</t>
        </is>
      </c>
    </row>
    <row r="17" ht="24" customHeight="1"/>
    <row r="18" ht="24" customHeight="1"/>
    <row r="19" ht="24" customHeight="1">
      <c r="A19" s="22" t="inlineStr">
        <is>
          <t>해석 가이드</t>
        </is>
      </c>
    </row>
    <row r="20" ht="24" customHeight="1">
      <c r="A20" s="25" t="inlineStr">
        <is>
          <t>항목</t>
        </is>
      </c>
      <c r="B20" s="25" t="inlineStr">
        <is>
          <t>내용</t>
        </is>
      </c>
    </row>
    <row r="21" ht="24" customHeight="1">
      <c r="A21" s="24" t="inlineStr">
        <is>
          <t>역산 DCF</t>
        </is>
      </c>
      <c r="B21" s="24" t="inlineStr">
        <is>
          <t>현재 주가를 정당화하려면 어떤 영구성장률·FCF 수익률이 필요한지 역산합니다.</t>
        </is>
      </c>
    </row>
    <row r="22" ht="24" customHeight="1">
      <c r="A22" s="29" t="inlineStr">
        <is>
          <t>오너 이익</t>
        </is>
      </c>
      <c r="B22" s="29" t="inlineStr">
        <is>
          <t>CFO-CAPEX 또는 FCF를 기반으로 보수적 현금창출 가치를 계산합니다.</t>
        </is>
      </c>
    </row>
    <row r="23" ht="24" customHeight="1">
      <c r="A23" s="24" t="inlineStr">
        <is>
          <t>EPV</t>
        </is>
      </c>
      <c r="B23" s="24" t="inlineStr">
        <is>
          <t>영업이익의 지속가능성을 가정해 현재 수익력 기준 기업가치를 확인합니다.</t>
        </is>
      </c>
    </row>
  </sheetData>
  <autoFilter ref="A20:B23"/>
  <mergeCells count="20">
    <mergeCell ref="C6:D6"/>
    <mergeCell ref="I6:J6"/>
    <mergeCell ref="C5:D5"/>
    <mergeCell ref="E5:F5"/>
    <mergeCell ref="A6:B6"/>
    <mergeCell ref="C4:D4"/>
    <mergeCell ref="E4:F4"/>
    <mergeCell ref="A14:F14"/>
    <mergeCell ref="G6:H6"/>
    <mergeCell ref="A1:J1"/>
    <mergeCell ref="E6:F6"/>
    <mergeCell ref="A19:F19"/>
    <mergeCell ref="A9:F9"/>
    <mergeCell ref="A5:B5"/>
    <mergeCell ref="G5:H5"/>
    <mergeCell ref="I5:J5"/>
    <mergeCell ref="A4:B4"/>
    <mergeCell ref="G4:H4"/>
    <mergeCell ref="I4:J4"/>
    <mergeCell ref="A2:J2"/>
  </mergeCells>
  <pageMargins left="0.75" right="0.75" top="1" bottom="1" header="0.5" footer="0.5"/>
  <pageSetup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30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리노공업 데이터 수집현황·보강경로</t>
        </is>
      </c>
    </row>
    <row r="2" ht="28" customHeight="1">
      <c r="A2" s="17" t="inlineStr">
        <is>
          <t>원천 제공 여부와 대체 산출 경로를 분리해 Chair·대시보드에서 그대로 확인</t>
        </is>
      </c>
    </row>
    <row r="3" ht="24" customHeight="1"/>
    <row r="4" ht="24" customHeight="1">
      <c r="A4" s="22" t="inlineStr">
        <is>
          <t>데이터 블록별 확보 상태</t>
        </is>
      </c>
    </row>
    <row r="5" ht="24" customHeight="1">
      <c r="A5" s="25" t="inlineStr">
        <is>
          <t>데이터블록</t>
        </is>
      </c>
      <c r="B5" s="25" t="inlineStr">
        <is>
          <t>상태</t>
        </is>
      </c>
      <c r="C5" s="25" t="inlineStr">
        <is>
          <t>수집경로</t>
        </is>
      </c>
      <c r="D5" s="25" t="inlineStr">
        <is>
          <t>가치평가 활용</t>
        </is>
      </c>
      <c r="E5" s="25" t="inlineStr">
        <is>
          <t>대시보드 표시</t>
        </is>
      </c>
    </row>
    <row r="6" ht="24" customHeight="1">
      <c r="A6" s="24" t="inlineStr">
        <is>
          <t>DART 재무제표</t>
        </is>
      </c>
      <c r="B6" s="24" t="inlineStr">
        <is>
          <t>확보</t>
        </is>
      </c>
      <c r="C6" s="24" t="inlineStr">
        <is>
          <t>OpenDART fnlttSinglAcntAll/fnlttSinglAcnt</t>
        </is>
      </c>
      <c r="D6" s="24" t="inlineStr">
        <is>
          <t>매출·자본·순이익·현금흐름 확보</t>
        </is>
      </c>
      <c r="E6" s="24" t="inlineStr">
        <is>
          <t>표시 가능</t>
        </is>
      </c>
    </row>
    <row r="7" ht="24" customHeight="1">
      <c r="A7" s="29" t="inlineStr">
        <is>
          <t>주가 이력</t>
        </is>
      </c>
      <c r="B7" s="29" t="inlineStr">
        <is>
          <t>확보</t>
        </is>
      </c>
      <c r="C7" s="29" t="inlineStr">
        <is>
          <t>yfinance → Yahoo chart → Naver 일별시세 fallback</t>
        </is>
      </c>
      <c r="D7" s="29" t="inlineStr">
        <is>
          <t>현재가·변동성·MDD·거래대금 확보</t>
        </is>
      </c>
      <c r="E7" s="29" t="inlineStr">
        <is>
          <t>표시 가능</t>
        </is>
      </c>
    </row>
    <row r="8" ht="24" customHeight="1">
      <c r="A8" s="24" t="inlineStr">
        <is>
          <t>발행주식 수</t>
        </is>
      </c>
      <c r="B8" s="24" t="inlineStr">
        <is>
          <t>확보</t>
        </is>
      </c>
      <c r="C8" s="24" t="inlineStr">
        <is>
          <t>OpenDART stockTotqySttus</t>
        </is>
      </c>
      <c r="D8" s="24" t="inlineStr">
        <is>
          <t>내재주가·시가총액 계산</t>
        </is>
      </c>
      <c r="E8" s="24" t="inlineStr">
        <is>
          <t>표시 가능</t>
        </is>
      </c>
    </row>
    <row r="9" ht="24" customHeight="1">
      <c r="A9" s="29" t="inlineStr">
        <is>
          <t>피어 멀티플</t>
        </is>
      </c>
      <c r="B9" s="29" t="inlineStr">
        <is>
          <t>확보</t>
        </is>
      </c>
      <c r="C9" s="29" t="inlineStr">
        <is>
          <t>Valuation 전용 live peer intake</t>
        </is>
      </c>
      <c r="D9" s="29" t="inlineStr">
        <is>
          <t>P/S·PER·PBR·EV/Sales 비교</t>
        </is>
      </c>
      <c r="E9" s="29" t="inlineStr">
        <is>
          <t>표시 가능</t>
        </is>
      </c>
    </row>
    <row r="10" ht="24" customHeight="1">
      <c r="A10" s="24" t="inlineStr">
        <is>
          <t>208개 Universe</t>
        </is>
      </c>
      <c r="B10" s="24" t="inlineStr">
        <is>
          <t>확보</t>
        </is>
      </c>
      <c r="C10" s="24" t="inlineStr">
        <is>
          <t>Tech universe 축 복제 + valuation proxy</t>
        </is>
      </c>
      <c r="D10" s="24" t="inlineStr">
        <is>
          <t>대규모 상대 위치 비교</t>
        </is>
      </c>
      <c r="E10" s="24" t="inlineStr">
        <is>
          <t>표시 가능</t>
        </is>
      </c>
    </row>
    <row r="11" ht="24" customHeight="1">
      <c r="A11" s="29" t="inlineStr">
        <is>
          <t>보조 투자지표</t>
        </is>
      </c>
      <c r="B11" s="29" t="inlineStr">
        <is>
          <t>확보</t>
        </is>
      </c>
      <c r="C11" s="29" t="inlineStr">
        <is>
          <t>Naver finance live + DART/주가 자동 산출 fallback</t>
        </is>
      </c>
      <c r="D11" s="29" t="inlineStr">
        <is>
          <t>외부 표시 PER/PBR/EPS/BPS 또는 자체 산출값</t>
        </is>
      </c>
      <c r="E11" s="29" t="inlineStr">
        <is>
          <t>표시 가능</t>
        </is>
      </c>
    </row>
    <row r="12" ht="24" customHeight="1"/>
    <row r="13" ht="24" customHeight="1"/>
    <row r="14" ht="24" customHeight="1">
      <c r="A14" s="22" t="inlineStr">
        <is>
          <t>자동 생성/참조 파일 경로</t>
        </is>
      </c>
    </row>
    <row r="15" ht="24" customHeight="1">
      <c r="A15" s="25" t="inlineStr">
        <is>
          <t>파일구분</t>
        </is>
      </c>
      <c r="B15" s="25" t="inlineStr">
        <is>
          <t>경로</t>
        </is>
      </c>
      <c r="C15" s="25" t="inlineStr">
        <is>
          <t>활용</t>
        </is>
      </c>
    </row>
    <row r="16" ht="24" customHeight="1">
      <c r="A16" s="24" t="inlineStr">
        <is>
          <t>template_catalog_csv</t>
        </is>
      </c>
      <c r="B16" s="24" t="inlineStr">
        <is>
          <t>data/반도체/리노공업/valuation/intake/valuation_modeling_template_catalog.csv</t>
        </is>
      </c>
      <c r="C16" s="24" t="inlineStr">
        <is>
          <t>Valuation Agent intake/output</t>
        </is>
      </c>
    </row>
    <row r="17" ht="24" customHeight="1">
      <c r="A17" s="29" t="inlineStr">
        <is>
          <t>template_catalog_json</t>
        </is>
      </c>
      <c r="B17" s="29" t="inlineStr">
        <is>
          <t>data/반도체/리노공업/valuation/intake/valuation_modeling_template_catalog.json</t>
        </is>
      </c>
      <c r="C17" s="29" t="inlineStr">
        <is>
          <t>Valuation Agent intake/output</t>
        </is>
      </c>
    </row>
    <row r="18" ht="24" customHeight="1">
      <c r="A18" s="24" t="inlineStr">
        <is>
          <t>raw_dart_accounts_csv</t>
        </is>
      </c>
      <c r="B18" s="24" t="inlineStr">
        <is>
          <t>data/반도체/리노공업/valuation/intake/valuation_raw_dart_accounts.csv</t>
        </is>
      </c>
      <c r="C18" s="24" t="inlineStr">
        <is>
          <t>Valuation Agent intake/output</t>
        </is>
      </c>
    </row>
    <row r="19" ht="24" customHeight="1">
      <c r="A19" s="29" t="inlineStr">
        <is>
          <t>normalized_financials_csv</t>
        </is>
      </c>
      <c r="B19" s="29" t="inlineStr">
        <is>
          <t>data/반도체/리노공업/valuation/intake/valuation_normalized_financials.csv</t>
        </is>
      </c>
      <c r="C19" s="29" t="inlineStr">
        <is>
          <t>Valuation Agent intake/output</t>
        </is>
      </c>
    </row>
    <row r="20" ht="24" customHeight="1">
      <c r="A20" s="24" t="inlineStr">
        <is>
          <t>price_history_csv</t>
        </is>
      </c>
      <c r="B20" s="24" t="inlineStr">
        <is>
          <t>data/반도체/리노공업/valuation/intake/valuation_price_history.csv</t>
        </is>
      </c>
      <c r="C20" s="24" t="inlineStr">
        <is>
          <t>Valuation Agent intake/output</t>
        </is>
      </c>
    </row>
    <row r="21" ht="24" customHeight="1">
      <c r="A21" s="29" t="inlineStr">
        <is>
          <t>share_count_csv</t>
        </is>
      </c>
      <c r="B21" s="29" t="inlineStr">
        <is>
          <t>data/반도체/리노공업/valuation/intake/valuation_share_count.csv</t>
        </is>
      </c>
      <c r="C21" s="29" t="inlineStr">
        <is>
          <t>Valuation Agent intake/output</t>
        </is>
      </c>
    </row>
    <row r="22" ht="24" customHeight="1">
      <c r="A22" s="24" t="inlineStr">
        <is>
          <t>price_summary_json</t>
        </is>
      </c>
      <c r="B22" s="24" t="inlineStr">
        <is>
          <t>data/반도체/리노공업/valuation/intake/valuation_price_summary.json</t>
        </is>
      </c>
      <c r="C22" s="24" t="inlineStr">
        <is>
          <t>Valuation Agent intake/output</t>
        </is>
      </c>
    </row>
    <row r="23" ht="24" customHeight="1">
      <c r="A23" s="29" t="inlineStr">
        <is>
          <t>market_snapshot_json</t>
        </is>
      </c>
      <c r="B23" s="29" t="inlineStr">
        <is>
          <t>data/반도체/리노공업/valuation/intake/valuation_market_snapshot.json</t>
        </is>
      </c>
      <c r="C23" s="29" t="inlineStr">
        <is>
          <t>Valuation Agent intake/output</t>
        </is>
      </c>
    </row>
    <row r="24" ht="24" customHeight="1">
      <c r="A24" s="24" t="inlineStr">
        <is>
          <t>market_snapshot_csv</t>
        </is>
      </c>
      <c r="B24" s="24" t="inlineStr">
        <is>
          <t>data/반도체/리노공업/valuation/intake/valuation_market_snapshot.csv</t>
        </is>
      </c>
      <c r="C24" s="24" t="inlineStr">
        <is>
          <t>Valuation Agent intake/output</t>
        </is>
      </c>
    </row>
    <row r="25" ht="24" customHeight="1">
      <c r="A25" s="29" t="inlineStr">
        <is>
          <t>peer_input_csv</t>
        </is>
      </c>
      <c r="B25" s="29" t="inlineStr">
        <is>
          <t>data/반도체/리노공업/valuation/intake/valuation_peer_input.csv</t>
        </is>
      </c>
      <c r="C25" s="29" t="inlineStr">
        <is>
          <t>Valuation Agent intake/output</t>
        </is>
      </c>
    </row>
    <row r="26" ht="24" customHeight="1">
      <c r="A26" s="24" t="inlineStr">
        <is>
          <t>assumptions_json</t>
        </is>
      </c>
      <c r="B26" s="24" t="inlineStr">
        <is>
          <t>data/반도체/리노공업/valuation/intake/valuation_assumptions.json</t>
        </is>
      </c>
      <c r="C26" s="24" t="inlineStr">
        <is>
          <t>Valuation Agent intake/output</t>
        </is>
      </c>
    </row>
    <row r="27" ht="24" customHeight="1">
      <c r="A27" s="29" t="inlineStr">
        <is>
          <t>reference_universe_208_csv</t>
        </is>
      </c>
      <c r="B27" s="29" t="inlineStr">
        <is>
          <t>data/반도체/리노공업/valuation/intake/valuation_reference_universe_208.csv</t>
        </is>
      </c>
      <c r="C27" s="29" t="inlineStr">
        <is>
          <t>Valuation Agent intake/output</t>
        </is>
      </c>
    </row>
    <row r="28" ht="24" customHeight="1">
      <c r="A28" s="24" t="inlineStr">
        <is>
          <t>reference_universe_focus_csv</t>
        </is>
      </c>
      <c r="B28" s="24" t="inlineStr">
        <is>
          <t>data/반도체/리노공업/valuation/intake/valuation_reference_universe_focus.csv</t>
        </is>
      </c>
      <c r="C28" s="24" t="inlineStr">
        <is>
          <t>Valuation Agent intake/output</t>
        </is>
      </c>
    </row>
    <row r="29" ht="24" customHeight="1">
      <c r="A29" s="29" t="inlineStr">
        <is>
          <t>reference_universe_summary_json</t>
        </is>
      </c>
      <c r="B29" s="29" t="inlineStr">
        <is>
          <t>data/반도체/리노공업/valuation/intake/valuation_reference_universe_summary.json</t>
        </is>
      </c>
      <c r="C29" s="29" t="inlineStr">
        <is>
          <t>Valuation Agent intake/output</t>
        </is>
      </c>
    </row>
  </sheetData>
  <autoFilter ref="A15:C29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리노공업 투자판단 요약</t>
        </is>
      </c>
      <c r="B1" t="inlineStr"/>
      <c r="C1" t="inlineStr"/>
      <c r="D1" t="inlineStr"/>
      <c r="E1" t="inlineStr"/>
      <c r="F1" t="inlineStr"/>
    </row>
    <row r="2">
      <c r="A2" t="inlineStr">
        <is>
          <t>목적</t>
        </is>
      </c>
      <c r="B2" t="inlineStr">
        <is>
          <t>DCF·상대가치·주가역산·오너이익·208개 기준 비교군을 한 장에서 확인하는 투자자용 요약입니다.</t>
        </is>
      </c>
      <c r="C2" t="inlineStr"/>
      <c r="D2" t="inlineStr"/>
      <c r="E2" t="inlineStr"/>
      <c r="F2" t="inlineStr"/>
    </row>
    <row r="3">
      <c r="A3" t="inlineStr">
        <is>
          <t>최종 가치평가 관점</t>
        </is>
      </c>
      <c r="B3" t="inlineStr">
        <is>
          <t>가치평가 관점 보수</t>
        </is>
      </c>
      <c r="C3" t="inlineStr">
        <is>
          <t>근거</t>
        </is>
      </c>
      <c r="D3" t="inlineStr">
        <is>
          <t>DCF 기준 현재가 부담이 큽니다. 종합 가치평가 점수가 45점 미만으로 보수적 해석이 필요합니다.</t>
        </is>
      </c>
      <c r="E3" t="inlineStr">
        <is>
          <t>검증 상태</t>
        </is>
      </c>
      <c r="F3" t="inlineStr">
        <is>
          <t>통과</t>
        </is>
      </c>
    </row>
    <row r="4">
      <c r="A4" t="inlineStr">
        <is>
          <t>핵심 지표</t>
        </is>
      </c>
      <c r="B4" t="inlineStr">
        <is>
          <t>값</t>
        </is>
      </c>
      <c r="C4" t="inlineStr">
        <is>
          <t>해석</t>
        </is>
      </c>
      <c r="D4" t="inlineStr">
        <is>
          <t>원천/산식</t>
        </is>
      </c>
      <c r="E4" t="inlineStr">
        <is>
          <t>대시보드 활용</t>
        </is>
      </c>
      <c r="F4" t="inlineStr">
        <is>
          <t>주의사항</t>
        </is>
      </c>
    </row>
    <row r="5">
      <c r="A5" t="inlineStr">
        <is>
          <t>현재가</t>
        </is>
      </c>
      <c r="B5" t="inlineStr">
        <is>
          <t>96,800원</t>
        </is>
      </c>
      <c r="C5" t="inlineStr">
        <is>
          <t>시장 기준점</t>
        </is>
      </c>
      <c r="D5" t="inlineStr">
        <is>
          <t>가치평가 전용 주가 수집</t>
        </is>
      </c>
      <c r="E5" t="inlineStr">
        <is>
          <t>주가 카드</t>
        </is>
      </c>
      <c r="F5" t="inlineStr">
        <is>
          <t>수집일 기준 변동 가능</t>
        </is>
      </c>
    </row>
    <row r="6">
      <c r="A6" t="inlineStr">
        <is>
          <t>DCF 내재주가</t>
        </is>
      </c>
      <c r="B6" t="inlineStr">
        <is>
          <t>11,116원</t>
        </is>
      </c>
      <c r="C6" t="inlineStr">
        <is>
          <t>절대가치 기준</t>
        </is>
      </c>
      <c r="D6" t="inlineStr">
        <is>
          <t>FCF 추정 + WACC + 영구성장률</t>
        </is>
      </c>
      <c r="E6" t="inlineStr">
        <is>
          <t>DCF 카드</t>
        </is>
      </c>
      <c r="F6" t="inlineStr">
        <is>
          <t>가정 민감도 확인 필요</t>
        </is>
      </c>
    </row>
    <row r="7">
      <c r="A7" t="inlineStr">
        <is>
          <t>현재가 대비 괴리율</t>
        </is>
      </c>
      <c r="B7" t="inlineStr">
        <is>
          <t>-88.5%</t>
        </is>
      </c>
      <c r="C7" t="inlineStr">
        <is>
          <t>안전마진 확인</t>
        </is>
      </c>
      <c r="D7" t="inlineStr">
        <is>
          <t>내재주가/현재가 - 1</t>
        </is>
      </c>
      <c r="E7" t="inlineStr">
        <is>
          <t>안전마진 배지</t>
        </is>
      </c>
      <c r="F7" t="inlineStr">
        <is>
          <t>절대 투자판단 단독 사용 금지</t>
        </is>
      </c>
    </row>
    <row r="8">
      <c r="A8" t="inlineStr">
        <is>
          <t>WACC</t>
        </is>
      </c>
      <c r="B8" t="inlineStr">
        <is>
          <t>14.2%</t>
        </is>
      </c>
      <c r="C8" t="inlineStr">
        <is>
          <t>할인율</t>
        </is>
      </c>
      <c r="D8" t="inlineStr">
        <is>
          <t>무위험이자율·시장위험프리미엄·베타·타인자본비용</t>
        </is>
      </c>
      <c r="E8" t="inlineStr">
        <is>
          <t>가정 슬라이더</t>
        </is>
      </c>
      <c r="F8" t="inlineStr">
        <is>
          <t>금리 변화 민감</t>
        </is>
      </c>
    </row>
    <row r="9">
      <c r="A9" t="inlineStr">
        <is>
          <t>P/S</t>
        </is>
      </c>
      <c r="B9" t="inlineStr">
        <is>
          <t>1.26배</t>
        </is>
      </c>
      <c r="C9" t="inlineStr">
        <is>
          <t>매출 대비 시장가치</t>
        </is>
      </c>
      <c r="D9" t="inlineStr">
        <is>
          <t>시가총액/매출액</t>
        </is>
      </c>
      <c r="E9" t="inlineStr">
        <is>
          <t>상대가치 카드</t>
        </is>
      </c>
      <c r="F9" t="inlineStr">
        <is>
          <t>적자기업에도 활용 가능</t>
        </is>
      </c>
    </row>
    <row r="10">
      <c r="A10" t="inlineStr">
        <is>
          <t>비교기업 P/S 중앙값</t>
        </is>
      </c>
      <c r="B10" t="inlineStr">
        <is>
          <t>3.44배</t>
        </is>
      </c>
      <c r="C10" t="inlineStr">
        <is>
          <t>5개 비교기업 기준</t>
        </is>
      </c>
      <c r="D10" t="inlineStr">
        <is>
          <t>피어 입력 자동 생성</t>
        </is>
      </c>
      <c r="E10" t="inlineStr">
        <is>
          <t>비교기업 차트</t>
        </is>
      </c>
      <c r="F10" t="inlineStr">
        <is>
          <t>비교기업 품질 확인 필요</t>
        </is>
      </c>
    </row>
    <row r="11">
      <c r="A11" t="inlineStr">
        <is>
          <t>가치범위 중앙값</t>
        </is>
      </c>
      <c r="B11" t="inlineStr">
        <is>
          <t>25,647원</t>
        </is>
      </c>
      <c r="C11" t="inlineStr">
        <is>
          <t>여러 방식의 교차검증</t>
        </is>
      </c>
      <c r="D11" t="inlineStr">
        <is>
          <t>DCF·P/S·P/B·PER·P/FCF 등</t>
        </is>
      </c>
      <c r="E11" t="inlineStr">
        <is>
          <t>가치범위표</t>
        </is>
      </c>
      <c r="F11" t="inlineStr">
        <is>
          <t>일부 방식은 손실기업에서 제외</t>
        </is>
      </c>
    </row>
    <row r="12">
      <c r="A12" t="inlineStr">
        <is>
          <t>주가역산 영구성장률</t>
        </is>
      </c>
      <c r="B12" t="inlineStr">
        <is>
          <t>8.0%</t>
        </is>
      </c>
      <c r="C12" t="inlineStr">
        <is>
          <t>현재 주가가 요구하는 장기 성장률</t>
        </is>
      </c>
      <c r="D12" t="inlineStr">
        <is>
          <t>현재가 기준 역산</t>
        </is>
      </c>
      <c r="E12" t="inlineStr">
        <is>
          <t>역산 DCF</t>
        </is>
      </c>
      <c r="F12" t="inlineStr">
        <is>
          <t>음수/과도한 값은 보수 해석</t>
        </is>
      </c>
    </row>
    <row r="13">
      <c r="A13" t="inlineStr">
        <is>
          <t>오너이익 주당가치</t>
        </is>
      </c>
      <c r="B13" t="inlineStr">
        <is>
          <t>16,537원</t>
        </is>
      </c>
      <c r="C13" t="inlineStr">
        <is>
          <t>현금창출력 기반 교차검증</t>
        </is>
      </c>
      <c r="D13" t="inlineStr">
        <is>
          <t>CFO - CAPEX 또는 FCF</t>
        </is>
      </c>
      <c r="E13" t="inlineStr">
        <is>
          <t>오너이익 카드</t>
        </is>
      </c>
      <c r="F13" t="inlineStr">
        <is>
          <t>CAPEX 변동성 반영 필요</t>
        </is>
      </c>
    </row>
    <row r="14">
      <c r="A14" t="inlineStr">
        <is>
          <t>시장내재 P/S</t>
        </is>
      </c>
      <c r="B14" t="inlineStr">
        <is>
          <t>19.80배</t>
        </is>
      </c>
      <c r="C14" t="inlineStr">
        <is>
          <t>현재 시장이 부여한 매출 배수</t>
        </is>
      </c>
      <c r="D14" t="inlineStr">
        <is>
          <t>시가총액/매출</t>
        </is>
      </c>
      <c r="E14" t="inlineStr">
        <is>
          <t>시장내재 배수</t>
        </is>
      </c>
      <c r="F14" t="inlineStr">
        <is>
          <t>순환 업종에서는 변동 가능</t>
        </is>
      </c>
    </row>
    <row r="15">
      <c r="A15" t="inlineStr">
        <is>
          <t>208개 비교군</t>
        </is>
      </c>
      <c r="B15" t="inlineStr">
        <is>
          <t>208개 기준</t>
        </is>
      </c>
      <c r="C15" t="inlineStr">
        <is>
          <t>섹터 내부 상대 위치</t>
        </is>
      </c>
      <c r="D15" t="inlineStr">
        <is>
          <t>Tech 기준 비교군 파일 활용</t>
        </is>
      </c>
      <c r="E15" t="inlineStr">
        <is>
          <t>분포/랭킹</t>
        </is>
      </c>
      <c r="F15" t="inlineStr">
        <is>
          <t>데이터 원천 업데이트 필요</t>
        </is>
      </c>
    </row>
    <row r="16">
      <c r="A16" t="inlineStr">
        <is>
          <t>검증 결과</t>
        </is>
      </c>
      <c r="B16" t="inlineStr">
        <is>
          <t>통과</t>
        </is>
      </c>
      <c r="C16" t="inlineStr">
        <is>
          <t>모델 완성도</t>
        </is>
      </c>
      <c r="D16" t="inlineStr">
        <is>
          <t>검증 JSON</t>
        </is>
      </c>
      <c r="E16" t="inlineStr">
        <is>
          <t>검증 배지</t>
        </is>
      </c>
      <c r="F16" t="inlineStr">
        <is>
          <t>경고 발생 시 점검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리노공업 데이터 보강 내역</t>
        </is>
      </c>
      <c r="B1" t="inlineStr"/>
      <c r="C1" t="inlineStr"/>
      <c r="D1" t="inlineStr"/>
      <c r="E1" t="inlineStr"/>
      <c r="F1" t="inlineStr"/>
    </row>
    <row r="2">
      <c r="A2" t="inlineStr">
        <is>
          <t>원칙</t>
        </is>
      </c>
      <c r="B2" t="inlineStr">
        <is>
          <t>공란을 반복 문구로 채우지 않고, DART·주가·발행주식 수·네이버금융·208개 기준 비교군 중 확인 가능한 원천 또는 명시적 대체 산식만 표시합니다.</t>
        </is>
      </c>
      <c r="C2" t="inlineStr"/>
      <c r="D2" t="inlineStr"/>
      <c r="E2" t="inlineStr"/>
      <c r="F2" t="inlineStr"/>
    </row>
    <row r="3">
      <c r="A3" t="inlineStr">
        <is>
          <t>항목</t>
        </is>
      </c>
      <c r="B3" t="inlineStr">
        <is>
          <t>보강 방식</t>
        </is>
      </c>
      <c r="C3" t="inlineStr">
        <is>
          <t>현재 값</t>
        </is>
      </c>
      <c r="D3" t="inlineStr">
        <is>
          <t>사용 원천</t>
        </is>
      </c>
      <c r="E3" t="inlineStr">
        <is>
          <t>계산/확인 방식</t>
        </is>
      </c>
      <c r="F3" t="inlineStr">
        <is>
          <t>비고</t>
        </is>
      </c>
    </row>
    <row r="4">
      <c r="A4" t="inlineStr">
        <is>
          <t>PER</t>
        </is>
      </c>
      <c r="B4" t="inlineStr">
        <is>
          <t>네이버금융 값 우선, 없으면 DART 순이익과 시가총액으로 자동 산출</t>
        </is>
      </c>
      <c r="C4" t="inlineStr">
        <is>
          <t>45.21배</t>
        </is>
      </c>
      <c r="D4" t="inlineStr">
        <is>
          <t>네이버금융 / DART / 주가</t>
        </is>
      </c>
      <c r="E4" t="inlineStr">
        <is>
          <t>시가총액 ÷ 순이익</t>
        </is>
      </c>
      <c r="F4" t="inlineStr">
        <is>
          <t>순손실이면 계산 제외</t>
        </is>
      </c>
    </row>
    <row r="5">
      <c r="A5" t="inlineStr">
        <is>
          <t>PBR</t>
        </is>
      </c>
      <c r="B5" t="inlineStr">
        <is>
          <t>네이버금융 값 우선, 없으면 DART 자본총계와 시가총액으로 자동 산출</t>
        </is>
      </c>
      <c r="C5" t="inlineStr">
        <is>
          <t>10.32배</t>
        </is>
      </c>
      <c r="D5" t="inlineStr">
        <is>
          <t>네이버금융 / DART / 주가</t>
        </is>
      </c>
      <c r="E5" t="inlineStr">
        <is>
          <t>시가총액 ÷ 자본총계</t>
        </is>
      </c>
      <c r="F5" t="inlineStr">
        <is>
          <t>자본잠식이면 보수 해석</t>
        </is>
      </c>
    </row>
    <row r="6">
      <c r="A6" t="inlineStr">
        <is>
          <t>PSR</t>
        </is>
      </c>
      <c r="B6" t="inlineStr">
        <is>
          <t>주가와 매출액으로 자동 산출</t>
        </is>
      </c>
      <c r="C6" t="inlineStr">
        <is>
          <t>1.26배</t>
        </is>
      </c>
      <c r="D6" t="inlineStr">
        <is>
          <t>DART 매출액 / 주가 / 발행주식 수</t>
        </is>
      </c>
      <c r="E6" t="inlineStr">
        <is>
          <t>시가총액 ÷ 매출액</t>
        </is>
      </c>
      <c r="F6" t="inlineStr">
        <is>
          <t>적자기업 비교에 유용</t>
        </is>
      </c>
    </row>
    <row r="7">
      <c r="A7" t="inlineStr">
        <is>
          <t>P/FCF</t>
        </is>
      </c>
      <c r="B7" t="inlineStr">
        <is>
          <t>FCF가 양수이면 자동 산출</t>
        </is>
      </c>
      <c r="C7" t="inlineStr">
        <is>
          <t>41.17배</t>
        </is>
      </c>
      <c r="D7" t="inlineStr">
        <is>
          <t>DART 영업현금흐름·CAPEX / 주가</t>
        </is>
      </c>
      <c r="E7" t="inlineStr">
        <is>
          <t>시가총액 ÷ FCF</t>
        </is>
      </c>
      <c r="F7" t="inlineStr">
        <is>
          <t>FCF 음수이면 계산 제외</t>
        </is>
      </c>
    </row>
    <row r="8">
      <c r="A8" t="inlineStr">
        <is>
          <t>EV/Sales</t>
        </is>
      </c>
      <c r="B8" t="inlineStr">
        <is>
          <t>기업가치와 매출액으로 자동 산출</t>
        </is>
      </c>
      <c r="C8" t="inlineStr">
        <is>
          <t>19.74배</t>
        </is>
      </c>
      <c r="D8" t="inlineStr">
        <is>
          <t>DART 현금·부채 / 주가</t>
        </is>
      </c>
      <c r="E8" t="inlineStr">
        <is>
          <t>EV ÷ 매출액</t>
        </is>
      </c>
      <c r="F8" t="inlineStr">
        <is>
          <t>현금/부채 원천계정 확인</t>
        </is>
      </c>
    </row>
    <row r="9">
      <c r="A9" t="inlineStr">
        <is>
          <t>EV/EBIT</t>
        </is>
      </c>
      <c r="B9" t="inlineStr">
        <is>
          <t>영업이익이 양수이면 자동 산출</t>
        </is>
      </c>
      <c r="C9" t="inlineStr">
        <is>
          <t>41.54배</t>
        </is>
      </c>
      <c r="D9" t="inlineStr">
        <is>
          <t>DART 영업이익 / 주가</t>
        </is>
      </c>
      <c r="E9" t="inlineStr">
        <is>
          <t>EV ÷ 영업이익</t>
        </is>
      </c>
      <c r="F9" t="inlineStr">
        <is>
          <t>적자이면 계산 제외</t>
        </is>
      </c>
    </row>
    <row r="10">
      <c r="A10" t="inlineStr">
        <is>
          <t>발행주식 수</t>
        </is>
      </c>
      <c r="B10" t="inlineStr">
        <is>
          <t>DART 주식총수 현황에서 보강</t>
        </is>
      </c>
      <c r="C10" t="inlineStr">
        <is>
          <t>76,211,850주</t>
        </is>
      </c>
      <c r="D10" t="inlineStr">
        <is>
          <t>OpenDART stockTotqySttus</t>
        </is>
      </c>
      <c r="E10" t="inlineStr">
        <is>
          <t>최신 보고서 기준</t>
        </is>
      </c>
      <c r="F10" t="inlineStr">
        <is>
          <t>자기주식/증자 반영 필요</t>
        </is>
      </c>
    </row>
    <row r="11">
      <c r="A11" t="inlineStr">
        <is>
          <t>시가총액</t>
        </is>
      </c>
      <c r="B11" t="inlineStr">
        <is>
          <t>현재가와 발행주식 수로 자동 산출</t>
        </is>
      </c>
      <c r="C11" t="inlineStr">
        <is>
          <t>73,773.1억원</t>
        </is>
      </c>
      <c r="D11" t="inlineStr">
        <is>
          <t>주가 provider / DART 발행주식 수</t>
        </is>
      </c>
      <c r="E11" t="inlineStr">
        <is>
          <t>현재가 × 발행주식 수</t>
        </is>
      </c>
      <c r="F11" t="inlineStr">
        <is>
          <t>주가 기준일 확인</t>
        </is>
      </c>
    </row>
    <row r="12">
      <c r="A12" t="inlineStr">
        <is>
          <t>유동성</t>
        </is>
      </c>
      <c r="B12" t="inlineStr">
        <is>
          <t>거래대금·거래회전율로 보강</t>
        </is>
      </c>
      <c r="C12" t="inlineStr">
        <is>
          <t>1,317.0억원</t>
        </is>
      </c>
      <c r="D12" t="inlineStr">
        <is>
          <t>주가 데이터</t>
        </is>
      </c>
      <c r="E12" t="inlineStr">
        <is>
          <t>20일 평균 거래대금</t>
        </is>
      </c>
      <c r="F12" t="inlineStr">
        <is>
          <t>대시보드 필터 활용</t>
        </is>
      </c>
    </row>
    <row r="13">
      <c r="A13" t="inlineStr">
        <is>
          <t>208개 기준 비교군</t>
        </is>
      </c>
      <c r="B13" t="inlineStr">
        <is>
          <t>Tech 기준 비교군 파일을 Valuation 비교군으로 재활용</t>
        </is>
      </c>
      <c r="C13" t="inlineStr">
        <is>
          <t>208</t>
        </is>
      </c>
      <c r="D13" t="inlineStr">
        <is>
          <t>valuation_기준_비교군_208.csv</t>
        </is>
      </c>
      <c r="E13" t="inlineStr">
        <is>
          <t>동일 섹터 상대 위치</t>
        </is>
      </c>
      <c r="F13" t="inlineStr">
        <is>
          <t>상대가치 확장용</t>
        </is>
      </c>
    </row>
    <row r="14">
      <c r="A14" t="inlineStr">
        <is>
          <t>후속 보강 계획</t>
        </is>
      </c>
      <c r="B14" t="inlineStr">
        <is>
          <t>항목</t>
        </is>
      </c>
      <c r="C14" t="inlineStr">
        <is>
          <t>현재 처리</t>
        </is>
      </c>
      <c r="D14" t="inlineStr">
        <is>
          <t>권장 원천</t>
        </is>
      </c>
      <c r="E14" t="inlineStr">
        <is>
          <t>목적</t>
        </is>
      </c>
      <c r="F14" t="inlineStr">
        <is>
          <t>비고</t>
        </is>
      </c>
    </row>
    <row r="15">
      <c r="A15" t="inlineStr">
        <is>
          <t>후속 보강 계획</t>
        </is>
      </c>
      <c r="B15" t="inlineStr">
        <is>
          <t>항목</t>
        </is>
      </c>
      <c r="C15" t="inlineStr">
        <is>
          <t>보조 산출</t>
        </is>
      </c>
      <c r="D15" t="inlineStr">
        <is>
          <t>DART/주가/공시</t>
        </is>
      </c>
      <c r="E15" t="inlineStr">
        <is>
          <t>가치평가 정확도 개선</t>
        </is>
      </c>
      <c r="F15" t="inlineStr">
        <is>
          <t>대체 산식 유지</t>
        </is>
      </c>
    </row>
    <row r="16">
      <c r="A16" t="inlineStr">
        <is>
          <t>후속 보강 계획</t>
        </is>
      </c>
      <c r="B16" t="inlineStr">
        <is>
          <t>항목</t>
        </is>
      </c>
      <c r="C16" t="inlineStr">
        <is>
          <t>보조 산출</t>
        </is>
      </c>
      <c r="D16" t="inlineStr">
        <is>
          <t>DART/주가/공시</t>
        </is>
      </c>
      <c r="E16" t="inlineStr">
        <is>
          <t>가치평가 정확도 개선</t>
        </is>
      </c>
      <c r="F16" t="inlineStr">
        <is>
          <t>대체 산식 유지</t>
        </is>
      </c>
    </row>
    <row r="17">
      <c r="A17" t="inlineStr">
        <is>
          <t>후속 보강 계획</t>
        </is>
      </c>
      <c r="B17" t="inlineStr">
        <is>
          <t>항목</t>
        </is>
      </c>
      <c r="C17" t="inlineStr">
        <is>
          <t>보조 산출</t>
        </is>
      </c>
      <c r="D17" t="inlineStr">
        <is>
          <t>DART/주가/공시</t>
        </is>
      </c>
      <c r="E17" t="inlineStr">
        <is>
          <t>가치평가 정확도 개선</t>
        </is>
      </c>
      <c r="F17" t="inlineStr">
        <is>
          <t>대체 산식 유지</t>
        </is>
      </c>
    </row>
    <row r="18">
      <c r="A18" t="inlineStr">
        <is>
          <t>후속 보강 계획</t>
        </is>
      </c>
      <c r="B18" t="inlineStr">
        <is>
          <t>항목</t>
        </is>
      </c>
      <c r="C18" t="inlineStr">
        <is>
          <t>보조 산출</t>
        </is>
      </c>
      <c r="D18" t="inlineStr">
        <is>
          <t>DART/주가/공시</t>
        </is>
      </c>
      <c r="E18" t="inlineStr">
        <is>
          <t>가치평가 정확도 개선</t>
        </is>
      </c>
      <c r="F18" t="inlineStr">
        <is>
          <t>대체 산식 유지</t>
        </is>
      </c>
    </row>
    <row r="19">
      <c r="A19" t="inlineStr">
        <is>
          <t>후속 보강 계획</t>
        </is>
      </c>
      <c r="B19" t="inlineStr">
        <is>
          <t>항목</t>
        </is>
      </c>
      <c r="C19" t="inlineStr">
        <is>
          <t>보조 산출</t>
        </is>
      </c>
      <c r="D19" t="inlineStr">
        <is>
          <t>DART/주가/공시</t>
        </is>
      </c>
      <c r="E19" t="inlineStr">
        <is>
          <t>가치평가 정확도 개선</t>
        </is>
      </c>
      <c r="F19" t="inlineStr">
        <is>
          <t>대체 산식 유지</t>
        </is>
      </c>
    </row>
    <row r="20">
      <c r="A20" t="inlineStr">
        <is>
          <t>후속 보강 계획</t>
        </is>
      </c>
      <c r="B20" t="inlineStr">
        <is>
          <t>항목</t>
        </is>
      </c>
      <c r="C20" t="inlineStr">
        <is>
          <t>보조 산출</t>
        </is>
      </c>
      <c r="D20" t="inlineStr">
        <is>
          <t>DART/주가/공시</t>
        </is>
      </c>
      <c r="E20" t="inlineStr">
        <is>
          <t>가치평가 정확도 개선</t>
        </is>
      </c>
      <c r="F20" t="inlineStr">
        <is>
          <t>대체 산식 유지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대시보드 연동키</t>
        </is>
      </c>
      <c r="B1" t="inlineStr"/>
      <c r="C1" t="inlineStr"/>
      <c r="D1" t="inlineStr"/>
      <c r="E1" t="inlineStr"/>
    </row>
    <row r="2">
      <c r="A2" t="inlineStr">
        <is>
          <t>설명</t>
        </is>
      </c>
      <c r="B2" t="inlineStr">
        <is>
          <t>React/Streamlit 대시보드에서 바로 사용할 수 있는 주요 JSON 키와 표시명을 정리합니다.</t>
        </is>
      </c>
      <c r="C2" t="inlineStr"/>
      <c r="D2" t="inlineStr"/>
      <c r="E2" t="inlineStr"/>
    </row>
    <row r="3">
      <c r="A3" t="inlineStr">
        <is>
          <t>JSON 키</t>
        </is>
      </c>
      <c r="B3" t="inlineStr">
        <is>
          <t>표시명</t>
        </is>
      </c>
      <c r="C3" t="inlineStr">
        <is>
          <t>값</t>
        </is>
      </c>
      <c r="D3" t="inlineStr">
        <is>
          <t>형식</t>
        </is>
      </c>
      <c r="E3" t="inlineStr">
        <is>
          <t>활용 위치</t>
        </is>
      </c>
    </row>
    <row r="4">
      <c r="A4" t="inlineStr">
        <is>
          <t>wacc</t>
        </is>
      </c>
      <c r="B4" t="inlineStr">
        <is>
          <t>WACC</t>
        </is>
      </c>
      <c r="C4" t="n">
        <v>0.1421740039132658</v>
      </c>
      <c r="D4" t="inlineStr">
        <is>
          <t>percent</t>
        </is>
      </c>
      <c r="E4" t="inlineStr">
        <is>
          <t>핵심 카드</t>
        </is>
      </c>
    </row>
    <row r="5">
      <c r="A5" t="inlineStr">
        <is>
          <t>enterprise_value</t>
        </is>
      </c>
      <c r="B5" t="inlineStr">
        <is>
          <t>DCF 기업가치</t>
        </is>
      </c>
      <c r="C5" t="n">
        <v>822695193514.7249</v>
      </c>
      <c r="D5" t="inlineStr">
        <is>
          <t>krw</t>
        </is>
      </c>
      <c r="E5" t="inlineStr">
        <is>
          <t>핵심 카드</t>
        </is>
      </c>
    </row>
    <row r="6">
      <c r="A6" t="inlineStr">
        <is>
          <t>equity_value</t>
        </is>
      </c>
      <c r="B6" t="inlineStr">
        <is>
          <t>DCF 지분가치</t>
        </is>
      </c>
      <c r="C6" t="n">
        <v>847188792968.7249</v>
      </c>
      <c r="D6" t="inlineStr">
        <is>
          <t>krw</t>
        </is>
      </c>
      <c r="E6" t="inlineStr">
        <is>
          <t>핵심 카드</t>
        </is>
      </c>
    </row>
    <row r="7">
      <c r="A7" t="inlineStr">
        <is>
          <t>latest_close</t>
        </is>
      </c>
      <c r="B7" t="inlineStr">
        <is>
          <t>현재가</t>
        </is>
      </c>
      <c r="C7" t="n">
        <v>96800</v>
      </c>
      <c r="D7" t="inlineStr">
        <is>
          <t>krw_per_share</t>
        </is>
      </c>
      <c r="E7" t="inlineStr">
        <is>
          <t>핵심 카드</t>
        </is>
      </c>
    </row>
    <row r="8">
      <c r="A8" t="inlineStr">
        <is>
          <t>implied_price</t>
        </is>
      </c>
      <c r="B8" t="inlineStr">
        <is>
          <t>DCF 내재주가</t>
        </is>
      </c>
      <c r="C8" t="n">
        <v>11116.23445656712</v>
      </c>
      <c r="D8" t="inlineStr">
        <is>
          <t>krw_per_share</t>
        </is>
      </c>
      <c r="E8" t="inlineStr">
        <is>
          <t>핵심 카드</t>
        </is>
      </c>
    </row>
    <row r="9">
      <c r="A9" t="inlineStr">
        <is>
          <t>upside_downside_pct</t>
        </is>
      </c>
      <c r="B9" t="inlineStr">
        <is>
          <t>현재가 대비 괴리율</t>
        </is>
      </c>
      <c r="C9" t="n">
        <v>-0.885162867184224</v>
      </c>
      <c r="D9" t="inlineStr">
        <is>
          <t>percent</t>
        </is>
      </c>
      <c r="E9" t="inlineStr">
        <is>
          <t>핵심 카드</t>
        </is>
      </c>
    </row>
    <row r="10">
      <c r="A10" t="inlineStr">
        <is>
          <t>target_psr</t>
        </is>
      </c>
      <c r="B10" t="inlineStr">
        <is>
          <t>P/S</t>
        </is>
      </c>
      <c r="C10" t="n">
        <v>1.258122111711799</v>
      </c>
      <c r="D10" t="inlineStr">
        <is>
          <t>multiple</t>
        </is>
      </c>
      <c r="E10" t="inlineStr">
        <is>
          <t>핵심 카드</t>
        </is>
      </c>
    </row>
    <row r="11">
      <c r="A11" t="inlineStr">
        <is>
          <t>median_psr</t>
        </is>
      </c>
      <c r="B11" t="inlineStr">
        <is>
          <t>비교기업 P/S 중앙값</t>
        </is>
      </c>
      <c r="C11" t="n">
        <v>3.436583457683996</v>
      </c>
      <c r="D11" t="inlineStr">
        <is>
          <t>multiple</t>
        </is>
      </c>
      <c r="E11" t="inlineStr">
        <is>
          <t>핵심 카드</t>
        </is>
      </c>
    </row>
    <row r="12">
      <c r="A12" t="inlineStr">
        <is>
          <t>psr_gap</t>
        </is>
      </c>
      <c r="B12" t="inlineStr">
        <is>
          <t>P/S 중앙값 대비</t>
        </is>
      </c>
      <c r="C12" t="n">
        <v>-0.6339032276667941</v>
      </c>
      <c r="D12" t="inlineStr">
        <is>
          <t>percent</t>
        </is>
      </c>
      <c r="E12" t="inlineStr">
        <is>
          <t>핵심 카드</t>
        </is>
      </c>
    </row>
    <row r="13">
      <c r="A13" t="inlineStr">
        <is>
          <t>기준_rows</t>
        </is>
      </c>
      <c r="B13" t="inlineStr">
        <is>
          <t>208개 반도체 비교군</t>
        </is>
      </c>
      <c r="C13" t="n">
        <v>208</v>
      </c>
      <c r="D13" t="inlineStr">
        <is>
          <t>count</t>
        </is>
      </c>
      <c r="E13" t="inlineStr">
        <is>
          <t>핵심 카드</t>
        </is>
      </c>
    </row>
    <row r="14">
      <c r="A14" t="inlineStr">
        <is>
          <t>기준_비교기업_group</t>
        </is>
      </c>
      <c r="B14" t="inlineStr">
        <is>
          <t>기준 비교군 그룹</t>
        </is>
      </c>
      <c r="C14" t="inlineStr">
        <is>
          <t>후공정/패키징/테스트</t>
        </is>
      </c>
      <c r="D14" t="inlineStr">
        <is>
          <t>text</t>
        </is>
      </c>
      <c r="E14" t="inlineStr">
        <is>
          <t>핵심 카드</t>
        </is>
      </c>
    </row>
    <row r="15">
      <c r="A15" t="inlineStr">
        <is>
          <t>return_1y</t>
        </is>
      </c>
      <c r="B15" t="inlineStr">
        <is>
          <t>1년 수익률</t>
        </is>
      </c>
      <c r="C15" t="n">
        <v>1.482051282051282</v>
      </c>
      <c r="D15" t="inlineStr">
        <is>
          <t>percent</t>
        </is>
      </c>
      <c r="E15" t="inlineStr">
        <is>
          <t>핵심 카드</t>
        </is>
      </c>
    </row>
    <row r="16">
      <c r="A16" t="inlineStr">
        <is>
          <t>mdd</t>
        </is>
      </c>
      <c r="B16" t="inlineStr">
        <is>
          <t>MDD</t>
        </is>
      </c>
      <c r="C16" t="n">
        <v>-0.4959731543624161</v>
      </c>
      <c r="D16" t="inlineStr">
        <is>
          <t>percent</t>
        </is>
      </c>
      <c r="E16" t="inlineStr">
        <is>
          <t>핵심 카드</t>
        </is>
      </c>
    </row>
    <row r="17">
      <c r="A17" t="inlineStr">
        <is>
          <t>volatility</t>
        </is>
      </c>
      <c r="B17" t="inlineStr">
        <is>
          <t>연환산 변동성</t>
        </is>
      </c>
      <c r="C17" t="n">
        <v>0.472478348893682</v>
      </c>
      <c r="D17" t="inlineStr">
        <is>
          <t>percent</t>
        </is>
      </c>
      <c r="E17" t="inlineStr">
        <is>
          <t>핵심 카드</t>
        </is>
      </c>
    </row>
    <row r="18">
      <c r="A18" t="inlineStr">
        <is>
          <t>market_cap</t>
        </is>
      </c>
      <c r="B18" t="inlineStr">
        <is>
          <t>시가총액</t>
        </is>
      </c>
      <c r="C18" t="n">
        <v>7377307080000</v>
      </c>
      <c r="D18" t="inlineStr">
        <is>
          <t>krw</t>
        </is>
      </c>
      <c r="E18" t="inlineStr">
        <is>
          <t>핵심 카드</t>
        </is>
      </c>
    </row>
    <row r="19">
      <c r="A19" t="inlineStr">
        <is>
          <t>shares_outstanding</t>
        </is>
      </c>
      <c r="B19" t="inlineStr">
        <is>
          <t>발행주식 수</t>
        </is>
      </c>
      <c r="C19" t="n">
        <v>76211850</v>
      </c>
      <c r="D19" t="inlineStr">
        <is>
          <t>shares</t>
        </is>
      </c>
      <c r="E19" t="inlineStr">
        <is>
          <t>핵심 카드</t>
        </is>
      </c>
    </row>
    <row r="20">
      <c r="A20" t="inlineStr">
        <is>
          <t>avg_trading_value_20d</t>
        </is>
      </c>
      <c r="B20" t="inlineStr">
        <is>
          <t>20일 평균 거래대금</t>
        </is>
      </c>
      <c r="C20" t="n">
        <v>131703750560</v>
      </c>
      <c r="D20" t="inlineStr">
        <is>
          <t>krw</t>
        </is>
      </c>
      <c r="E20" t="inlineStr">
        <is>
          <t>핵심 카드</t>
        </is>
      </c>
    </row>
    <row r="21">
      <c r="A21" t="inlineStr">
        <is>
          <t>turnover_latest</t>
        </is>
      </c>
      <c r="B21" t="inlineStr">
        <is>
          <t>최근 거래회전율</t>
        </is>
      </c>
      <c r="C21" t="n">
        <v>0.006265442972451135</v>
      </c>
      <c r="D21" t="inlineStr">
        <is>
          <t>percent</t>
        </is>
      </c>
      <c r="E21" t="inlineStr">
        <is>
          <t>핵심 카드</t>
        </is>
      </c>
    </row>
    <row r="22">
      <c r="A22" t="inlineStr">
        <is>
          <t>ml_composite_score</t>
        </is>
      </c>
      <c r="B22" t="inlineStr">
        <is>
          <t>ML 보조 품질점수</t>
        </is>
      </c>
      <c r="C22" t="n">
        <v>83.34999999999999</v>
      </c>
      <c r="D22" t="inlineStr">
        <is>
          <t>score</t>
        </is>
      </c>
      <c r="E22" t="inlineStr">
        <is>
          <t>핵심 카드</t>
        </is>
      </c>
    </row>
    <row r="23">
      <c r="A23" t="inlineStr">
        <is>
          <t>ml_label</t>
        </is>
      </c>
      <c r="B23" t="inlineStr">
        <is>
          <t>ML 보조 라벨</t>
        </is>
      </c>
      <c r="C23" t="inlineStr">
        <is>
          <t>가치평가 보조근거 우호</t>
        </is>
      </c>
      <c r="D23" t="inlineStr">
        <is>
          <t>text</t>
        </is>
      </c>
      <c r="E23" t="inlineStr">
        <is>
          <t>핵심 카드</t>
        </is>
      </c>
    </row>
    <row r="24">
      <c r="A24" t="inlineStr">
        <is>
          <t>valuation_점수판</t>
        </is>
      </c>
      <c r="B24" t="inlineStr">
        <is>
          <t>보조 가치평가 점수</t>
        </is>
      </c>
      <c r="C24" t="n">
        <v>53.49</v>
      </c>
      <c r="D24" t="inlineStr">
        <is>
          <t>score</t>
        </is>
      </c>
      <c r="E24" t="inlineStr">
        <is>
          <t>핵심 카드</t>
        </is>
      </c>
    </row>
    <row r="25">
      <c r="A25" t="inlineStr">
        <is>
          <t>valuation_점수판_label</t>
        </is>
      </c>
      <c r="B25" t="inlineStr">
        <is>
          <t>보조 가치평가 라벨</t>
        </is>
      </c>
      <c r="C25" t="inlineStr">
        <is>
          <t>중립</t>
        </is>
      </c>
      <c r="D25" t="inlineStr">
        <is>
          <t>text</t>
        </is>
      </c>
      <c r="E25" t="inlineStr">
        <is>
          <t>핵심 카드</t>
        </is>
      </c>
    </row>
    <row r="26">
      <c r="A26" t="inlineStr">
        <is>
          <t>advanced_valuation_score</t>
        </is>
      </c>
      <c r="B26" t="inlineStr">
        <is>
          <t>종합 가치평가 점수</t>
        </is>
      </c>
      <c r="C26" t="n">
        <v>38</v>
      </c>
      <c r="D26" t="inlineStr">
        <is>
          <t>score</t>
        </is>
      </c>
      <c r="E26" t="inlineStr">
        <is>
          <t>핵심 카드</t>
        </is>
      </c>
    </row>
    <row r="27">
      <c r="A27" t="inlineStr">
        <is>
          <t>valuation_range_base_price</t>
        </is>
      </c>
      <c r="B27" t="inlineStr">
        <is>
          <t>가치범위 중앙값</t>
        </is>
      </c>
      <c r="C27" t="n">
        <v>25646.76696436419</v>
      </c>
      <c r="D27" t="inlineStr">
        <is>
          <t>krw_per_share</t>
        </is>
      </c>
      <c r="E27" t="inlineStr">
        <is>
          <t>핵심 카드</t>
        </is>
      </c>
    </row>
    <row r="28">
      <c r="A28" t="inlineStr">
        <is>
          <t>valuation_range_margin</t>
        </is>
      </c>
      <c r="B28" t="inlineStr">
        <is>
          <t>가치범위 안전마진</t>
        </is>
      </c>
      <c r="C28" t="n">
        <v>-0.7350540602854938</v>
      </c>
      <c r="D28" t="inlineStr">
        <is>
          <t>percent</t>
        </is>
      </c>
      <c r="E28" t="inlineStr">
        <is>
          <t>핵심 카드</t>
        </is>
      </c>
    </row>
    <row r="29">
      <c r="A29" t="inlineStr">
        <is>
          <t>reverse_dcf_growth</t>
        </is>
      </c>
      <c r="B29" t="inlineStr">
        <is>
          <t>역산 영구성장률</t>
        </is>
      </c>
      <c r="C29" t="n">
        <v>0.08</v>
      </c>
      <c r="D29" t="inlineStr">
        <is>
          <t>percent</t>
        </is>
      </c>
      <c r="E29" t="inlineStr">
        <is>
          <t>핵심 카드</t>
        </is>
      </c>
    </row>
    <row r="30">
      <c r="A30" t="inlineStr">
        <is>
          <t>owner_earnings_price</t>
        </is>
      </c>
      <c r="B30" t="inlineStr">
        <is>
          <t>오너 이익 주당가치</t>
        </is>
      </c>
      <c r="C30" t="n">
        <v>16537.24619513188</v>
      </c>
      <c r="D30" t="inlineStr">
        <is>
          <t>krw_per_share</t>
        </is>
      </c>
      <c r="E30" t="inlineStr">
        <is>
          <t>핵심 카드</t>
        </is>
      </c>
    </row>
    <row r="31">
      <c r="A31" t="inlineStr">
        <is>
          <t>market_psr</t>
        </is>
      </c>
      <c r="B31" t="inlineStr">
        <is>
          <t>시장내재 P/S</t>
        </is>
      </c>
      <c r="C31" t="n">
        <v>19.80303919777647</v>
      </c>
      <c r="D31" t="inlineStr">
        <is>
          <t>multiple</t>
        </is>
      </c>
      <c r="E31" t="inlineStr">
        <is>
          <t>핵심 카드</t>
        </is>
      </c>
    </row>
    <row r="32">
      <c r="A32" t="inlineStr">
        <is>
          <t>market_pbr</t>
        </is>
      </c>
      <c r="B32" t="inlineStr">
        <is>
          <t>시장내재 P/B</t>
        </is>
      </c>
      <c r="C32" t="n">
        <v>10.08905343069807</v>
      </c>
      <c r="D32" t="inlineStr">
        <is>
          <t>multiple</t>
        </is>
      </c>
      <c r="E32" t="inlineStr">
        <is>
          <t>핵심 카드</t>
        </is>
      </c>
    </row>
    <row r="33">
      <c r="A33" t="inlineStr">
        <is>
          <t>market_fcf_yield</t>
        </is>
      </c>
      <c r="B33" t="inlineStr">
        <is>
          <t>시장내재 FCF 수익률</t>
        </is>
      </c>
      <c r="C33" t="n">
        <v>0.02428891017831943</v>
      </c>
      <c r="D33" t="inlineStr">
        <is>
          <t>percent</t>
        </is>
      </c>
      <c r="E33" t="inlineStr">
        <is>
          <t>핵심 카드</t>
        </is>
      </c>
    </row>
    <row r="34">
      <c r="A34" t="inlineStr">
        <is>
          <t>검증_status</t>
        </is>
      </c>
      <c r="B34" t="inlineStr">
        <is>
          <t>검증 상태</t>
        </is>
      </c>
      <c r="C34" t="inlineStr">
        <is>
          <t>PASS</t>
        </is>
      </c>
      <c r="D34" t="inlineStr">
        <is>
          <t>text</t>
        </is>
      </c>
      <c r="E34" t="inlineStr">
        <is>
          <t>핵심 카드</t>
        </is>
      </c>
    </row>
    <row r="35">
      <c r="A35" t="inlineStr">
        <is>
          <t>price_history</t>
        </is>
      </c>
      <c r="B35" t="inlineStr">
        <is>
          <t>주가 차트</t>
        </is>
      </c>
      <c r="C35" t="inlineStr">
        <is>
          <t>최근 250거래일</t>
        </is>
      </c>
      <c r="D35" t="inlineStr">
        <is>
          <t>list</t>
        </is>
      </c>
      <c r="E35" t="inlineStr">
        <is>
          <t>라인차트</t>
        </is>
      </c>
    </row>
    <row r="36">
      <c r="A36" t="inlineStr">
        <is>
          <t>historical_ficials</t>
        </is>
      </c>
      <c r="B36" t="inlineStr">
        <is>
          <t>재무 추이</t>
        </is>
      </c>
      <c r="C36" t="inlineStr">
        <is>
          <t>최근 5개년</t>
        </is>
      </c>
      <c r="D36" t="inlineStr">
        <is>
          <t>list</t>
        </is>
      </c>
      <c r="E36" t="inlineStr">
        <is>
          <t>막대/라인 혼합</t>
        </is>
      </c>
    </row>
    <row r="37">
      <c r="A37" t="inlineStr">
        <is>
          <t>비교기업_multiples</t>
        </is>
      </c>
      <c r="B37" t="inlineStr">
        <is>
          <t>비교기업 배수</t>
        </is>
      </c>
      <c r="C37" t="inlineStr">
        <is>
          <t>5개 기업 + 확장 비교군</t>
        </is>
      </c>
      <c r="D37" t="inlineStr">
        <is>
          <t>list</t>
        </is>
      </c>
      <c r="E37" t="inlineStr">
        <is>
          <t>상대가치 표</t>
        </is>
      </c>
    </row>
    <row r="38">
      <c r="A38" t="inlineStr">
        <is>
          <t>기준_비교군_focus</t>
        </is>
      </c>
      <c r="B38" t="inlineStr">
        <is>
          <t>208개 비교군 상대위치</t>
        </is>
      </c>
      <c r="C38" t="inlineStr">
        <is>
          <t>선택기업/동일 세부군/전체 평균</t>
        </is>
      </c>
      <c r="D38" t="inlineStr">
        <is>
          <t>list</t>
        </is>
      </c>
      <c r="E38" t="inlineStr">
        <is>
          <t>시장위치 맵</t>
        </is>
      </c>
    </row>
    <row r="39">
      <c r="A39" t="inlineStr">
        <is>
          <t>advanced_valuation</t>
        </is>
      </c>
      <c r="B39" t="inlineStr">
        <is>
          <t>종합 가치평가</t>
        </is>
      </c>
      <c r="C39" t="inlineStr">
        <is>
          <t>가치범위·역산 DCF·오너이익</t>
        </is>
      </c>
      <c r="D39" t="inlineStr">
        <is>
          <t>object</t>
        </is>
      </c>
      <c r="E39" t="inlineStr">
        <is>
          <t>상세 패널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18" customWidth="1" min="5" max="5"/>
    <col width="14" customWidth="1" min="6" max="6"/>
    <col width="14" customWidth="1" min="7" max="7"/>
    <col width="15" customWidth="1" min="8" max="8"/>
    <col width="13" customWidth="1" min="9" max="9"/>
    <col width="10" customWidth="1" min="10" max="10"/>
    <col width="10" customWidth="1" min="11" max="11"/>
    <col width="10" customWidth="1" min="12" max="12"/>
    <col width="13" customWidth="1" min="13" max="13"/>
    <col width="18" customWidth="1" min="14" max="14"/>
  </cols>
  <sheetData>
    <row r="1" ht="34" customHeight="1">
      <c r="A1" s="44" t="inlineStr">
        <is>
          <t>리노공업 반도체 시장 내 상대 위치 맵</t>
        </is>
      </c>
    </row>
    <row r="2" ht="22" customHeight="1">
      <c r="A2" s="2" t="inlineStr">
        <is>
          <t>기업 선택값을 바꾸면 선택기업·동일 세부군·208개 전체 평균 비교와 TAM/SAM/SOM 범위가 함께 갱신됩니다.</t>
        </is>
      </c>
    </row>
    <row r="3" ht="22" customHeight="1"/>
    <row r="4" ht="22" customHeight="1">
      <c r="A4" s="3" t="inlineStr">
        <is>
          <t>기업 선택</t>
        </is>
      </c>
      <c r="B4" s="45" t="inlineStr">
        <is>
          <t>리노공업</t>
        </is>
      </c>
      <c r="C4" t="inlineStr"/>
      <c r="D4" s="3" t="inlineStr">
        <is>
          <t>동일 세부군</t>
        </is>
      </c>
      <c r="E4" s="45">
        <f>IFERROR(XLOOKUP($B$4,$A$59:$A$266,$E$59:$E$266),"")</f>
        <v/>
      </c>
      <c r="F4" t="inlineStr"/>
      <c r="G4" s="3" t="inlineStr">
        <is>
          <t>선택기업 점수</t>
        </is>
      </c>
      <c r="H4" s="46">
        <f>IFERROR(XLOOKUP($B$4,$A$59:$A$266,$F$59:$F$266),"")</f>
        <v/>
      </c>
      <c r="I4" t="inlineStr"/>
      <c r="J4" s="3" t="inlineStr">
        <is>
          <t>208개 내 백분위</t>
        </is>
      </c>
      <c r="K4" s="47">
        <f>IFERROR(PERCENTRANK.INC($F$59:$F$266,$H$4),"")</f>
        <v/>
      </c>
      <c r="L4" t="inlineStr"/>
      <c r="M4" s="3" t="inlineStr">
        <is>
          <t>라벨</t>
        </is>
      </c>
      <c r="N4" s="45">
        <f>IFERROR(XLOOKUP($B$4,$A$59:$A$266,$H$59:$H$266),"")</f>
        <v/>
      </c>
    </row>
    <row r="5" ht="22" customHeight="1"/>
    <row r="6" ht="22" customHeight="1"/>
    <row r="7" ht="22" customHeight="1"/>
    <row r="8" ht="22" customHeight="1">
      <c r="A8" s="5" t="inlineStr">
        <is>
          <t>비교 기준</t>
        </is>
      </c>
      <c r="B8" s="5" t="inlineStr">
        <is>
          <t>밸류에이션 점수</t>
        </is>
      </c>
      <c r="C8" s="5" t="inlineStr">
        <is>
          <t>신용위험 점수</t>
        </is>
      </c>
      <c r="D8" s="5" t="inlineStr">
        <is>
          <t>기업 수</t>
        </is>
      </c>
    </row>
    <row r="9" ht="22" customHeight="1">
      <c r="A9" s="48" t="inlineStr">
        <is>
          <t>선택기업</t>
        </is>
      </c>
      <c r="B9" s="48">
        <f>IFERROR(XLOOKUP($B$4,$A$59:$A$266,$F$59:$F$266),"")</f>
        <v/>
      </c>
      <c r="C9" s="48">
        <f>IFERROR(XLOOKUP($B$4,$A$59:$A$266,$G$59:$G$266),"")</f>
        <v/>
      </c>
      <c r="D9" s="48" t="n">
        <v>1</v>
      </c>
    </row>
    <row r="10" ht="22" customHeight="1">
      <c r="A10" s="49" t="inlineStr">
        <is>
          <t>동일 세부군 평균</t>
        </is>
      </c>
      <c r="B10" s="49">
        <f>IFERROR(AVERAGEIF($E$59:$E$266,$E$4,$F$59:$F$266),"")</f>
        <v/>
      </c>
      <c r="C10" s="49">
        <f>IFERROR(AVERAGEIF($E$59:$E$266,$E$4,$G$59:$G$266),"")</f>
        <v/>
      </c>
      <c r="D10" s="49">
        <f>IFERROR(COUNTIF($E$59:$E$266,$E$4),"")</f>
        <v/>
      </c>
    </row>
    <row r="11" ht="22" customHeight="1">
      <c r="A11" s="50" t="inlineStr">
        <is>
          <t>208개 전체 평균</t>
        </is>
      </c>
      <c r="B11" s="50">
        <f>IFERROR(AVERAGE($F$59:$F$266),"")</f>
        <v/>
      </c>
      <c r="C11" s="50">
        <f>IFERROR(AVERAGE($G$59:$G$266),"")</f>
        <v/>
      </c>
      <c r="D11" s="50" t="n">
        <v>208</v>
      </c>
    </row>
    <row r="12" ht="22" customHeight="1"/>
    <row r="13" ht="22" customHeight="1"/>
    <row r="14" ht="22" customHeight="1"/>
    <row r="15" ht="22" customHeight="1"/>
    <row r="16" ht="22" customHeight="1">
      <c r="A16" s="5" t="inlineStr">
        <is>
          <t>범위</t>
        </is>
      </c>
      <c r="B16" s="5" t="inlineStr">
        <is>
          <t>기업 수</t>
        </is>
      </c>
      <c r="C16" s="5" t="inlineStr">
        <is>
          <t>해석</t>
        </is>
      </c>
    </row>
    <row r="17" ht="22" customHeight="1">
      <c r="A17" s="48" t="inlineStr">
        <is>
          <t>TAM: 반도체 전체 비교군</t>
        </is>
      </c>
      <c r="B17" s="48" t="n">
        <v>208</v>
      </c>
      <c r="C17" s="48" t="inlineStr">
        <is>
          <t>현재 가치평가 에이전트가 비교 가능한 전체 반도체 기준군</t>
        </is>
      </c>
    </row>
    <row r="18" ht="22" customHeight="1">
      <c r="A18" s="49" t="inlineStr">
        <is>
          <t>SAM: 선택기업 세부군</t>
        </is>
      </c>
      <c r="B18" s="49">
        <f>IFERROR(COUNTIF($E$59:$E$266,$E$4),"")</f>
        <v/>
      </c>
      <c r="C18" s="49" t="inlineStr">
        <is>
          <t>동일 사업축 안에서 상대가치 비교가 더 직접적인 집단</t>
        </is>
      </c>
    </row>
    <row r="19" ht="22" customHeight="1">
      <c r="A19" s="51" t="inlineStr">
        <is>
          <t>SOM: 선택기업</t>
        </is>
      </c>
      <c r="B19" s="51" t="n">
        <v>1</v>
      </c>
      <c r="C19" s="51" t="inlineStr">
        <is>
          <t>현재 선택한 분석 대상 기업</t>
        </is>
      </c>
    </row>
    <row r="20" ht="22" customHeight="1"/>
    <row r="21" ht="22" customHeight="1"/>
    <row r="22" ht="22" customHeight="1"/>
    <row r="23" ht="22" customHeight="1"/>
    <row r="24" ht="22" customHeight="1">
      <c r="A24" s="15" t="inlineStr">
        <is>
          <t>5개 핵심기업 비교</t>
        </is>
      </c>
      <c r="B24" t="inlineStr"/>
      <c r="C24" t="inlineStr"/>
      <c r="D24" t="inlineStr"/>
      <c r="E24" t="inlineStr"/>
      <c r="F24" t="inlineStr"/>
    </row>
    <row r="25" ht="22" customHeight="1">
      <c r="A25" s="5" t="inlineStr">
        <is>
          <t>기업명</t>
        </is>
      </c>
      <c r="B25" s="5" t="inlineStr">
        <is>
          <t>세부군</t>
        </is>
      </c>
      <c r="C25" s="5" t="inlineStr">
        <is>
          <t>밸류에이션 점수</t>
        </is>
      </c>
      <c r="D25" s="5" t="inlineStr">
        <is>
          <t>신용위험 점수</t>
        </is>
      </c>
      <c r="E25" s="5" t="inlineStr">
        <is>
          <t>라벨</t>
        </is>
      </c>
      <c r="F25" s="5" t="inlineStr">
        <is>
          <t>P/S</t>
        </is>
      </c>
    </row>
    <row r="26" ht="22" customHeight="1">
      <c r="A26" s="15" t="inlineStr">
        <is>
          <t>네패스</t>
        </is>
      </c>
      <c r="B26" s="15" t="inlineStr">
        <is>
          <t>후공정/패키징/테스트</t>
        </is>
      </c>
      <c r="C26" s="15" t="n">
        <v>63.85</v>
      </c>
      <c r="D26" s="15" t="n">
        <v>28.57</v>
      </c>
      <c r="E26" s="15" t="inlineStr">
        <is>
          <t>가치 매력</t>
        </is>
      </c>
      <c r="F26" t="inlineStr"/>
    </row>
    <row r="27" ht="22" customHeight="1">
      <c r="A27" s="15" t="inlineStr">
        <is>
          <t>한솔케미칼</t>
        </is>
      </c>
      <c r="B27" s="15" t="inlineStr">
        <is>
          <t>소재</t>
        </is>
      </c>
      <c r="C27" s="15" t="n">
        <v>63.31</v>
      </c>
      <c r="D27" s="15" t="n">
        <v>0</v>
      </c>
      <c r="E27" s="15" t="inlineStr">
        <is>
          <t>가치 매력</t>
        </is>
      </c>
      <c r="F27" t="inlineStr"/>
    </row>
    <row r="28" ht="22" customHeight="1">
      <c r="A28" s="15" t="inlineStr">
        <is>
          <t>엘티씨</t>
        </is>
      </c>
      <c r="B28" s="15" t="inlineStr">
        <is>
          <t>소재</t>
        </is>
      </c>
      <c r="C28" s="15" t="n">
        <v>58.38</v>
      </c>
      <c r="D28" s="15" t="n">
        <v>0</v>
      </c>
      <c r="E28" s="15" t="inlineStr">
        <is>
          <t>중립</t>
        </is>
      </c>
      <c r="F28" t="inlineStr"/>
    </row>
    <row r="29" ht="22" customHeight="1">
      <c r="A29" s="15" t="inlineStr">
        <is>
          <t>한미반도체</t>
        </is>
      </c>
      <c r="B29" s="15" t="inlineStr">
        <is>
          <t>후공정/패키징/테스트</t>
        </is>
      </c>
      <c r="C29" s="15" t="n">
        <v>47.13</v>
      </c>
      <c r="D29" s="15" t="n">
        <v>0</v>
      </c>
      <c r="E29" s="15" t="inlineStr">
        <is>
          <t>중립</t>
        </is>
      </c>
      <c r="F29" t="inlineStr"/>
    </row>
    <row r="30" ht="22" customHeight="1">
      <c r="A30" s="15" t="inlineStr">
        <is>
          <t>덕산테코피아</t>
        </is>
      </c>
      <c r="B30" s="15" t="inlineStr">
        <is>
          <t>소재</t>
        </is>
      </c>
      <c r="C30" s="15" t="n">
        <v>25.1</v>
      </c>
      <c r="D30" s="15" t="n">
        <v>71.43000000000001</v>
      </c>
      <c r="E30" s="15" t="inlineStr">
        <is>
          <t>고평가 부담</t>
        </is>
      </c>
      <c r="F30" t="inlineStr"/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>
      <c r="A57" s="3" t="inlineStr">
        <is>
          <t>선택/차트 원천 데이터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 ht="22" customHeight="1">
      <c r="A58" s="5" t="inlineStr">
        <is>
          <t>기업명</t>
        </is>
      </c>
      <c r="B58" s="5" t="inlineStr">
        <is>
          <t>기업코드</t>
        </is>
      </c>
      <c r="C58" s="5" t="inlineStr">
        <is>
          <t>종목코드</t>
        </is>
      </c>
      <c r="D58" s="5" t="inlineStr">
        <is>
          <t>시장</t>
        </is>
      </c>
      <c r="E58" s="5" t="inlineStr">
        <is>
          <t>세부군</t>
        </is>
      </c>
      <c r="F58" s="5" t="inlineStr">
        <is>
          <t>밸류에이션 점수</t>
        </is>
      </c>
      <c r="G58" s="5" t="inlineStr">
        <is>
          <t>신용위험 점수</t>
        </is>
      </c>
      <c r="H58" s="5" t="inlineStr">
        <is>
          <t>라벨</t>
        </is>
      </c>
      <c r="I58" s="5" t="inlineStr">
        <is>
          <t>신뢰도</t>
        </is>
      </c>
      <c r="J58" s="5" t="inlineStr">
        <is>
          <t>5개 핵심</t>
        </is>
      </c>
      <c r="K58" s="5" t="inlineStr">
        <is>
          <t>분석대상</t>
        </is>
      </c>
      <c r="L58" s="5" t="inlineStr">
        <is>
          <t>P/S</t>
        </is>
      </c>
    </row>
    <row r="59" ht="22" customHeight="1">
      <c r="A59" s="15" t="inlineStr">
        <is>
          <t>엔투텍</t>
        </is>
      </c>
      <c r="B59" t="inlineStr"/>
      <c r="C59" s="15" t="inlineStr">
        <is>
          <t>227950</t>
        </is>
      </c>
      <c r="D59" s="15" t="inlineStr">
        <is>
          <t>KOSDAQ</t>
        </is>
      </c>
      <c r="E59" s="15" t="inlineStr">
        <is>
          <t>장비</t>
        </is>
      </c>
      <c r="F59" s="15" t="n">
        <v>81.29000000000001</v>
      </c>
      <c r="G59" s="15" t="n">
        <v>21.43</v>
      </c>
      <c r="H59" s="15" t="inlineStr">
        <is>
          <t>가치 매력</t>
        </is>
      </c>
      <c r="I59" s="15" t="inlineStr">
        <is>
          <t>0.8347222629406851</t>
        </is>
      </c>
      <c r="J59" t="inlineStr"/>
      <c r="K59" t="inlineStr"/>
      <c r="L59" t="inlineStr"/>
    </row>
    <row r="60" ht="22" customHeight="1">
      <c r="A60" s="15" t="inlineStr">
        <is>
          <t>에스에이엠티</t>
        </is>
      </c>
      <c r="B60" t="inlineStr"/>
      <c r="C60" s="15" t="inlineStr">
        <is>
          <t>031330</t>
        </is>
      </c>
      <c r="D60" s="15" t="inlineStr">
        <is>
          <t>KOSDAQ</t>
        </is>
      </c>
      <c r="E60" s="15" t="inlineStr">
        <is>
          <t>팹리스/설계</t>
        </is>
      </c>
      <c r="F60" s="15" t="n">
        <v>78.38</v>
      </c>
      <c r="G60" s="15" t="n">
        <v>50</v>
      </c>
      <c r="H60" s="15" t="inlineStr">
        <is>
          <t>중립</t>
        </is>
      </c>
      <c r="I60" s="15" t="inlineStr">
        <is>
          <t>0.8575928985222669</t>
        </is>
      </c>
      <c r="J60" t="inlineStr"/>
      <c r="K60" t="inlineStr"/>
      <c r="L60" t="inlineStr"/>
    </row>
    <row r="61" ht="22" customHeight="1">
      <c r="A61" s="15" t="inlineStr">
        <is>
          <t>성우테크론</t>
        </is>
      </c>
      <c r="B61" t="inlineStr"/>
      <c r="C61" s="15" t="inlineStr">
        <is>
          <t>045300</t>
        </is>
      </c>
      <c r="D61" s="15" t="inlineStr">
        <is>
          <t>KOSDAQ</t>
        </is>
      </c>
      <c r="E61" s="15" t="inlineStr">
        <is>
          <t>후공정/패키징/테스트</t>
        </is>
      </c>
      <c r="F61" s="15" t="n">
        <v>77.64</v>
      </c>
      <c r="G61" s="15" t="n">
        <v>7.14</v>
      </c>
      <c r="H61" s="15" t="inlineStr">
        <is>
          <t>가치 매력</t>
        </is>
      </c>
      <c r="I61" s="15" t="inlineStr">
        <is>
          <t>0.9526864248076319</t>
        </is>
      </c>
      <c r="J61" t="inlineStr"/>
      <c r="K61" t="inlineStr"/>
      <c r="L61" t="inlineStr"/>
    </row>
    <row r="62" ht="22" customHeight="1">
      <c r="A62" s="15" t="inlineStr">
        <is>
          <t>미래산업</t>
        </is>
      </c>
      <c r="B62" t="inlineStr"/>
      <c r="C62" s="15" t="inlineStr">
        <is>
          <t>025560</t>
        </is>
      </c>
      <c r="D62" s="15" t="inlineStr">
        <is>
          <t>KOSPI</t>
        </is>
      </c>
      <c r="E62" s="15" t="inlineStr">
        <is>
          <t>후공정/패키징/테스트</t>
        </is>
      </c>
      <c r="F62" s="15" t="n">
        <v>77.48</v>
      </c>
      <c r="G62" s="15" t="n">
        <v>28.57</v>
      </c>
      <c r="H62" s="15" t="inlineStr">
        <is>
          <t>중립</t>
        </is>
      </c>
      <c r="I62" s="15" t="inlineStr">
        <is>
          <t>0.883291104654336</t>
        </is>
      </c>
      <c r="J62" t="inlineStr"/>
      <c r="K62" t="inlineStr"/>
      <c r="L62" t="inlineStr"/>
    </row>
    <row r="63" ht="22" customHeight="1">
      <c r="A63" s="15" t="inlineStr">
        <is>
          <t>미코</t>
        </is>
      </c>
      <c r="B63" t="inlineStr"/>
      <c r="C63" s="15" t="inlineStr">
        <is>
          <t>059090</t>
        </is>
      </c>
      <c r="D63" s="15" t="inlineStr">
        <is>
          <t>KOSDAQ</t>
        </is>
      </c>
      <c r="E63" s="15" t="inlineStr">
        <is>
          <t>IDM/제조/메모리</t>
        </is>
      </c>
      <c r="F63" s="15" t="n">
        <v>77.33</v>
      </c>
      <c r="G63" s="15" t="n">
        <v>21.43</v>
      </c>
      <c r="H63" s="15" t="inlineStr">
        <is>
          <t>중립</t>
        </is>
      </c>
      <c r="I63" s="15" t="inlineStr">
        <is>
          <t>0.9066669659525092</t>
        </is>
      </c>
      <c r="J63" t="inlineStr"/>
      <c r="K63" t="inlineStr"/>
      <c r="L63" t="inlineStr"/>
    </row>
    <row r="64" ht="22" customHeight="1">
      <c r="A64" s="15" t="inlineStr">
        <is>
          <t>링크제니시스</t>
        </is>
      </c>
      <c r="B64" t="inlineStr"/>
      <c r="C64" s="15" t="inlineStr">
        <is>
          <t>219420</t>
        </is>
      </c>
      <c r="D64" s="15" t="inlineStr">
        <is>
          <t>KOSDAQ</t>
        </is>
      </c>
      <c r="E64" s="15" t="inlineStr">
        <is>
          <t>후공정/패키징/테스트</t>
        </is>
      </c>
      <c r="F64" s="15" t="n">
        <v>75.23</v>
      </c>
      <c r="G64" s="15" t="n">
        <v>7.14</v>
      </c>
      <c r="H64" s="15" t="inlineStr">
        <is>
          <t>가치 매력</t>
        </is>
      </c>
      <c r="I64" s="15" t="inlineStr">
        <is>
          <t>0.8724992666433111</t>
        </is>
      </c>
      <c r="J64" t="inlineStr"/>
      <c r="K64" t="inlineStr"/>
      <c r="L64" t="inlineStr"/>
    </row>
    <row r="65" ht="22" customHeight="1">
      <c r="A65" s="15" t="inlineStr">
        <is>
          <t>엘디티</t>
        </is>
      </c>
      <c r="B65" t="inlineStr"/>
      <c r="C65" s="15" t="inlineStr">
        <is>
          <t>096870</t>
        </is>
      </c>
      <c r="D65" s="15" t="inlineStr">
        <is>
          <t>KOSDAQ</t>
        </is>
      </c>
      <c r="E65" s="15" t="inlineStr">
        <is>
          <t>IDM/제조/메모리</t>
        </is>
      </c>
      <c r="F65" s="15" t="n">
        <v>75.18000000000001</v>
      </c>
      <c r="G65" s="15" t="n">
        <v>7.14</v>
      </c>
      <c r="H65" s="15" t="inlineStr">
        <is>
          <t>가치 매력</t>
        </is>
      </c>
      <c r="I65" s="15" t="inlineStr">
        <is>
          <t>0.8817908899004964</t>
        </is>
      </c>
      <c r="J65" t="inlineStr"/>
      <c r="K65" t="inlineStr"/>
      <c r="L65" t="inlineStr"/>
    </row>
    <row r="66" ht="22" customHeight="1">
      <c r="A66" s="15" t="inlineStr">
        <is>
          <t>유니트론텍</t>
        </is>
      </c>
      <c r="B66" t="inlineStr"/>
      <c r="C66" s="15" t="inlineStr">
        <is>
          <t>142210</t>
        </is>
      </c>
      <c r="D66" s="15" t="inlineStr">
        <is>
          <t>KOSDAQ</t>
        </is>
      </c>
      <c r="E66" s="15" t="inlineStr">
        <is>
          <t>팹리스/설계</t>
        </is>
      </c>
      <c r="F66" s="15" t="n">
        <v>74.79000000000001</v>
      </c>
      <c r="G66" s="15" t="n">
        <v>35.71</v>
      </c>
      <c r="H66" s="15" t="inlineStr">
        <is>
          <t>중립</t>
        </is>
      </c>
      <c r="I66" s="15" t="inlineStr">
        <is>
          <t>0.8593164302034415</t>
        </is>
      </c>
      <c r="J66" t="inlineStr"/>
      <c r="K66" t="inlineStr"/>
      <c r="L66" t="inlineStr"/>
    </row>
    <row r="67" ht="22" customHeight="1">
      <c r="A67" s="15" t="inlineStr">
        <is>
          <t>메카로</t>
        </is>
      </c>
      <c r="B67" t="inlineStr"/>
      <c r="C67" s="15" t="inlineStr">
        <is>
          <t>241770</t>
        </is>
      </c>
      <c r="D67" s="15" t="inlineStr">
        <is>
          <t>KOSDAQ</t>
        </is>
      </c>
      <c r="E67" s="15" t="inlineStr">
        <is>
          <t>IDM/제조/메모리</t>
        </is>
      </c>
      <c r="F67" s="15" t="n">
        <v>74.77</v>
      </c>
      <c r="G67" s="15" t="n">
        <v>0</v>
      </c>
      <c r="H67" s="15" t="inlineStr">
        <is>
          <t>가치 매력</t>
        </is>
      </c>
      <c r="I67" s="15" t="inlineStr">
        <is>
          <t>0.9154158498128573</t>
        </is>
      </c>
      <c r="J67" t="inlineStr"/>
      <c r="K67" t="inlineStr"/>
      <c r="L67" t="inlineStr"/>
    </row>
    <row r="68" ht="22" customHeight="1">
      <c r="A68" s="15" t="inlineStr">
        <is>
          <t>월덱스</t>
        </is>
      </c>
      <c r="B68" t="inlineStr"/>
      <c r="C68" s="15" t="inlineStr">
        <is>
          <t>101160</t>
        </is>
      </c>
      <c r="D68" s="15" t="inlineStr">
        <is>
          <t>KOSDAQ</t>
        </is>
      </c>
      <c r="E68" s="15" t="inlineStr">
        <is>
          <t>소재</t>
        </is>
      </c>
      <c r="F68" s="15" t="n">
        <v>74.59</v>
      </c>
      <c r="G68" s="15" t="n">
        <v>0</v>
      </c>
      <c r="H68" s="15" t="inlineStr">
        <is>
          <t>가치 매력</t>
        </is>
      </c>
      <c r="I68" s="15" t="inlineStr">
        <is>
          <t>0.9476922450763601</t>
        </is>
      </c>
      <c r="J68" t="inlineStr"/>
      <c r="K68" t="inlineStr"/>
      <c r="L68" t="inlineStr"/>
    </row>
    <row r="69" ht="22" customHeight="1">
      <c r="A69" s="15" t="inlineStr">
        <is>
          <t>앤씨앤</t>
        </is>
      </c>
      <c r="B69" t="inlineStr"/>
      <c r="C69" s="15" t="inlineStr">
        <is>
          <t>092600</t>
        </is>
      </c>
      <c r="D69" s="15" t="inlineStr">
        <is>
          <t>KOSDAQ</t>
        </is>
      </c>
      <c r="E69" s="15" t="inlineStr">
        <is>
          <t>팹리스/설계</t>
        </is>
      </c>
      <c r="F69" s="15" t="n">
        <v>74.51000000000001</v>
      </c>
      <c r="G69" s="15" t="n">
        <v>50</v>
      </c>
      <c r="H69" s="15" t="inlineStr">
        <is>
          <t>중립</t>
        </is>
      </c>
      <c r="I69" s="15" t="inlineStr">
        <is>
          <t>0.8450252323777523</t>
        </is>
      </c>
      <c r="J69" t="inlineStr"/>
      <c r="K69" t="inlineStr"/>
      <c r="L69" t="inlineStr"/>
    </row>
    <row r="70" ht="22" customHeight="1">
      <c r="A70" s="15" t="inlineStr">
        <is>
          <t>퓨릿</t>
        </is>
      </c>
      <c r="B70" t="inlineStr"/>
      <c r="C70" s="15" t="inlineStr">
        <is>
          <t>445180</t>
        </is>
      </c>
      <c r="D70" s="15" t="inlineStr">
        <is>
          <t>KOSDAQ</t>
        </is>
      </c>
      <c r="E70" s="15" t="inlineStr">
        <is>
          <t>소재</t>
        </is>
      </c>
      <c r="F70" s="15" t="n">
        <v>74.48999999999999</v>
      </c>
      <c r="G70" s="15" t="n">
        <v>7.14</v>
      </c>
      <c r="H70" s="15" t="inlineStr">
        <is>
          <t>가치 매력</t>
        </is>
      </c>
      <c r="I70" s="15" t="inlineStr">
        <is>
          <t>0.8817607106455689</t>
        </is>
      </c>
      <c r="J70" t="inlineStr"/>
      <c r="K70" t="inlineStr"/>
      <c r="L70" t="inlineStr"/>
    </row>
    <row r="71" ht="22" customHeight="1">
      <c r="A71" s="15" t="inlineStr">
        <is>
          <t>마이크로컨텍솔</t>
        </is>
      </c>
      <c r="B71" t="inlineStr"/>
      <c r="C71" s="15" t="inlineStr">
        <is>
          <t>098120</t>
        </is>
      </c>
      <c r="D71" s="15" t="inlineStr">
        <is>
          <t>KOSDAQ</t>
        </is>
      </c>
      <c r="E71" s="15" t="inlineStr">
        <is>
          <t>팹리스/설계</t>
        </is>
      </c>
      <c r="F71" s="15" t="n">
        <v>73.84</v>
      </c>
      <c r="G71" s="15" t="n">
        <v>14.29</v>
      </c>
      <c r="H71" s="15" t="inlineStr">
        <is>
          <t>가치 매력</t>
        </is>
      </c>
      <c r="I71" s="15" t="inlineStr">
        <is>
          <t>0.8262966149459129</t>
        </is>
      </c>
      <c r="J71" t="inlineStr"/>
      <c r="K71" t="inlineStr"/>
      <c r="L71" t="inlineStr"/>
    </row>
    <row r="72" ht="22" customHeight="1">
      <c r="A72" s="15" t="inlineStr">
        <is>
          <t>프로텍</t>
        </is>
      </c>
      <c r="B72" t="inlineStr"/>
      <c r="C72" s="15" t="inlineStr">
        <is>
          <t>053610</t>
        </is>
      </c>
      <c r="D72" s="15" t="inlineStr">
        <is>
          <t>KOSDAQ</t>
        </is>
      </c>
      <c r="E72" s="15" t="inlineStr">
        <is>
          <t>후공정/패키징/테스트</t>
        </is>
      </c>
      <c r="F72" s="15" t="n">
        <v>73.42</v>
      </c>
      <c r="G72" s="15" t="n">
        <v>7.14</v>
      </c>
      <c r="H72" s="15" t="inlineStr">
        <is>
          <t>중립</t>
        </is>
      </c>
      <c r="I72" s="15" t="inlineStr">
        <is>
          <t>0.8971257561900263</t>
        </is>
      </c>
      <c r="J72" t="inlineStr"/>
      <c r="K72" t="inlineStr"/>
      <c r="L72" t="inlineStr"/>
    </row>
    <row r="73" ht="22" customHeight="1">
      <c r="A73" s="15" t="inlineStr">
        <is>
          <t>아이앤씨</t>
        </is>
      </c>
      <c r="B73" t="inlineStr"/>
      <c r="C73" s="15" t="inlineStr">
        <is>
          <t>052860</t>
        </is>
      </c>
      <c r="D73" s="15" t="inlineStr">
        <is>
          <t>KOSDAQ</t>
        </is>
      </c>
      <c r="E73" s="15" t="inlineStr">
        <is>
          <t>팹리스/설계</t>
        </is>
      </c>
      <c r="F73" s="15" t="n">
        <v>73.25</v>
      </c>
      <c r="G73" s="15" t="n">
        <v>0</v>
      </c>
      <c r="H73" s="15" t="inlineStr">
        <is>
          <t>가치 매력</t>
        </is>
      </c>
      <c r="I73" s="15" t="inlineStr">
        <is>
          <t>0.9267130449922303</t>
        </is>
      </c>
      <c r="J73" t="inlineStr"/>
      <c r="K73" t="inlineStr"/>
      <c r="L73" t="inlineStr"/>
    </row>
    <row r="74" ht="22" customHeight="1">
      <c r="A74" s="15" t="inlineStr">
        <is>
          <t>비아트론</t>
        </is>
      </c>
      <c r="B74" t="inlineStr"/>
      <c r="C74" s="15" t="inlineStr">
        <is>
          <t>141000</t>
        </is>
      </c>
      <c r="D74" s="15" t="inlineStr">
        <is>
          <t>KOSDAQ</t>
        </is>
      </c>
      <c r="E74" s="15" t="inlineStr">
        <is>
          <t>장비</t>
        </is>
      </c>
      <c r="F74" s="15" t="n">
        <v>71.05</v>
      </c>
      <c r="G74" s="15" t="n">
        <v>0</v>
      </c>
      <c r="H74" s="15" t="inlineStr">
        <is>
          <t>가치 매력</t>
        </is>
      </c>
      <c r="I74" s="15" t="inlineStr">
        <is>
          <t>0.934708213344448</t>
        </is>
      </c>
      <c r="J74" t="inlineStr"/>
      <c r="K74" t="inlineStr"/>
      <c r="L74" t="inlineStr"/>
    </row>
    <row r="75" ht="22" customHeight="1">
      <c r="A75" s="15" t="inlineStr">
        <is>
          <t>인터플렉스</t>
        </is>
      </c>
      <c r="B75" t="inlineStr"/>
      <c r="C75" s="15" t="inlineStr">
        <is>
          <t>051370</t>
        </is>
      </c>
      <c r="D75" s="15" t="inlineStr">
        <is>
          <t>KOSDAQ</t>
        </is>
      </c>
      <c r="E75" s="15" t="inlineStr">
        <is>
          <t>부품/기판</t>
        </is>
      </c>
      <c r="F75" s="15" t="n">
        <v>70.90000000000001</v>
      </c>
      <c r="G75" s="15" t="n">
        <v>7.14</v>
      </c>
      <c r="H75" s="15" t="inlineStr">
        <is>
          <t>중립</t>
        </is>
      </c>
      <c r="I75" s="15" t="inlineStr">
        <is>
          <t>0.904555257888918</t>
        </is>
      </c>
      <c r="J75" t="inlineStr"/>
      <c r="K75" t="inlineStr"/>
      <c r="L75" t="inlineStr"/>
    </row>
    <row r="76" ht="22" customHeight="1">
      <c r="A76" s="15" t="inlineStr">
        <is>
          <t>삼성전자</t>
        </is>
      </c>
      <c r="B76" t="inlineStr"/>
      <c r="C76" s="15" t="inlineStr">
        <is>
          <t>005930</t>
        </is>
      </c>
      <c r="D76" s="15" t="inlineStr">
        <is>
          <t>KOSPI</t>
        </is>
      </c>
      <c r="E76" s="15" t="inlineStr">
        <is>
          <t>IDM/제조/메모리</t>
        </is>
      </c>
      <c r="F76" s="15" t="n">
        <v>70.78</v>
      </c>
      <c r="G76" s="15" t="n">
        <v>0</v>
      </c>
      <c r="H76" s="15" t="inlineStr">
        <is>
          <t>가치 매력</t>
        </is>
      </c>
      <c r="I76" s="15" t="inlineStr">
        <is>
          <t>0.9371541027950523</t>
        </is>
      </c>
      <c r="J76" t="inlineStr"/>
      <c r="K76" t="inlineStr"/>
      <c r="L76" t="inlineStr"/>
    </row>
    <row r="77" ht="22" customHeight="1">
      <c r="A77" s="15" t="inlineStr">
        <is>
          <t>케이씨</t>
        </is>
      </c>
      <c r="B77" t="inlineStr"/>
      <c r="C77" s="15" t="inlineStr">
        <is>
          <t>029460</t>
        </is>
      </c>
      <c r="D77" s="15" t="inlineStr">
        <is>
          <t>KOSPI</t>
        </is>
      </c>
      <c r="E77" s="15" t="inlineStr">
        <is>
          <t>장비</t>
        </is>
      </c>
      <c r="F77" s="15" t="n">
        <v>70.65000000000001</v>
      </c>
      <c r="G77" s="15" t="n">
        <v>0</v>
      </c>
      <c r="H77" s="15" t="inlineStr">
        <is>
          <t>가치 매력</t>
        </is>
      </c>
      <c r="I77" s="15" t="inlineStr">
        <is>
          <t>0.9151708177015135</t>
        </is>
      </c>
      <c r="J77" t="inlineStr"/>
      <c r="K77" t="inlineStr"/>
      <c r="L77" t="inlineStr"/>
    </row>
    <row r="78" ht="22" customHeight="1">
      <c r="A78" s="15" t="inlineStr">
        <is>
          <t>이엔에프테크놀로지</t>
        </is>
      </c>
      <c r="B78" t="inlineStr"/>
      <c r="C78" s="15" t="inlineStr">
        <is>
          <t>102710</t>
        </is>
      </c>
      <c r="D78" s="15" t="inlineStr">
        <is>
          <t>KOSDAQ</t>
        </is>
      </c>
      <c r="E78" s="15" t="inlineStr">
        <is>
          <t>소재</t>
        </is>
      </c>
      <c r="F78" s="15" t="n">
        <v>70.62</v>
      </c>
      <c r="G78" s="15" t="n">
        <v>0</v>
      </c>
      <c r="H78" s="15" t="inlineStr">
        <is>
          <t>가치 매력</t>
        </is>
      </c>
      <c r="I78" s="15" t="inlineStr">
        <is>
          <t>0.9371627732042065</t>
        </is>
      </c>
      <c r="J78" t="inlineStr"/>
      <c r="K78" t="inlineStr"/>
      <c r="L78" t="inlineStr"/>
    </row>
    <row r="79" ht="22" customHeight="1">
      <c r="A79" s="15" t="inlineStr">
        <is>
          <t>매커스</t>
        </is>
      </c>
      <c r="B79" t="inlineStr"/>
      <c r="C79" s="15" t="inlineStr">
        <is>
          <t>093520</t>
        </is>
      </c>
      <c r="D79" s="15" t="inlineStr">
        <is>
          <t>KOSDAQ</t>
        </is>
      </c>
      <c r="E79" s="15" t="inlineStr">
        <is>
          <t>팹리스/설계</t>
        </is>
      </c>
      <c r="F79" s="15" t="n">
        <v>70.56999999999999</v>
      </c>
      <c r="G79" s="15" t="n">
        <v>0</v>
      </c>
      <c r="H79" s="15" t="inlineStr">
        <is>
          <t>가치 매력</t>
        </is>
      </c>
      <c r="I79" s="15" t="inlineStr">
        <is>
          <t>0.9375173489226767</t>
        </is>
      </c>
      <c r="J79" t="inlineStr"/>
      <c r="K79" t="inlineStr"/>
      <c r="L79" t="inlineStr"/>
    </row>
    <row r="80" ht="22" customHeight="1">
      <c r="A80" s="15" t="inlineStr">
        <is>
          <t>LX세미콘</t>
        </is>
      </c>
      <c r="B80" t="inlineStr"/>
      <c r="C80" s="15" t="inlineStr">
        <is>
          <t>108320</t>
        </is>
      </c>
      <c r="D80" s="15" t="inlineStr">
        <is>
          <t>KOSPI</t>
        </is>
      </c>
      <c r="E80" s="15" t="inlineStr">
        <is>
          <t>팹리스/설계</t>
        </is>
      </c>
      <c r="F80" s="15" t="n">
        <v>69.54000000000001</v>
      </c>
      <c r="G80" s="15" t="n">
        <v>0</v>
      </c>
      <c r="H80" s="15" t="inlineStr">
        <is>
          <t>가치 매력</t>
        </is>
      </c>
      <c r="I80" s="15" t="inlineStr">
        <is>
          <t>0.951012131492064</t>
        </is>
      </c>
      <c r="J80" t="inlineStr"/>
      <c r="K80" t="inlineStr"/>
      <c r="L80" t="inlineStr"/>
    </row>
    <row r="81" ht="22" customHeight="1">
      <c r="A81" s="15" t="inlineStr">
        <is>
          <t>SK하이닉스</t>
        </is>
      </c>
      <c r="B81" t="inlineStr"/>
      <c r="C81" s="15" t="inlineStr">
        <is>
          <t>000660</t>
        </is>
      </c>
      <c r="D81" s="15" t="inlineStr">
        <is>
          <t>KOSPI</t>
        </is>
      </c>
      <c r="E81" s="15" t="inlineStr">
        <is>
          <t>IDM/제조/메모리</t>
        </is>
      </c>
      <c r="F81" s="15" t="n">
        <v>69.33</v>
      </c>
      <c r="G81" s="15" t="n">
        <v>0</v>
      </c>
      <c r="H81" s="15" t="inlineStr">
        <is>
          <t>가치 매력</t>
        </is>
      </c>
      <c r="I81" s="15" t="inlineStr">
        <is>
          <t>0.8582250965188642</t>
        </is>
      </c>
      <c r="J81" t="inlineStr"/>
      <c r="K81" t="inlineStr"/>
      <c r="L81" t="inlineStr"/>
    </row>
    <row r="82" ht="22" customHeight="1">
      <c r="A82" s="15" t="inlineStr">
        <is>
          <t>어보브반도체</t>
        </is>
      </c>
      <c r="B82" t="inlineStr"/>
      <c r="C82" s="15" t="inlineStr">
        <is>
          <t>102120</t>
        </is>
      </c>
      <c r="D82" s="15" t="inlineStr">
        <is>
          <t>KOSDAQ</t>
        </is>
      </c>
      <c r="E82" s="15" t="inlineStr">
        <is>
          <t>팹리스/설계</t>
        </is>
      </c>
      <c r="F82" s="15" t="n">
        <v>69.33</v>
      </c>
      <c r="G82" s="15" t="n">
        <v>7.14</v>
      </c>
      <c r="H82" s="15" t="inlineStr">
        <is>
          <t>중립</t>
        </is>
      </c>
      <c r="I82" s="15" t="inlineStr">
        <is>
          <t>0.9028406871788379</t>
        </is>
      </c>
      <c r="J82" t="inlineStr"/>
      <c r="K82" t="inlineStr"/>
      <c r="L82" t="inlineStr"/>
    </row>
    <row r="83" ht="22" customHeight="1">
      <c r="A83" s="15" t="inlineStr">
        <is>
          <t>더코디</t>
        </is>
      </c>
      <c r="B83" t="inlineStr"/>
      <c r="C83" s="15" t="inlineStr">
        <is>
          <t>224060</t>
        </is>
      </c>
      <c r="D83" s="15" t="inlineStr">
        <is>
          <t>KOSDAQ</t>
        </is>
      </c>
      <c r="E83" s="15" t="inlineStr">
        <is>
          <t>장비</t>
        </is>
      </c>
      <c r="F83" s="15" t="n">
        <v>69.09</v>
      </c>
      <c r="G83" s="15" t="n">
        <v>85.70999999999999</v>
      </c>
      <c r="H83" s="15" t="inlineStr">
        <is>
          <t>중립</t>
        </is>
      </c>
      <c r="I83" s="15" t="inlineStr">
        <is>
          <t>0.6613330626239345</t>
        </is>
      </c>
      <c r="J83" t="inlineStr"/>
      <c r="K83" t="inlineStr"/>
      <c r="L83" t="inlineStr"/>
    </row>
    <row r="84" ht="22" customHeight="1">
      <c r="A84" s="15" t="inlineStr">
        <is>
          <t>프로이천</t>
        </is>
      </c>
      <c r="B84" t="inlineStr"/>
      <c r="C84" s="15" t="inlineStr">
        <is>
          <t>321260</t>
        </is>
      </c>
      <c r="D84" s="15" t="inlineStr">
        <is>
          <t>KOSDAQ</t>
        </is>
      </c>
      <c r="E84" s="15" t="inlineStr">
        <is>
          <t>후공정/패키징/테스트</t>
        </is>
      </c>
      <c r="F84" s="15" t="n">
        <v>69.05</v>
      </c>
      <c r="G84" s="15" t="n">
        <v>14.29</v>
      </c>
      <c r="H84" s="15" t="inlineStr">
        <is>
          <t>가치 매력</t>
        </is>
      </c>
      <c r="I84" s="15" t="inlineStr">
        <is>
          <t>0.9481469936627798</t>
        </is>
      </c>
      <c r="J84" t="inlineStr"/>
      <c r="K84" t="inlineStr"/>
      <c r="L84" t="inlineStr"/>
    </row>
    <row r="85" ht="22" customHeight="1">
      <c r="A85" s="15" t="inlineStr">
        <is>
          <t>케이엔제이</t>
        </is>
      </c>
      <c r="B85" t="inlineStr"/>
      <c r="C85" s="15" t="inlineStr">
        <is>
          <t>272110</t>
        </is>
      </c>
      <c r="D85" s="15" t="inlineStr">
        <is>
          <t>KOSDAQ</t>
        </is>
      </c>
      <c r="E85" s="15" t="inlineStr">
        <is>
          <t>IDM/제조/메모리</t>
        </is>
      </c>
      <c r="F85" s="15" t="n">
        <v>69</v>
      </c>
      <c r="G85" s="15" t="n">
        <v>35.71</v>
      </c>
      <c r="H85" s="15" t="inlineStr">
        <is>
          <t>중립</t>
        </is>
      </c>
      <c r="I85" s="15" t="inlineStr">
        <is>
          <t>0.8941431334693103</t>
        </is>
      </c>
      <c r="J85" t="inlineStr"/>
      <c r="K85" t="inlineStr"/>
      <c r="L85" t="inlineStr"/>
    </row>
    <row r="86" ht="22" customHeight="1">
      <c r="A86" s="15" t="inlineStr">
        <is>
          <t>KPX케미칼</t>
        </is>
      </c>
      <c r="B86" t="inlineStr"/>
      <c r="C86" s="15" t="inlineStr">
        <is>
          <t>025000</t>
        </is>
      </c>
      <c r="D86" s="15" t="inlineStr">
        <is>
          <t>KOSPI</t>
        </is>
      </c>
      <c r="E86" s="15" t="inlineStr">
        <is>
          <t>장비</t>
        </is>
      </c>
      <c r="F86" s="15" t="n">
        <v>68.76000000000001</v>
      </c>
      <c r="G86" s="15" t="n">
        <v>0</v>
      </c>
      <c r="H86" s="15" t="inlineStr">
        <is>
          <t>가치 매력</t>
        </is>
      </c>
      <c r="I86" s="15" t="inlineStr">
        <is>
          <t>0.9091955435785402</t>
        </is>
      </c>
      <c r="J86" t="inlineStr"/>
      <c r="K86" t="inlineStr"/>
      <c r="L86" t="inlineStr"/>
    </row>
    <row r="87" ht="22" customHeight="1">
      <c r="A87" s="15" t="inlineStr">
        <is>
          <t>성도이엔지</t>
        </is>
      </c>
      <c r="B87" t="inlineStr"/>
      <c r="C87" s="15" t="inlineStr">
        <is>
          <t>037350</t>
        </is>
      </c>
      <c r="D87" s="15" t="inlineStr">
        <is>
          <t>KOSDAQ</t>
        </is>
      </c>
      <c r="E87" s="15" t="inlineStr">
        <is>
          <t>장비</t>
        </is>
      </c>
      <c r="F87" s="15" t="n">
        <v>68.75</v>
      </c>
      <c r="G87" s="15" t="n">
        <v>0</v>
      </c>
      <c r="H87" s="15" t="inlineStr">
        <is>
          <t>가치 매력</t>
        </is>
      </c>
      <c r="I87" s="15" t="inlineStr">
        <is>
          <t>0.9250659167833418</t>
        </is>
      </c>
      <c r="J87" t="inlineStr"/>
      <c r="K87" t="inlineStr"/>
      <c r="L87" t="inlineStr"/>
    </row>
    <row r="88" ht="22" customHeight="1">
      <c r="A88" s="15" t="inlineStr">
        <is>
          <t>한양디지텍</t>
        </is>
      </c>
      <c r="B88" t="inlineStr"/>
      <c r="C88" s="15" t="inlineStr">
        <is>
          <t>078350</t>
        </is>
      </c>
      <c r="D88" s="15" t="inlineStr">
        <is>
          <t>KOSDAQ</t>
        </is>
      </c>
      <c r="E88" s="15" t="inlineStr">
        <is>
          <t>IDM/제조/메모리</t>
        </is>
      </c>
      <c r="F88" s="15" t="n">
        <v>68.05</v>
      </c>
      <c r="G88" s="15" t="n">
        <v>7.14</v>
      </c>
      <c r="H88" s="15" t="inlineStr">
        <is>
          <t>가치 매력</t>
        </is>
      </c>
      <c r="I88" s="15" t="inlineStr">
        <is>
          <t>0.8705426081647281</t>
        </is>
      </c>
      <c r="J88" t="inlineStr"/>
      <c r="K88" t="inlineStr"/>
      <c r="L88" t="inlineStr"/>
    </row>
    <row r="89" ht="22" customHeight="1">
      <c r="A89" s="15" t="inlineStr">
        <is>
          <t>유니퀘스트</t>
        </is>
      </c>
      <c r="B89" t="inlineStr"/>
      <c r="C89" s="15" t="inlineStr">
        <is>
          <t>077500</t>
        </is>
      </c>
      <c r="D89" s="15" t="inlineStr">
        <is>
          <t>KOSPI</t>
        </is>
      </c>
      <c r="E89" s="15" t="inlineStr">
        <is>
          <t>장비</t>
        </is>
      </c>
      <c r="F89" s="15" t="n">
        <v>67.84</v>
      </c>
      <c r="G89" s="15" t="n">
        <v>0</v>
      </c>
      <c r="H89" s="15" t="inlineStr">
        <is>
          <t>가치 매력</t>
        </is>
      </c>
      <c r="I89" s="15" t="inlineStr">
        <is>
          <t>0.8881603628406226</t>
        </is>
      </c>
      <c r="J89" t="inlineStr"/>
      <c r="K89" t="inlineStr"/>
      <c r="L89" t="inlineStr"/>
    </row>
    <row r="90" ht="22" customHeight="1">
      <c r="A90" s="15" t="inlineStr">
        <is>
          <t>원익머트리얼즈</t>
        </is>
      </c>
      <c r="B90" t="inlineStr"/>
      <c r="C90" s="15" t="inlineStr">
        <is>
          <t>104830</t>
        </is>
      </c>
      <c r="D90" s="15" t="inlineStr">
        <is>
          <t>KOSDAQ</t>
        </is>
      </c>
      <c r="E90" s="15" t="inlineStr">
        <is>
          <t>소재</t>
        </is>
      </c>
      <c r="F90" s="15" t="n">
        <v>66.81999999999999</v>
      </c>
      <c r="G90" s="15" t="n">
        <v>7.14</v>
      </c>
      <c r="H90" s="15" t="inlineStr">
        <is>
          <t>중립</t>
        </is>
      </c>
      <c r="I90" s="15" t="inlineStr">
        <is>
          <t>0.9160049727267536</t>
        </is>
      </c>
      <c r="J90" t="inlineStr"/>
      <c r="K90" t="inlineStr"/>
      <c r="L90" t="inlineStr"/>
    </row>
    <row r="91" ht="22" customHeight="1">
      <c r="A91" s="15" t="inlineStr">
        <is>
          <t>솔브레인홀딩스</t>
        </is>
      </c>
      <c r="B91" t="inlineStr"/>
      <c r="C91" s="15" t="inlineStr">
        <is>
          <t>036830</t>
        </is>
      </c>
      <c r="D91" s="15" t="inlineStr">
        <is>
          <t>KOSDAQ GLOBAL</t>
        </is>
      </c>
      <c r="E91" s="15" t="inlineStr">
        <is>
          <t>소재</t>
        </is>
      </c>
      <c r="F91" s="15" t="n">
        <v>66.67</v>
      </c>
      <c r="G91" s="15" t="n">
        <v>0</v>
      </c>
      <c r="H91" s="15" t="inlineStr">
        <is>
          <t>가치 매력</t>
        </is>
      </c>
      <c r="I91" s="15" t="inlineStr">
        <is>
          <t>0.5229115612060397</t>
        </is>
      </c>
      <c r="J91" t="inlineStr"/>
      <c r="K91" t="inlineStr"/>
      <c r="L91" t="inlineStr"/>
    </row>
    <row r="92" ht="22" customHeight="1">
      <c r="A92" s="15" t="inlineStr">
        <is>
          <t>DB하이텍</t>
        </is>
      </c>
      <c r="B92" t="inlineStr"/>
      <c r="C92" s="15" t="inlineStr">
        <is>
          <t>000990</t>
        </is>
      </c>
      <c r="D92" s="15" t="inlineStr">
        <is>
          <t>KOSPI</t>
        </is>
      </c>
      <c r="E92" s="15" t="inlineStr">
        <is>
          <t>IDM/제조/메모리</t>
        </is>
      </c>
      <c r="F92" s="15" t="n">
        <v>66.53</v>
      </c>
      <c r="G92" s="15" t="n">
        <v>0</v>
      </c>
      <c r="H92" s="15" t="inlineStr">
        <is>
          <t>가치 매력</t>
        </is>
      </c>
      <c r="I92" s="15" t="inlineStr">
        <is>
          <t>0.9104444876024207</t>
        </is>
      </c>
      <c r="J92" t="inlineStr"/>
      <c r="K92" t="inlineStr"/>
      <c r="L92" t="inlineStr"/>
    </row>
    <row r="93" ht="22" customHeight="1">
      <c r="A93" s="15" t="inlineStr">
        <is>
          <t>자화전자</t>
        </is>
      </c>
      <c r="B93" t="inlineStr"/>
      <c r="C93" s="15" t="inlineStr">
        <is>
          <t>033240</t>
        </is>
      </c>
      <c r="D93" s="15" t="inlineStr">
        <is>
          <t>KOSPI</t>
        </is>
      </c>
      <c r="E93" s="15" t="inlineStr">
        <is>
          <t>부품/기판</t>
        </is>
      </c>
      <c r="F93" s="15" t="n">
        <v>66.48</v>
      </c>
      <c r="G93" s="15" t="n">
        <v>7.14</v>
      </c>
      <c r="H93" s="15" t="inlineStr">
        <is>
          <t>중립</t>
        </is>
      </c>
      <c r="I93" s="15" t="inlineStr">
        <is>
          <t>0.9380223994723259</t>
        </is>
      </c>
      <c r="J93" t="inlineStr"/>
      <c r="K93" t="inlineStr"/>
      <c r="L93" t="inlineStr"/>
    </row>
    <row r="94" ht="22" customHeight="1">
      <c r="A94" s="15" t="inlineStr">
        <is>
          <t>한솔아이원스</t>
        </is>
      </c>
      <c r="B94" t="inlineStr"/>
      <c r="C94" s="15" t="inlineStr">
        <is>
          <t>114810</t>
        </is>
      </c>
      <c r="D94" s="15" t="inlineStr">
        <is>
          <t>KOSDAQ</t>
        </is>
      </c>
      <c r="E94" s="15" t="inlineStr">
        <is>
          <t>장비</t>
        </is>
      </c>
      <c r="F94" s="15" t="n">
        <v>66.48</v>
      </c>
      <c r="G94" s="15" t="n">
        <v>14.29</v>
      </c>
      <c r="H94" s="15" t="inlineStr">
        <is>
          <t>가치 매력</t>
        </is>
      </c>
      <c r="I94" s="15" t="inlineStr">
        <is>
          <t>0.9031428820161691</t>
        </is>
      </c>
      <c r="J94" t="inlineStr"/>
      <c r="K94" t="inlineStr"/>
      <c r="L94" t="inlineStr"/>
    </row>
    <row r="95" ht="22" customHeight="1">
      <c r="A95" s="15" t="inlineStr">
        <is>
          <t>샘씨엔에스</t>
        </is>
      </c>
      <c r="B95" t="inlineStr"/>
      <c r="C95" s="15" t="inlineStr">
        <is>
          <t>252990</t>
        </is>
      </c>
      <c r="D95" s="15" t="inlineStr">
        <is>
          <t>KOSDAQ</t>
        </is>
      </c>
      <c r="E95" s="15" t="inlineStr">
        <is>
          <t>후공정/패키징/테스트</t>
        </is>
      </c>
      <c r="F95" s="15" t="n">
        <v>64.92</v>
      </c>
      <c r="G95" s="15" t="n">
        <v>14.29</v>
      </c>
      <c r="H95" s="15" t="inlineStr">
        <is>
          <t>가치 매력</t>
        </is>
      </c>
      <c r="I95" s="15" t="inlineStr">
        <is>
          <t>0.5521991152548656</t>
        </is>
      </c>
      <c r="J95" t="inlineStr"/>
      <c r="K95" t="inlineStr"/>
      <c r="L95" t="inlineStr"/>
    </row>
    <row r="96" ht="22" customHeight="1">
      <c r="A96" s="15" t="inlineStr">
        <is>
          <t>GST</t>
        </is>
      </c>
      <c r="B96" t="inlineStr"/>
      <c r="C96" s="15" t="inlineStr">
        <is>
          <t>083450</t>
        </is>
      </c>
      <c r="D96" s="15" t="inlineStr">
        <is>
          <t>KOSDAQ</t>
        </is>
      </c>
      <c r="E96" s="15" t="inlineStr">
        <is>
          <t>장비</t>
        </is>
      </c>
      <c r="F96" s="15" t="n">
        <v>64.75</v>
      </c>
      <c r="G96" s="15" t="n">
        <v>0</v>
      </c>
      <c r="H96" s="15" t="inlineStr">
        <is>
          <t>가치 매력</t>
        </is>
      </c>
      <c r="I96" s="15" t="inlineStr">
        <is>
          <t>0.900491542853433</t>
        </is>
      </c>
      <c r="J96" t="inlineStr"/>
      <c r="K96" t="inlineStr"/>
      <c r="L96" t="inlineStr"/>
    </row>
    <row r="97" ht="22" customHeight="1">
      <c r="A97" s="15" t="inlineStr">
        <is>
          <t>하나마이크론</t>
        </is>
      </c>
      <c r="B97" t="inlineStr"/>
      <c r="C97" s="15" t="inlineStr">
        <is>
          <t>067310</t>
        </is>
      </c>
      <c r="D97" s="15" t="inlineStr">
        <is>
          <t>KOSDAQ</t>
        </is>
      </c>
      <c r="E97" s="15" t="inlineStr">
        <is>
          <t>후공정/패키징/테스트</t>
        </is>
      </c>
      <c r="F97" s="15" t="n">
        <v>64.06</v>
      </c>
      <c r="G97" s="15" t="n">
        <v>28.57</v>
      </c>
      <c r="H97" s="15" t="inlineStr">
        <is>
          <t>가치 매력</t>
        </is>
      </c>
      <c r="I97" s="15" t="inlineStr">
        <is>
          <t>0.8727001075083287</t>
        </is>
      </c>
      <c r="J97" t="inlineStr"/>
      <c r="K97" t="inlineStr"/>
      <c r="L97" t="inlineStr"/>
    </row>
    <row r="98" ht="22" customHeight="1">
      <c r="A98" s="15" t="inlineStr">
        <is>
          <t>티이엠씨씨엔에스</t>
        </is>
      </c>
      <c r="B98" t="inlineStr"/>
      <c r="C98" s="15" t="inlineStr">
        <is>
          <t>241790</t>
        </is>
      </c>
      <c r="D98" s="15" t="inlineStr">
        <is>
          <t>KOSDAQ</t>
        </is>
      </c>
      <c r="E98" s="15" t="inlineStr">
        <is>
          <t>장비</t>
        </is>
      </c>
      <c r="F98" s="15" t="n">
        <v>63.93</v>
      </c>
      <c r="G98" s="15" t="n">
        <v>7.14</v>
      </c>
      <c r="H98" s="15" t="inlineStr">
        <is>
          <t>가치 매력</t>
        </is>
      </c>
      <c r="I98" s="15" t="inlineStr">
        <is>
          <t>0.8915695356337118</t>
        </is>
      </c>
      <c r="J98" t="inlineStr"/>
      <c r="K98" t="inlineStr"/>
      <c r="L98" t="inlineStr"/>
    </row>
    <row r="99" ht="22" customHeight="1">
      <c r="A99" s="15" t="inlineStr">
        <is>
          <t>네패스</t>
        </is>
      </c>
      <c r="B99" s="15" t="inlineStr">
        <is>
          <t>nepes</t>
        </is>
      </c>
      <c r="C99" s="15" t="inlineStr">
        <is>
          <t>033640</t>
        </is>
      </c>
      <c r="D99" s="15" t="inlineStr">
        <is>
          <t>KOSDAQ</t>
        </is>
      </c>
      <c r="E99" s="15" t="inlineStr">
        <is>
          <t>후공정/패키징/테스트</t>
        </is>
      </c>
      <c r="F99" s="15" t="n">
        <v>63.85</v>
      </c>
      <c r="G99" s="15" t="n">
        <v>28.57</v>
      </c>
      <c r="H99" s="15" t="inlineStr">
        <is>
          <t>가치 매력</t>
        </is>
      </c>
      <c r="I99" s="15" t="inlineStr">
        <is>
          <t>0.8763685947958789</t>
        </is>
      </c>
      <c r="J99" s="15" t="inlineStr">
        <is>
          <t>예</t>
        </is>
      </c>
      <c r="K99" t="inlineStr"/>
      <c r="L99" t="inlineStr"/>
    </row>
    <row r="100" ht="22" customHeight="1">
      <c r="A100" s="15" t="inlineStr">
        <is>
          <t>KX하이텍</t>
        </is>
      </c>
      <c r="B100" t="inlineStr"/>
      <c r="C100" s="15" t="inlineStr">
        <is>
          <t>052900</t>
        </is>
      </c>
      <c r="D100" s="15" t="inlineStr">
        <is>
          <t>KOSDAQ</t>
        </is>
      </c>
      <c r="E100" s="15" t="inlineStr">
        <is>
          <t>후공정/패키징/테스트</t>
        </is>
      </c>
      <c r="F100" s="15" t="n">
        <v>63.61</v>
      </c>
      <c r="G100" s="15" t="n">
        <v>7.14</v>
      </c>
      <c r="H100" s="15" t="inlineStr">
        <is>
          <t>가치 매력</t>
        </is>
      </c>
      <c r="I100" s="15" t="inlineStr">
        <is>
          <t>0.7896879678479897</t>
        </is>
      </c>
      <c r="J100" t="inlineStr"/>
      <c r="K100" t="inlineStr"/>
      <c r="L100" t="inlineStr"/>
    </row>
    <row r="101" ht="22" customHeight="1">
      <c r="A101" s="15" t="inlineStr">
        <is>
          <t>코미코</t>
        </is>
      </c>
      <c r="B101" t="inlineStr"/>
      <c r="C101" s="15" t="inlineStr">
        <is>
          <t>183300</t>
        </is>
      </c>
      <c r="D101" s="15" t="inlineStr">
        <is>
          <t>KOSDAQ GLOBAL</t>
        </is>
      </c>
      <c r="E101" s="15" t="inlineStr">
        <is>
          <t>부품/기판</t>
        </is>
      </c>
      <c r="F101" s="15" t="n">
        <v>63.43</v>
      </c>
      <c r="G101" s="15" t="n">
        <v>35.71</v>
      </c>
      <c r="H101" s="15" t="inlineStr">
        <is>
          <t>중립</t>
        </is>
      </c>
      <c r="I101" s="15" t="inlineStr">
        <is>
          <t>0.8305894153326006</t>
        </is>
      </c>
      <c r="J101" t="inlineStr"/>
      <c r="K101" t="inlineStr"/>
      <c r="L101" t="inlineStr"/>
    </row>
    <row r="102" ht="22" customHeight="1">
      <c r="A102" s="15" t="inlineStr">
        <is>
          <t>디아이티</t>
        </is>
      </c>
      <c r="B102" t="inlineStr"/>
      <c r="C102" s="15" t="inlineStr">
        <is>
          <t>110990</t>
        </is>
      </c>
      <c r="D102" s="15" t="inlineStr">
        <is>
          <t>KOSDAQ</t>
        </is>
      </c>
      <c r="E102" s="15" t="inlineStr">
        <is>
          <t>장비</t>
        </is>
      </c>
      <c r="F102" s="15" t="n">
        <v>63.41</v>
      </c>
      <c r="G102" s="15" t="n">
        <v>0</v>
      </c>
      <c r="H102" s="15" t="inlineStr">
        <is>
          <t>가치 매력</t>
        </is>
      </c>
      <c r="I102" s="15" t="inlineStr">
        <is>
          <t>0.8847780199048246</t>
        </is>
      </c>
      <c r="J102" t="inlineStr"/>
      <c r="K102" t="inlineStr"/>
      <c r="L102" t="inlineStr"/>
    </row>
    <row r="103" ht="22" customHeight="1">
      <c r="A103" s="15" t="inlineStr">
        <is>
          <t>한솔케미칼</t>
        </is>
      </c>
      <c r="B103" s="15" t="inlineStr">
        <is>
          <t>hansol</t>
        </is>
      </c>
      <c r="C103" s="15" t="inlineStr">
        <is>
          <t>014680</t>
        </is>
      </c>
      <c r="D103" s="15" t="inlineStr">
        <is>
          <t>KOSPI</t>
        </is>
      </c>
      <c r="E103" s="15" t="inlineStr">
        <is>
          <t>소재</t>
        </is>
      </c>
      <c r="F103" s="15" t="n">
        <v>63.31</v>
      </c>
      <c r="G103" s="15" t="n">
        <v>0</v>
      </c>
      <c r="H103" s="15" t="inlineStr">
        <is>
          <t>가치 매력</t>
        </is>
      </c>
      <c r="I103" s="15" t="inlineStr">
        <is>
          <t>0.8364696976606926</t>
        </is>
      </c>
      <c r="J103" s="15" t="inlineStr">
        <is>
          <t>예</t>
        </is>
      </c>
      <c r="K103" t="inlineStr"/>
      <c r="L103" t="inlineStr"/>
    </row>
    <row r="104" ht="22" customHeight="1">
      <c r="A104" s="15" t="inlineStr">
        <is>
          <t>케이씨텍</t>
        </is>
      </c>
      <c r="B104" t="inlineStr"/>
      <c r="C104" s="15" t="inlineStr">
        <is>
          <t>281820</t>
        </is>
      </c>
      <c r="D104" s="15" t="inlineStr">
        <is>
          <t>KOSPI</t>
        </is>
      </c>
      <c r="E104" s="15" t="inlineStr">
        <is>
          <t>장비</t>
        </is>
      </c>
      <c r="F104" s="15" t="n">
        <v>63.15</v>
      </c>
      <c r="G104" s="15" t="n">
        <v>0</v>
      </c>
      <c r="H104" s="15" t="inlineStr">
        <is>
          <t>가치 매력</t>
        </is>
      </c>
      <c r="I104" s="15" t="inlineStr">
        <is>
          <t>0.8895261430914092</t>
        </is>
      </c>
      <c r="J104" t="inlineStr"/>
      <c r="K104" t="inlineStr"/>
      <c r="L104" t="inlineStr"/>
    </row>
    <row r="105" ht="22" customHeight="1">
      <c r="A105" s="15" t="inlineStr">
        <is>
          <t>이녹스첨단소재</t>
        </is>
      </c>
      <c r="B105" t="inlineStr"/>
      <c r="C105" s="15" t="inlineStr">
        <is>
          <t>272290</t>
        </is>
      </c>
      <c r="D105" s="15" t="inlineStr">
        <is>
          <t>KOSDAQ GLOBAL</t>
        </is>
      </c>
      <c r="E105" s="15" t="inlineStr">
        <is>
          <t>소재</t>
        </is>
      </c>
      <c r="F105" s="15" t="n">
        <v>63.13</v>
      </c>
      <c r="G105" s="15" t="n">
        <v>7.14</v>
      </c>
      <c r="H105" s="15" t="inlineStr">
        <is>
          <t>중립</t>
        </is>
      </c>
      <c r="I105" s="15" t="inlineStr">
        <is>
          <t>0.900184891106931</t>
        </is>
      </c>
      <c r="J105" t="inlineStr"/>
      <c r="K105" t="inlineStr"/>
      <c r="L105" t="inlineStr"/>
    </row>
    <row r="106" ht="22" customHeight="1">
      <c r="A106" s="15" t="inlineStr">
        <is>
          <t>로체시스템즈</t>
        </is>
      </c>
      <c r="B106" t="inlineStr"/>
      <c r="C106" s="15" t="inlineStr">
        <is>
          <t>071280</t>
        </is>
      </c>
      <c r="D106" s="15" t="inlineStr">
        <is>
          <t>KOSDAQ</t>
        </is>
      </c>
      <c r="E106" s="15" t="inlineStr">
        <is>
          <t>장비</t>
        </is>
      </c>
      <c r="F106" s="15" t="n">
        <v>62.59</v>
      </c>
      <c r="G106" s="15" t="n">
        <v>7.14</v>
      </c>
      <c r="H106" s="15" t="inlineStr">
        <is>
          <t>가치 매력</t>
        </is>
      </c>
      <c r="I106" s="15" t="inlineStr">
        <is>
          <t>0.9642438845844894</t>
        </is>
      </c>
      <c r="J106" t="inlineStr"/>
      <c r="K106" t="inlineStr"/>
      <c r="L106" t="inlineStr"/>
    </row>
    <row r="107" ht="22" customHeight="1">
      <c r="A107" s="15" t="inlineStr">
        <is>
          <t>에이치엠넥스</t>
        </is>
      </c>
      <c r="B107" t="inlineStr"/>
      <c r="C107" s="15" t="inlineStr">
        <is>
          <t>036170</t>
        </is>
      </c>
      <c r="D107" s="15" t="inlineStr">
        <is>
          <t>KOSDAQ</t>
        </is>
      </c>
      <c r="E107" s="15" t="inlineStr">
        <is>
          <t>후공정/패키징/테스트</t>
        </is>
      </c>
      <c r="F107" s="15" t="n">
        <v>62.1</v>
      </c>
      <c r="G107" s="15" t="n">
        <v>35.71</v>
      </c>
      <c r="H107" s="15" t="inlineStr">
        <is>
          <t>중립</t>
        </is>
      </c>
      <c r="I107" s="15" t="inlineStr">
        <is>
          <t>0.7433115072206052</t>
        </is>
      </c>
      <c r="J107" t="inlineStr"/>
      <c r="K107" t="inlineStr"/>
      <c r="L107" t="inlineStr"/>
    </row>
    <row r="108" ht="22" customHeight="1">
      <c r="A108" s="15" t="inlineStr">
        <is>
          <t>리노공업</t>
        </is>
      </c>
      <c r="B108" t="inlineStr"/>
      <c r="C108" s="15" t="inlineStr">
        <is>
          <t>058470</t>
        </is>
      </c>
      <c r="D108" s="15" t="inlineStr">
        <is>
          <t>KOSDAQ GLOBAL</t>
        </is>
      </c>
      <c r="E108" s="15" t="inlineStr">
        <is>
          <t>후공정/패키징/테스트</t>
        </is>
      </c>
      <c r="F108" s="15" t="n">
        <v>61.91</v>
      </c>
      <c r="G108" s="15" t="n">
        <v>0</v>
      </c>
      <c r="H108" s="15" t="inlineStr">
        <is>
          <t>가치 매력</t>
        </is>
      </c>
      <c r="I108" s="15" t="inlineStr">
        <is>
          <t>0.6825301704423244</t>
        </is>
      </c>
      <c r="J108" t="inlineStr"/>
      <c r="K108" t="inlineStr"/>
      <c r="L108" t="inlineStr"/>
    </row>
    <row r="109" ht="22" customHeight="1">
      <c r="A109" s="15" t="inlineStr">
        <is>
          <t>아이씨디</t>
        </is>
      </c>
      <c r="B109" t="inlineStr"/>
      <c r="C109" s="15" t="inlineStr">
        <is>
          <t>040910</t>
        </is>
      </c>
      <c r="D109" s="15" t="inlineStr">
        <is>
          <t>KOSDAQ</t>
        </is>
      </c>
      <c r="E109" s="15" t="inlineStr">
        <is>
          <t>장비</t>
        </is>
      </c>
      <c r="F109" s="15" t="n">
        <v>61.59</v>
      </c>
      <c r="G109" s="15" t="n">
        <v>7.14</v>
      </c>
      <c r="H109" s="15" t="inlineStr">
        <is>
          <t>중립</t>
        </is>
      </c>
      <c r="I109" s="15" t="inlineStr">
        <is>
          <t>0.692546582663732</t>
        </is>
      </c>
      <c r="J109" t="inlineStr"/>
      <c r="K109" t="inlineStr"/>
      <c r="L109" t="inlineStr"/>
    </row>
    <row r="110" ht="22" customHeight="1">
      <c r="A110" s="15" t="inlineStr">
        <is>
          <t>에스에프에이</t>
        </is>
      </c>
      <c r="B110" t="inlineStr"/>
      <c r="C110" s="15" t="inlineStr">
        <is>
          <t>056190</t>
        </is>
      </c>
      <c r="D110" s="15" t="inlineStr">
        <is>
          <t>KOSDAQ GLOBAL</t>
        </is>
      </c>
      <c r="E110" s="15" t="inlineStr">
        <is>
          <t>장비</t>
        </is>
      </c>
      <c r="F110" s="15" t="n">
        <v>60.99</v>
      </c>
      <c r="G110" s="15" t="n">
        <v>0</v>
      </c>
      <c r="H110" s="15" t="inlineStr">
        <is>
          <t>가치 매력</t>
        </is>
      </c>
      <c r="I110" s="15" t="inlineStr">
        <is>
          <t>0.8690882589557657</t>
        </is>
      </c>
      <c r="J110" t="inlineStr"/>
      <c r="K110" t="inlineStr"/>
      <c r="L110" t="inlineStr"/>
    </row>
    <row r="111" ht="22" customHeight="1">
      <c r="A111" s="15" t="inlineStr">
        <is>
          <t>오디텍</t>
        </is>
      </c>
      <c r="B111" t="inlineStr"/>
      <c r="C111" s="15" t="inlineStr">
        <is>
          <t>080520</t>
        </is>
      </c>
      <c r="D111" s="15" t="inlineStr">
        <is>
          <t>KOSDAQ</t>
        </is>
      </c>
      <c r="E111" s="15" t="inlineStr">
        <is>
          <t>IDM/제조/메모리</t>
        </is>
      </c>
      <c r="F111" s="15" t="n">
        <v>60.83</v>
      </c>
      <c r="G111" s="15" t="n">
        <v>42.86</v>
      </c>
      <c r="H111" s="15" t="inlineStr">
        <is>
          <t>중립</t>
        </is>
      </c>
      <c r="I111" s="15" t="inlineStr">
        <is>
          <t>0.8328575689014174</t>
        </is>
      </c>
      <c r="J111" t="inlineStr"/>
      <c r="K111" t="inlineStr"/>
      <c r="L111" t="inlineStr"/>
    </row>
    <row r="112" ht="22" customHeight="1">
      <c r="A112" s="15" t="inlineStr">
        <is>
          <t>오킨스전자</t>
        </is>
      </c>
      <c r="B112" t="inlineStr"/>
      <c r="C112" s="15" t="inlineStr">
        <is>
          <t>080580</t>
        </is>
      </c>
      <c r="D112" s="15" t="inlineStr">
        <is>
          <t>KOSDAQ</t>
        </is>
      </c>
      <c r="E112" s="15" t="inlineStr">
        <is>
          <t>후공정/패키징/테스트</t>
        </is>
      </c>
      <c r="F112" s="15" t="n">
        <v>60.62</v>
      </c>
      <c r="G112" s="15" t="n">
        <v>21.43</v>
      </c>
      <c r="H112" s="15" t="inlineStr">
        <is>
          <t>가치 매력</t>
        </is>
      </c>
      <c r="I112" s="15" t="inlineStr">
        <is>
          <t>0.8105235691914331</t>
        </is>
      </c>
      <c r="J112" t="inlineStr"/>
      <c r="K112" t="inlineStr"/>
      <c r="L112" t="inlineStr"/>
    </row>
    <row r="113" ht="22" customHeight="1">
      <c r="A113" s="15" t="inlineStr">
        <is>
          <t>알에프세미</t>
        </is>
      </c>
      <c r="B113" t="inlineStr"/>
      <c r="C113" s="15" t="inlineStr">
        <is>
          <t>096610</t>
        </is>
      </c>
      <c r="D113" s="15" t="inlineStr">
        <is>
          <t>KOSDAQ</t>
        </is>
      </c>
      <c r="E113" s="15" t="inlineStr">
        <is>
          <t>팹리스/설계</t>
        </is>
      </c>
      <c r="F113" s="15" t="n">
        <v>60.3</v>
      </c>
      <c r="G113" s="15" t="n">
        <v>7.14</v>
      </c>
      <c r="H113" s="15" t="inlineStr">
        <is>
          <t>가치 매력</t>
        </is>
      </c>
      <c r="I113" s="15" t="inlineStr">
        <is>
          <t>0.8083150256499313</t>
        </is>
      </c>
      <c r="J113" t="inlineStr"/>
      <c r="K113" t="inlineStr"/>
      <c r="L113" t="inlineStr"/>
    </row>
    <row r="114" ht="22" customHeight="1">
      <c r="A114" s="15" t="inlineStr">
        <is>
          <t>그린리소스</t>
        </is>
      </c>
      <c r="B114" t="inlineStr"/>
      <c r="C114" s="15" t="inlineStr">
        <is>
          <t>402490</t>
        </is>
      </c>
      <c r="D114" s="15" t="inlineStr">
        <is>
          <t>KOSDAQ</t>
        </is>
      </c>
      <c r="E114" s="15" t="inlineStr">
        <is>
          <t>IDM/제조/메모리</t>
        </is>
      </c>
      <c r="F114" s="15" t="n">
        <v>60.22</v>
      </c>
      <c r="G114" s="15" t="n">
        <v>42.86</v>
      </c>
      <c r="H114" s="15" t="inlineStr">
        <is>
          <t>중립</t>
        </is>
      </c>
      <c r="I114" s="15" t="inlineStr">
        <is>
          <t>0.7869051998623771</t>
        </is>
      </c>
      <c r="J114" t="inlineStr"/>
      <c r="K114" t="inlineStr"/>
      <c r="L114" t="inlineStr"/>
    </row>
    <row r="115" ht="22" customHeight="1">
      <c r="A115" s="15" t="inlineStr">
        <is>
          <t>삼양엔씨켐</t>
        </is>
      </c>
      <c r="B115" t="inlineStr"/>
      <c r="C115" s="15" t="inlineStr">
        <is>
          <t>482630</t>
        </is>
      </c>
      <c r="D115" s="15" t="inlineStr">
        <is>
          <t>KOSDAQ</t>
        </is>
      </c>
      <c r="E115" s="15" t="inlineStr">
        <is>
          <t>장비</t>
        </is>
      </c>
      <c r="F115" s="15" t="n">
        <v>59.93</v>
      </c>
      <c r="G115" s="15" t="n">
        <v>7.14</v>
      </c>
      <c r="H115" s="15" t="inlineStr">
        <is>
          <t>가치 매력</t>
        </is>
      </c>
      <c r="I115" s="15" t="inlineStr">
        <is>
          <t>0.6408467710997098</t>
        </is>
      </c>
      <c r="J115" t="inlineStr"/>
      <c r="K115" t="inlineStr"/>
      <c r="L115" t="inlineStr"/>
    </row>
    <row r="116" ht="22" customHeight="1">
      <c r="A116" s="15" t="inlineStr">
        <is>
          <t>루멘스</t>
        </is>
      </c>
      <c r="B116" t="inlineStr"/>
      <c r="C116" s="15" t="inlineStr">
        <is>
          <t>038060</t>
        </is>
      </c>
      <c r="D116" s="15" t="inlineStr">
        <is>
          <t>KOSDAQ</t>
        </is>
      </c>
      <c r="E116" s="15" t="inlineStr">
        <is>
          <t>IDM/제조/메모리</t>
        </is>
      </c>
      <c r="F116" s="15" t="n">
        <v>59.7</v>
      </c>
      <c r="G116" s="15" t="n">
        <v>35.71</v>
      </c>
      <c r="H116" s="15" t="inlineStr">
        <is>
          <t>중립</t>
        </is>
      </c>
      <c r="I116" s="15" t="inlineStr">
        <is>
          <t>0.8437683700786414</t>
        </is>
      </c>
      <c r="J116" t="inlineStr"/>
      <c r="K116" t="inlineStr"/>
      <c r="L116" t="inlineStr"/>
    </row>
    <row r="117" ht="22" customHeight="1">
      <c r="A117" s="15" t="inlineStr">
        <is>
          <t>싸이맥스</t>
        </is>
      </c>
      <c r="B117" t="inlineStr"/>
      <c r="C117" s="15" t="inlineStr">
        <is>
          <t>160980</t>
        </is>
      </c>
      <c r="D117" s="15" t="inlineStr">
        <is>
          <t>KOSDAQ</t>
        </is>
      </c>
      <c r="E117" s="15" t="inlineStr">
        <is>
          <t>장비</t>
        </is>
      </c>
      <c r="F117" s="15" t="n">
        <v>59.61</v>
      </c>
      <c r="G117" s="15" t="n">
        <v>0</v>
      </c>
      <c r="H117" s="15" t="inlineStr">
        <is>
          <t>가치 매력</t>
        </is>
      </c>
      <c r="I117" s="15" t="inlineStr">
        <is>
          <t>0.8128181122496774</t>
        </is>
      </c>
      <c r="J117" t="inlineStr"/>
      <c r="K117" t="inlineStr"/>
      <c r="L117" t="inlineStr"/>
    </row>
    <row r="118" ht="22" customHeight="1">
      <c r="A118" s="15" t="inlineStr">
        <is>
          <t>제주반도체</t>
        </is>
      </c>
      <c r="B118" t="inlineStr"/>
      <c r="C118" s="15" t="inlineStr">
        <is>
          <t>080220</t>
        </is>
      </c>
      <c r="D118" s="15" t="inlineStr">
        <is>
          <t>KOSDAQ</t>
        </is>
      </c>
      <c r="E118" s="15" t="inlineStr">
        <is>
          <t>팹리스/설계</t>
        </is>
      </c>
      <c r="F118" s="15" t="n">
        <v>59.17</v>
      </c>
      <c r="G118" s="15" t="n">
        <v>0</v>
      </c>
      <c r="H118" s="15" t="inlineStr">
        <is>
          <t>가치 매력</t>
        </is>
      </c>
      <c r="I118" s="15" t="inlineStr">
        <is>
          <t>0.6955424557105586</t>
        </is>
      </c>
      <c r="J118" t="inlineStr"/>
      <c r="K118" t="inlineStr"/>
      <c r="L118" t="inlineStr"/>
    </row>
    <row r="119" ht="22" customHeight="1">
      <c r="A119" s="15" t="inlineStr">
        <is>
          <t>티에스이</t>
        </is>
      </c>
      <c r="B119" t="inlineStr"/>
      <c r="C119" s="15" t="inlineStr">
        <is>
          <t>131290</t>
        </is>
      </c>
      <c r="D119" s="15" t="inlineStr">
        <is>
          <t>KOSDAQ</t>
        </is>
      </c>
      <c r="E119" s="15" t="inlineStr">
        <is>
          <t>팹리스/설계</t>
        </is>
      </c>
      <c r="F119" s="15" t="n">
        <v>58.81</v>
      </c>
      <c r="G119" s="15" t="n">
        <v>0</v>
      </c>
      <c r="H119" s="15" t="inlineStr">
        <is>
          <t>가치 매력</t>
        </is>
      </c>
      <c r="I119" s="15" t="inlineStr">
        <is>
          <t>0.7390287615028212</t>
        </is>
      </c>
      <c r="J119" t="inlineStr"/>
      <c r="K119" t="inlineStr"/>
      <c r="L119" t="inlineStr"/>
    </row>
    <row r="120" ht="22" customHeight="1">
      <c r="A120" s="15" t="inlineStr">
        <is>
          <t>디아이</t>
        </is>
      </c>
      <c r="B120" t="inlineStr"/>
      <c r="C120" s="15" t="inlineStr">
        <is>
          <t>003160</t>
        </is>
      </c>
      <c r="D120" s="15" t="inlineStr">
        <is>
          <t>KOSPI</t>
        </is>
      </c>
      <c r="E120" s="15" t="inlineStr">
        <is>
          <t>후공정/패키징/테스트</t>
        </is>
      </c>
      <c r="F120" s="15" t="n">
        <v>58.76</v>
      </c>
      <c r="G120" s="15" t="n">
        <v>7.14</v>
      </c>
      <c r="H120" s="15" t="inlineStr">
        <is>
          <t>가치 매력</t>
        </is>
      </c>
      <c r="I120" s="15" t="inlineStr">
        <is>
          <t>0.6560906263736197</t>
        </is>
      </c>
      <c r="J120" t="inlineStr"/>
      <c r="K120" t="inlineStr"/>
      <c r="L120" t="inlineStr"/>
    </row>
    <row r="121" ht="22" customHeight="1">
      <c r="A121" s="15" t="inlineStr">
        <is>
          <t>피델릭스</t>
        </is>
      </c>
      <c r="B121" t="inlineStr"/>
      <c r="C121" s="15" t="inlineStr">
        <is>
          <t>032580</t>
        </is>
      </c>
      <c r="D121" s="15" t="inlineStr">
        <is>
          <t>KOSDAQ</t>
        </is>
      </c>
      <c r="E121" s="15" t="inlineStr">
        <is>
          <t>IDM/제조/메모리</t>
        </is>
      </c>
      <c r="F121" s="15" t="n">
        <v>58.73</v>
      </c>
      <c r="G121" s="15" t="n">
        <v>50</v>
      </c>
      <c r="H121" s="15" t="inlineStr">
        <is>
          <t>중립</t>
        </is>
      </c>
      <c r="I121" s="15" t="inlineStr">
        <is>
          <t>0.8604826019551013</t>
        </is>
      </c>
      <c r="J121" t="inlineStr"/>
      <c r="K121" t="inlineStr"/>
      <c r="L121" t="inlineStr"/>
    </row>
    <row r="122" ht="22" customHeight="1">
      <c r="A122" s="15" t="inlineStr">
        <is>
          <t>엘티씨</t>
        </is>
      </c>
      <c r="B122" s="15" t="inlineStr">
        <is>
          <t>ltc</t>
        </is>
      </c>
      <c r="C122" s="15" t="inlineStr">
        <is>
          <t>170920</t>
        </is>
      </c>
      <c r="D122" s="15" t="inlineStr">
        <is>
          <t>KOSDAQ</t>
        </is>
      </c>
      <c r="E122" s="15" t="inlineStr">
        <is>
          <t>소재</t>
        </is>
      </c>
      <c r="F122" s="15" t="n">
        <v>58.38</v>
      </c>
      <c r="G122" s="15" t="n">
        <v>0</v>
      </c>
      <c r="H122" s="15" t="inlineStr">
        <is>
          <t>중립</t>
        </is>
      </c>
      <c r="I122" s="15" t="inlineStr">
        <is>
          <t>0.6353016273848794</t>
        </is>
      </c>
      <c r="J122" s="15" t="inlineStr">
        <is>
          <t>예</t>
        </is>
      </c>
      <c r="K122" t="inlineStr"/>
      <c r="L122" t="inlineStr"/>
    </row>
    <row r="123" ht="22" customHeight="1">
      <c r="A123" s="15" t="inlineStr">
        <is>
          <t>엔시트론</t>
        </is>
      </c>
      <c r="B123" t="inlineStr"/>
      <c r="C123" s="15" t="inlineStr">
        <is>
          <t>101400</t>
        </is>
      </c>
      <c r="D123" s="15" t="inlineStr">
        <is>
          <t>KOSDAQ</t>
        </is>
      </c>
      <c r="E123" s="15" t="inlineStr">
        <is>
          <t>IDM/제조/메모리</t>
        </is>
      </c>
      <c r="F123" s="15" t="n">
        <v>57.73</v>
      </c>
      <c r="G123" s="15" t="n">
        <v>35.71</v>
      </c>
      <c r="H123" s="15" t="inlineStr">
        <is>
          <t>중립</t>
        </is>
      </c>
      <c r="I123" s="15" t="inlineStr">
        <is>
          <t>0.8173941540342667</t>
        </is>
      </c>
      <c r="J123" t="inlineStr"/>
      <c r="K123" t="inlineStr"/>
      <c r="L123" t="inlineStr"/>
    </row>
    <row r="124" ht="22" customHeight="1">
      <c r="A124" s="15" t="inlineStr">
        <is>
          <t>아나패스</t>
        </is>
      </c>
      <c r="B124" t="inlineStr"/>
      <c r="C124" s="15" t="inlineStr">
        <is>
          <t>123860</t>
        </is>
      </c>
      <c r="D124" s="15" t="inlineStr">
        <is>
          <t>KOSDAQ</t>
        </is>
      </c>
      <c r="E124" s="15" t="inlineStr">
        <is>
          <t>팹리스/설계</t>
        </is>
      </c>
      <c r="F124" s="15" t="n">
        <v>57.62</v>
      </c>
      <c r="G124" s="15" t="n">
        <v>0</v>
      </c>
      <c r="H124" s="15" t="inlineStr">
        <is>
          <t>중립</t>
        </is>
      </c>
      <c r="I124" s="15" t="inlineStr">
        <is>
          <t>0.510332377942325</t>
        </is>
      </c>
      <c r="J124" t="inlineStr"/>
      <c r="K124" t="inlineStr"/>
      <c r="L124" t="inlineStr"/>
    </row>
    <row r="125" ht="22" customHeight="1">
      <c r="A125" s="15" t="inlineStr">
        <is>
          <t>비에이치</t>
        </is>
      </c>
      <c r="B125" t="inlineStr"/>
      <c r="C125" s="15" t="inlineStr">
        <is>
          <t>090460</t>
        </is>
      </c>
      <c r="D125" s="15" t="inlineStr">
        <is>
          <t>KOSPI</t>
        </is>
      </c>
      <c r="E125" s="15" t="inlineStr">
        <is>
          <t>부품/기판</t>
        </is>
      </c>
      <c r="F125" s="15" t="n">
        <v>57.52</v>
      </c>
      <c r="G125" s="15" t="n">
        <v>0</v>
      </c>
      <c r="H125" s="15" t="inlineStr">
        <is>
          <t>중립</t>
        </is>
      </c>
      <c r="I125" s="15" t="inlineStr">
        <is>
          <t>0.5078538652826</t>
        </is>
      </c>
      <c r="J125" t="inlineStr"/>
      <c r="K125" t="inlineStr"/>
      <c r="L125" t="inlineStr"/>
    </row>
    <row r="126" ht="22" customHeight="1">
      <c r="A126" s="15" t="inlineStr">
        <is>
          <t>뉴파워프라즈마</t>
        </is>
      </c>
      <c r="B126" t="inlineStr"/>
      <c r="C126" s="15" t="inlineStr">
        <is>
          <t>144960</t>
        </is>
      </c>
      <c r="D126" s="15" t="inlineStr">
        <is>
          <t>KOSDAQ</t>
        </is>
      </c>
      <c r="E126" s="15" t="inlineStr">
        <is>
          <t>장비</t>
        </is>
      </c>
      <c r="F126" s="15" t="n">
        <v>57.49</v>
      </c>
      <c r="G126" s="15" t="n">
        <v>21.43</v>
      </c>
      <c r="H126" s="15" t="inlineStr">
        <is>
          <t>중립</t>
        </is>
      </c>
      <c r="I126" s="15" t="inlineStr">
        <is>
          <t>0.868464354966477</t>
        </is>
      </c>
      <c r="J126" t="inlineStr"/>
      <c r="K126" t="inlineStr"/>
      <c r="L126" t="inlineStr"/>
    </row>
    <row r="127" ht="22" customHeight="1">
      <c r="A127" s="15" t="inlineStr">
        <is>
          <t>이엘씨</t>
        </is>
      </c>
      <c r="B127" t="inlineStr"/>
      <c r="C127" s="15" t="inlineStr">
        <is>
          <t>041520</t>
        </is>
      </c>
      <c r="D127" s="15" t="inlineStr">
        <is>
          <t>KOSDAQ</t>
        </is>
      </c>
      <c r="E127" s="15" t="inlineStr">
        <is>
          <t>장비</t>
        </is>
      </c>
      <c r="F127" s="15" t="n">
        <v>57.22</v>
      </c>
      <c r="G127" s="15" t="n">
        <v>35.71</v>
      </c>
      <c r="H127" s="15" t="inlineStr">
        <is>
          <t>중립</t>
        </is>
      </c>
      <c r="I127" s="15" t="inlineStr">
        <is>
          <t>0.7059172837936919</t>
        </is>
      </c>
      <c r="J127" t="inlineStr"/>
      <c r="K127" t="inlineStr"/>
      <c r="L127" t="inlineStr"/>
    </row>
    <row r="128" ht="22" customHeight="1">
      <c r="A128" s="15" t="inlineStr">
        <is>
          <t>엑시콘</t>
        </is>
      </c>
      <c r="B128" t="inlineStr"/>
      <c r="C128" s="15" t="inlineStr">
        <is>
          <t>092870</t>
        </is>
      </c>
      <c r="D128" s="15" t="inlineStr">
        <is>
          <t>KOSDAQ</t>
        </is>
      </c>
      <c r="E128" s="15" t="inlineStr">
        <is>
          <t>후공정/패키징/테스트</t>
        </is>
      </c>
      <c r="F128" s="15" t="n">
        <v>57.11</v>
      </c>
      <c r="G128" s="15" t="n">
        <v>21.43</v>
      </c>
      <c r="H128" s="15" t="inlineStr">
        <is>
          <t>중립</t>
        </is>
      </c>
      <c r="I128" s="15" t="inlineStr">
        <is>
          <t>0.7870958268046786</t>
        </is>
      </c>
      <c r="J128" t="inlineStr"/>
      <c r="K128" t="inlineStr"/>
      <c r="L128" t="inlineStr"/>
    </row>
    <row r="129" ht="22" customHeight="1">
      <c r="A129" s="15" t="inlineStr">
        <is>
          <t>티이엠씨</t>
        </is>
      </c>
      <c r="B129" t="inlineStr"/>
      <c r="C129" s="15" t="inlineStr">
        <is>
          <t>425040</t>
        </is>
      </c>
      <c r="D129" s="15" t="inlineStr">
        <is>
          <t>KOSDAQ</t>
        </is>
      </c>
      <c r="E129" s="15" t="inlineStr">
        <is>
          <t>소재</t>
        </is>
      </c>
      <c r="F129" s="15" t="n">
        <v>56.67</v>
      </c>
      <c r="G129" s="15" t="n">
        <v>7.14</v>
      </c>
      <c r="H129" s="15" t="inlineStr">
        <is>
          <t>중립</t>
        </is>
      </c>
      <c r="I129" s="15" t="inlineStr">
        <is>
          <t>0.8720430887980049</t>
        </is>
      </c>
      <c r="J129" t="inlineStr"/>
      <c r="K129" t="inlineStr"/>
      <c r="L129" t="inlineStr"/>
    </row>
    <row r="130" ht="22" customHeight="1">
      <c r="A130" s="15" t="inlineStr">
        <is>
          <t>서울바이오시스</t>
        </is>
      </c>
      <c r="B130" t="inlineStr"/>
      <c r="C130" s="15" t="inlineStr">
        <is>
          <t>092190</t>
        </is>
      </c>
      <c r="D130" s="15" t="inlineStr">
        <is>
          <t>KOSDAQ</t>
        </is>
      </c>
      <c r="E130" s="15" t="inlineStr">
        <is>
          <t>IDM/제조/메모리</t>
        </is>
      </c>
      <c r="F130" s="15" t="n">
        <v>56.55</v>
      </c>
      <c r="G130" s="15" t="n">
        <v>42.86</v>
      </c>
      <c r="H130" s="15" t="inlineStr">
        <is>
          <t>중립</t>
        </is>
      </c>
      <c r="I130" s="15" t="inlineStr">
        <is>
          <t>0.7336783523450653</t>
        </is>
      </c>
      <c r="J130" t="inlineStr"/>
      <c r="K130" t="inlineStr"/>
      <c r="L130" t="inlineStr"/>
    </row>
    <row r="131" ht="22" customHeight="1">
      <c r="A131" s="15" t="inlineStr">
        <is>
          <t>에스앤에스텍</t>
        </is>
      </c>
      <c r="B131" t="inlineStr"/>
      <c r="C131" s="15" t="inlineStr">
        <is>
          <t>101490</t>
        </is>
      </c>
      <c r="D131" s="15" t="inlineStr">
        <is>
          <t>KOSDAQ</t>
        </is>
      </c>
      <c r="E131" s="15" t="inlineStr">
        <is>
          <t>소재</t>
        </is>
      </c>
      <c r="F131" s="15" t="n">
        <v>56.54</v>
      </c>
      <c r="G131" s="15" t="n">
        <v>7.14</v>
      </c>
      <c r="H131" s="15" t="inlineStr">
        <is>
          <t>중립</t>
        </is>
      </c>
      <c r="I131" s="15" t="inlineStr">
        <is>
          <t>0.7907123507381016</t>
        </is>
      </c>
      <c r="J131" t="inlineStr"/>
      <c r="K131" t="inlineStr"/>
      <c r="L131" t="inlineStr"/>
    </row>
    <row r="132" ht="22" customHeight="1">
      <c r="A132" s="15" t="inlineStr">
        <is>
          <t>포인트엔지니어링</t>
        </is>
      </c>
      <c r="B132" t="inlineStr"/>
      <c r="C132" s="15" t="inlineStr">
        <is>
          <t>256630</t>
        </is>
      </c>
      <c r="D132" s="15" t="inlineStr">
        <is>
          <t>KOSDAQ</t>
        </is>
      </c>
      <c r="E132" s="15" t="inlineStr">
        <is>
          <t>장비</t>
        </is>
      </c>
      <c r="F132" s="15" t="n">
        <v>56.49</v>
      </c>
      <c r="G132" s="15" t="n">
        <v>14.29</v>
      </c>
      <c r="H132" s="15" t="inlineStr">
        <is>
          <t>중립</t>
        </is>
      </c>
      <c r="I132" s="15" t="inlineStr">
        <is>
          <t>0.735270480034121</t>
        </is>
      </c>
      <c r="J132" t="inlineStr"/>
      <c r="K132" t="inlineStr"/>
      <c r="L132" t="inlineStr"/>
    </row>
    <row r="133" ht="22" customHeight="1">
      <c r="A133" s="15" t="inlineStr">
        <is>
          <t>테스</t>
        </is>
      </c>
      <c r="B133" t="inlineStr"/>
      <c r="C133" s="15" t="inlineStr">
        <is>
          <t>095610</t>
        </is>
      </c>
      <c r="D133" s="15" t="inlineStr">
        <is>
          <t>KOSDAQ</t>
        </is>
      </c>
      <c r="E133" s="15" t="inlineStr">
        <is>
          <t>장비</t>
        </is>
      </c>
      <c r="F133" s="15" t="n">
        <v>56.4</v>
      </c>
      <c r="G133" s="15" t="n">
        <v>14.29</v>
      </c>
      <c r="H133" s="15" t="inlineStr">
        <is>
          <t>중립</t>
        </is>
      </c>
      <c r="I133" s="15" t="inlineStr">
        <is>
          <t>0.5083695341145091</t>
        </is>
      </c>
      <c r="J133" t="inlineStr"/>
      <c r="K133" t="inlineStr"/>
      <c r="L133" t="inlineStr"/>
    </row>
    <row r="134" ht="22" customHeight="1">
      <c r="A134" s="15" t="inlineStr">
        <is>
          <t>코아시아</t>
        </is>
      </c>
      <c r="B134" t="inlineStr"/>
      <c r="C134" s="15" t="inlineStr">
        <is>
          <t>045970</t>
        </is>
      </c>
      <c r="D134" s="15" t="inlineStr">
        <is>
          <t>KOSDAQ</t>
        </is>
      </c>
      <c r="E134" s="15" t="inlineStr">
        <is>
          <t>팹리스/설계</t>
        </is>
      </c>
      <c r="F134" s="15" t="n">
        <v>56.12</v>
      </c>
      <c r="G134" s="15" t="n">
        <v>50</v>
      </c>
      <c r="H134" s="15" t="inlineStr">
        <is>
          <t>중립</t>
        </is>
      </c>
      <c r="I134" s="15" t="inlineStr">
        <is>
          <t>0.811266524244761</t>
        </is>
      </c>
      <c r="J134" t="inlineStr"/>
      <c r="K134" t="inlineStr"/>
      <c r="L134" t="inlineStr"/>
    </row>
    <row r="135" ht="22" customHeight="1">
      <c r="A135" s="15" t="inlineStr">
        <is>
          <t>우리이앤엘하루틴</t>
        </is>
      </c>
      <c r="B135" t="inlineStr"/>
      <c r="C135" s="15" t="inlineStr">
        <is>
          <t>153490</t>
        </is>
      </c>
      <c r="D135" s="15" t="inlineStr">
        <is>
          <t>KOSDAQ</t>
        </is>
      </c>
      <c r="E135" s="15" t="inlineStr">
        <is>
          <t>후공정/패키징/테스트</t>
        </is>
      </c>
      <c r="F135" s="15" t="n">
        <v>55.99</v>
      </c>
      <c r="G135" s="15" t="n">
        <v>14.29</v>
      </c>
      <c r="H135" s="15" t="inlineStr">
        <is>
          <t>중립</t>
        </is>
      </c>
      <c r="I135" s="15" t="inlineStr">
        <is>
          <t>0.803860880134826</t>
        </is>
      </c>
      <c r="J135" t="inlineStr"/>
      <c r="K135" t="inlineStr"/>
      <c r="L135" t="inlineStr"/>
    </row>
    <row r="136" ht="22" customHeight="1">
      <c r="A136" s="15" t="inlineStr">
        <is>
          <t>와이씨</t>
        </is>
      </c>
      <c r="B136" t="inlineStr"/>
      <c r="C136" s="15" t="inlineStr">
        <is>
          <t>232140</t>
        </is>
      </c>
      <c r="D136" s="15" t="inlineStr">
        <is>
          <t>KOSDAQ</t>
        </is>
      </c>
      <c r="E136" s="15" t="inlineStr">
        <is>
          <t>후공정/패키징/테스트</t>
        </is>
      </c>
      <c r="F136" s="15" t="n">
        <v>55.73</v>
      </c>
      <c r="G136" s="15" t="n">
        <v>0</v>
      </c>
      <c r="H136" s="15" t="inlineStr">
        <is>
          <t>중립</t>
        </is>
      </c>
      <c r="I136" s="15" t="inlineStr">
        <is>
          <t>0.5813875575219858</t>
        </is>
      </c>
      <c r="J136" t="inlineStr"/>
      <c r="K136" t="inlineStr"/>
      <c r="L136" t="inlineStr"/>
    </row>
    <row r="137" ht="22" customHeight="1">
      <c r="A137" s="15" t="inlineStr">
        <is>
          <t>기가비스</t>
        </is>
      </c>
      <c r="B137" t="inlineStr"/>
      <c r="C137" s="15" t="inlineStr">
        <is>
          <t>420770</t>
        </is>
      </c>
      <c r="D137" s="15" t="inlineStr">
        <is>
          <t>KOSDAQ</t>
        </is>
      </c>
      <c r="E137" s="15" t="inlineStr">
        <is>
          <t>후공정/패키징/테스트</t>
        </is>
      </c>
      <c r="F137" s="15" t="n">
        <v>55.44</v>
      </c>
      <c r="G137" s="15" t="n">
        <v>7.14</v>
      </c>
      <c r="H137" s="15" t="inlineStr">
        <is>
          <t>중립</t>
        </is>
      </c>
      <c r="I137" s="15" t="inlineStr">
        <is>
          <t>0.604283449323821</t>
        </is>
      </c>
      <c r="J137" t="inlineStr"/>
      <c r="K137" t="inlineStr"/>
      <c r="L137" t="inlineStr"/>
    </row>
    <row r="138" ht="22" customHeight="1">
      <c r="A138" s="15" t="inlineStr">
        <is>
          <t>픽셀플러스</t>
        </is>
      </c>
      <c r="B138" t="inlineStr"/>
      <c r="C138" s="15" t="inlineStr">
        <is>
          <t>087600</t>
        </is>
      </c>
      <c r="D138" s="15" t="inlineStr">
        <is>
          <t>KOSDAQ</t>
        </is>
      </c>
      <c r="E138" s="15" t="inlineStr">
        <is>
          <t>팹리스/설계</t>
        </is>
      </c>
      <c r="F138" s="15" t="n">
        <v>54.3</v>
      </c>
      <c r="G138" s="15" t="n">
        <v>28.57</v>
      </c>
      <c r="H138" s="15" t="inlineStr">
        <is>
          <t>중립</t>
        </is>
      </c>
      <c r="I138" s="15" t="inlineStr">
        <is>
          <t>0.8353732583827468</t>
        </is>
      </c>
      <c r="J138" t="inlineStr"/>
      <c r="K138" t="inlineStr"/>
      <c r="L138" t="inlineStr"/>
    </row>
    <row r="139" ht="22" customHeight="1">
      <c r="A139" s="15" t="inlineStr">
        <is>
          <t>칩스앤미디어</t>
        </is>
      </c>
      <c r="B139" t="inlineStr"/>
      <c r="C139" s="15" t="inlineStr">
        <is>
          <t>094360</t>
        </is>
      </c>
      <c r="D139" s="15" t="inlineStr">
        <is>
          <t>KOSDAQ</t>
        </is>
      </c>
      <c r="E139" s="15" t="inlineStr">
        <is>
          <t>팹리스/설계</t>
        </is>
      </c>
      <c r="F139" s="15" t="n">
        <v>54.24</v>
      </c>
      <c r="G139" s="15" t="n">
        <v>0</v>
      </c>
      <c r="H139" s="15" t="inlineStr">
        <is>
          <t>중립</t>
        </is>
      </c>
      <c r="I139" s="15" t="inlineStr">
        <is>
          <t>0.44740744488593415</t>
        </is>
      </c>
      <c r="J139" t="inlineStr"/>
      <c r="K139" t="inlineStr"/>
      <c r="L139" t="inlineStr"/>
    </row>
    <row r="140" ht="22" customHeight="1">
      <c r="A140" s="15" t="inlineStr">
        <is>
          <t>큐에스아이</t>
        </is>
      </c>
      <c r="B140" t="inlineStr"/>
      <c r="C140" s="15" t="inlineStr">
        <is>
          <t>066310</t>
        </is>
      </c>
      <c r="D140" s="15" t="inlineStr">
        <is>
          <t>KOSDAQ</t>
        </is>
      </c>
      <c r="E140" s="15" t="inlineStr">
        <is>
          <t>IDM/제조/메모리</t>
        </is>
      </c>
      <c r="F140" s="15" t="n">
        <v>54.23</v>
      </c>
      <c r="G140" s="15" t="n">
        <v>7.14</v>
      </c>
      <c r="H140" s="15" t="inlineStr">
        <is>
          <t>중립</t>
        </is>
      </c>
      <c r="I140" s="15" t="inlineStr">
        <is>
          <t>0.5496283015517583</t>
        </is>
      </c>
      <c r="J140" t="inlineStr"/>
      <c r="K140" t="inlineStr"/>
      <c r="L140" t="inlineStr"/>
    </row>
    <row r="141" ht="22" customHeight="1">
      <c r="A141" s="15" t="inlineStr">
        <is>
          <t>유니셈</t>
        </is>
      </c>
      <c r="B141" t="inlineStr"/>
      <c r="C141" s="15" t="inlineStr">
        <is>
          <t>036200</t>
        </is>
      </c>
      <c r="D141" s="15" t="inlineStr">
        <is>
          <t>KOSDAQ</t>
        </is>
      </c>
      <c r="E141" s="15" t="inlineStr">
        <is>
          <t>장비</t>
        </is>
      </c>
      <c r="F141" s="15" t="n">
        <v>54.09</v>
      </c>
      <c r="G141" s="15" t="n">
        <v>21.43</v>
      </c>
      <c r="H141" s="15" t="inlineStr">
        <is>
          <t>중립</t>
        </is>
      </c>
      <c r="I141" s="15" t="inlineStr">
        <is>
          <t>0.751305499027411</t>
        </is>
      </c>
      <c r="J141" t="inlineStr"/>
      <c r="K141" t="inlineStr"/>
      <c r="L141" t="inlineStr"/>
    </row>
    <row r="142" ht="22" customHeight="1">
      <c r="A142" s="15" t="inlineStr">
        <is>
          <t>피에스케이홀딩스</t>
        </is>
      </c>
      <c r="B142" t="inlineStr"/>
      <c r="C142" s="15" t="inlineStr">
        <is>
          <t>031980</t>
        </is>
      </c>
      <c r="D142" s="15" t="inlineStr">
        <is>
          <t>KOSDAQ</t>
        </is>
      </c>
      <c r="E142" s="15" t="inlineStr">
        <is>
          <t>장비</t>
        </is>
      </c>
      <c r="F142" s="15" t="n">
        <v>53.85</v>
      </c>
      <c r="G142" s="15" t="n">
        <v>0</v>
      </c>
      <c r="H142" s="15" t="inlineStr">
        <is>
          <t>중립</t>
        </is>
      </c>
      <c r="I142" s="15" t="inlineStr">
        <is>
          <t>0.7521125976897308</t>
        </is>
      </c>
      <c r="J142" t="inlineStr"/>
      <c r="K142" t="inlineStr"/>
      <c r="L142" t="inlineStr"/>
    </row>
    <row r="143" ht="22" customHeight="1">
      <c r="A143" s="15" t="inlineStr">
        <is>
          <t>워트</t>
        </is>
      </c>
      <c r="B143" t="inlineStr"/>
      <c r="C143" s="15" t="inlineStr">
        <is>
          <t>396470</t>
        </is>
      </c>
      <c r="D143" s="15" t="inlineStr">
        <is>
          <t>KOSDAQ</t>
        </is>
      </c>
      <c r="E143" s="15" t="inlineStr">
        <is>
          <t>장비</t>
        </is>
      </c>
      <c r="F143" s="15" t="n">
        <v>53.84</v>
      </c>
      <c r="G143" s="15" t="n">
        <v>7.14</v>
      </c>
      <c r="H143" s="15" t="inlineStr">
        <is>
          <t>중립</t>
        </is>
      </c>
      <c r="I143" s="15" t="inlineStr">
        <is>
          <t>0.6073344328439819</t>
        </is>
      </c>
      <c r="J143" t="inlineStr"/>
      <c r="K143" t="inlineStr"/>
      <c r="L143" t="inlineStr"/>
    </row>
    <row r="144" ht="22" customHeight="1">
      <c r="A144" s="15" t="inlineStr">
        <is>
          <t>엘오티베큠</t>
        </is>
      </c>
      <c r="B144" t="inlineStr"/>
      <c r="C144" s="15" t="inlineStr">
        <is>
          <t>083310</t>
        </is>
      </c>
      <c r="D144" s="15" t="inlineStr">
        <is>
          <t>KOSDAQ</t>
        </is>
      </c>
      <c r="E144" s="15" t="inlineStr">
        <is>
          <t>IDM/제조/메모리</t>
        </is>
      </c>
      <c r="F144" s="15" t="n">
        <v>53.8</v>
      </c>
      <c r="G144" s="15" t="n">
        <v>21.43</v>
      </c>
      <c r="H144" s="15" t="inlineStr">
        <is>
          <t>중립</t>
        </is>
      </c>
      <c r="I144" s="15" t="inlineStr">
        <is>
          <t>0.860578291373445</t>
        </is>
      </c>
      <c r="J144" t="inlineStr"/>
      <c r="K144" t="inlineStr"/>
      <c r="L144" t="inlineStr"/>
    </row>
    <row r="145" ht="22" customHeight="1">
      <c r="A145" s="15" t="inlineStr">
        <is>
          <t>비씨엔씨</t>
        </is>
      </c>
      <c r="B145" t="inlineStr"/>
      <c r="C145" s="15" t="inlineStr">
        <is>
          <t>146320</t>
        </is>
      </c>
      <c r="D145" s="15" t="inlineStr">
        <is>
          <t>KOSDAQ</t>
        </is>
      </c>
      <c r="E145" s="15" t="inlineStr">
        <is>
          <t>IDM/제조/메모리</t>
        </is>
      </c>
      <c r="F145" s="15" t="n">
        <v>53.66</v>
      </c>
      <c r="G145" s="15" t="n">
        <v>28.57</v>
      </c>
      <c r="H145" s="15" t="inlineStr">
        <is>
          <t>중립</t>
        </is>
      </c>
      <c r="I145" s="15" t="inlineStr">
        <is>
          <t>0.7033805368548921</t>
        </is>
      </c>
      <c r="J145" t="inlineStr"/>
      <c r="K145" t="inlineStr"/>
      <c r="L145" t="inlineStr"/>
    </row>
    <row r="146" ht="22" customHeight="1">
      <c r="A146" s="15" t="inlineStr">
        <is>
          <t>티엘비</t>
        </is>
      </c>
      <c r="B146" t="inlineStr"/>
      <c r="C146" s="15" t="inlineStr">
        <is>
          <t>356860</t>
        </is>
      </c>
      <c r="D146" s="15" t="inlineStr">
        <is>
          <t>KOSDAQ</t>
        </is>
      </c>
      <c r="E146" s="15" t="inlineStr">
        <is>
          <t>IDM/제조/메모리</t>
        </is>
      </c>
      <c r="F146" s="15" t="n">
        <v>53.62</v>
      </c>
      <c r="G146" s="15" t="n">
        <v>7.14</v>
      </c>
      <c r="H146" s="15" t="inlineStr">
        <is>
          <t>중립</t>
        </is>
      </c>
      <c r="I146" s="15" t="inlineStr">
        <is>
          <t>0.8509295904965918</t>
        </is>
      </c>
      <c r="J146" t="inlineStr"/>
      <c r="K146" t="inlineStr"/>
      <c r="L146" t="inlineStr"/>
    </row>
    <row r="147" ht="22" customHeight="1">
      <c r="A147" s="15" t="inlineStr">
        <is>
          <t>피에스케이</t>
        </is>
      </c>
      <c r="B147" t="inlineStr"/>
      <c r="C147" s="15" t="inlineStr">
        <is>
          <t>319660</t>
        </is>
      </c>
      <c r="D147" s="15" t="inlineStr">
        <is>
          <t>KOSDAQ GLOBAL</t>
        </is>
      </c>
      <c r="E147" s="15" t="inlineStr">
        <is>
          <t>장비</t>
        </is>
      </c>
      <c r="F147" s="15" t="n">
        <v>53.57</v>
      </c>
      <c r="G147" s="15" t="n">
        <v>0</v>
      </c>
      <c r="H147" s="15" t="inlineStr">
        <is>
          <t>중립</t>
        </is>
      </c>
      <c r="I147" s="15" t="inlineStr">
        <is>
          <t>0.7072072873445469</t>
        </is>
      </c>
      <c r="J147" t="inlineStr"/>
      <c r="K147" t="inlineStr"/>
      <c r="L147" t="inlineStr"/>
    </row>
    <row r="148" ht="22" customHeight="1">
      <c r="A148" s="15" t="inlineStr">
        <is>
          <t>해성디에스</t>
        </is>
      </c>
      <c r="B148" t="inlineStr"/>
      <c r="C148" s="15" t="inlineStr">
        <is>
          <t>195870</t>
        </is>
      </c>
      <c r="D148" s="15" t="inlineStr">
        <is>
          <t>KOSPI</t>
        </is>
      </c>
      <c r="E148" s="15" t="inlineStr">
        <is>
          <t>후공정/패키징/테스트</t>
        </is>
      </c>
      <c r="F148" s="15" t="n">
        <v>53.33</v>
      </c>
      <c r="G148" s="15" t="n">
        <v>7.14</v>
      </c>
      <c r="H148" s="15" t="inlineStr">
        <is>
          <t>중립</t>
        </is>
      </c>
      <c r="I148" s="15" t="inlineStr">
        <is>
          <t>0.8942165906576592</t>
        </is>
      </c>
      <c r="J148" t="inlineStr"/>
      <c r="K148" t="inlineStr"/>
      <c r="L148" t="inlineStr"/>
    </row>
    <row r="149" ht="22" customHeight="1">
      <c r="A149" s="15" t="inlineStr">
        <is>
          <t>심텍홀딩스</t>
        </is>
      </c>
      <c r="B149" t="inlineStr"/>
      <c r="C149" s="15" t="inlineStr">
        <is>
          <t>036710</t>
        </is>
      </c>
      <c r="D149" s="15" t="inlineStr">
        <is>
          <t>KOSDAQ</t>
        </is>
      </c>
      <c r="E149" s="15" t="inlineStr">
        <is>
          <t>부품/기판</t>
        </is>
      </c>
      <c r="F149" s="15" t="n">
        <v>53.24</v>
      </c>
      <c r="G149" s="15" t="n">
        <v>78.56999999999999</v>
      </c>
      <c r="H149" s="15" t="inlineStr">
        <is>
          <t>중립</t>
        </is>
      </c>
      <c r="I149" s="15" t="inlineStr">
        <is>
          <t>0.726519318190825</t>
        </is>
      </c>
      <c r="J149" t="inlineStr"/>
      <c r="K149" t="inlineStr"/>
      <c r="L149" t="inlineStr"/>
    </row>
    <row r="150" ht="22" customHeight="1">
      <c r="A150" s="15" t="inlineStr">
        <is>
          <t>하나머티리얼즈</t>
        </is>
      </c>
      <c r="B150" t="inlineStr"/>
      <c r="C150" s="15" t="inlineStr">
        <is>
          <t>166090</t>
        </is>
      </c>
      <c r="D150" s="15" t="inlineStr">
        <is>
          <t>KOSDAQ GLOBAL</t>
        </is>
      </c>
      <c r="E150" s="15" t="inlineStr">
        <is>
          <t>IDM/제조/메모리</t>
        </is>
      </c>
      <c r="F150" s="15" t="n">
        <v>53.22</v>
      </c>
      <c r="G150" s="15" t="n">
        <v>0</v>
      </c>
      <c r="H150" s="15" t="inlineStr">
        <is>
          <t>중립</t>
        </is>
      </c>
      <c r="I150" s="15" t="inlineStr">
        <is>
          <t>0.6425667923365267</t>
        </is>
      </c>
      <c r="J150" t="inlineStr"/>
      <c r="K150" t="inlineStr"/>
      <c r="L150" t="inlineStr"/>
    </row>
    <row r="151" ht="22" customHeight="1">
      <c r="A151" s="15" t="inlineStr">
        <is>
          <t>엠디바이스</t>
        </is>
      </c>
      <c r="B151" t="inlineStr"/>
      <c r="C151" s="15" t="inlineStr">
        <is>
          <t>226590</t>
        </is>
      </c>
      <c r="D151" s="15" t="inlineStr">
        <is>
          <t>KOSDAQ</t>
        </is>
      </c>
      <c r="E151" s="15" t="inlineStr">
        <is>
          <t>부품/기판</t>
        </is>
      </c>
      <c r="F151" s="15" t="n">
        <v>53.19</v>
      </c>
      <c r="G151" s="15" t="n">
        <v>42.86</v>
      </c>
      <c r="H151" s="15" t="inlineStr">
        <is>
          <t>중립</t>
        </is>
      </c>
      <c r="I151" s="15" t="inlineStr">
        <is>
          <t>0.7655361666958056</t>
        </is>
      </c>
      <c r="J151" t="inlineStr"/>
      <c r="K151" t="inlineStr"/>
      <c r="L151" t="inlineStr"/>
    </row>
    <row r="152" ht="22" customHeight="1">
      <c r="A152" s="15" t="inlineStr">
        <is>
          <t>제이아이테크</t>
        </is>
      </c>
      <c r="B152" t="inlineStr"/>
      <c r="C152" s="15" t="inlineStr">
        <is>
          <t>417500</t>
        </is>
      </c>
      <c r="D152" s="15" t="inlineStr">
        <is>
          <t>KOSDAQ</t>
        </is>
      </c>
      <c r="E152" s="15" t="inlineStr">
        <is>
          <t>소재</t>
        </is>
      </c>
      <c r="F152" s="15" t="n">
        <v>52.64</v>
      </c>
      <c r="G152" s="15" t="n">
        <v>7.14</v>
      </c>
      <c r="H152" s="15" t="inlineStr">
        <is>
          <t>중립</t>
        </is>
      </c>
      <c r="I152" s="15" t="inlineStr">
        <is>
          <t>0.8525733569966568</t>
        </is>
      </c>
      <c r="J152" t="inlineStr"/>
      <c r="K152" t="inlineStr"/>
      <c r="L152" t="inlineStr"/>
    </row>
    <row r="153" ht="22" customHeight="1">
      <c r="A153" s="15" t="inlineStr">
        <is>
          <t>브이엠</t>
        </is>
      </c>
      <c r="B153" t="inlineStr"/>
      <c r="C153" s="15" t="inlineStr">
        <is>
          <t>089970</t>
        </is>
      </c>
      <c r="D153" s="15" t="inlineStr">
        <is>
          <t>KOSDAQ</t>
        </is>
      </c>
      <c r="E153" s="15" t="inlineStr">
        <is>
          <t>장비</t>
        </is>
      </c>
      <c r="F153" s="15" t="n">
        <v>52.04</v>
      </c>
      <c r="G153" s="15" t="n">
        <v>0</v>
      </c>
      <c r="H153" s="15" t="inlineStr">
        <is>
          <t>중립</t>
        </is>
      </c>
      <c r="I153" s="15" t="inlineStr">
        <is>
          <t>0.737579554357605</t>
        </is>
      </c>
      <c r="J153" t="inlineStr"/>
      <c r="K153" t="inlineStr"/>
      <c r="L153" t="inlineStr"/>
    </row>
    <row r="154" ht="22" customHeight="1">
      <c r="A154" s="15" t="inlineStr">
        <is>
          <t>ISC</t>
        </is>
      </c>
      <c r="B154" t="inlineStr"/>
      <c r="C154" s="15" t="inlineStr">
        <is>
          <t>095340</t>
        </is>
      </c>
      <c r="D154" s="15" t="inlineStr">
        <is>
          <t>KOSDAQ GLOBAL</t>
        </is>
      </c>
      <c r="E154" s="15" t="inlineStr">
        <is>
          <t>후공정/패키징/테스트</t>
        </is>
      </c>
      <c r="F154" s="15" t="n">
        <v>51.76</v>
      </c>
      <c r="G154" s="15" t="n">
        <v>0</v>
      </c>
      <c r="H154" s="15" t="inlineStr">
        <is>
          <t>중립</t>
        </is>
      </c>
      <c r="I154" s="15" t="inlineStr">
        <is>
          <t>0.5753148434947495</t>
        </is>
      </c>
      <c r="J154" t="inlineStr"/>
      <c r="K154" t="inlineStr"/>
      <c r="L154" t="inlineStr"/>
    </row>
    <row r="155" ht="22" customHeight="1">
      <c r="A155" s="15" t="inlineStr">
        <is>
          <t>원익QnC</t>
        </is>
      </c>
      <c r="B155" t="inlineStr"/>
      <c r="C155" s="15" t="inlineStr">
        <is>
          <t>074600</t>
        </is>
      </c>
      <c r="D155" s="15" t="inlineStr">
        <is>
          <t>KOSDAQ GLOBAL</t>
        </is>
      </c>
      <c r="E155" s="15" t="inlineStr">
        <is>
          <t>소재</t>
        </is>
      </c>
      <c r="F155" s="15" t="n">
        <v>51.56</v>
      </c>
      <c r="G155" s="15" t="n">
        <v>28.57</v>
      </c>
      <c r="H155" s="15" t="inlineStr">
        <is>
          <t>중립</t>
        </is>
      </c>
      <c r="I155" s="15" t="inlineStr">
        <is>
          <t>0.4211836082778998</t>
        </is>
      </c>
      <c r="J155" t="inlineStr"/>
      <c r="K155" t="inlineStr"/>
      <c r="L155" t="inlineStr"/>
    </row>
    <row r="156" ht="22" customHeight="1">
      <c r="A156" s="15" t="inlineStr">
        <is>
          <t>엠케이전자</t>
        </is>
      </c>
      <c r="B156" t="inlineStr"/>
      <c r="C156" s="15" t="inlineStr">
        <is>
          <t>033160</t>
        </is>
      </c>
      <c r="D156" s="15" t="inlineStr">
        <is>
          <t>KOSDAQ</t>
        </is>
      </c>
      <c r="E156" s="15" t="inlineStr">
        <is>
          <t>소재</t>
        </is>
      </c>
      <c r="F156" s="15" t="n">
        <v>51.05</v>
      </c>
      <c r="G156" s="15" t="n">
        <v>57.14</v>
      </c>
      <c r="H156" s="15" t="inlineStr">
        <is>
          <t>중립</t>
        </is>
      </c>
      <c r="I156" s="15" t="inlineStr">
        <is>
          <t>0.801168459079624</t>
        </is>
      </c>
      <c r="J156" t="inlineStr"/>
      <c r="K156" t="inlineStr"/>
      <c r="L156" t="inlineStr"/>
    </row>
    <row r="157" ht="22" customHeight="1">
      <c r="A157" s="15" t="inlineStr">
        <is>
          <t>웰킵스하이텍</t>
        </is>
      </c>
      <c r="B157" t="inlineStr"/>
      <c r="C157" s="15" t="inlineStr">
        <is>
          <t>043590</t>
        </is>
      </c>
      <c r="D157" s="15" t="inlineStr">
        <is>
          <t>KOSDAQ</t>
        </is>
      </c>
      <c r="E157" s="15" t="inlineStr">
        <is>
          <t>IDM/제조/메모리</t>
        </is>
      </c>
      <c r="F157" s="15" t="n">
        <v>50.87</v>
      </c>
      <c r="G157" s="15" t="n">
        <v>71.43000000000001</v>
      </c>
      <c r="H157" s="15" t="inlineStr">
        <is>
          <t>중립</t>
        </is>
      </c>
      <c r="I157" s="15" t="inlineStr">
        <is>
          <t>0.7753200487478359</t>
        </is>
      </c>
      <c r="J157" t="inlineStr"/>
      <c r="K157" t="inlineStr"/>
      <c r="L157" t="inlineStr"/>
    </row>
    <row r="158" ht="22" customHeight="1">
      <c r="A158" s="15" t="inlineStr">
        <is>
          <t>타이거일렉</t>
        </is>
      </c>
      <c r="B158" t="inlineStr"/>
      <c r="C158" s="15" t="inlineStr">
        <is>
          <t>219130</t>
        </is>
      </c>
      <c r="D158" s="15" t="inlineStr">
        <is>
          <t>KOSDAQ</t>
        </is>
      </c>
      <c r="E158" s="15" t="inlineStr">
        <is>
          <t>부품/기판</t>
        </is>
      </c>
      <c r="F158" s="15" t="n">
        <v>50.67</v>
      </c>
      <c r="G158" s="15" t="n">
        <v>14.29</v>
      </c>
      <c r="H158" s="15" t="inlineStr">
        <is>
          <t>중립</t>
        </is>
      </c>
      <c r="I158" s="15" t="inlineStr">
        <is>
          <t>0.6463040733623892</t>
        </is>
      </c>
      <c r="J158" t="inlineStr"/>
      <c r="K158" t="inlineStr"/>
      <c r="L158" t="inlineStr"/>
    </row>
    <row r="159" ht="22" customHeight="1">
      <c r="A159" s="15" t="inlineStr">
        <is>
          <t>이수페타시스</t>
        </is>
      </c>
      <c r="B159" t="inlineStr"/>
      <c r="C159" s="15" t="inlineStr">
        <is>
          <t>007660</t>
        </is>
      </c>
      <c r="D159" s="15" t="inlineStr">
        <is>
          <t>KOSPI</t>
        </is>
      </c>
      <c r="E159" s="15" t="inlineStr">
        <is>
          <t>부품/기판</t>
        </is>
      </c>
      <c r="F159" s="15" t="n">
        <v>50.62</v>
      </c>
      <c r="G159" s="15" t="n">
        <v>0</v>
      </c>
      <c r="H159" s="15" t="inlineStr">
        <is>
          <t>중립</t>
        </is>
      </c>
      <c r="I159" s="15" t="inlineStr">
        <is>
          <t>0.599589540069591</t>
        </is>
      </c>
      <c r="J159" t="inlineStr"/>
      <c r="K159" t="inlineStr"/>
      <c r="L159" t="inlineStr"/>
    </row>
    <row r="160" ht="22" customHeight="1">
      <c r="A160" s="15" t="inlineStr">
        <is>
          <t>에이팩트</t>
        </is>
      </c>
      <c r="B160" t="inlineStr"/>
      <c r="C160" s="15" t="inlineStr">
        <is>
          <t>200470</t>
        </is>
      </c>
      <c r="D160" s="15" t="inlineStr">
        <is>
          <t>KOSDAQ</t>
        </is>
      </c>
      <c r="E160" s="15" t="inlineStr">
        <is>
          <t>후공정/패키징/테스트</t>
        </is>
      </c>
      <c r="F160" s="15" t="n">
        <v>50.27</v>
      </c>
      <c r="G160" s="15" t="n">
        <v>42.86</v>
      </c>
      <c r="H160" s="15" t="inlineStr">
        <is>
          <t>중립</t>
        </is>
      </c>
      <c r="I160" s="15" t="inlineStr">
        <is>
          <t>0.8010795762920226</t>
        </is>
      </c>
      <c r="J160" t="inlineStr"/>
      <c r="K160" t="inlineStr"/>
      <c r="L160" t="inlineStr"/>
    </row>
    <row r="161" ht="22" customHeight="1">
      <c r="A161" s="15" t="inlineStr">
        <is>
          <t>와이엠티</t>
        </is>
      </c>
      <c r="B161" t="inlineStr"/>
      <c r="C161" s="15" t="inlineStr">
        <is>
          <t>251370</t>
        </is>
      </c>
      <c r="D161" s="15" t="inlineStr">
        <is>
          <t>KOSDAQ</t>
        </is>
      </c>
      <c r="E161" s="15" t="inlineStr">
        <is>
          <t>소재</t>
        </is>
      </c>
      <c r="F161" s="15" t="n">
        <v>49.9</v>
      </c>
      <c r="G161" s="15" t="n">
        <v>21.43</v>
      </c>
      <c r="H161" s="15" t="inlineStr">
        <is>
          <t>중립</t>
        </is>
      </c>
      <c r="I161" s="15" t="inlineStr">
        <is>
          <t>0.730943868859095</t>
        </is>
      </c>
      <c r="J161" t="inlineStr"/>
      <c r="K161" t="inlineStr"/>
      <c r="L161" t="inlineStr"/>
    </row>
    <row r="162" ht="22" customHeight="1">
      <c r="A162" s="15" t="inlineStr">
        <is>
          <t>아이케이세미콘</t>
        </is>
      </c>
      <c r="B162" t="inlineStr"/>
      <c r="C162" s="15" t="inlineStr">
        <is>
          <t>149010</t>
        </is>
      </c>
      <c r="D162" s="15" t="inlineStr">
        <is>
          <t>KONEX</t>
        </is>
      </c>
      <c r="E162" s="15" t="inlineStr">
        <is>
          <t>팹리스/설계</t>
        </is>
      </c>
      <c r="F162" s="15" t="n">
        <v>49.8</v>
      </c>
      <c r="G162" s="15" t="n">
        <v>64.29000000000001</v>
      </c>
      <c r="H162" s="15" t="inlineStr">
        <is>
          <t>중립</t>
        </is>
      </c>
      <c r="I162" s="15" t="inlineStr">
        <is>
          <t>0.9626560040296214</t>
        </is>
      </c>
      <c r="J162" t="inlineStr"/>
      <c r="K162" t="inlineStr"/>
      <c r="L162" t="inlineStr"/>
    </row>
    <row r="163" ht="22" customHeight="1">
      <c r="A163" s="15" t="inlineStr">
        <is>
          <t>코세스</t>
        </is>
      </c>
      <c r="B163" t="inlineStr"/>
      <c r="C163" s="15" t="inlineStr">
        <is>
          <t>089890</t>
        </is>
      </c>
      <c r="D163" s="15" t="inlineStr">
        <is>
          <t>KOSDAQ</t>
        </is>
      </c>
      <c r="E163" s="15" t="inlineStr">
        <is>
          <t>장비</t>
        </is>
      </c>
      <c r="F163" s="15" t="n">
        <v>49.79</v>
      </c>
      <c r="G163" s="15" t="n">
        <v>7.14</v>
      </c>
      <c r="H163" s="15" t="inlineStr">
        <is>
          <t>중립</t>
        </is>
      </c>
      <c r="I163" s="15" t="inlineStr">
        <is>
          <t>0.7228094449358575</t>
        </is>
      </c>
      <c r="J163" t="inlineStr"/>
      <c r="K163" t="inlineStr"/>
      <c r="L163" t="inlineStr"/>
    </row>
    <row r="164" ht="22" customHeight="1">
      <c r="A164" s="15" t="inlineStr">
        <is>
          <t>코스텍시스템</t>
        </is>
      </c>
      <c r="B164" t="inlineStr"/>
      <c r="C164" s="15" t="inlineStr">
        <is>
          <t>169670</t>
        </is>
      </c>
      <c r="D164" s="15" t="inlineStr">
        <is>
          <t>KONEX</t>
        </is>
      </c>
      <c r="E164" s="15" t="inlineStr">
        <is>
          <t>장비</t>
        </is>
      </c>
      <c r="F164" s="15" t="n">
        <v>49.6</v>
      </c>
      <c r="G164" s="15" t="n">
        <v>21.43</v>
      </c>
      <c r="H164" s="15" t="inlineStr">
        <is>
          <t>중립</t>
        </is>
      </c>
      <c r="I164" s="15" t="inlineStr">
        <is>
          <t>0.9640840061970892</t>
        </is>
      </c>
      <c r="J164" t="inlineStr"/>
      <c r="K164" t="inlineStr"/>
      <c r="L164" t="inlineStr"/>
    </row>
    <row r="165" ht="22" customHeight="1">
      <c r="A165" s="15" t="inlineStr">
        <is>
          <t>삼성전기</t>
        </is>
      </c>
      <c r="B165" t="inlineStr"/>
      <c r="C165" s="15" t="inlineStr">
        <is>
          <t>009150</t>
        </is>
      </c>
      <c r="D165" s="15" t="inlineStr">
        <is>
          <t>KOSPI</t>
        </is>
      </c>
      <c r="E165" s="15" t="inlineStr">
        <is>
          <t>후공정/패키징/테스트</t>
        </is>
      </c>
      <c r="F165" s="15" t="n">
        <v>49.57</v>
      </c>
      <c r="G165" s="15" t="n">
        <v>0</v>
      </c>
      <c r="H165" s="15" t="inlineStr">
        <is>
          <t>중립</t>
        </is>
      </c>
      <c r="I165" s="15" t="inlineStr">
        <is>
          <t>0.5297655139045552</t>
        </is>
      </c>
      <c r="J165" t="inlineStr"/>
      <c r="K165" t="inlineStr"/>
      <c r="L165" t="inlineStr"/>
    </row>
    <row r="166" ht="22" customHeight="1">
      <c r="A166" s="15" t="inlineStr">
        <is>
          <t>티씨케이</t>
        </is>
      </c>
      <c r="B166" t="inlineStr"/>
      <c r="C166" s="15" t="inlineStr">
        <is>
          <t>064760</t>
        </is>
      </c>
      <c r="D166" s="15" t="inlineStr">
        <is>
          <t>KOSDAQ GLOBAL</t>
        </is>
      </c>
      <c r="E166" s="15" t="inlineStr">
        <is>
          <t>소재</t>
        </is>
      </c>
      <c r="F166" s="15" t="n">
        <v>49.56</v>
      </c>
      <c r="G166" s="15" t="n">
        <v>0</v>
      </c>
      <c r="H166" s="15" t="inlineStr">
        <is>
          <t>중립</t>
        </is>
      </c>
      <c r="I166" s="15" t="inlineStr">
        <is>
          <t>0.6535546916238612</t>
        </is>
      </c>
      <c r="J166" t="inlineStr"/>
      <c r="K166" t="inlineStr"/>
      <c r="L166" t="inlineStr"/>
    </row>
    <row r="167" ht="22" customHeight="1">
      <c r="A167" s="15" t="inlineStr">
        <is>
          <t>텔레칩스</t>
        </is>
      </c>
      <c r="B167" t="inlineStr"/>
      <c r="C167" s="15" t="inlineStr">
        <is>
          <t>054450</t>
        </is>
      </c>
      <c r="D167" s="15" t="inlineStr">
        <is>
          <t>KOSDAQ</t>
        </is>
      </c>
      <c r="E167" s="15" t="inlineStr">
        <is>
          <t>팹리스/설계</t>
        </is>
      </c>
      <c r="F167" s="15" t="n">
        <v>49.43</v>
      </c>
      <c r="G167" s="15" t="n">
        <v>71.43000000000001</v>
      </c>
      <c r="H167" s="15" t="inlineStr">
        <is>
          <t>중립</t>
        </is>
      </c>
      <c r="I167" s="15" t="inlineStr">
        <is>
          <t>0.5716537225721987</t>
        </is>
      </c>
      <c r="J167" t="inlineStr"/>
      <c r="K167" t="inlineStr"/>
      <c r="L167" t="inlineStr"/>
    </row>
    <row r="168" ht="22" customHeight="1">
      <c r="A168" s="15" t="inlineStr">
        <is>
          <t>에이엘티</t>
        </is>
      </c>
      <c r="B168" t="inlineStr"/>
      <c r="C168" s="15" t="inlineStr">
        <is>
          <t>172670</t>
        </is>
      </c>
      <c r="D168" s="15" t="inlineStr">
        <is>
          <t>KOSDAQ</t>
        </is>
      </c>
      <c r="E168" s="15" t="inlineStr">
        <is>
          <t>후공정/패키징/테스트</t>
        </is>
      </c>
      <c r="F168" s="15" t="n">
        <v>48.77</v>
      </c>
      <c r="G168" s="15" t="n">
        <v>35.71</v>
      </c>
      <c r="H168" s="15" t="inlineStr">
        <is>
          <t>중립</t>
        </is>
      </c>
      <c r="I168" s="15" t="inlineStr">
        <is>
          <t>0.5308622758067901</t>
        </is>
      </c>
      <c r="J168" t="inlineStr"/>
      <c r="K168" t="inlineStr"/>
      <c r="L168" t="inlineStr"/>
    </row>
    <row r="169" ht="22" customHeight="1">
      <c r="A169" s="15" t="inlineStr">
        <is>
          <t>알파칩스</t>
        </is>
      </c>
      <c r="B169" t="inlineStr"/>
      <c r="C169" s="15" t="inlineStr">
        <is>
          <t>117670</t>
        </is>
      </c>
      <c r="D169" s="15" t="inlineStr">
        <is>
          <t>KOSDAQ</t>
        </is>
      </c>
      <c r="E169" s="15" t="inlineStr">
        <is>
          <t>팹리스/설계</t>
        </is>
      </c>
      <c r="F169" s="15" t="n">
        <v>48.26</v>
      </c>
      <c r="G169" s="15" t="n">
        <v>28.57</v>
      </c>
      <c r="H169" s="15" t="inlineStr">
        <is>
          <t>중립</t>
        </is>
      </c>
      <c r="I169" s="15" t="inlineStr">
        <is>
          <t>0.7398835550872951</t>
        </is>
      </c>
      <c r="J169" t="inlineStr"/>
      <c r="K169" t="inlineStr"/>
      <c r="L169" t="inlineStr"/>
    </row>
    <row r="170" ht="22" customHeight="1">
      <c r="A170" s="15" t="inlineStr">
        <is>
          <t>큐알티</t>
        </is>
      </c>
      <c r="B170" t="inlineStr"/>
      <c r="C170" s="15" t="inlineStr">
        <is>
          <t>405100</t>
        </is>
      </c>
      <c r="D170" s="15" t="inlineStr">
        <is>
          <t>KOSDAQ</t>
        </is>
      </c>
      <c r="E170" s="15" t="inlineStr">
        <is>
          <t>후공정/패키징/테스트</t>
        </is>
      </c>
      <c r="F170" s="15" t="n">
        <v>47.82</v>
      </c>
      <c r="G170" s="15" t="n">
        <v>0</v>
      </c>
      <c r="H170" s="15" t="inlineStr">
        <is>
          <t>중립</t>
        </is>
      </c>
      <c r="I170" s="15" t="inlineStr">
        <is>
          <t>0.4463498311096922</t>
        </is>
      </c>
      <c r="J170" t="inlineStr"/>
      <c r="K170" t="inlineStr"/>
      <c r="L170" t="inlineStr"/>
    </row>
    <row r="171" ht="22" customHeight="1">
      <c r="A171" s="15" t="inlineStr">
        <is>
          <t>테크엘</t>
        </is>
      </c>
      <c r="B171" t="inlineStr"/>
      <c r="C171" s="15" t="inlineStr">
        <is>
          <t>064520</t>
        </is>
      </c>
      <c r="D171" s="15" t="inlineStr">
        <is>
          <t>KOSDAQ</t>
        </is>
      </c>
      <c r="E171" s="15" t="inlineStr">
        <is>
          <t>IDM/제조/메모리</t>
        </is>
      </c>
      <c r="F171" s="15" t="n">
        <v>47.57</v>
      </c>
      <c r="G171" s="15" t="n">
        <v>50</v>
      </c>
      <c r="H171" s="15" t="inlineStr">
        <is>
          <t>중립</t>
        </is>
      </c>
      <c r="I171" s="15" t="inlineStr">
        <is>
          <t>0.7806095936743286</t>
        </is>
      </c>
      <c r="J171" t="inlineStr"/>
      <c r="K171" t="inlineStr"/>
      <c r="L171" t="inlineStr"/>
    </row>
    <row r="172" ht="22" customHeight="1">
      <c r="A172" s="15" t="inlineStr">
        <is>
          <t>HPSP</t>
        </is>
      </c>
      <c r="B172" t="inlineStr"/>
      <c r="C172" s="15" t="inlineStr">
        <is>
          <t>403870</t>
        </is>
      </c>
      <c r="D172" s="15" t="inlineStr">
        <is>
          <t>KOSDAQ GLOBAL</t>
        </is>
      </c>
      <c r="E172" s="15" t="inlineStr">
        <is>
          <t>장비</t>
        </is>
      </c>
      <c r="F172" s="15" t="n">
        <v>47.52</v>
      </c>
      <c r="G172" s="15" t="n">
        <v>0</v>
      </c>
      <c r="H172" s="15" t="inlineStr">
        <is>
          <t>중립</t>
        </is>
      </c>
      <c r="I172" s="15" t="inlineStr">
        <is>
          <t>0.7108284021978194</t>
        </is>
      </c>
      <c r="J172" t="inlineStr"/>
      <c r="K172" t="inlineStr"/>
      <c r="L172" t="inlineStr"/>
    </row>
    <row r="173" ht="22" customHeight="1">
      <c r="A173" s="15" t="inlineStr">
        <is>
          <t>라온로보틱스</t>
        </is>
      </c>
      <c r="B173" t="inlineStr"/>
      <c r="C173" s="15" t="inlineStr">
        <is>
          <t>232680</t>
        </is>
      </c>
      <c r="D173" s="15" t="inlineStr">
        <is>
          <t>KOSDAQ</t>
        </is>
      </c>
      <c r="E173" s="15" t="inlineStr">
        <is>
          <t>팹리스/설계</t>
        </is>
      </c>
      <c r="F173" s="15" t="n">
        <v>47.45</v>
      </c>
      <c r="G173" s="15" t="n">
        <v>14.29</v>
      </c>
      <c r="H173" s="15" t="inlineStr">
        <is>
          <t>중립</t>
        </is>
      </c>
      <c r="I173" s="15" t="inlineStr">
        <is>
          <t>0.7863374675167921</t>
        </is>
      </c>
      <c r="J173" t="inlineStr"/>
      <c r="K173" t="inlineStr"/>
      <c r="L173" t="inlineStr"/>
    </row>
    <row r="174" ht="22" customHeight="1">
      <c r="A174" s="15" t="inlineStr">
        <is>
          <t>서울반도체</t>
        </is>
      </c>
      <c r="B174" t="inlineStr"/>
      <c r="C174" s="15" t="inlineStr">
        <is>
          <t>046890</t>
        </is>
      </c>
      <c r="D174" s="15" t="inlineStr">
        <is>
          <t>KOSDAQ GLOBAL</t>
        </is>
      </c>
      <c r="E174" s="15" t="inlineStr">
        <is>
          <t>IDM/제조/메모리</t>
        </is>
      </c>
      <c r="F174" s="15" t="n">
        <v>47.13</v>
      </c>
      <c r="G174" s="15" t="n">
        <v>42.86</v>
      </c>
      <c r="H174" s="15" t="inlineStr">
        <is>
          <t>중립</t>
        </is>
      </c>
      <c r="I174" s="15" t="inlineStr">
        <is>
          <t>0.8223266790603506</t>
        </is>
      </c>
      <c r="J174" t="inlineStr"/>
      <c r="K174" t="inlineStr"/>
      <c r="L174" t="inlineStr"/>
    </row>
    <row r="175" ht="22" customHeight="1">
      <c r="A175" s="15" t="inlineStr">
        <is>
          <t>한미반도체</t>
        </is>
      </c>
      <c r="B175" s="15" t="inlineStr">
        <is>
          <t>hanmi</t>
        </is>
      </c>
      <c r="C175" s="15" t="inlineStr">
        <is>
          <t>042700</t>
        </is>
      </c>
      <c r="D175" s="15" t="inlineStr">
        <is>
          <t>KOSPI</t>
        </is>
      </c>
      <c r="E175" s="15" t="inlineStr">
        <is>
          <t>후공정/패키징/테스트</t>
        </is>
      </c>
      <c r="F175" s="15" t="n">
        <v>47.13</v>
      </c>
      <c r="G175" s="15" t="n">
        <v>0</v>
      </c>
      <c r="H175" s="15" t="inlineStr">
        <is>
          <t>중립</t>
        </is>
      </c>
      <c r="I175" s="15" t="inlineStr">
        <is>
          <t>0.618072727307107</t>
        </is>
      </c>
      <c r="J175" s="15" t="inlineStr">
        <is>
          <t>예</t>
        </is>
      </c>
      <c r="K175" t="inlineStr"/>
      <c r="L175" t="inlineStr"/>
    </row>
    <row r="176" ht="22" customHeight="1">
      <c r="A176" s="15" t="inlineStr">
        <is>
          <t>큐엠씨</t>
        </is>
      </c>
      <c r="B176" t="inlineStr"/>
      <c r="C176" s="15" t="inlineStr">
        <is>
          <t>136660</t>
        </is>
      </c>
      <c r="D176" s="15" t="inlineStr">
        <is>
          <t>KONEX</t>
        </is>
      </c>
      <c r="E176" s="15" t="inlineStr">
        <is>
          <t>후공정/패키징/테스트</t>
        </is>
      </c>
      <c r="F176" s="15" t="n">
        <v>47.11</v>
      </c>
      <c r="G176" s="15" t="n">
        <v>28.57</v>
      </c>
      <c r="H176" s="15" t="inlineStr">
        <is>
          <t>중립</t>
        </is>
      </c>
      <c r="I176" s="15" t="inlineStr">
        <is>
          <t>0.9731046168075388</t>
        </is>
      </c>
      <c r="J176" t="inlineStr"/>
      <c r="K176" t="inlineStr"/>
      <c r="L176" t="inlineStr"/>
    </row>
    <row r="177" ht="22" customHeight="1">
      <c r="A177" s="15" t="inlineStr">
        <is>
          <t>동진쎄미켐</t>
        </is>
      </c>
      <c r="B177" t="inlineStr"/>
      <c r="C177" s="15" t="inlineStr">
        <is>
          <t>005290</t>
        </is>
      </c>
      <c r="D177" s="15" t="inlineStr">
        <is>
          <t>KOSDAQ</t>
        </is>
      </c>
      <c r="E177" s="15" t="inlineStr">
        <is>
          <t>소재</t>
        </is>
      </c>
      <c r="F177" s="15" t="n">
        <v>47.03</v>
      </c>
      <c r="G177" s="15" t="n">
        <v>0</v>
      </c>
      <c r="H177" s="15" t="inlineStr">
        <is>
          <t>중립</t>
        </is>
      </c>
      <c r="I177" s="15" t="inlineStr">
        <is>
          <t>0.48929755601795294</t>
        </is>
      </c>
      <c r="J177" t="inlineStr"/>
      <c r="K177" t="inlineStr"/>
      <c r="L177" t="inlineStr"/>
    </row>
    <row r="178" ht="22" customHeight="1">
      <c r="A178" s="15" t="inlineStr">
        <is>
          <t>럭스피아</t>
        </is>
      </c>
      <c r="B178" t="inlineStr"/>
      <c r="C178" s="15" t="inlineStr">
        <is>
          <t>092590</t>
        </is>
      </c>
      <c r="D178" s="15" t="inlineStr">
        <is>
          <t>KONEX</t>
        </is>
      </c>
      <c r="E178" s="15" t="inlineStr">
        <is>
          <t>후공정/패키징/테스트</t>
        </is>
      </c>
      <c r="F178" s="15" t="n">
        <v>46.81</v>
      </c>
      <c r="G178" s="15" t="n">
        <v>28.57</v>
      </c>
      <c r="H178" s="15" t="inlineStr">
        <is>
          <t>중립</t>
        </is>
      </c>
      <c r="I178" s="15" t="inlineStr">
        <is>
          <t>0.969533908094729</t>
        </is>
      </c>
      <c r="J178" t="inlineStr"/>
      <c r="K178" t="inlineStr"/>
      <c r="L178" t="inlineStr"/>
    </row>
    <row r="179" ht="22" customHeight="1">
      <c r="A179" s="15" t="inlineStr">
        <is>
          <t>코리아써키트</t>
        </is>
      </c>
      <c r="B179" t="inlineStr"/>
      <c r="C179" s="15" t="inlineStr">
        <is>
          <t>007810</t>
        </is>
      </c>
      <c r="D179" s="15" t="inlineStr">
        <is>
          <t>KOSPI</t>
        </is>
      </c>
      <c r="E179" s="15" t="inlineStr">
        <is>
          <t>부품/기판</t>
        </is>
      </c>
      <c r="F179" s="15" t="n">
        <v>46.76</v>
      </c>
      <c r="G179" s="15" t="n">
        <v>28.57</v>
      </c>
      <c r="H179" s="15" t="inlineStr">
        <is>
          <t>중립</t>
        </is>
      </c>
      <c r="I179" s="15" t="inlineStr">
        <is>
          <t>0.8409076697911426</t>
        </is>
      </c>
      <c r="J179" t="inlineStr"/>
      <c r="K179" t="inlineStr"/>
      <c r="L179" t="inlineStr"/>
    </row>
    <row r="180" ht="22" customHeight="1">
      <c r="A180" s="15" t="inlineStr">
        <is>
          <t>싸이닉솔루션</t>
        </is>
      </c>
      <c r="B180" t="inlineStr"/>
      <c r="C180" s="15" t="inlineStr">
        <is>
          <t>234030</t>
        </is>
      </c>
      <c r="D180" s="15" t="inlineStr">
        <is>
          <t>KOSDAQ</t>
        </is>
      </c>
      <c r="E180" s="15" t="inlineStr">
        <is>
          <t>팹리스/설계</t>
        </is>
      </c>
      <c r="F180" s="15" t="n">
        <v>46.71</v>
      </c>
      <c r="G180" s="15" t="n">
        <v>35.71</v>
      </c>
      <c r="H180" s="15" t="inlineStr">
        <is>
          <t>중립</t>
        </is>
      </c>
      <c r="I180" s="15" t="inlineStr">
        <is>
          <t>0.7962034217650586</t>
        </is>
      </c>
      <c r="J180" t="inlineStr"/>
      <c r="K180" t="inlineStr"/>
      <c r="L180" t="inlineStr"/>
    </row>
    <row r="181" ht="22" customHeight="1">
      <c r="A181" s="15" t="inlineStr">
        <is>
          <t>HD현대에너지솔루션</t>
        </is>
      </c>
      <c r="B181" t="inlineStr"/>
      <c r="C181" s="15" t="inlineStr">
        <is>
          <t>322000</t>
        </is>
      </c>
      <c r="D181" s="15" t="inlineStr">
        <is>
          <t>KOSPI</t>
        </is>
      </c>
      <c r="E181" s="15" t="inlineStr">
        <is>
          <t>IDM/제조/메모리</t>
        </is>
      </c>
      <c r="F181" s="15" t="n">
        <v>46.5</v>
      </c>
      <c r="G181" s="15" t="n">
        <v>14.29</v>
      </c>
      <c r="H181" s="15" t="inlineStr">
        <is>
          <t>중립</t>
        </is>
      </c>
      <c r="I181" s="15" t="inlineStr">
        <is>
          <t>0.6226975287022534</t>
        </is>
      </c>
      <c r="J181" t="inlineStr"/>
      <c r="K181" t="inlineStr"/>
      <c r="L181" t="inlineStr"/>
    </row>
    <row r="182" ht="22" customHeight="1">
      <c r="A182" s="15" t="inlineStr">
        <is>
          <t>원익IPS</t>
        </is>
      </c>
      <c r="B182" t="inlineStr"/>
      <c r="C182" s="15" t="inlineStr">
        <is>
          <t>240810</t>
        </is>
      </c>
      <c r="D182" s="15" t="inlineStr">
        <is>
          <t>KOSDAQ GLOBAL</t>
        </is>
      </c>
      <c r="E182" s="15" t="inlineStr">
        <is>
          <t>장비</t>
        </is>
      </c>
      <c r="F182" s="15" t="n">
        <v>46.35</v>
      </c>
      <c r="G182" s="15" t="n">
        <v>7.14</v>
      </c>
      <c r="H182" s="15" t="inlineStr">
        <is>
          <t>중립</t>
        </is>
      </c>
      <c r="I182" s="15" t="inlineStr">
        <is>
          <t>0.5727476694226805</t>
        </is>
      </c>
      <c r="J182" t="inlineStr"/>
      <c r="K182" t="inlineStr"/>
      <c r="L182" t="inlineStr"/>
    </row>
    <row r="183" ht="22" customHeight="1">
      <c r="A183" s="15" t="inlineStr">
        <is>
          <t>파크시스템스</t>
        </is>
      </c>
      <c r="B183" t="inlineStr"/>
      <c r="C183" s="15" t="inlineStr">
        <is>
          <t>140860</t>
        </is>
      </c>
      <c r="D183" s="15" t="inlineStr">
        <is>
          <t>KOSDAQ GLOBAL</t>
        </is>
      </c>
      <c r="E183" s="15" t="inlineStr">
        <is>
          <t>장비</t>
        </is>
      </c>
      <c r="F183" s="15" t="n">
        <v>46.12</v>
      </c>
      <c r="G183" s="15" t="n">
        <v>7.14</v>
      </c>
      <c r="H183" s="15" t="inlineStr">
        <is>
          <t>중립</t>
        </is>
      </c>
      <c r="I183" s="15" t="inlineStr">
        <is>
          <t>0.7158734205313764</t>
        </is>
      </c>
      <c r="J183" t="inlineStr"/>
      <c r="K183" t="inlineStr"/>
      <c r="L183" t="inlineStr"/>
    </row>
    <row r="184" ht="22" customHeight="1">
      <c r="A184" s="15" t="inlineStr">
        <is>
          <t>와이투솔루션</t>
        </is>
      </c>
      <c r="B184" t="inlineStr"/>
      <c r="C184" s="15" t="inlineStr">
        <is>
          <t>011690</t>
        </is>
      </c>
      <c r="D184" s="15" t="inlineStr">
        <is>
          <t>KOSPI</t>
        </is>
      </c>
      <c r="E184" s="15" t="inlineStr">
        <is>
          <t>IDM/제조/메모리</t>
        </is>
      </c>
      <c r="F184" s="15" t="n">
        <v>46.02</v>
      </c>
      <c r="G184" s="15" t="n">
        <v>57.14</v>
      </c>
      <c r="H184" s="15" t="inlineStr">
        <is>
          <t>중립</t>
        </is>
      </c>
      <c r="I184" s="15" t="inlineStr">
        <is>
          <t>0.7379153959384467</t>
        </is>
      </c>
      <c r="J184" t="inlineStr"/>
      <c r="K184" t="inlineStr"/>
      <c r="L184" t="inlineStr"/>
    </row>
    <row r="185" ht="22" customHeight="1">
      <c r="A185" s="15" t="inlineStr">
        <is>
          <t>서플러스글로벌</t>
        </is>
      </c>
      <c r="B185" t="inlineStr"/>
      <c r="C185" s="15" t="inlineStr">
        <is>
          <t>140070</t>
        </is>
      </c>
      <c r="D185" s="15" t="inlineStr">
        <is>
          <t>KOSDAQ</t>
        </is>
      </c>
      <c r="E185" s="15" t="inlineStr">
        <is>
          <t>장비</t>
        </is>
      </c>
      <c r="F185" s="15" t="n">
        <v>45.95</v>
      </c>
      <c r="G185" s="15" t="n">
        <v>71.43000000000001</v>
      </c>
      <c r="H185" s="15" t="inlineStr">
        <is>
          <t>중립</t>
        </is>
      </c>
      <c r="I185" s="15" t="inlineStr">
        <is>
          <t>0.6515364241286621</t>
        </is>
      </c>
      <c r="J185" t="inlineStr"/>
      <c r="K185" t="inlineStr"/>
      <c r="L185" t="inlineStr"/>
    </row>
    <row r="186" ht="22" customHeight="1">
      <c r="A186" s="15" t="inlineStr">
        <is>
          <t>아이텍</t>
        </is>
      </c>
      <c r="B186" t="inlineStr"/>
      <c r="C186" s="15" t="inlineStr">
        <is>
          <t>119830</t>
        </is>
      </c>
      <c r="D186" s="15" t="inlineStr">
        <is>
          <t>KOSDAQ</t>
        </is>
      </c>
      <c r="E186" s="15" t="inlineStr">
        <is>
          <t>후공정/패키징/테스트</t>
        </is>
      </c>
      <c r="F186" s="15" t="n">
        <v>45.73</v>
      </c>
      <c r="G186" s="15" t="n">
        <v>21.43</v>
      </c>
      <c r="H186" s="15" t="inlineStr">
        <is>
          <t>중립</t>
        </is>
      </c>
      <c r="I186" s="15" t="inlineStr">
        <is>
          <t>0.6018206034002739</t>
        </is>
      </c>
      <c r="J186" t="inlineStr"/>
      <c r="K186" t="inlineStr"/>
      <c r="L186" t="inlineStr"/>
    </row>
    <row r="187" ht="22" customHeight="1">
      <c r="A187" s="15" t="inlineStr">
        <is>
          <t>신성이엔지</t>
        </is>
      </c>
      <c r="B187" t="inlineStr"/>
      <c r="C187" s="15" t="inlineStr">
        <is>
          <t>011930</t>
        </is>
      </c>
      <c r="D187" s="15" t="inlineStr">
        <is>
          <t>KOSPI</t>
        </is>
      </c>
      <c r="E187" s="15" t="inlineStr">
        <is>
          <t>IDM/제조/메모리</t>
        </is>
      </c>
      <c r="F187" s="15" t="n">
        <v>45.52</v>
      </c>
      <c r="G187" s="15" t="n">
        <v>57.14</v>
      </c>
      <c r="H187" s="15" t="inlineStr">
        <is>
          <t>중립</t>
        </is>
      </c>
      <c r="I187" s="15" t="inlineStr">
        <is>
          <t>0.7610157176994289</t>
        </is>
      </c>
      <c r="J187" t="inlineStr"/>
      <c r="K187" t="inlineStr"/>
      <c r="L187" t="inlineStr"/>
    </row>
    <row r="188" ht="22" customHeight="1">
      <c r="A188" s="15" t="inlineStr">
        <is>
          <t>KEC</t>
        </is>
      </c>
      <c r="B188" t="inlineStr"/>
      <c r="C188" s="15" t="inlineStr">
        <is>
          <t>092220</t>
        </is>
      </c>
      <c r="D188" s="15" t="inlineStr">
        <is>
          <t>KOSPI</t>
        </is>
      </c>
      <c r="E188" s="15" t="inlineStr">
        <is>
          <t>IDM/제조/메모리</t>
        </is>
      </c>
      <c r="F188" s="15" t="n">
        <v>45.5</v>
      </c>
      <c r="G188" s="15" t="n">
        <v>50</v>
      </c>
      <c r="H188" s="15" t="inlineStr">
        <is>
          <t>중립</t>
        </is>
      </c>
      <c r="I188" s="15" t="inlineStr">
        <is>
          <t>0.7937660338126779</t>
        </is>
      </c>
      <c r="J188" t="inlineStr"/>
      <c r="K188" t="inlineStr"/>
      <c r="L188" t="inlineStr"/>
    </row>
    <row r="189" ht="22" customHeight="1">
      <c r="A189" s="15" t="inlineStr">
        <is>
          <t>에스티아이</t>
        </is>
      </c>
      <c r="B189" t="inlineStr"/>
      <c r="C189" s="15" t="inlineStr">
        <is>
          <t>039440</t>
        </is>
      </c>
      <c r="D189" s="15" t="inlineStr">
        <is>
          <t>KOSDAQ</t>
        </is>
      </c>
      <c r="E189" s="15" t="inlineStr">
        <is>
          <t>장비</t>
        </is>
      </c>
      <c r="F189" s="15" t="n">
        <v>45.5</v>
      </c>
      <c r="G189" s="15" t="n">
        <v>0</v>
      </c>
      <c r="H189" s="15" t="inlineStr">
        <is>
          <t>중립</t>
        </is>
      </c>
      <c r="I189" s="15" t="inlineStr">
        <is>
          <t>0.53270990340385</t>
        </is>
      </c>
      <c r="J189" t="inlineStr"/>
      <c r="K189" t="inlineStr"/>
      <c r="L189" t="inlineStr"/>
    </row>
    <row r="190" ht="22" customHeight="1">
      <c r="A190" s="15" t="inlineStr">
        <is>
          <t>윈팩</t>
        </is>
      </c>
      <c r="B190" t="inlineStr"/>
      <c r="C190" s="15" t="inlineStr">
        <is>
          <t>097800</t>
        </is>
      </c>
      <c r="D190" s="15" t="inlineStr">
        <is>
          <t>KOSDAQ</t>
        </is>
      </c>
      <c r="E190" s="15" t="inlineStr">
        <is>
          <t>후공정/패키징/테스트</t>
        </is>
      </c>
      <c r="F190" s="15" t="n">
        <v>44.18</v>
      </c>
      <c r="G190" s="15" t="n">
        <v>71.43000000000001</v>
      </c>
      <c r="H190" s="15" t="inlineStr">
        <is>
          <t>중립</t>
        </is>
      </c>
      <c r="I190" s="15" t="inlineStr">
        <is>
          <t>0.5735742758518154</t>
        </is>
      </c>
      <c r="J190" t="inlineStr"/>
      <c r="K190" t="inlineStr"/>
      <c r="L190" t="inlineStr"/>
    </row>
    <row r="191" ht="22" customHeight="1">
      <c r="A191" s="15" t="inlineStr">
        <is>
          <t>켐트로닉스</t>
        </is>
      </c>
      <c r="B191" t="inlineStr"/>
      <c r="C191" s="15" t="inlineStr">
        <is>
          <t>089010</t>
        </is>
      </c>
      <c r="D191" s="15" t="inlineStr">
        <is>
          <t>KOSDAQ</t>
        </is>
      </c>
      <c r="E191" s="15" t="inlineStr">
        <is>
          <t>소재</t>
        </is>
      </c>
      <c r="F191" s="15" t="n">
        <v>44.13</v>
      </c>
      <c r="G191" s="15" t="n">
        <v>35.71</v>
      </c>
      <c r="H191" s="15" t="inlineStr">
        <is>
          <t>중립</t>
        </is>
      </c>
      <c r="I191" s="15" t="inlineStr">
        <is>
          <t>0.7697961799623572</t>
        </is>
      </c>
      <c r="J191" t="inlineStr"/>
      <c r="K191" t="inlineStr"/>
      <c r="L191" t="inlineStr"/>
    </row>
    <row r="192" ht="22" customHeight="1">
      <c r="A192" s="15" t="inlineStr">
        <is>
          <t>팸텍</t>
        </is>
      </c>
      <c r="B192" t="inlineStr"/>
      <c r="C192" s="15" t="inlineStr">
        <is>
          <t>271830</t>
        </is>
      </c>
      <c r="D192" s="15" t="inlineStr">
        <is>
          <t>KOSDAQ</t>
        </is>
      </c>
      <c r="E192" s="15" t="inlineStr">
        <is>
          <t>후공정/패키징/테스트</t>
        </is>
      </c>
      <c r="F192" s="15" t="n">
        <v>44.03</v>
      </c>
      <c r="G192" s="15" t="n">
        <v>57.14</v>
      </c>
      <c r="H192" s="15" t="inlineStr">
        <is>
          <t>중립</t>
        </is>
      </c>
      <c r="I192" s="15" t="inlineStr">
        <is>
          <t>0.6809009837226325</t>
        </is>
      </c>
      <c r="J192" t="inlineStr"/>
      <c r="K192" t="inlineStr"/>
      <c r="L192" t="inlineStr"/>
    </row>
    <row r="193" ht="22" customHeight="1">
      <c r="A193" s="15" t="inlineStr">
        <is>
          <t>LB세미콘</t>
        </is>
      </c>
      <c r="B193" t="inlineStr"/>
      <c r="C193" s="15" t="inlineStr">
        <is>
          <t>061970</t>
        </is>
      </c>
      <c r="D193" s="15" t="inlineStr">
        <is>
          <t>KOSDAQ</t>
        </is>
      </c>
      <c r="E193" s="15" t="inlineStr">
        <is>
          <t>후공정/패키징/테스트</t>
        </is>
      </c>
      <c r="F193" s="15" t="n">
        <v>43.94</v>
      </c>
      <c r="G193" s="15" t="n">
        <v>57.14</v>
      </c>
      <c r="H193" s="15" t="inlineStr">
        <is>
          <t>중립</t>
        </is>
      </c>
      <c r="I193" s="15" t="inlineStr">
        <is>
          <t>0.519835518569549</t>
        </is>
      </c>
      <c r="J193" t="inlineStr"/>
      <c r="K193" t="inlineStr"/>
      <c r="L193" t="inlineStr"/>
    </row>
    <row r="194" ht="22" customHeight="1">
      <c r="A194" s="15" t="inlineStr">
        <is>
          <t>유진테크</t>
        </is>
      </c>
      <c r="B194" t="inlineStr"/>
      <c r="C194" s="15" t="inlineStr">
        <is>
          <t>084370</t>
        </is>
      </c>
      <c r="D194" s="15" t="inlineStr">
        <is>
          <t>KOSDAQ</t>
        </is>
      </c>
      <c r="E194" s="15" t="inlineStr">
        <is>
          <t>장비</t>
        </is>
      </c>
      <c r="F194" s="15" t="n">
        <v>43.36</v>
      </c>
      <c r="G194" s="15" t="n">
        <v>0</v>
      </c>
      <c r="H194" s="15" t="inlineStr">
        <is>
          <t>중립</t>
        </is>
      </c>
      <c r="I194" s="15" t="inlineStr">
        <is>
          <t>0.7415227894291446</t>
        </is>
      </c>
      <c r="J194" t="inlineStr"/>
      <c r="K194" t="inlineStr"/>
      <c r="L194" t="inlineStr"/>
    </row>
    <row r="195" ht="22" customHeight="1">
      <c r="A195" s="15" t="inlineStr">
        <is>
          <t>일진디스플</t>
        </is>
      </c>
      <c r="B195" t="inlineStr"/>
      <c r="C195" s="15" t="inlineStr">
        <is>
          <t>020760</t>
        </is>
      </c>
      <c r="D195" s="15" t="inlineStr">
        <is>
          <t>KOSPI</t>
        </is>
      </c>
      <c r="E195" s="15" t="inlineStr">
        <is>
          <t>IDM/제조/메모리</t>
        </is>
      </c>
      <c r="F195" s="15" t="n">
        <v>43.35</v>
      </c>
      <c r="G195" s="15" t="n">
        <v>64.29000000000001</v>
      </c>
      <c r="H195" s="15" t="inlineStr">
        <is>
          <t>중립</t>
        </is>
      </c>
      <c r="I195" s="15" t="inlineStr">
        <is>
          <t>0.7887205359697603</t>
        </is>
      </c>
      <c r="J195" t="inlineStr"/>
      <c r="K195" t="inlineStr"/>
      <c r="L195" t="inlineStr"/>
    </row>
    <row r="196" ht="22" customHeight="1">
      <c r="A196" s="15" t="inlineStr">
        <is>
          <t>덕산하이메탈</t>
        </is>
      </c>
      <c r="B196" t="inlineStr"/>
      <c r="C196" s="15" t="inlineStr">
        <is>
          <t>077360</t>
        </is>
      </c>
      <c r="D196" s="15" t="inlineStr">
        <is>
          <t>KOSDAQ</t>
        </is>
      </c>
      <c r="E196" s="15" t="inlineStr">
        <is>
          <t>IDM/제조/메모리</t>
        </is>
      </c>
      <c r="F196" s="15" t="n">
        <v>43.33</v>
      </c>
      <c r="G196" s="15" t="n">
        <v>28.57</v>
      </c>
      <c r="H196" s="15" t="inlineStr">
        <is>
          <t>중립</t>
        </is>
      </c>
      <c r="I196" s="15" t="inlineStr">
        <is>
          <t>0.6698541971057747</t>
        </is>
      </c>
      <c r="J196" t="inlineStr"/>
      <c r="K196" t="inlineStr"/>
      <c r="L196" t="inlineStr"/>
    </row>
    <row r="197" ht="22" customHeight="1">
      <c r="A197" s="15" t="inlineStr">
        <is>
          <t>솔브레인</t>
        </is>
      </c>
      <c r="B197" t="inlineStr"/>
      <c r="C197" s="15" t="inlineStr">
        <is>
          <t>357780</t>
        </is>
      </c>
      <c r="D197" s="15" t="inlineStr">
        <is>
          <t>KOSDAQ GLOBAL</t>
        </is>
      </c>
      <c r="E197" s="15" t="inlineStr">
        <is>
          <t>소재</t>
        </is>
      </c>
      <c r="F197" s="15" t="n">
        <v>43.31</v>
      </c>
      <c r="G197" s="15" t="n">
        <v>0</v>
      </c>
      <c r="H197" s="15" t="inlineStr">
        <is>
          <t>중립</t>
        </is>
      </c>
      <c r="I197" s="15" t="inlineStr">
        <is>
          <t>0.6367158518654258</t>
        </is>
      </c>
      <c r="J197" t="inlineStr"/>
      <c r="K197" t="inlineStr"/>
      <c r="L197" t="inlineStr"/>
    </row>
    <row r="198" ht="22" customHeight="1">
      <c r="A198" s="15" t="inlineStr">
        <is>
          <t>제이티</t>
        </is>
      </c>
      <c r="B198" t="inlineStr"/>
      <c r="C198" s="15" t="inlineStr">
        <is>
          <t>089790</t>
        </is>
      </c>
      <c r="D198" s="15" t="inlineStr">
        <is>
          <t>KOSDAQ</t>
        </is>
      </c>
      <c r="E198" s="15" t="inlineStr">
        <is>
          <t>후공정/패키징/테스트</t>
        </is>
      </c>
      <c r="F198" s="15" t="n">
        <v>42.93</v>
      </c>
      <c r="G198" s="15" t="n">
        <v>28.57</v>
      </c>
      <c r="H198" s="15" t="inlineStr">
        <is>
          <t>중립</t>
        </is>
      </c>
      <c r="I198" s="15" t="inlineStr">
        <is>
          <t>0.7953438622461361</t>
        </is>
      </c>
      <c r="J198" t="inlineStr"/>
      <c r="K198" t="inlineStr"/>
      <c r="L198" t="inlineStr"/>
    </row>
    <row r="199" ht="22" customHeight="1">
      <c r="A199" s="15" t="inlineStr">
        <is>
          <t>아이언디바이스</t>
        </is>
      </c>
      <c r="B199" t="inlineStr"/>
      <c r="C199" s="15" t="inlineStr">
        <is>
          <t>464500</t>
        </is>
      </c>
      <c r="D199" s="15" t="inlineStr">
        <is>
          <t>KOSDAQ</t>
        </is>
      </c>
      <c r="E199" s="15" t="inlineStr">
        <is>
          <t>팹리스/설계</t>
        </is>
      </c>
      <c r="F199" s="15" t="n">
        <v>42.79</v>
      </c>
      <c r="G199" s="15" t="n">
        <v>57.14</v>
      </c>
      <c r="H199" s="15" t="inlineStr">
        <is>
          <t>중립</t>
        </is>
      </c>
      <c r="I199" s="15" t="inlineStr">
        <is>
          <t>0.767854918982104</t>
        </is>
      </c>
      <c r="J199" t="inlineStr"/>
      <c r="K199" t="inlineStr"/>
      <c r="L199" t="inlineStr"/>
    </row>
    <row r="200" ht="22" customHeight="1">
      <c r="A200" s="15" t="inlineStr">
        <is>
          <t>제너셈</t>
        </is>
      </c>
      <c r="B200" t="inlineStr"/>
      <c r="C200" s="15" t="inlineStr">
        <is>
          <t>217190</t>
        </is>
      </c>
      <c r="D200" s="15" t="inlineStr">
        <is>
          <t>KOSDAQ</t>
        </is>
      </c>
      <c r="E200" s="15" t="inlineStr">
        <is>
          <t>후공정/패키징/테스트</t>
        </is>
      </c>
      <c r="F200" s="15" t="n">
        <v>42.79</v>
      </c>
      <c r="G200" s="15" t="n">
        <v>28.57</v>
      </c>
      <c r="H200" s="15" t="inlineStr">
        <is>
          <t>중립</t>
        </is>
      </c>
      <c r="I200" s="15" t="inlineStr">
        <is>
          <t>0.7410125545144256</t>
        </is>
      </c>
      <c r="J200" t="inlineStr"/>
      <c r="K200" t="inlineStr"/>
      <c r="L200" t="inlineStr"/>
    </row>
    <row r="201" ht="22" customHeight="1">
      <c r="A201" s="15" t="inlineStr">
        <is>
          <t>에이디테크놀로지</t>
        </is>
      </c>
      <c r="B201" t="inlineStr"/>
      <c r="C201" s="15" t="inlineStr">
        <is>
          <t>200710</t>
        </is>
      </c>
      <c r="D201" s="15" t="inlineStr">
        <is>
          <t>KOSDAQ</t>
        </is>
      </c>
      <c r="E201" s="15" t="inlineStr">
        <is>
          <t>IDM/제조/메모리</t>
        </is>
      </c>
      <c r="F201" s="15" t="n">
        <v>42.72</v>
      </c>
      <c r="G201" s="15" t="n">
        <v>28.57</v>
      </c>
      <c r="H201" s="15" t="inlineStr">
        <is>
          <t>중립</t>
        </is>
      </c>
      <c r="I201" s="15" t="inlineStr">
        <is>
          <t>0.6637416757093363</t>
        </is>
      </c>
      <c r="J201" t="inlineStr"/>
      <c r="K201" t="inlineStr"/>
      <c r="L201" t="inlineStr"/>
    </row>
    <row r="202" ht="22" customHeight="1">
      <c r="A202" s="15" t="inlineStr">
        <is>
          <t>쓰리에이로직스</t>
        </is>
      </c>
      <c r="B202" t="inlineStr"/>
      <c r="C202" s="15" t="inlineStr">
        <is>
          <t>177900</t>
        </is>
      </c>
      <c r="D202" s="15" t="inlineStr">
        <is>
          <t>KOSDAQ</t>
        </is>
      </c>
      <c r="E202" s="15" t="inlineStr">
        <is>
          <t>팹리스/설계</t>
        </is>
      </c>
      <c r="F202" s="15" t="n">
        <v>42.67</v>
      </c>
      <c r="G202" s="15" t="n">
        <v>57.14</v>
      </c>
      <c r="H202" s="15" t="inlineStr">
        <is>
          <t>중립</t>
        </is>
      </c>
      <c r="I202" s="15" t="inlineStr">
        <is>
          <t>0.5793703556022938</t>
        </is>
      </c>
      <c r="J202" t="inlineStr"/>
      <c r="K202" t="inlineStr"/>
      <c r="L202" t="inlineStr"/>
    </row>
    <row r="203" ht="22" customHeight="1">
      <c r="A203" s="15" t="inlineStr">
        <is>
          <t>제우스</t>
        </is>
      </c>
      <c r="B203" t="inlineStr"/>
      <c r="C203" s="15" t="inlineStr">
        <is>
          <t>079370</t>
        </is>
      </c>
      <c r="D203" s="15" t="inlineStr">
        <is>
          <t>KOSDAQ</t>
        </is>
      </c>
      <c r="E203" s="15" t="inlineStr">
        <is>
          <t>장비</t>
        </is>
      </c>
      <c r="F203" s="15" t="n">
        <v>42.59</v>
      </c>
      <c r="G203" s="15" t="n">
        <v>21.43</v>
      </c>
      <c r="H203" s="15" t="inlineStr">
        <is>
          <t>중립</t>
        </is>
      </c>
      <c r="I203" s="15" t="inlineStr">
        <is>
          <t>0.7744454918412472</t>
        </is>
      </c>
      <c r="J203" t="inlineStr"/>
      <c r="K203" t="inlineStr"/>
      <c r="L203" t="inlineStr"/>
    </row>
    <row r="204" ht="22" customHeight="1">
      <c r="A204" s="15" t="inlineStr">
        <is>
          <t>네패스아크</t>
        </is>
      </c>
      <c r="B204" t="inlineStr"/>
      <c r="C204" s="15" t="inlineStr">
        <is>
          <t>330860</t>
        </is>
      </c>
      <c r="D204" s="15" t="inlineStr">
        <is>
          <t>KOSDAQ</t>
        </is>
      </c>
      <c r="E204" s="15" t="inlineStr">
        <is>
          <t>후공정/패키징/테스트</t>
        </is>
      </c>
      <c r="F204" s="15" t="n">
        <v>42.07</v>
      </c>
      <c r="G204" s="15" t="n">
        <v>0</v>
      </c>
      <c r="H204" s="15" t="inlineStr">
        <is>
          <t>고평가 부담</t>
        </is>
      </c>
      <c r="I204" s="15" t="inlineStr">
        <is>
          <t>0.5804758808286147</t>
        </is>
      </c>
      <c r="J204" t="inlineStr"/>
      <c r="K204" t="inlineStr"/>
      <c r="L204" t="inlineStr"/>
    </row>
    <row r="205" ht="22" customHeight="1">
      <c r="A205" s="15" t="inlineStr">
        <is>
          <t>마이크로투나노</t>
        </is>
      </c>
      <c r="B205" t="inlineStr"/>
      <c r="C205" s="15" t="inlineStr">
        <is>
          <t>424980</t>
        </is>
      </c>
      <c r="D205" s="15" t="inlineStr">
        <is>
          <t>KOSDAQ</t>
        </is>
      </c>
      <c r="E205" s="15" t="inlineStr">
        <is>
          <t>후공정/패키징/테스트</t>
        </is>
      </c>
      <c r="F205" s="15" t="n">
        <v>41.88</v>
      </c>
      <c r="G205" s="15" t="n">
        <v>57.14</v>
      </c>
      <c r="H205" s="15" t="inlineStr">
        <is>
          <t>고평가 부담</t>
        </is>
      </c>
      <c r="I205" s="15" t="inlineStr">
        <is>
          <t>0.8919952418828875</t>
        </is>
      </c>
      <c r="J205" t="inlineStr"/>
      <c r="K205" t="inlineStr"/>
      <c r="L205" t="inlineStr"/>
    </row>
    <row r="206" ht="22" customHeight="1">
      <c r="A206" s="15" t="inlineStr">
        <is>
          <t>광전자</t>
        </is>
      </c>
      <c r="B206" t="inlineStr"/>
      <c r="C206" s="15" t="inlineStr">
        <is>
          <t>017900</t>
        </is>
      </c>
      <c r="D206" s="15" t="inlineStr">
        <is>
          <t>KOSPI</t>
        </is>
      </c>
      <c r="E206" s="15" t="inlineStr">
        <is>
          <t>IDM/제조/메모리</t>
        </is>
      </c>
      <c r="F206" s="15" t="n">
        <v>41.84</v>
      </c>
      <c r="G206" s="15" t="n">
        <v>21.43</v>
      </c>
      <c r="H206" s="15" t="inlineStr">
        <is>
          <t>고평가 부담</t>
        </is>
      </c>
      <c r="I206" s="15" t="inlineStr">
        <is>
          <t>0.6817751829328556</t>
        </is>
      </c>
      <c r="J206" t="inlineStr"/>
      <c r="K206" t="inlineStr"/>
      <c r="L206" t="inlineStr"/>
    </row>
    <row r="207" ht="22" customHeight="1">
      <c r="A207" s="15" t="inlineStr">
        <is>
          <t>아진엑스텍</t>
        </is>
      </c>
      <c r="B207" t="inlineStr"/>
      <c r="C207" s="15" t="inlineStr">
        <is>
          <t>059120</t>
        </is>
      </c>
      <c r="D207" s="15" t="inlineStr">
        <is>
          <t>KOSDAQ</t>
        </is>
      </c>
      <c r="E207" s="15" t="inlineStr">
        <is>
          <t>IDM/제조/메모리</t>
        </is>
      </c>
      <c r="F207" s="15" t="n">
        <v>41.28</v>
      </c>
      <c r="G207" s="15" t="n">
        <v>7.14</v>
      </c>
      <c r="H207" s="15" t="inlineStr">
        <is>
          <t>고평가 부담</t>
        </is>
      </c>
      <c r="I207" s="15" t="inlineStr">
        <is>
          <t>0.6635799672057409</t>
        </is>
      </c>
      <c r="J207" t="inlineStr"/>
      <c r="K207" t="inlineStr"/>
      <c r="L207" t="inlineStr"/>
    </row>
    <row r="208" ht="22" customHeight="1">
      <c r="A208" s="15" t="inlineStr">
        <is>
          <t>아이티엠반도체</t>
        </is>
      </c>
      <c r="B208" t="inlineStr"/>
      <c r="C208" s="15" t="inlineStr">
        <is>
          <t>084850</t>
        </is>
      </c>
      <c r="D208" s="15" t="inlineStr">
        <is>
          <t>KOSDAQ GLOBAL</t>
        </is>
      </c>
      <c r="E208" s="15" t="inlineStr">
        <is>
          <t>부품/기판</t>
        </is>
      </c>
      <c r="F208" s="15" t="n">
        <v>41.24</v>
      </c>
      <c r="G208" s="15" t="n">
        <v>50</v>
      </c>
      <c r="H208" s="15" t="inlineStr">
        <is>
          <t>고평가 부담</t>
        </is>
      </c>
      <c r="I208" s="15" t="inlineStr">
        <is>
          <t>0.599341656390115</t>
        </is>
      </c>
      <c r="J208" t="inlineStr"/>
      <c r="K208" t="inlineStr"/>
      <c r="L208" t="inlineStr"/>
    </row>
    <row r="209" ht="22" customHeight="1">
      <c r="A209" s="15" t="inlineStr">
        <is>
          <t>램테크놀러지</t>
        </is>
      </c>
      <c r="B209" t="inlineStr"/>
      <c r="C209" s="15" t="inlineStr">
        <is>
          <t>171010</t>
        </is>
      </c>
      <c r="D209" s="15" t="inlineStr">
        <is>
          <t>KOSDAQ</t>
        </is>
      </c>
      <c r="E209" s="15" t="inlineStr">
        <is>
          <t>장비</t>
        </is>
      </c>
      <c r="F209" s="15" t="n">
        <v>40.97</v>
      </c>
      <c r="G209" s="15" t="n">
        <v>64.29000000000001</v>
      </c>
      <c r="H209" s="15" t="inlineStr">
        <is>
          <t>고평가 부담</t>
        </is>
      </c>
      <c r="I209" s="15" t="inlineStr">
        <is>
          <t>0.500591784236833</t>
        </is>
      </c>
      <c r="J209" t="inlineStr"/>
      <c r="K209" t="inlineStr"/>
      <c r="L209" t="inlineStr"/>
    </row>
    <row r="210" ht="22" customHeight="1">
      <c r="A210" s="15" t="inlineStr">
        <is>
          <t>코스텍시스</t>
        </is>
      </c>
      <c r="B210" t="inlineStr"/>
      <c r="C210" s="15" t="inlineStr">
        <is>
          <t>355150</t>
        </is>
      </c>
      <c r="D210" s="15" t="inlineStr">
        <is>
          <t>KOSDAQ</t>
        </is>
      </c>
      <c r="E210" s="15" t="inlineStr">
        <is>
          <t>IDM/제조/메모리</t>
        </is>
      </c>
      <c r="F210" s="15" t="n">
        <v>40.97</v>
      </c>
      <c r="G210" s="15" t="n">
        <v>50</v>
      </c>
      <c r="H210" s="15" t="inlineStr">
        <is>
          <t>고평가 부담</t>
        </is>
      </c>
      <c r="I210" s="15" t="inlineStr">
        <is>
          <t>0.7518748972741711</t>
        </is>
      </c>
      <c r="J210" t="inlineStr"/>
      <c r="K210" t="inlineStr"/>
      <c r="L210" t="inlineStr"/>
    </row>
    <row r="211" ht="22" customHeight="1">
      <c r="A211" s="15" t="inlineStr">
        <is>
          <t>시그네틱스</t>
        </is>
      </c>
      <c r="B211" t="inlineStr"/>
      <c r="C211" s="15" t="inlineStr">
        <is>
          <t>033170</t>
        </is>
      </c>
      <c r="D211" s="15" t="inlineStr">
        <is>
          <t>KOSDAQ</t>
        </is>
      </c>
      <c r="E211" s="15" t="inlineStr">
        <is>
          <t>후공정/패키징/테스트</t>
        </is>
      </c>
      <c r="F211" s="15" t="n">
        <v>40.68</v>
      </c>
      <c r="G211" s="15" t="n">
        <v>64.29000000000001</v>
      </c>
      <c r="H211" s="15" t="inlineStr">
        <is>
          <t>고평가 부담</t>
        </is>
      </c>
      <c r="I211" s="15" t="inlineStr">
        <is>
          <t>0.6660306558324866</t>
        </is>
      </c>
      <c r="J211" t="inlineStr"/>
      <c r="K211" t="inlineStr"/>
      <c r="L211" t="inlineStr"/>
    </row>
    <row r="212" ht="22" customHeight="1">
      <c r="A212" s="15" t="inlineStr">
        <is>
          <t>디엔에프</t>
        </is>
      </c>
      <c r="B212" t="inlineStr"/>
      <c r="C212" s="15" t="inlineStr">
        <is>
          <t>092070</t>
        </is>
      </c>
      <c r="D212" s="15" t="inlineStr">
        <is>
          <t>KOSDAQ</t>
        </is>
      </c>
      <c r="E212" s="15" t="inlineStr">
        <is>
          <t>소재</t>
        </is>
      </c>
      <c r="F212" s="15" t="n">
        <v>40.41</v>
      </c>
      <c r="G212" s="15" t="n">
        <v>14.29</v>
      </c>
      <c r="H212" s="15" t="inlineStr">
        <is>
          <t>고평가 부담</t>
        </is>
      </c>
      <c r="I212" s="15" t="inlineStr">
        <is>
          <t>0.6833535693717029</t>
        </is>
      </c>
      <c r="J212" t="inlineStr"/>
      <c r="K212" t="inlineStr"/>
      <c r="L212" t="inlineStr"/>
    </row>
    <row r="213" ht="22" customHeight="1">
      <c r="A213" s="15" t="inlineStr">
        <is>
          <t>저스템</t>
        </is>
      </c>
      <c r="B213" t="inlineStr"/>
      <c r="C213" s="15" t="inlineStr">
        <is>
          <t>417840</t>
        </is>
      </c>
      <c r="D213" s="15" t="inlineStr">
        <is>
          <t>KOSDAQ</t>
        </is>
      </c>
      <c r="E213" s="15" t="inlineStr">
        <is>
          <t>장비</t>
        </is>
      </c>
      <c r="F213" s="15" t="n">
        <v>40.36</v>
      </c>
      <c r="G213" s="15" t="n">
        <v>28.57</v>
      </c>
      <c r="H213" s="15" t="inlineStr">
        <is>
          <t>고평가 부담</t>
        </is>
      </c>
      <c r="I213" s="15" t="inlineStr">
        <is>
          <t>0.7213257522774291</t>
        </is>
      </c>
      <c r="J213" t="inlineStr"/>
      <c r="K213" t="inlineStr"/>
      <c r="L213" t="inlineStr"/>
    </row>
    <row r="214" ht="22" customHeight="1">
      <c r="A214" s="15" t="inlineStr">
        <is>
          <t>지아이에스</t>
        </is>
      </c>
      <c r="B214" t="inlineStr"/>
      <c r="C214" s="15" t="inlineStr">
        <is>
          <t>306620</t>
        </is>
      </c>
      <c r="D214" s="15" t="inlineStr">
        <is>
          <t>KOSDAQ</t>
        </is>
      </c>
      <c r="E214" s="15" t="inlineStr">
        <is>
          <t>장비</t>
        </is>
      </c>
      <c r="F214" s="15" t="n">
        <v>40.15</v>
      </c>
      <c r="G214" s="15" t="n">
        <v>57.14</v>
      </c>
      <c r="H214" s="15" t="inlineStr">
        <is>
          <t>고평가 부담</t>
        </is>
      </c>
      <c r="I214" s="15" t="inlineStr">
        <is>
          <t>0.745903271306321</t>
        </is>
      </c>
      <c r="J214" t="inlineStr"/>
      <c r="K214" t="inlineStr"/>
      <c r="L214" t="inlineStr"/>
    </row>
    <row r="215" ht="22" customHeight="1">
      <c r="A215" s="15" t="inlineStr">
        <is>
          <t>대덕전자</t>
        </is>
      </c>
      <c r="B215" t="inlineStr"/>
      <c r="C215" s="15" t="inlineStr">
        <is>
          <t>353200</t>
        </is>
      </c>
      <c r="D215" s="15" t="inlineStr">
        <is>
          <t>KOSPI</t>
        </is>
      </c>
      <c r="E215" s="15" t="inlineStr">
        <is>
          <t>부품/기판</t>
        </is>
      </c>
      <c r="F215" s="15" t="n">
        <v>39.67</v>
      </c>
      <c r="G215" s="15" t="n">
        <v>14.29</v>
      </c>
      <c r="H215" s="15" t="inlineStr">
        <is>
          <t>고평가 부담</t>
        </is>
      </c>
      <c r="I215" s="15" t="inlineStr">
        <is>
          <t>0.6645756407915718</t>
        </is>
      </c>
      <c r="J215" t="inlineStr"/>
      <c r="K215" t="inlineStr"/>
      <c r="L215" t="inlineStr"/>
    </row>
    <row r="216" ht="22" customHeight="1">
      <c r="A216" s="15" t="inlineStr">
        <is>
          <t>고영</t>
        </is>
      </c>
      <c r="B216" t="inlineStr"/>
      <c r="C216" s="15" t="inlineStr">
        <is>
          <t>098460</t>
        </is>
      </c>
      <c r="D216" s="15" t="inlineStr">
        <is>
          <t>KOSDAQ</t>
        </is>
      </c>
      <c r="E216" s="15" t="inlineStr">
        <is>
          <t>후공정/패키징/테스트</t>
        </is>
      </c>
      <c r="F216" s="15" t="n">
        <v>39.33</v>
      </c>
      <c r="G216" s="15" t="n">
        <v>7.14</v>
      </c>
      <c r="H216" s="15" t="inlineStr">
        <is>
          <t>고평가 부담</t>
        </is>
      </c>
      <c r="I216" s="15" t="inlineStr">
        <is>
          <t>0.4306692416005982</t>
        </is>
      </c>
      <c r="J216" t="inlineStr"/>
      <c r="K216" t="inlineStr"/>
      <c r="L216" t="inlineStr"/>
    </row>
    <row r="217" ht="22" customHeight="1">
      <c r="A217" s="15" t="inlineStr">
        <is>
          <t>와이씨켐</t>
        </is>
      </c>
      <c r="B217" t="inlineStr"/>
      <c r="C217" s="15" t="inlineStr">
        <is>
          <t>112290</t>
        </is>
      </c>
      <c r="D217" s="15" t="inlineStr">
        <is>
          <t>KOSDAQ</t>
        </is>
      </c>
      <c r="E217" s="15" t="inlineStr">
        <is>
          <t>소재</t>
        </is>
      </c>
      <c r="F217" s="15" t="n">
        <v>38.36</v>
      </c>
      <c r="G217" s="15" t="n">
        <v>50</v>
      </c>
      <c r="H217" s="15" t="inlineStr">
        <is>
          <t>고평가 부담</t>
        </is>
      </c>
      <c r="I217" s="15" t="inlineStr">
        <is>
          <t>0.7576999610053956</t>
        </is>
      </c>
      <c r="J217" t="inlineStr"/>
      <c r="K217" t="inlineStr"/>
      <c r="L217" t="inlineStr"/>
    </row>
    <row r="218" ht="22" customHeight="1">
      <c r="A218" s="15" t="inlineStr">
        <is>
          <t>에프에스티</t>
        </is>
      </c>
      <c r="B218" t="inlineStr"/>
      <c r="C218" s="15" t="inlineStr">
        <is>
          <t>036810</t>
        </is>
      </c>
      <c r="D218" s="15" t="inlineStr">
        <is>
          <t>KOSDAQ</t>
        </is>
      </c>
      <c r="E218" s="15" t="inlineStr">
        <is>
          <t>장비</t>
        </is>
      </c>
      <c r="F218" s="15" t="n">
        <v>38.27</v>
      </c>
      <c r="G218" s="15" t="n">
        <v>50</v>
      </c>
      <c r="H218" s="15" t="inlineStr">
        <is>
          <t>고평가 부담</t>
        </is>
      </c>
      <c r="I218" s="15" t="inlineStr">
        <is>
          <t>0.8925631629286743</t>
        </is>
      </c>
      <c r="J218" t="inlineStr"/>
      <c r="K218" t="inlineStr"/>
      <c r="L218" t="inlineStr"/>
    </row>
    <row r="219" ht="22" customHeight="1">
      <c r="A219" s="15" t="inlineStr">
        <is>
          <t>나노신소재</t>
        </is>
      </c>
      <c r="B219" t="inlineStr"/>
      <c r="C219" s="15" t="inlineStr">
        <is>
          <t>121600</t>
        </is>
      </c>
      <c r="D219" s="15" t="inlineStr">
        <is>
          <t>KOSDAQ</t>
        </is>
      </c>
      <c r="E219" s="15" t="inlineStr">
        <is>
          <t>장비</t>
        </is>
      </c>
      <c r="F219" s="15" t="n">
        <v>38.23</v>
      </c>
      <c r="G219" s="15" t="n">
        <v>0</v>
      </c>
      <c r="H219" s="15" t="inlineStr">
        <is>
          <t>고평가 부담</t>
        </is>
      </c>
      <c r="I219" s="15" t="inlineStr">
        <is>
          <t>0.7555342246021253</t>
        </is>
      </c>
      <c r="J219" t="inlineStr"/>
      <c r="K219" t="inlineStr"/>
      <c r="L219" t="inlineStr"/>
    </row>
    <row r="220" ht="22" customHeight="1">
      <c r="A220" s="15" t="inlineStr">
        <is>
          <t>심텍</t>
        </is>
      </c>
      <c r="B220" t="inlineStr"/>
      <c r="C220" s="15" t="inlineStr">
        <is>
          <t>222800</t>
        </is>
      </c>
      <c r="D220" s="15" t="inlineStr">
        <is>
          <t>KOSDAQ GLOBAL</t>
        </is>
      </c>
      <c r="E220" s="15" t="inlineStr">
        <is>
          <t>부품/기판</t>
        </is>
      </c>
      <c r="F220" s="15" t="n">
        <v>37.76</v>
      </c>
      <c r="G220" s="15" t="n">
        <v>57.14</v>
      </c>
      <c r="H220" s="15" t="inlineStr">
        <is>
          <t>고평가 부담</t>
        </is>
      </c>
      <c r="I220" s="15" t="inlineStr">
        <is>
          <t>0.5170784842162837</t>
        </is>
      </c>
      <c r="J220" t="inlineStr"/>
      <c r="K220" t="inlineStr"/>
      <c r="L220" t="inlineStr"/>
    </row>
    <row r="221" ht="22" customHeight="1">
      <c r="A221" s="15" t="inlineStr">
        <is>
          <t>아이에이</t>
        </is>
      </c>
      <c r="B221" t="inlineStr"/>
      <c r="C221" s="15" t="inlineStr">
        <is>
          <t>038880</t>
        </is>
      </c>
      <c r="D221" s="15" t="inlineStr">
        <is>
          <t>KOSDAQ</t>
        </is>
      </c>
      <c r="E221" s="15" t="inlineStr">
        <is>
          <t>부품/기판</t>
        </is>
      </c>
      <c r="F221" s="15" t="n">
        <v>37.76</v>
      </c>
      <c r="G221" s="15" t="n">
        <v>71.43000000000001</v>
      </c>
      <c r="H221" s="15" t="inlineStr">
        <is>
          <t>고평가 부담</t>
        </is>
      </c>
      <c r="I221" s="15" t="inlineStr">
        <is>
          <t>0.7739089828714508</t>
        </is>
      </c>
      <c r="J221" t="inlineStr"/>
      <c r="K221" t="inlineStr"/>
      <c r="L221" t="inlineStr"/>
    </row>
    <row r="222" ht="22" customHeight="1">
      <c r="A222" s="15" t="inlineStr">
        <is>
          <t>웨이비스</t>
        </is>
      </c>
      <c r="B222" t="inlineStr"/>
      <c r="C222" s="15" t="inlineStr">
        <is>
          <t>289930</t>
        </is>
      </c>
      <c r="D222" s="15" t="inlineStr">
        <is>
          <t>KOSDAQ</t>
        </is>
      </c>
      <c r="E222" s="15" t="inlineStr">
        <is>
          <t>후공정/패키징/테스트</t>
        </is>
      </c>
      <c r="F222" s="15" t="n">
        <v>37.66</v>
      </c>
      <c r="G222" s="15" t="n">
        <v>14.29</v>
      </c>
      <c r="H222" s="15" t="inlineStr">
        <is>
          <t>고평가 부담</t>
        </is>
      </c>
      <c r="I222" s="15" t="inlineStr">
        <is>
          <t>0.5209890944205295</t>
        </is>
      </c>
      <c r="J222" t="inlineStr"/>
      <c r="K222" t="inlineStr"/>
      <c r="L222" t="inlineStr"/>
    </row>
    <row r="223" ht="22" customHeight="1">
      <c r="A223" s="15" t="inlineStr">
        <is>
          <t>넥스트칩</t>
        </is>
      </c>
      <c r="B223" t="inlineStr"/>
      <c r="C223" s="15" t="inlineStr">
        <is>
          <t>396270</t>
        </is>
      </c>
      <c r="D223" s="15" t="inlineStr">
        <is>
          <t>KOSDAQ</t>
        </is>
      </c>
      <c r="E223" s="15" t="inlineStr">
        <is>
          <t>팹리스/설계</t>
        </is>
      </c>
      <c r="F223" s="15" t="n">
        <v>37.43</v>
      </c>
      <c r="G223" s="15" t="n">
        <v>71.43000000000001</v>
      </c>
      <c r="H223" s="15" t="inlineStr">
        <is>
          <t>고평가 부담</t>
        </is>
      </c>
      <c r="I223" s="15" t="inlineStr">
        <is>
          <t>0.9380466040149497</t>
        </is>
      </c>
      <c r="J223" t="inlineStr"/>
      <c r="K223" t="inlineStr"/>
      <c r="L223" t="inlineStr"/>
    </row>
    <row r="224" ht="22" customHeight="1">
      <c r="A224" s="15" t="inlineStr">
        <is>
          <t>SFA반도체</t>
        </is>
      </c>
      <c r="B224" t="inlineStr"/>
      <c r="C224" s="15" t="inlineStr">
        <is>
          <t>036540</t>
        </is>
      </c>
      <c r="D224" s="15" t="inlineStr">
        <is>
          <t>KOSDAQ</t>
        </is>
      </c>
      <c r="E224" s="15" t="inlineStr">
        <is>
          <t>후공정/패키징/테스트</t>
        </is>
      </c>
      <c r="F224" s="15" t="n">
        <v>37.26</v>
      </c>
      <c r="G224" s="15" t="n">
        <v>28.57</v>
      </c>
      <c r="H224" s="15" t="inlineStr">
        <is>
          <t>고평가 부담</t>
        </is>
      </c>
      <c r="I224" s="15" t="inlineStr">
        <is>
          <t>0.7912156659089058</t>
        </is>
      </c>
      <c r="J224" t="inlineStr"/>
      <c r="K224" t="inlineStr"/>
      <c r="L224" t="inlineStr"/>
    </row>
    <row r="225" ht="22" customHeight="1">
      <c r="A225" s="15" t="inlineStr">
        <is>
          <t>사피엔반도체</t>
        </is>
      </c>
      <c r="B225" t="inlineStr"/>
      <c r="C225" s="15" t="inlineStr">
        <is>
          <t>452430</t>
        </is>
      </c>
      <c r="D225" s="15" t="inlineStr">
        <is>
          <t>KOSDAQ</t>
        </is>
      </c>
      <c r="E225" s="15" t="inlineStr">
        <is>
          <t>팹리스/설계</t>
        </is>
      </c>
      <c r="F225" s="15" t="n">
        <v>37.21</v>
      </c>
      <c r="G225" s="15" t="n">
        <v>57.14</v>
      </c>
      <c r="H225" s="15" t="inlineStr">
        <is>
          <t>고평가 부담</t>
        </is>
      </c>
      <c r="I225" s="15" t="inlineStr">
        <is>
          <t>0.8482781866315999</t>
        </is>
      </c>
      <c r="J225" t="inlineStr"/>
      <c r="K225" t="inlineStr"/>
      <c r="L225" t="inlineStr"/>
    </row>
    <row r="226" ht="22" customHeight="1">
      <c r="A226" s="15" t="inlineStr">
        <is>
          <t>동운아나텍</t>
        </is>
      </c>
      <c r="B226" t="inlineStr"/>
      <c r="C226" s="15" t="inlineStr">
        <is>
          <t>094170</t>
        </is>
      </c>
      <c r="D226" s="15" t="inlineStr">
        <is>
          <t>KOSDAQ</t>
        </is>
      </c>
      <c r="E226" s="15" t="inlineStr">
        <is>
          <t>팹리스/설계</t>
        </is>
      </c>
      <c r="F226" s="15" t="n">
        <v>36.71</v>
      </c>
      <c r="G226" s="15" t="n">
        <v>21.43</v>
      </c>
      <c r="H226" s="15" t="inlineStr">
        <is>
          <t>고평가 부담</t>
        </is>
      </c>
      <c r="I226" s="15" t="inlineStr">
        <is>
          <t>0.4894423516429773</t>
        </is>
      </c>
      <c r="J226" t="inlineStr"/>
      <c r="K226" t="inlineStr"/>
      <c r="L226" t="inlineStr"/>
    </row>
    <row r="227" ht="22" customHeight="1">
      <c r="A227" s="15" t="inlineStr">
        <is>
          <t>씨엠티엑스</t>
        </is>
      </c>
      <c r="B227" t="inlineStr"/>
      <c r="C227" s="15" t="inlineStr">
        <is>
          <t>388210</t>
        </is>
      </c>
      <c r="D227" s="15" t="inlineStr">
        <is>
          <t>KOSDAQ</t>
        </is>
      </c>
      <c r="E227" s="15" t="inlineStr">
        <is>
          <t>장비</t>
        </is>
      </c>
      <c r="F227" s="15" t="n">
        <v>36.53</v>
      </c>
      <c r="G227" s="15" t="n">
        <v>21.43</v>
      </c>
      <c r="H227" s="15" t="inlineStr">
        <is>
          <t>고평가 부담</t>
        </is>
      </c>
      <c r="I227" s="15" t="inlineStr">
        <is>
          <t>0.7157707609420977</t>
        </is>
      </c>
      <c r="J227" t="inlineStr"/>
      <c r="K227" t="inlineStr"/>
      <c r="L227" t="inlineStr"/>
    </row>
    <row r="228" ht="22" customHeight="1">
      <c r="A228" s="15" t="inlineStr">
        <is>
          <t>세미파이브</t>
        </is>
      </c>
      <c r="B228" t="inlineStr"/>
      <c r="C228" s="15" t="inlineStr">
        <is>
          <t>490470</t>
        </is>
      </c>
      <c r="D228" s="15" t="inlineStr">
        <is>
          <t>KOSDAQ</t>
        </is>
      </c>
      <c r="E228" s="15" t="inlineStr">
        <is>
          <t>팹리스/설계</t>
        </is>
      </c>
      <c r="F228" s="15" t="n">
        <v>36.46</v>
      </c>
      <c r="G228" s="15" t="n">
        <v>50</v>
      </c>
      <c r="H228" s="15" t="inlineStr">
        <is>
          <t>고평가 부담</t>
        </is>
      </c>
      <c r="I228" s="15" t="inlineStr">
        <is>
          <t>0.9277538303818181</t>
        </is>
      </c>
      <c r="J228" t="inlineStr"/>
      <c r="K228" t="inlineStr"/>
      <c r="L228" t="inlineStr"/>
    </row>
    <row r="229" ht="22" customHeight="1">
      <c r="A229" s="15" t="inlineStr">
        <is>
          <t>이미지스</t>
        </is>
      </c>
      <c r="B229" t="inlineStr"/>
      <c r="C229" s="15" t="inlineStr">
        <is>
          <t>115610</t>
        </is>
      </c>
      <c r="D229" s="15" t="inlineStr">
        <is>
          <t>KOSDAQ</t>
        </is>
      </c>
      <c r="E229" s="15" t="inlineStr">
        <is>
          <t>IDM/제조/메모리</t>
        </is>
      </c>
      <c r="F229" s="15" t="n">
        <v>36.33</v>
      </c>
      <c r="G229" s="15" t="n">
        <v>64.29000000000001</v>
      </c>
      <c r="H229" s="15" t="inlineStr">
        <is>
          <t>고평가 부담</t>
        </is>
      </c>
      <c r="I229" s="15" t="inlineStr">
        <is>
          <t>0.7470098487547145</t>
        </is>
      </c>
      <c r="J229" t="inlineStr"/>
      <c r="K229" t="inlineStr"/>
      <c r="L229" t="inlineStr"/>
    </row>
    <row r="230" ht="22" customHeight="1">
      <c r="A230" s="15" t="inlineStr">
        <is>
          <t>시지트로닉스</t>
        </is>
      </c>
      <c r="B230" t="inlineStr"/>
      <c r="C230" s="15" t="inlineStr">
        <is>
          <t>429270</t>
        </is>
      </c>
      <c r="D230" s="15" t="inlineStr">
        <is>
          <t>KOSDAQ</t>
        </is>
      </c>
      <c r="E230" s="15" t="inlineStr">
        <is>
          <t>IDM/제조/메모리</t>
        </is>
      </c>
      <c r="F230" s="15" t="n">
        <v>35.13</v>
      </c>
      <c r="G230" s="15" t="n">
        <v>71.43000000000001</v>
      </c>
      <c r="H230" s="15" t="inlineStr">
        <is>
          <t>고평가 부담</t>
        </is>
      </c>
      <c r="I230" s="15" t="inlineStr">
        <is>
          <t>0.8423539115807104</t>
        </is>
      </c>
      <c r="J230" t="inlineStr"/>
      <c r="K230" t="inlineStr"/>
      <c r="L230" t="inlineStr"/>
    </row>
    <row r="231" ht="22" customHeight="1">
      <c r="A231" s="15" t="inlineStr">
        <is>
          <t>인텍플러스</t>
        </is>
      </c>
      <c r="B231" t="inlineStr"/>
      <c r="C231" s="15" t="inlineStr">
        <is>
          <t>064290</t>
        </is>
      </c>
      <c r="D231" s="15" t="inlineStr">
        <is>
          <t>KOSDAQ</t>
        </is>
      </c>
      <c r="E231" s="15" t="inlineStr">
        <is>
          <t>후공정/패키징/테스트</t>
        </is>
      </c>
      <c r="F231" s="15" t="n">
        <v>34.31</v>
      </c>
      <c r="G231" s="15" t="n">
        <v>42.86</v>
      </c>
      <c r="H231" s="15" t="inlineStr">
        <is>
          <t>고평가 부담</t>
        </is>
      </c>
      <c r="I231" s="15" t="inlineStr">
        <is>
          <t>0.7612288958400996</t>
        </is>
      </c>
      <c r="J231" t="inlineStr"/>
      <c r="K231" t="inlineStr"/>
      <c r="L231" t="inlineStr"/>
    </row>
    <row r="232" ht="22" customHeight="1">
      <c r="A232" s="15" t="inlineStr">
        <is>
          <t>3S</t>
        </is>
      </c>
      <c r="B232" t="inlineStr"/>
      <c r="C232" s="15" t="inlineStr">
        <is>
          <t>060310</t>
        </is>
      </c>
      <c r="D232" s="15" t="inlineStr">
        <is>
          <t>KOSDAQ</t>
        </is>
      </c>
      <c r="E232" s="15" t="inlineStr">
        <is>
          <t>부품/기판</t>
        </is>
      </c>
      <c r="F232" s="15" t="n">
        <v>34.1</v>
      </c>
      <c r="G232" s="15" t="n">
        <v>57.14</v>
      </c>
      <c r="H232" s="15" t="inlineStr">
        <is>
          <t>고평가 부담</t>
        </is>
      </c>
      <c r="I232" s="15" t="inlineStr">
        <is>
          <t>0.8755971854841007</t>
        </is>
      </c>
      <c r="J232" t="inlineStr"/>
      <c r="K232" t="inlineStr"/>
      <c r="L232" t="inlineStr"/>
    </row>
    <row r="233" ht="22" customHeight="1">
      <c r="A233" s="15" t="inlineStr">
        <is>
          <t>천보</t>
        </is>
      </c>
      <c r="B233" t="inlineStr"/>
      <c r="C233" s="15" t="inlineStr">
        <is>
          <t>278280</t>
        </is>
      </c>
      <c r="D233" s="15" t="inlineStr">
        <is>
          <t>KOSDAQ</t>
        </is>
      </c>
      <c r="E233" s="15" t="inlineStr">
        <is>
          <t>소재</t>
        </is>
      </c>
      <c r="F233" s="15" t="n">
        <v>33.87</v>
      </c>
      <c r="G233" s="15" t="n">
        <v>35.71</v>
      </c>
      <c r="H233" s="15" t="inlineStr">
        <is>
          <t>고평가 부담</t>
        </is>
      </c>
      <c r="I233" s="15" t="inlineStr">
        <is>
          <t>0.5721835844163214</t>
        </is>
      </c>
      <c r="J233" t="inlineStr"/>
      <c r="K233" t="inlineStr"/>
      <c r="L233" t="inlineStr"/>
    </row>
    <row r="234" ht="22" customHeight="1">
      <c r="A234" s="15" t="inlineStr">
        <is>
          <t>후성</t>
        </is>
      </c>
      <c r="B234" t="inlineStr"/>
      <c r="C234" s="15" t="inlineStr">
        <is>
          <t>093370</t>
        </is>
      </c>
      <c r="D234" s="15" t="inlineStr">
        <is>
          <t>KOSPI</t>
        </is>
      </c>
      <c r="E234" s="15" t="inlineStr">
        <is>
          <t>소재</t>
        </is>
      </c>
      <c r="F234" s="15" t="n">
        <v>33.87</v>
      </c>
      <c r="G234" s="15" t="n">
        <v>14.29</v>
      </c>
      <c r="H234" s="15" t="inlineStr">
        <is>
          <t>고평가 부담</t>
        </is>
      </c>
      <c r="I234" s="15" t="inlineStr">
        <is>
          <t>0.7388215177779633</t>
        </is>
      </c>
      <c r="J234" t="inlineStr"/>
      <c r="K234" t="inlineStr"/>
      <c r="L234" t="inlineStr"/>
    </row>
    <row r="235" ht="22" customHeight="1">
      <c r="A235" s="15" t="inlineStr">
        <is>
          <t>한울반도체</t>
        </is>
      </c>
      <c r="B235" t="inlineStr"/>
      <c r="C235" s="15" t="inlineStr">
        <is>
          <t>320000</t>
        </is>
      </c>
      <c r="D235" s="15" t="inlineStr">
        <is>
          <t>KOSDAQ</t>
        </is>
      </c>
      <c r="E235" s="15" t="inlineStr">
        <is>
          <t>후공정/패키징/테스트</t>
        </is>
      </c>
      <c r="F235" s="15" t="n">
        <v>33.76</v>
      </c>
      <c r="G235" s="15" t="n">
        <v>71.43000000000001</v>
      </c>
      <c r="H235" s="15" t="inlineStr">
        <is>
          <t>고평가 부담</t>
        </is>
      </c>
      <c r="I235" s="15" t="inlineStr">
        <is>
          <t>0.7769228627558715</t>
        </is>
      </c>
      <c r="J235" t="inlineStr"/>
      <c r="K235" t="inlineStr"/>
      <c r="L235" t="inlineStr"/>
    </row>
    <row r="236" ht="22" customHeight="1">
      <c r="A236" s="15" t="inlineStr">
        <is>
          <t>유니테스트</t>
        </is>
      </c>
      <c r="B236" t="inlineStr"/>
      <c r="C236" s="15" t="inlineStr">
        <is>
          <t>086390</t>
        </is>
      </c>
      <c r="D236" s="15" t="inlineStr">
        <is>
          <t>KOSDAQ</t>
        </is>
      </c>
      <c r="E236" s="15" t="inlineStr">
        <is>
          <t>후공정/패키징/테스트</t>
        </is>
      </c>
      <c r="F236" s="15" t="n">
        <v>33.72</v>
      </c>
      <c r="G236" s="15" t="n">
        <v>57.14</v>
      </c>
      <c r="H236" s="15" t="inlineStr">
        <is>
          <t>고평가 부담</t>
        </is>
      </c>
      <c r="I236" s="15" t="inlineStr">
        <is>
          <t>0.9109345080202441</t>
        </is>
      </c>
      <c r="J236" t="inlineStr"/>
      <c r="K236" t="inlineStr"/>
      <c r="L236" t="inlineStr"/>
    </row>
    <row r="237" ht="22" customHeight="1">
      <c r="A237" s="15" t="inlineStr">
        <is>
          <t>에이직랜드</t>
        </is>
      </c>
      <c r="B237" t="inlineStr"/>
      <c r="C237" s="15" t="inlineStr">
        <is>
          <t>445090</t>
        </is>
      </c>
      <c r="D237" s="15" t="inlineStr">
        <is>
          <t>KOSDAQ</t>
        </is>
      </c>
      <c r="E237" s="15" t="inlineStr">
        <is>
          <t>팹리스/설계</t>
        </is>
      </c>
      <c r="F237" s="15" t="n">
        <v>32.95</v>
      </c>
      <c r="G237" s="15" t="n">
        <v>78.56999999999999</v>
      </c>
      <c r="H237" s="15" t="inlineStr">
        <is>
          <t>고평가 부담</t>
        </is>
      </c>
      <c r="I237" s="15" t="inlineStr">
        <is>
          <t>0.9058303131641584</t>
        </is>
      </c>
      <c r="J237" t="inlineStr"/>
      <c r="K237" t="inlineStr"/>
      <c r="L237" t="inlineStr"/>
    </row>
    <row r="238" ht="22" customHeight="1">
      <c r="A238" s="15" t="inlineStr">
        <is>
          <t>지니틱스</t>
        </is>
      </c>
      <c r="B238" t="inlineStr"/>
      <c r="C238" s="15" t="inlineStr">
        <is>
          <t>303030</t>
        </is>
      </c>
      <c r="D238" s="15" t="inlineStr">
        <is>
          <t>KOSDAQ</t>
        </is>
      </c>
      <c r="E238" s="15" t="inlineStr">
        <is>
          <t>IDM/제조/메모리</t>
        </is>
      </c>
      <c r="F238" s="15" t="n">
        <v>32.93</v>
      </c>
      <c r="G238" s="15" t="n">
        <v>71.43000000000001</v>
      </c>
      <c r="H238" s="15" t="inlineStr">
        <is>
          <t>고평가 부담</t>
        </is>
      </c>
      <c r="I238" s="15" t="inlineStr">
        <is>
          <t>0.6029464801919612</t>
        </is>
      </c>
      <c r="J238" t="inlineStr"/>
      <c r="K238" t="inlineStr"/>
      <c r="L238" t="inlineStr"/>
    </row>
    <row r="239" ht="22" customHeight="1">
      <c r="A239" s="15" t="inlineStr">
        <is>
          <t>엘케이켐</t>
        </is>
      </c>
      <c r="B239" t="inlineStr"/>
      <c r="C239" s="15" t="inlineStr">
        <is>
          <t>489500</t>
        </is>
      </c>
      <c r="D239" s="15" t="inlineStr">
        <is>
          <t>KOSDAQ</t>
        </is>
      </c>
      <c r="E239" s="15" t="inlineStr">
        <is>
          <t>소재</t>
        </is>
      </c>
      <c r="F239" s="15" t="n">
        <v>32.38</v>
      </c>
      <c r="G239" s="15" t="n">
        <v>28.57</v>
      </c>
      <c r="H239" s="15" t="inlineStr">
        <is>
          <t>고평가 부담</t>
        </is>
      </c>
      <c r="I239" s="15" t="inlineStr">
        <is>
          <t>0.702794478496214</t>
        </is>
      </c>
      <c r="J239" t="inlineStr"/>
      <c r="K239" t="inlineStr"/>
      <c r="L239" t="inlineStr"/>
    </row>
    <row r="240" ht="22" customHeight="1">
      <c r="A240" s="15" t="inlineStr">
        <is>
          <t>SKC</t>
        </is>
      </c>
      <c r="B240" t="inlineStr"/>
      <c r="C240" s="15" t="inlineStr">
        <is>
          <t>011790</t>
        </is>
      </c>
      <c r="D240" s="15" t="inlineStr">
        <is>
          <t>KOSPI</t>
        </is>
      </c>
      <c r="E240" s="15" t="inlineStr">
        <is>
          <t>소재</t>
        </is>
      </c>
      <c r="F240" s="15" t="n">
        <v>32.18</v>
      </c>
      <c r="G240" s="15" t="n">
        <v>71.43000000000001</v>
      </c>
      <c r="H240" s="15" t="inlineStr">
        <is>
          <t>고평가 부담</t>
        </is>
      </c>
      <c r="I240" s="15" t="inlineStr">
        <is>
          <t>0.865330691240198</t>
        </is>
      </c>
      <c r="J240" t="inlineStr"/>
      <c r="K240" t="inlineStr"/>
      <c r="L240" t="inlineStr"/>
    </row>
    <row r="241" ht="22" customHeight="1">
      <c r="A241" s="15" t="inlineStr">
        <is>
          <t>두산테스나</t>
        </is>
      </c>
      <c r="B241" t="inlineStr"/>
      <c r="C241" s="15" t="inlineStr">
        <is>
          <t>131970</t>
        </is>
      </c>
      <c r="D241" s="15" t="inlineStr">
        <is>
          <t>KOSDAQ GLOBAL</t>
        </is>
      </c>
      <c r="E241" s="15" t="inlineStr">
        <is>
          <t>후공정/패키징/테스트</t>
        </is>
      </c>
      <c r="F241" s="15" t="n">
        <v>32.17</v>
      </c>
      <c r="G241" s="15" t="n">
        <v>14.29</v>
      </c>
      <c r="H241" s="15" t="inlineStr">
        <is>
          <t>고평가 부담</t>
        </is>
      </c>
      <c r="I241" s="15" t="inlineStr">
        <is>
          <t>0.5774876642912814</t>
        </is>
      </c>
      <c r="J241" t="inlineStr"/>
      <c r="K241" t="inlineStr"/>
      <c r="L241" t="inlineStr"/>
    </row>
    <row r="242" ht="22" customHeight="1">
      <c r="A242" s="15" t="inlineStr">
        <is>
          <t>라닉스</t>
        </is>
      </c>
      <c r="B242" t="inlineStr"/>
      <c r="C242" s="15" t="inlineStr">
        <is>
          <t>317120</t>
        </is>
      </c>
      <c r="D242" s="15" t="inlineStr">
        <is>
          <t>KOSDAQ</t>
        </is>
      </c>
      <c r="E242" s="15" t="inlineStr">
        <is>
          <t>팹리스/설계</t>
        </is>
      </c>
      <c r="F242" s="15" t="n">
        <v>32.08</v>
      </c>
      <c r="G242" s="15" t="n">
        <v>71.43000000000001</v>
      </c>
      <c r="H242" s="15" t="inlineStr">
        <is>
          <t>고평가 부담</t>
        </is>
      </c>
      <c r="I242" s="15" t="inlineStr">
        <is>
          <t>0.9281808400807596</t>
        </is>
      </c>
      <c r="J242" t="inlineStr"/>
      <c r="K242" t="inlineStr"/>
      <c r="L242" t="inlineStr"/>
    </row>
    <row r="243" ht="22" customHeight="1">
      <c r="A243" s="15" t="inlineStr">
        <is>
          <t>아이에스티이</t>
        </is>
      </c>
      <c r="B243" t="inlineStr"/>
      <c r="C243" s="15" t="inlineStr">
        <is>
          <t>212710</t>
        </is>
      </c>
      <c r="D243" s="15" t="inlineStr">
        <is>
          <t>KOSDAQ</t>
        </is>
      </c>
      <c r="E243" s="15" t="inlineStr">
        <is>
          <t>IDM/제조/메모리</t>
        </is>
      </c>
      <c r="F243" s="15" t="n">
        <v>31.27</v>
      </c>
      <c r="G243" s="15" t="n">
        <v>71.43000000000001</v>
      </c>
      <c r="H243" s="15" t="inlineStr">
        <is>
          <t>고평가 부담</t>
        </is>
      </c>
      <c r="I243" s="15" t="inlineStr">
        <is>
          <t>0.6642993493743579</t>
        </is>
      </c>
      <c r="J243" t="inlineStr"/>
      <c r="K243" t="inlineStr"/>
      <c r="L243" t="inlineStr"/>
    </row>
    <row r="244" ht="22" customHeight="1">
      <c r="A244" s="15" t="inlineStr">
        <is>
          <t>가온칩스</t>
        </is>
      </c>
      <c r="B244" t="inlineStr"/>
      <c r="C244" s="15" t="inlineStr">
        <is>
          <t>399720</t>
        </is>
      </c>
      <c r="D244" s="15" t="inlineStr">
        <is>
          <t>KOSDAQ</t>
        </is>
      </c>
      <c r="E244" s="15" t="inlineStr">
        <is>
          <t>팹리스/설계</t>
        </is>
      </c>
      <c r="F244" s="15" t="n">
        <v>31.19</v>
      </c>
      <c r="G244" s="15" t="n">
        <v>57.14</v>
      </c>
      <c r="H244" s="15" t="inlineStr">
        <is>
          <t>고평가 부담</t>
        </is>
      </c>
      <c r="I244" s="15" t="inlineStr">
        <is>
          <t>0.9202856043409283</t>
        </is>
      </c>
      <c r="J244" t="inlineStr"/>
      <c r="K244" t="inlineStr"/>
      <c r="L244" t="inlineStr"/>
    </row>
    <row r="245" ht="22" customHeight="1">
      <c r="A245" s="15" t="inlineStr">
        <is>
          <t>네오셈</t>
        </is>
      </c>
      <c r="B245" t="inlineStr"/>
      <c r="C245" s="15" t="inlineStr">
        <is>
          <t>253590</t>
        </is>
      </c>
      <c r="D245" s="15" t="inlineStr">
        <is>
          <t>KOSDAQ</t>
        </is>
      </c>
      <c r="E245" s="15" t="inlineStr">
        <is>
          <t>후공정/패키징/테스트</t>
        </is>
      </c>
      <c r="F245" s="15" t="n">
        <v>30.59</v>
      </c>
      <c r="G245" s="15" t="n">
        <v>7.14</v>
      </c>
      <c r="H245" s="15" t="inlineStr">
        <is>
          <t>고평가 부담</t>
        </is>
      </c>
      <c r="I245" s="15" t="inlineStr">
        <is>
          <t>0.7695353673338539</t>
        </is>
      </c>
      <c r="J245" t="inlineStr"/>
      <c r="K245" t="inlineStr"/>
      <c r="L245" t="inlineStr"/>
    </row>
    <row r="246" ht="22" customHeight="1">
      <c r="A246" s="15" t="inlineStr">
        <is>
          <t>아스플로</t>
        </is>
      </c>
      <c r="B246" t="inlineStr"/>
      <c r="C246" s="15" t="inlineStr">
        <is>
          <t>159010</t>
        </is>
      </c>
      <c r="D246" s="15" t="inlineStr">
        <is>
          <t>KOSDAQ</t>
        </is>
      </c>
      <c r="E246" s="15" t="inlineStr">
        <is>
          <t>장비</t>
        </is>
      </c>
      <c r="F246" s="15" t="n">
        <v>30.25</v>
      </c>
      <c r="G246" s="15" t="n">
        <v>57.14</v>
      </c>
      <c r="H246" s="15" t="inlineStr">
        <is>
          <t>고평가 부담</t>
        </is>
      </c>
      <c r="I246" s="15" t="inlineStr">
        <is>
          <t>0.8970141905473263</t>
        </is>
      </c>
      <c r="J246" t="inlineStr"/>
      <c r="K246" t="inlineStr"/>
      <c r="L246" t="inlineStr"/>
    </row>
    <row r="247" ht="22" customHeight="1">
      <c r="A247" s="15" t="inlineStr">
        <is>
          <t>케이알엠</t>
        </is>
      </c>
      <c r="B247" t="inlineStr"/>
      <c r="C247" s="15" t="inlineStr">
        <is>
          <t>093640</t>
        </is>
      </c>
      <c r="D247" s="15" t="inlineStr">
        <is>
          <t>KOSDAQ</t>
        </is>
      </c>
      <c r="E247" s="15" t="inlineStr">
        <is>
          <t>IDM/제조/메모리</t>
        </is>
      </c>
      <c r="F247" s="15" t="n">
        <v>30.1</v>
      </c>
      <c r="G247" s="15" t="n">
        <v>42.86</v>
      </c>
      <c r="H247" s="15" t="inlineStr">
        <is>
          <t>고평가 부담</t>
        </is>
      </c>
      <c r="I247" s="15" t="inlineStr">
        <is>
          <t>0.7957205872008264</t>
        </is>
      </c>
      <c r="J247" t="inlineStr"/>
      <c r="K247" t="inlineStr"/>
      <c r="L247" t="inlineStr"/>
    </row>
    <row r="248" ht="22" customHeight="1">
      <c r="A248" s="15" t="inlineStr">
        <is>
          <t>오로스테크놀로지</t>
        </is>
      </c>
      <c r="B248" t="inlineStr"/>
      <c r="C248" s="15" t="inlineStr">
        <is>
          <t>322310</t>
        </is>
      </c>
      <c r="D248" s="15" t="inlineStr">
        <is>
          <t>KOSDAQ</t>
        </is>
      </c>
      <c r="E248" s="15" t="inlineStr">
        <is>
          <t>장비</t>
        </is>
      </c>
      <c r="F248" s="15" t="n">
        <v>29.69</v>
      </c>
      <c r="G248" s="15" t="n">
        <v>28.57</v>
      </c>
      <c r="H248" s="15" t="inlineStr">
        <is>
          <t>고평가 부담</t>
        </is>
      </c>
      <c r="I248" s="15" t="inlineStr">
        <is>
          <t>0.9263479879516093</t>
        </is>
      </c>
      <c r="J248" t="inlineStr"/>
      <c r="K248" t="inlineStr"/>
      <c r="L248" t="inlineStr"/>
    </row>
    <row r="249" ht="22" customHeight="1">
      <c r="A249" s="15" t="inlineStr">
        <is>
          <t>쏘닉스</t>
        </is>
      </c>
      <c r="B249" t="inlineStr"/>
      <c r="C249" s="15" t="inlineStr">
        <is>
          <t>088280</t>
        </is>
      </c>
      <c r="D249" s="15" t="inlineStr">
        <is>
          <t>KOSDAQ</t>
        </is>
      </c>
      <c r="E249" s="15" t="inlineStr">
        <is>
          <t>IDM/제조/메모리</t>
        </is>
      </c>
      <c r="F249" s="15" t="n">
        <v>29.25</v>
      </c>
      <c r="G249" s="15" t="n">
        <v>57.14</v>
      </c>
      <c r="H249" s="15" t="inlineStr">
        <is>
          <t>고평가 부담</t>
        </is>
      </c>
      <c r="I249" s="15" t="inlineStr">
        <is>
          <t>0.9167677788852596</t>
        </is>
      </c>
      <c r="J249" t="inlineStr"/>
      <c r="K249" t="inlineStr"/>
      <c r="L249" t="inlineStr"/>
    </row>
    <row r="250" ht="22" customHeight="1">
      <c r="A250" s="15" t="inlineStr">
        <is>
          <t>러셀</t>
        </is>
      </c>
      <c r="B250" t="inlineStr"/>
      <c r="C250" s="15" t="inlineStr">
        <is>
          <t>217500</t>
        </is>
      </c>
      <c r="D250" s="15" t="inlineStr">
        <is>
          <t>KOSDAQ</t>
        </is>
      </c>
      <c r="E250" s="15" t="inlineStr">
        <is>
          <t>장비</t>
        </is>
      </c>
      <c r="F250" s="15" t="n">
        <v>28.89</v>
      </c>
      <c r="G250" s="15" t="n">
        <v>57.14</v>
      </c>
      <c r="H250" s="15" t="inlineStr">
        <is>
          <t>고평가 부담</t>
        </is>
      </c>
      <c r="I250" s="15" t="inlineStr">
        <is>
          <t>0.873177337125051</t>
        </is>
      </c>
      <c r="J250" t="inlineStr"/>
      <c r="K250" t="inlineStr"/>
      <c r="L250" t="inlineStr"/>
    </row>
    <row r="251" ht="22" customHeight="1">
      <c r="A251" s="15" t="inlineStr">
        <is>
          <t>미래컴퍼니</t>
        </is>
      </c>
      <c r="B251" t="inlineStr"/>
      <c r="C251" s="15" t="inlineStr">
        <is>
          <t>049950</t>
        </is>
      </c>
      <c r="D251" s="15" t="inlineStr">
        <is>
          <t>KOSDAQ</t>
        </is>
      </c>
      <c r="E251" s="15" t="inlineStr">
        <is>
          <t>장비</t>
        </is>
      </c>
      <c r="F251" s="15" t="n">
        <v>28.75</v>
      </c>
      <c r="G251" s="15" t="n">
        <v>42.86</v>
      </c>
      <c r="H251" s="15" t="inlineStr">
        <is>
          <t>고평가 부담</t>
        </is>
      </c>
      <c r="I251" s="15" t="inlineStr">
        <is>
          <t>0.8354805452058427</t>
        </is>
      </c>
      <c r="J251" t="inlineStr"/>
      <c r="K251" t="inlineStr"/>
      <c r="L251" t="inlineStr"/>
    </row>
    <row r="252" ht="22" customHeight="1">
      <c r="A252" s="15" t="inlineStr">
        <is>
          <t>파두</t>
        </is>
      </c>
      <c r="B252" t="inlineStr"/>
      <c r="C252" s="15" t="inlineStr">
        <is>
          <t>440110</t>
        </is>
      </c>
      <c r="D252" s="15" t="inlineStr">
        <is>
          <t>KOSDAQ</t>
        </is>
      </c>
      <c r="E252" s="15" t="inlineStr">
        <is>
          <t>팹리스/설계</t>
        </is>
      </c>
      <c r="F252" s="15" t="n">
        <v>28.17</v>
      </c>
      <c r="G252" s="15" t="n">
        <v>71.43000000000001</v>
      </c>
      <c r="H252" s="15" t="inlineStr">
        <is>
          <t>고평가 부담</t>
        </is>
      </c>
      <c r="I252" s="15" t="inlineStr">
        <is>
          <t>0.9722302520284296</t>
        </is>
      </c>
      <c r="J252" t="inlineStr"/>
      <c r="K252" t="inlineStr"/>
      <c r="L252" t="inlineStr"/>
    </row>
    <row r="253" ht="22" customHeight="1">
      <c r="A253" s="15" t="inlineStr">
        <is>
          <t>예스티</t>
        </is>
      </c>
      <c r="B253" t="inlineStr"/>
      <c r="C253" s="15" t="inlineStr">
        <is>
          <t>122640</t>
        </is>
      </c>
      <c r="D253" s="15" t="inlineStr">
        <is>
          <t>KOSDAQ</t>
        </is>
      </c>
      <c r="E253" s="15" t="inlineStr">
        <is>
          <t>장비</t>
        </is>
      </c>
      <c r="F253" s="15" t="n">
        <v>27.79</v>
      </c>
      <c r="G253" s="15" t="n">
        <v>21.43</v>
      </c>
      <c r="H253" s="15" t="inlineStr">
        <is>
          <t>고평가 부담</t>
        </is>
      </c>
      <c r="I253" s="15" t="inlineStr">
        <is>
          <t>0.8070752756860592</t>
        </is>
      </c>
      <c r="J253" t="inlineStr"/>
      <c r="K253" t="inlineStr"/>
      <c r="L253" t="inlineStr"/>
    </row>
    <row r="254" ht="22" customHeight="1">
      <c r="A254" s="15" t="inlineStr">
        <is>
          <t>레이크머티리얼즈</t>
        </is>
      </c>
      <c r="B254" t="inlineStr"/>
      <c r="C254" s="15" t="inlineStr">
        <is>
          <t>281740</t>
        </is>
      </c>
      <c r="D254" s="15" t="inlineStr">
        <is>
          <t>KOSDAQ</t>
        </is>
      </c>
      <c r="E254" s="15" t="inlineStr">
        <is>
          <t>소재</t>
        </is>
      </c>
      <c r="F254" s="15" t="n">
        <v>26.77</v>
      </c>
      <c r="G254" s="15" t="n">
        <v>28.57</v>
      </c>
      <c r="H254" s="15" t="inlineStr">
        <is>
          <t>고평가 부담</t>
        </is>
      </c>
      <c r="I254" s="15" t="inlineStr">
        <is>
          <t>0.7822727417954645</t>
        </is>
      </c>
      <c r="J254" t="inlineStr"/>
      <c r="K254" t="inlineStr"/>
      <c r="L254" t="inlineStr"/>
    </row>
    <row r="255" ht="22" customHeight="1">
      <c r="A255" s="15" t="inlineStr">
        <is>
          <t>덕산테코피아</t>
        </is>
      </c>
      <c r="B255" s="15" t="inlineStr">
        <is>
          <t>duksan</t>
        </is>
      </c>
      <c r="C255" s="15" t="inlineStr">
        <is>
          <t>317330</t>
        </is>
      </c>
      <c r="D255" s="15" t="inlineStr">
        <is>
          <t>KOSDAQ</t>
        </is>
      </c>
      <c r="E255" s="15" t="inlineStr">
        <is>
          <t>소재</t>
        </is>
      </c>
      <c r="F255" s="15" t="n">
        <v>25.1</v>
      </c>
      <c r="G255" s="15" t="n">
        <v>71.43000000000001</v>
      </c>
      <c r="H255" s="15" t="inlineStr">
        <is>
          <t>고평가 부담</t>
        </is>
      </c>
      <c r="I255" s="15" t="inlineStr">
        <is>
          <t>0.9683283970250778</t>
        </is>
      </c>
      <c r="J255" s="15" t="inlineStr">
        <is>
          <t>예</t>
        </is>
      </c>
      <c r="K255" t="inlineStr"/>
      <c r="L255" t="inlineStr"/>
    </row>
    <row r="256" ht="22" customHeight="1">
      <c r="A256" s="15" t="inlineStr">
        <is>
          <t>피엠티</t>
        </is>
      </c>
      <c r="B256" t="inlineStr"/>
      <c r="C256" s="15" t="inlineStr">
        <is>
          <t>147760</t>
        </is>
      </c>
      <c r="D256" s="15" t="inlineStr">
        <is>
          <t>KOSDAQ</t>
        </is>
      </c>
      <c r="E256" s="15" t="inlineStr">
        <is>
          <t>후공정/패키징/테스트</t>
        </is>
      </c>
      <c r="F256" s="15" t="n">
        <v>24.71</v>
      </c>
      <c r="G256" s="15" t="n">
        <v>78.56999999999999</v>
      </c>
      <c r="H256" s="15" t="inlineStr">
        <is>
          <t>고평가 부담</t>
        </is>
      </c>
      <c r="I256" s="15" t="inlineStr">
        <is>
          <t>0.952821790032095</t>
        </is>
      </c>
      <c r="J256" t="inlineStr"/>
      <c r="K256" t="inlineStr"/>
      <c r="L256" t="inlineStr"/>
    </row>
    <row r="257" ht="22" customHeight="1">
      <c r="A257" s="15" t="inlineStr">
        <is>
          <t>아이씨티케이</t>
        </is>
      </c>
      <c r="B257" t="inlineStr"/>
      <c r="C257" s="15" t="inlineStr">
        <is>
          <t>456010</t>
        </is>
      </c>
      <c r="D257" s="15" t="inlineStr">
        <is>
          <t>KOSDAQ</t>
        </is>
      </c>
      <c r="E257" s="15" t="inlineStr">
        <is>
          <t>팹리스/설계</t>
        </is>
      </c>
      <c r="F257" s="15" t="n">
        <v>24.21</v>
      </c>
      <c r="G257" s="15" t="n">
        <v>57.14</v>
      </c>
      <c r="H257" s="15" t="inlineStr">
        <is>
          <t>고평가 부담</t>
        </is>
      </c>
      <c r="I257" s="15" t="inlineStr">
        <is>
          <t>0.9318776222941163</t>
        </is>
      </c>
      <c r="J257" t="inlineStr"/>
      <c r="K257" t="inlineStr"/>
      <c r="L257" t="inlineStr"/>
    </row>
    <row r="258" ht="22" customHeight="1">
      <c r="A258" s="15" t="inlineStr">
        <is>
          <t>오픈엣지테크놀로지</t>
        </is>
      </c>
      <c r="B258" t="inlineStr"/>
      <c r="C258" s="15" t="inlineStr">
        <is>
          <t>394280</t>
        </is>
      </c>
      <c r="D258" s="15" t="inlineStr">
        <is>
          <t>KOSDAQ</t>
        </is>
      </c>
      <c r="E258" s="15" t="inlineStr">
        <is>
          <t>팹리스/설계</t>
        </is>
      </c>
      <c r="F258" s="15" t="n">
        <v>23.84</v>
      </c>
      <c r="G258" s="15" t="n">
        <v>57.14</v>
      </c>
      <c r="H258" s="15" t="inlineStr">
        <is>
          <t>고평가 부담</t>
        </is>
      </c>
      <c r="I258" s="15" t="inlineStr">
        <is>
          <t>0.9776205348568181</t>
        </is>
      </c>
      <c r="J258" t="inlineStr"/>
      <c r="K258" t="inlineStr"/>
      <c r="L258" t="inlineStr"/>
    </row>
    <row r="259" ht="22" customHeight="1">
      <c r="A259" s="15" t="inlineStr">
        <is>
          <t>기가레인</t>
        </is>
      </c>
      <c r="B259" t="inlineStr"/>
      <c r="C259" s="15" t="inlineStr">
        <is>
          <t>049080</t>
        </is>
      </c>
      <c r="D259" s="15" t="inlineStr">
        <is>
          <t>KOSDAQ</t>
        </is>
      </c>
      <c r="E259" s="15" t="inlineStr">
        <is>
          <t>장비</t>
        </is>
      </c>
      <c r="F259" s="15" t="n">
        <v>23.53</v>
      </c>
      <c r="G259" s="15" t="n">
        <v>50</v>
      </c>
      <c r="H259" s="15" t="inlineStr">
        <is>
          <t>고평가 부담</t>
        </is>
      </c>
      <c r="I259" s="15" t="inlineStr">
        <is>
          <t>0.9628494209555842</t>
        </is>
      </c>
      <c r="J259" t="inlineStr"/>
      <c r="K259" t="inlineStr"/>
      <c r="L259" t="inlineStr"/>
    </row>
    <row r="260" ht="22" customHeight="1">
      <c r="A260" s="15" t="inlineStr">
        <is>
          <t>넥스틴</t>
        </is>
      </c>
      <c r="B260" t="inlineStr"/>
      <c r="C260" s="15" t="inlineStr">
        <is>
          <t>348210</t>
        </is>
      </c>
      <c r="D260" s="15" t="inlineStr">
        <is>
          <t>KOSDAQ GLOBAL</t>
        </is>
      </c>
      <c r="E260" s="15" t="inlineStr">
        <is>
          <t>장비</t>
        </is>
      </c>
      <c r="F260" s="15" t="n">
        <v>23.53</v>
      </c>
      <c r="G260" s="15" t="n">
        <v>42.86</v>
      </c>
      <c r="H260" s="15" t="inlineStr">
        <is>
          <t>고평가 부담</t>
        </is>
      </c>
      <c r="I260" s="15" t="inlineStr">
        <is>
          <t>0.7906546201121369</t>
        </is>
      </c>
      <c r="J260" t="inlineStr"/>
      <c r="K260" t="inlineStr"/>
      <c r="L260" t="inlineStr"/>
    </row>
    <row r="261" ht="22" customHeight="1">
      <c r="A261" s="15" t="inlineStr">
        <is>
          <t>주성엔지니어링</t>
        </is>
      </c>
      <c r="B261" t="inlineStr"/>
      <c r="C261" s="15" t="inlineStr">
        <is>
          <t>036930</t>
        </is>
      </c>
      <c r="D261" s="15" t="inlineStr">
        <is>
          <t>KOSDAQ GLOBAL</t>
        </is>
      </c>
      <c r="E261" s="15" t="inlineStr">
        <is>
          <t>장비</t>
        </is>
      </c>
      <c r="F261" s="15" t="n">
        <v>23.36</v>
      </c>
      <c r="G261" s="15" t="n">
        <v>28.57</v>
      </c>
      <c r="H261" s="15" t="inlineStr">
        <is>
          <t>고평가 부담</t>
        </is>
      </c>
      <c r="I261" s="15" t="inlineStr">
        <is>
          <t>0.7918979957613304</t>
        </is>
      </c>
      <c r="J261" t="inlineStr"/>
      <c r="K261" t="inlineStr"/>
      <c r="L261" t="inlineStr"/>
    </row>
    <row r="262" ht="22" customHeight="1">
      <c r="A262" s="15" t="inlineStr">
        <is>
          <t>테크윙</t>
        </is>
      </c>
      <c r="B262" t="inlineStr"/>
      <c r="C262" s="15" t="inlineStr">
        <is>
          <t>089030</t>
        </is>
      </c>
      <c r="D262" s="15" t="inlineStr">
        <is>
          <t>KOSDAQ</t>
        </is>
      </c>
      <c r="E262" s="15" t="inlineStr">
        <is>
          <t>후공정/패키징/테스트</t>
        </is>
      </c>
      <c r="F262" s="15" t="n">
        <v>22.06</v>
      </c>
      <c r="G262" s="15" t="n">
        <v>57.14</v>
      </c>
      <c r="H262" s="15" t="inlineStr">
        <is>
          <t>고평가 부담</t>
        </is>
      </c>
      <c r="I262" s="15" t="inlineStr">
        <is>
          <t>0.7946423848576873</t>
        </is>
      </c>
      <c r="J262" t="inlineStr"/>
      <c r="K262" t="inlineStr"/>
      <c r="L262" t="inlineStr"/>
    </row>
    <row r="263" ht="22" customHeight="1">
      <c r="A263" s="15" t="inlineStr">
        <is>
          <t>퀄리타스반도체</t>
        </is>
      </c>
      <c r="B263" t="inlineStr"/>
      <c r="C263" s="15" t="inlineStr">
        <is>
          <t>432720</t>
        </is>
      </c>
      <c r="D263" s="15" t="inlineStr">
        <is>
          <t>KOSDAQ</t>
        </is>
      </c>
      <c r="E263" s="15" t="inlineStr">
        <is>
          <t>팹리스/설계</t>
        </is>
      </c>
      <c r="F263" s="15" t="n">
        <v>21.19</v>
      </c>
      <c r="G263" s="15" t="n">
        <v>57.14</v>
      </c>
      <c r="H263" s="15" t="inlineStr">
        <is>
          <t>고평가 부담</t>
        </is>
      </c>
      <c r="I263" s="15" t="inlineStr">
        <is>
          <t>0.9844433173148716</t>
        </is>
      </c>
      <c r="J263" t="inlineStr"/>
      <c r="K263" t="inlineStr"/>
      <c r="L263" t="inlineStr"/>
    </row>
    <row r="264" ht="22" customHeight="1">
      <c r="A264" s="15" t="inlineStr">
        <is>
          <t>자람테크놀로지</t>
        </is>
      </c>
      <c r="B264" t="inlineStr"/>
      <c r="C264" s="15" t="inlineStr">
        <is>
          <t>389020</t>
        </is>
      </c>
      <c r="D264" s="15" t="inlineStr">
        <is>
          <t>KOSDAQ</t>
        </is>
      </c>
      <c r="E264" s="15" t="inlineStr">
        <is>
          <t>IDM/제조/메모리</t>
        </is>
      </c>
      <c r="F264" s="15" t="n">
        <v>19.95</v>
      </c>
      <c r="G264" s="15" t="n">
        <v>21.43</v>
      </c>
      <c r="H264" s="15" t="inlineStr">
        <is>
          <t>고평가 부담</t>
        </is>
      </c>
      <c r="I264" s="15" t="inlineStr">
        <is>
          <t>0.6873284389381621</t>
        </is>
      </c>
      <c r="J264" t="inlineStr"/>
      <c r="K264" t="inlineStr"/>
      <c r="L264" t="inlineStr"/>
    </row>
    <row r="265" ht="22" customHeight="1">
      <c r="A265" s="15" t="inlineStr">
        <is>
          <t>필옵틱스</t>
        </is>
      </c>
      <c r="B265" t="inlineStr"/>
      <c r="C265" s="15" t="inlineStr">
        <is>
          <t>161580</t>
        </is>
      </c>
      <c r="D265" s="15" t="inlineStr">
        <is>
          <t>KOSDAQ</t>
        </is>
      </c>
      <c r="E265" s="15" t="inlineStr">
        <is>
          <t>장비</t>
        </is>
      </c>
      <c r="F265" s="15" t="n">
        <v>17.41</v>
      </c>
      <c r="G265" s="15" t="n">
        <v>28.57</v>
      </c>
      <c r="H265" s="15" t="inlineStr">
        <is>
          <t>고평가 부담</t>
        </is>
      </c>
      <c r="I265" s="15" t="inlineStr">
        <is>
          <t>0.9632435860929522</t>
        </is>
      </c>
      <c r="J265" t="inlineStr"/>
      <c r="K265" t="inlineStr"/>
      <c r="L265" t="inlineStr"/>
    </row>
    <row r="266" ht="22" customHeight="1">
      <c r="A266" s="15" t="inlineStr">
        <is>
          <t>하이딥</t>
        </is>
      </c>
      <c r="B266" t="inlineStr"/>
      <c r="C266" s="15" t="inlineStr">
        <is>
          <t>365590</t>
        </is>
      </c>
      <c r="D266" s="15" t="inlineStr">
        <is>
          <t>KOSDAQ</t>
        </is>
      </c>
      <c r="E266" s="15" t="inlineStr">
        <is>
          <t>IDM/제조/메모리</t>
        </is>
      </c>
      <c r="F266" s="15" t="n">
        <v>12.5</v>
      </c>
      <c r="G266" s="15" t="n">
        <v>85.70999999999999</v>
      </c>
      <c r="H266" s="15" t="inlineStr">
        <is>
          <t>고평가 부담</t>
        </is>
      </c>
      <c r="I266" s="15" t="inlineStr">
        <is>
          <t>0.93355514861914</t>
        </is>
      </c>
      <c r="J266" t="inlineStr"/>
      <c r="K266" t="inlineStr"/>
      <c r="L266" t="inlineStr"/>
    </row>
  </sheetData>
  <mergeCells count="2">
    <mergeCell ref="A2:N2"/>
    <mergeCell ref="A1:N1"/>
  </mergeCells>
  <dataValidations count="1">
    <dataValidation sqref="B4" showDropDown="0" showInputMessage="0" showErrorMessage="0" allowBlank="0" type="list">
      <formula1>$A$59:$A$266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표시 개선 단계에서 예외가 발생했지만 가치평가 계산 결과는 정상 생성되었습니다.</t>
        </is>
      </c>
    </row>
    <row r="2">
      <c r="A2" t="inlineStr">
        <is>
          <t>'Cell'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2026-05-20T05:28:37Z</dcterms:created>
  <dcterms:modified xmlns:dcterms="http://purl.org/dc/terms/" xmlns:xsi="http://www.w3.org/2001/XMLSchema-instance" xsi:type="dcterms:W3CDTF">2026-05-20T05:29:02Z</dcterms:modified>
</cp:coreProperties>
</file>